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otalenvmt.sharepoint.com/sites/pmo/Shared Documents/02 Design/Projects/Contracts/0059_PoaRR/Design Fee 24/Commercial/"/>
    </mc:Choice>
  </mc:AlternateContent>
  <xr:revisionPtr revIDLastSave="468" documentId="13_ncr:1_{3FC53302-EDA0-49D6-A67D-5004F85B9D65}" xr6:coauthVersionLast="47" xr6:coauthVersionMax="47" xr10:uidLastSave="{A53C8D59-8DB7-498E-A4FA-2111CB732EAF}"/>
  <bookViews>
    <workbookView xWindow="-108" yWindow="-108" windowWidth="23256" windowHeight="12456" tabRatio="773" activeTab="6" xr2:uid="{F9B1B8C1-C737-A14E-B197-173AC5A51EAD}"/>
  </bookViews>
  <sheets>
    <sheet name="Summary" sheetId="24" r:id="rId1"/>
    <sheet name="Design Fee" sheetId="20" r:id="rId2"/>
    <sheet name="AR | Drawing List" sheetId="11" r:id="rId3"/>
    <sheet name="ST | Drawing List" sheetId="12" r:id="rId4"/>
    <sheet name="MEP | Drawing List" sheetId="17" r:id="rId5"/>
    <sheet name="LS | Drawing List" sheetId="16" r:id="rId6"/>
    <sheet name="BOQ COST" sheetId="22" r:id="rId7"/>
    <sheet name="old LS" sheetId="23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" localSheetId="3" hidden="1">'[1]Rate Analysis'!#REF!</definedName>
    <definedName name="_" hidden="1">'[1]Rate Analysis'!#REF!</definedName>
    <definedName name="__123Graph_A" hidden="1">[2]TB!#REF!</definedName>
    <definedName name="__123Graph_B" hidden="1">'[1]Rate Analysis'!#REF!</definedName>
    <definedName name="__123Graph_C" hidden="1">'[1]Rate Analysis'!#REF!</definedName>
    <definedName name="__123Graph_D" hidden="1">'[3]vb 9&amp;10'!#REF!</definedName>
    <definedName name="__123Graph_E" hidden="1">'[1]Rate Analysis'!#REF!</definedName>
    <definedName name="__123Graph_F" hidden="1">'[1]Rate Analysis'!#REF!</definedName>
    <definedName name="__123Graph_X" hidden="1">[2]TB!#REF!</definedName>
    <definedName name="__IntlFixup" hidden="1">TRUE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hidden="1">#REF!</definedName>
    <definedName name="_Fill" localSheetId="3" hidden="1">#REF!</definedName>
    <definedName name="_Fill" hidden="1">#REF!</definedName>
    <definedName name="_xlnm._FilterDatabase" localSheetId="2" hidden="1">'AR | Drawing List'!$A$5:$U$341</definedName>
    <definedName name="_xlnm._FilterDatabase" localSheetId="1" hidden="1">'Design Fee'!$B$2:$EQ$89</definedName>
    <definedName name="_xlnm._FilterDatabase" localSheetId="5" hidden="1">'LS | Drawing List'!$A$7:$U$43</definedName>
    <definedName name="_xlnm._FilterDatabase" localSheetId="4" hidden="1">'MEP | Drawing List'!$A$5:$U$260</definedName>
    <definedName name="_xlnm._FilterDatabase" localSheetId="3" hidden="1">'ST | Drawing List'!$5:$140</definedName>
    <definedName name="_xlnm._FilterDatabase" localSheetId="0" hidden="1">Summary!$A$1:$CB$98</definedName>
    <definedName name="_xlnm._FilterDatabase" hidden="1">'[4]SP Break Up'!$A$6:$I$39</definedName>
    <definedName name="_Key1" hidden="1">#REF!</definedName>
    <definedName name="_Key2" hidden="1">'[5]#REF'!$A$9</definedName>
    <definedName name="_Order1" hidden="1">255</definedName>
    <definedName name="_Parse_In" hidden="1">[6]sum!#REF!</definedName>
    <definedName name="_Parse_Out" localSheetId="3" hidden="1">#REF!</definedName>
    <definedName name="_Parse_Out" hidden="1">#REF!</definedName>
    <definedName name="_Regression_Int" hidden="1">1</definedName>
    <definedName name="_Sort" localSheetId="3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Lupro" localSheetId="3" hidden="1">{"BSSCHA4",#N/A,FALSE,"sch bs"}</definedName>
    <definedName name="ALupro" hidden="1">{"BSSCHA4",#N/A,FALSE,"sch bs"}</definedName>
    <definedName name="annexure" localSheetId="3" hidden="1">{"BSSCHA4",#N/A,FALSE,"sch bs"}</definedName>
    <definedName name="annexure" hidden="1">{"BSSCHA4",#N/A,FALSE,"sch bs"}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LPH1" hidden="1">#REF!</definedName>
    <definedName name="depn" localSheetId="3" hidden="1">#REF!</definedName>
    <definedName name="depn" hidden="1">#REF!</definedName>
    <definedName name="Empty" localSheetId="3" hidden="1">#REF!</definedName>
    <definedName name="Empty" hidden="1">#REF!</definedName>
    <definedName name="Empty1" localSheetId="3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localSheetId="3" hidden="1">'[7]grp '!#REF!</definedName>
    <definedName name="FA" hidden="1">'[7]grp '!#REF!</definedName>
    <definedName name="fffffffffffffffffffffffffffjjjjjj" hidden="1">#REF!</definedName>
    <definedName name="fgfg" localSheetId="3" hidden="1">[2]TB!#REF!</definedName>
    <definedName name="fgfg" hidden="1">[2]TB!#REF!</definedName>
    <definedName name="form3cd" hidden="1">'[8]EAW Final Accounts - 99'!$M$175:$M$189</definedName>
    <definedName name="gallup" localSheetId="3" hidden="1">{"a4p&amp;L",#N/A,FALSE,"tr &amp; pl"}</definedName>
    <definedName name="gallup" hidden="1">{"a4p&amp;L",#N/A,FALSE,"tr &amp; pl"}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M" hidden="1">#REF!</definedName>
    <definedName name="_xlnm.Print_Area" localSheetId="1">'Design Fee'!$A$3:$ET$97</definedName>
    <definedName name="_xlnm.Print_Area" localSheetId="0">Summary!$A$1:$CB$96</definedName>
    <definedName name="Prof" hidden="1">#REF!</definedName>
    <definedName name="q" localSheetId="3" hidden="1">'[1]Rate Analysis'!#REF!</definedName>
    <definedName name="q" hidden="1">'[1]Rate Analysis'!#REF!</definedName>
    <definedName name="SAPBEXdnldView" hidden="1">"431YL7QMJN6KP6IQEL77FEM9L"</definedName>
    <definedName name="SAPBEXsysID" hidden="1">"BP1"</definedName>
    <definedName name="shp" hidden="1">'[1]Rate Analysis'!#REF!</definedName>
    <definedName name="SORT1" localSheetId="3" hidden="1">'[9]#REF'!#REF!</definedName>
    <definedName name="SORT1" hidden="1">'[9]#REF'!#REF!</definedName>
    <definedName name="v" hidden="1">[10]Grouping!$A$1:$A$65536,[10]Grouping!$A$6:$IV$6</definedName>
    <definedName name="vivek1" localSheetId="3" hidden="1">#REF!</definedName>
    <definedName name="vivek1" hidden="1">#REF!</definedName>
    <definedName name="vivek11" localSheetId="3" hidden="1">#REF!</definedName>
    <definedName name="vivek11" hidden="1">#REF!</definedName>
    <definedName name="vivek12" localSheetId="3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n.A4BSSCH." localSheetId="3" hidden="1">{"BSSCHA4",#N/A,FALSE,"sch bs"}</definedName>
    <definedName name="wrn.A4BSSCH." hidden="1">{"BSSCHA4",#N/A,FALSE,"sch bs"}</definedName>
    <definedName name="wrn.A4PL." localSheetId="3" hidden="1">{"a4p&amp;L",#N/A,FALSE,"tr &amp; pl"}</definedName>
    <definedName name="wrn.A4PL." hidden="1">{"a4p&amp;L",#N/A,FALSE,"tr &amp; pl"}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" hidden="1">{"A4BS",#N/A,FALSE,"bs"}</definedName>
    <definedName name="wrn.BSA4." hidden="1">{"A4BS",#N/A,FALSE,"bs"}</definedName>
    <definedName name="wrn.capA4." localSheetId="3" hidden="1">{"capA4",#N/A,FALSE,"capt"}</definedName>
    <definedName name="wrn.capA4." hidden="1">{"capA4",#N/A,FALSE,"capt"}</definedName>
    <definedName name="wrn.depschA4." localSheetId="3" hidden="1">{"A4depsch",#N/A,FALSE,"fa&amp;dep"}</definedName>
    <definedName name="wrn.depschA4." hidden="1">{"A4depsch",#N/A,FALSE,"fa&amp;dep"}</definedName>
    <definedName name="wrn.EVEREST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ull._.Financials." localSheetId="3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" hidden="1">{"A4PLSCH",#N/A,FALSE,"sch pl"}</definedName>
    <definedName name="wrn.PLSCHA4." hidden="1">{"A4PLSCH",#N/A,FALSE,"sch pl"}</definedName>
    <definedName name="wrn.Print." localSheetId="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[11]BS!#REF!</definedName>
    <definedName name="XREF_COLUMN_3" hidden="1">[11]FA!#REF!</definedName>
    <definedName name="XREF_COLUMN_4" hidden="1">[11]FA!#REF!</definedName>
    <definedName name="XREF_COLUMN_5" hidden="1">[11]FA!#REF!</definedName>
    <definedName name="XREF_COLUMN_6" hidden="1">[11]FA!#REF!</definedName>
    <definedName name="XREF_COLUMN_7" hidden="1">[11]FA!#REF!</definedName>
    <definedName name="XREF_COLUMN_8" hidden="1">[11]FA!#REF!</definedName>
    <definedName name="XREF_COLUMN_9" hidden="1">[11]FA!#REF!</definedName>
    <definedName name="XRefCopyRangeCount" hidden="1">6</definedName>
    <definedName name="XYZ" hidden="1">[12]Grouping!$A$1:$A$65536,[12]Grouping!$A$6:$IV$6</definedName>
    <definedName name="Z_0185ADC1_3830_11D3_88E4_00104B2D4E50_.wvu.FilterData" localSheetId="3" hidden="1">#REF!</definedName>
    <definedName name="Z_0185ADC1_3830_11D3_88E4_00104B2D4E50_.wvu.FilterData" hidden="1">#REF!</definedName>
    <definedName name="Z_0185ADC2_3830_11D3_88E4_00104B2D4E50_.wvu.FilterData" localSheetId="3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2" l="1"/>
  <c r="F128" i="20"/>
  <c r="F129" i="20"/>
  <c r="F131" i="20"/>
  <c r="F132" i="20"/>
  <c r="F133" i="20"/>
  <c r="F134" i="20"/>
  <c r="F135" i="20"/>
  <c r="F136" i="20"/>
  <c r="F137" i="20"/>
  <c r="F138" i="20"/>
  <c r="F139" i="20"/>
  <c r="F130" i="20"/>
  <c r="H340" i="11"/>
  <c r="Q106" i="11"/>
  <c r="L106" i="11"/>
  <c r="H106" i="11"/>
  <c r="H38" i="11"/>
  <c r="H105" i="12"/>
  <c r="H64" i="17"/>
  <c r="CF91" i="20" l="1"/>
  <c r="CH91" i="20"/>
  <c r="CI91" i="20"/>
  <c r="AY91" i="20"/>
  <c r="AX91" i="20"/>
  <c r="AV91" i="20"/>
  <c r="Q129" i="12" l="1"/>
  <c r="Q232" i="11"/>
  <c r="H339" i="11" l="1"/>
  <c r="H338" i="11"/>
  <c r="CB84" i="24"/>
  <c r="BM84" i="24"/>
  <c r="AX84" i="24"/>
  <c r="AI84" i="24"/>
  <c r="H7" i="24"/>
  <c r="I7" i="24"/>
  <c r="H232" i="11"/>
  <c r="L232" i="11"/>
  <c r="Q273" i="11"/>
  <c r="H273" i="11"/>
  <c r="L273" i="11"/>
  <c r="Q276" i="11"/>
  <c r="Q105" i="11"/>
  <c r="Q87" i="11"/>
  <c r="Q86" i="11"/>
  <c r="Q78" i="11"/>
  <c r="Q68" i="11"/>
  <c r="S7" i="24"/>
  <c r="R7" i="24"/>
  <c r="Q7" i="24"/>
  <c r="P7" i="24"/>
  <c r="O7" i="24"/>
  <c r="N7" i="24"/>
  <c r="M7" i="24"/>
  <c r="L7" i="24"/>
  <c r="K7" i="24"/>
  <c r="J7" i="24"/>
  <c r="G7" i="24"/>
  <c r="F7" i="24"/>
  <c r="G5" i="24"/>
  <c r="T62" i="24"/>
  <c r="H71" i="12" l="1"/>
  <c r="L71" i="12"/>
  <c r="Q71" i="12"/>
  <c r="H118" i="17"/>
  <c r="H77" i="11" l="1"/>
  <c r="H13" i="11"/>
  <c r="DM92" i="20" l="1"/>
  <c r="DM90" i="20"/>
  <c r="DM84" i="20"/>
  <c r="DM83" i="20"/>
  <c r="DM79" i="20"/>
  <c r="DM78" i="20"/>
  <c r="DM74" i="20"/>
  <c r="DM73" i="20"/>
  <c r="DM69" i="20"/>
  <c r="DM68" i="20"/>
  <c r="DM61" i="20"/>
  <c r="DM50" i="20"/>
  <c r="DM48" i="20"/>
  <c r="DM47" i="20"/>
  <c r="DM46" i="20"/>
  <c r="DM42" i="20"/>
  <c r="DM41" i="20"/>
  <c r="DM38" i="20"/>
  <c r="DM37" i="20"/>
  <c r="DM36" i="20"/>
  <c r="DM35" i="20"/>
  <c r="DM34" i="20"/>
  <c r="DM33" i="20"/>
  <c r="DM32" i="20"/>
  <c r="DM31" i="20"/>
  <c r="DM29" i="20"/>
  <c r="DM22" i="20"/>
  <c r="DM16" i="20"/>
  <c r="DM10" i="20"/>
  <c r="DM8" i="20"/>
  <c r="DM7" i="20"/>
  <c r="DM6" i="20"/>
  <c r="CC92" i="20"/>
  <c r="CC90" i="20"/>
  <c r="CC84" i="20"/>
  <c r="CC83" i="20"/>
  <c r="CC79" i="20"/>
  <c r="CC78" i="20"/>
  <c r="CC74" i="20"/>
  <c r="CC73" i="20"/>
  <c r="CC69" i="20"/>
  <c r="CC68" i="20"/>
  <c r="CC61" i="20"/>
  <c r="CC50" i="20"/>
  <c r="CC48" i="20"/>
  <c r="CC47" i="20"/>
  <c r="CC46" i="20"/>
  <c r="CC45" i="20"/>
  <c r="CC44" i="20"/>
  <c r="CC43" i="20"/>
  <c r="CC42" i="20"/>
  <c r="CC41" i="20"/>
  <c r="CC40" i="20"/>
  <c r="CC38" i="20"/>
  <c r="CC37" i="20"/>
  <c r="CC36" i="20"/>
  <c r="CC35" i="20"/>
  <c r="CC34" i="20"/>
  <c r="CC33" i="20"/>
  <c r="CC32" i="20"/>
  <c r="CC31" i="20"/>
  <c r="CC29" i="20"/>
  <c r="CC28" i="20"/>
  <c r="CC27" i="20"/>
  <c r="CC26" i="20"/>
  <c r="CC25" i="20"/>
  <c r="CC24" i="20"/>
  <c r="CC22" i="20"/>
  <c r="CC21" i="20"/>
  <c r="CC20" i="20"/>
  <c r="CC19" i="20"/>
  <c r="CC18" i="20"/>
  <c r="CC16" i="20"/>
  <c r="CC15" i="20"/>
  <c r="CC14" i="20"/>
  <c r="CC13" i="20"/>
  <c r="CC12" i="20"/>
  <c r="CC10" i="20"/>
  <c r="CC8" i="20"/>
  <c r="CC7" i="20"/>
  <c r="CC6" i="20"/>
  <c r="AS92" i="20"/>
  <c r="AS90" i="20"/>
  <c r="AS84" i="20"/>
  <c r="AS83" i="20"/>
  <c r="AS78" i="20"/>
  <c r="AS73" i="20"/>
  <c r="AS68" i="20"/>
  <c r="AS61" i="20"/>
  <c r="AS50" i="20"/>
  <c r="AS48" i="20"/>
  <c r="AS47" i="20"/>
  <c r="AS46" i="20"/>
  <c r="AS45" i="20"/>
  <c r="AS44" i="20"/>
  <c r="AS43" i="20"/>
  <c r="AS42" i="20"/>
  <c r="AS41" i="20"/>
  <c r="AS40" i="20"/>
  <c r="AS38" i="20"/>
  <c r="AS37" i="20"/>
  <c r="AS36" i="20"/>
  <c r="AS35" i="20"/>
  <c r="AS34" i="20"/>
  <c r="AS33" i="20"/>
  <c r="AS32" i="20"/>
  <c r="AS31" i="20"/>
  <c r="AS29" i="20"/>
  <c r="AS28" i="20"/>
  <c r="AS27" i="20"/>
  <c r="AS26" i="20"/>
  <c r="AS25" i="20"/>
  <c r="AS24" i="20"/>
  <c r="AS22" i="20"/>
  <c r="AS21" i="20"/>
  <c r="AS20" i="20"/>
  <c r="AS19" i="20"/>
  <c r="AS18" i="20"/>
  <c r="AS16" i="20"/>
  <c r="AS15" i="20"/>
  <c r="AS14" i="20"/>
  <c r="AS13" i="20"/>
  <c r="AS12" i="20"/>
  <c r="AS10" i="20"/>
  <c r="AS8" i="20"/>
  <c r="AS7" i="20"/>
  <c r="AS6" i="20"/>
  <c r="I92" i="20"/>
  <c r="I90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69" i="20"/>
  <c r="I61" i="20"/>
  <c r="I47" i="20"/>
  <c r="I46" i="20"/>
  <c r="I45" i="20"/>
  <c r="I44" i="20"/>
  <c r="I43" i="20"/>
  <c r="I42" i="20"/>
  <c r="I41" i="20"/>
  <c r="I40" i="20"/>
  <c r="I37" i="20"/>
  <c r="I36" i="20"/>
  <c r="I35" i="20"/>
  <c r="I34" i="20"/>
  <c r="I33" i="20"/>
  <c r="I32" i="20"/>
  <c r="I31" i="20"/>
  <c r="I28" i="20"/>
  <c r="I27" i="20"/>
  <c r="I26" i="20"/>
  <c r="I25" i="20"/>
  <c r="I24" i="20"/>
  <c r="I21" i="20"/>
  <c r="I20" i="20"/>
  <c r="I19" i="20"/>
  <c r="I18" i="20"/>
  <c r="I15" i="20"/>
  <c r="I14" i="20"/>
  <c r="I13" i="20"/>
  <c r="I12" i="20"/>
  <c r="I10" i="20"/>
  <c r="I8" i="20"/>
  <c r="I7" i="20"/>
  <c r="I6" i="20"/>
  <c r="DL93" i="20"/>
  <c r="AR93" i="20"/>
  <c r="H93" i="20"/>
  <c r="AR62" i="20"/>
  <c r="DL39" i="20"/>
  <c r="H39" i="20"/>
  <c r="DL30" i="20"/>
  <c r="H30" i="20"/>
  <c r="DL23" i="20"/>
  <c r="AR23" i="20"/>
  <c r="H23" i="20"/>
  <c r="DL17" i="20"/>
  <c r="AR17" i="20"/>
  <c r="H17" i="20"/>
  <c r="H11" i="20"/>
  <c r="DQ93" i="20" l="1"/>
  <c r="AR94" i="20"/>
  <c r="AW93" i="20"/>
  <c r="AW91" i="20" s="1"/>
  <c r="CB62" i="24"/>
  <c r="BM62" i="24"/>
  <c r="AX62" i="24"/>
  <c r="AI62" i="24"/>
  <c r="CA93" i="24"/>
  <c r="CA92" i="24" s="1"/>
  <c r="BZ93" i="24"/>
  <c r="BZ92" i="24" s="1"/>
  <c r="BY93" i="24"/>
  <c r="BY92" i="24" s="1"/>
  <c r="BX93" i="24"/>
  <c r="BX92" i="24" s="1"/>
  <c r="BV93" i="24"/>
  <c r="BV92" i="24" s="1"/>
  <c r="BU93" i="24"/>
  <c r="BU92" i="24" s="1"/>
  <c r="BS93" i="24"/>
  <c r="BS92" i="24" s="1"/>
  <c r="BV82" i="24"/>
  <c r="BU82" i="24"/>
  <c r="BT82" i="24"/>
  <c r="BS82" i="24"/>
  <c r="BR82" i="24"/>
  <c r="BQ82" i="24"/>
  <c r="BP82" i="24"/>
  <c r="BV81" i="24"/>
  <c r="BU81" i="24"/>
  <c r="BT81" i="24"/>
  <c r="BS81" i="24"/>
  <c r="BR81" i="24"/>
  <c r="BQ81" i="24"/>
  <c r="BP81" i="24"/>
  <c r="BV80" i="24"/>
  <c r="BU80" i="24"/>
  <c r="BT80" i="24"/>
  <c r="BS80" i="24"/>
  <c r="BR80" i="24"/>
  <c r="BQ80" i="24"/>
  <c r="BP80" i="24"/>
  <c r="BV77" i="24"/>
  <c r="BU77" i="24"/>
  <c r="BT77" i="24"/>
  <c r="BS77" i="24"/>
  <c r="BR77" i="24"/>
  <c r="BQ77" i="24"/>
  <c r="BP77" i="24"/>
  <c r="BV76" i="24"/>
  <c r="BU76" i="24"/>
  <c r="BT76" i="24"/>
  <c r="BS76" i="24"/>
  <c r="BR76" i="24"/>
  <c r="BQ76" i="24"/>
  <c r="BP76" i="24"/>
  <c r="BV75" i="24"/>
  <c r="BU75" i="24"/>
  <c r="BT75" i="24"/>
  <c r="BS75" i="24"/>
  <c r="BR75" i="24"/>
  <c r="BQ75" i="24"/>
  <c r="BP75" i="24"/>
  <c r="BV72" i="24"/>
  <c r="BU72" i="24"/>
  <c r="BT72" i="24"/>
  <c r="BS72" i="24"/>
  <c r="BR72" i="24"/>
  <c r="BQ72" i="24"/>
  <c r="BP72" i="24"/>
  <c r="BV71" i="24"/>
  <c r="BU71" i="24"/>
  <c r="BT71" i="24"/>
  <c r="BS71" i="24"/>
  <c r="BR71" i="24"/>
  <c r="BQ71" i="24"/>
  <c r="BP71" i="24"/>
  <c r="BV70" i="24"/>
  <c r="BU70" i="24"/>
  <c r="BT70" i="24"/>
  <c r="BS70" i="24"/>
  <c r="BR70" i="24"/>
  <c r="BQ70" i="24"/>
  <c r="BP70" i="24"/>
  <c r="BP67" i="24"/>
  <c r="BP66" i="24"/>
  <c r="BP65" i="24"/>
  <c r="BP64" i="24"/>
  <c r="BP63" i="24"/>
  <c r="CA47" i="24"/>
  <c r="BZ47" i="24"/>
  <c r="BY47" i="24"/>
  <c r="BX47" i="24"/>
  <c r="BW47" i="24"/>
  <c r="BV47" i="24"/>
  <c r="BU47" i="24"/>
  <c r="BT47" i="24"/>
  <c r="BS47" i="24"/>
  <c r="BR47" i="24"/>
  <c r="BQ47" i="24"/>
  <c r="BP47" i="24"/>
  <c r="CA46" i="24"/>
  <c r="BZ46" i="24"/>
  <c r="BY46" i="24"/>
  <c r="BX46" i="24"/>
  <c r="BW46" i="24"/>
  <c r="BV46" i="24"/>
  <c r="BU46" i="24"/>
  <c r="BT46" i="24"/>
  <c r="BS46" i="24"/>
  <c r="BR46" i="24"/>
  <c r="BQ46" i="24"/>
  <c r="BP46" i="24"/>
  <c r="CA45" i="24"/>
  <c r="BZ45" i="24"/>
  <c r="BY45" i="24"/>
  <c r="BX45" i="24"/>
  <c r="BW45" i="24"/>
  <c r="BV45" i="24"/>
  <c r="BU45" i="24"/>
  <c r="BT45" i="24"/>
  <c r="BS45" i="24"/>
  <c r="BP45" i="24"/>
  <c r="CA44" i="24"/>
  <c r="BZ44" i="24"/>
  <c r="BY44" i="24"/>
  <c r="BX44" i="24"/>
  <c r="BW44" i="24"/>
  <c r="BV44" i="24"/>
  <c r="BU44" i="24"/>
  <c r="BT44" i="24"/>
  <c r="BS44" i="24"/>
  <c r="BP44" i="24"/>
  <c r="CA43" i="24"/>
  <c r="BZ43" i="24"/>
  <c r="BY43" i="24"/>
  <c r="BX43" i="24"/>
  <c r="BW43" i="24"/>
  <c r="BV43" i="24"/>
  <c r="BU43" i="24"/>
  <c r="BT43" i="24"/>
  <c r="BS43" i="24"/>
  <c r="BP43" i="24"/>
  <c r="CA42" i="24"/>
  <c r="BZ42" i="24"/>
  <c r="BY42" i="24"/>
  <c r="BX42" i="24"/>
  <c r="BW42" i="24"/>
  <c r="BV42" i="24"/>
  <c r="BU42" i="24"/>
  <c r="BT42" i="24"/>
  <c r="BS42" i="24"/>
  <c r="BR42" i="24"/>
  <c r="BQ42" i="24"/>
  <c r="BP42" i="24"/>
  <c r="CA41" i="24"/>
  <c r="BZ41" i="24"/>
  <c r="BY41" i="24"/>
  <c r="BX41" i="24"/>
  <c r="BW41" i="24"/>
  <c r="BV41" i="24"/>
  <c r="BU41" i="24"/>
  <c r="BT41" i="24"/>
  <c r="BS41" i="24"/>
  <c r="BR41" i="24"/>
  <c r="BQ41" i="24"/>
  <c r="BP41" i="24"/>
  <c r="CA40" i="24"/>
  <c r="BZ40" i="24"/>
  <c r="BY40" i="24"/>
  <c r="BX40" i="24"/>
  <c r="BW40" i="24"/>
  <c r="BV40" i="24"/>
  <c r="BU40" i="24"/>
  <c r="BT40" i="24"/>
  <c r="BS40" i="24"/>
  <c r="BP40" i="24"/>
  <c r="BV39" i="24"/>
  <c r="BU39" i="24"/>
  <c r="BT39" i="24"/>
  <c r="BS39" i="24"/>
  <c r="BP39" i="24"/>
  <c r="CA37" i="24"/>
  <c r="BZ37" i="24"/>
  <c r="BY37" i="24"/>
  <c r="BX37" i="24"/>
  <c r="BW37" i="24"/>
  <c r="BV37" i="24"/>
  <c r="BU37" i="24"/>
  <c r="BT37" i="24"/>
  <c r="BS37" i="24"/>
  <c r="BR37" i="24"/>
  <c r="BQ37" i="24"/>
  <c r="BP37" i="24"/>
  <c r="CA36" i="24"/>
  <c r="BZ36" i="24"/>
  <c r="BY36" i="24"/>
  <c r="BX36" i="24"/>
  <c r="BW36" i="24"/>
  <c r="BV36" i="24"/>
  <c r="BU36" i="24"/>
  <c r="BT36" i="24"/>
  <c r="BS36" i="24"/>
  <c r="BR36" i="24"/>
  <c r="BQ36" i="24"/>
  <c r="BP36" i="24"/>
  <c r="CA35" i="24"/>
  <c r="BZ35" i="24"/>
  <c r="BY35" i="24"/>
  <c r="BX35" i="24"/>
  <c r="BW35" i="24"/>
  <c r="BV35" i="24"/>
  <c r="BU35" i="24"/>
  <c r="BT35" i="24"/>
  <c r="BS35" i="24"/>
  <c r="BR35" i="24"/>
  <c r="BQ35" i="24"/>
  <c r="BP35" i="24"/>
  <c r="CA34" i="24"/>
  <c r="BZ34" i="24"/>
  <c r="BY34" i="24"/>
  <c r="BX34" i="24"/>
  <c r="BW34" i="24"/>
  <c r="BV34" i="24"/>
  <c r="BU34" i="24"/>
  <c r="BT34" i="24"/>
  <c r="BS34" i="24"/>
  <c r="BR34" i="24"/>
  <c r="BQ34" i="24"/>
  <c r="BP34" i="24"/>
  <c r="CA33" i="24"/>
  <c r="BZ33" i="24"/>
  <c r="BY33" i="24"/>
  <c r="BX33" i="24"/>
  <c r="BW33" i="24"/>
  <c r="BV33" i="24"/>
  <c r="BU33" i="24"/>
  <c r="BT33" i="24"/>
  <c r="BS33" i="24"/>
  <c r="BR33" i="24"/>
  <c r="BQ33" i="24"/>
  <c r="BP33" i="24"/>
  <c r="CA32" i="24"/>
  <c r="BZ32" i="24"/>
  <c r="BY32" i="24"/>
  <c r="BX32" i="24"/>
  <c r="BW32" i="24"/>
  <c r="BV32" i="24"/>
  <c r="BU32" i="24"/>
  <c r="BT32" i="24"/>
  <c r="BS32" i="24"/>
  <c r="BR32" i="24"/>
  <c r="BQ32" i="24"/>
  <c r="BP32" i="24"/>
  <c r="CA31" i="24"/>
  <c r="BZ31" i="24"/>
  <c r="BY31" i="24"/>
  <c r="BX31" i="24"/>
  <c r="BW31" i="24"/>
  <c r="BV31" i="24"/>
  <c r="BU31" i="24"/>
  <c r="BT31" i="24"/>
  <c r="BS31" i="24"/>
  <c r="BR31" i="24"/>
  <c r="BQ31" i="24"/>
  <c r="BP31" i="24"/>
  <c r="BV30" i="24"/>
  <c r="BU30" i="24"/>
  <c r="BT30" i="24"/>
  <c r="BS30" i="24"/>
  <c r="BP30" i="24"/>
  <c r="CA28" i="24"/>
  <c r="BZ28" i="24"/>
  <c r="BY28" i="24"/>
  <c r="BX28" i="24"/>
  <c r="BW28" i="24"/>
  <c r="BV28" i="24"/>
  <c r="BU28" i="24"/>
  <c r="BT28" i="24"/>
  <c r="BS28" i="24"/>
  <c r="BP28" i="24"/>
  <c r="CA27" i="24"/>
  <c r="BZ27" i="24"/>
  <c r="BY27" i="24"/>
  <c r="BX27" i="24"/>
  <c r="BW27" i="24"/>
  <c r="BV27" i="24"/>
  <c r="BU27" i="24"/>
  <c r="BT27" i="24"/>
  <c r="BS27" i="24"/>
  <c r="BP27" i="24"/>
  <c r="CA26" i="24"/>
  <c r="BZ26" i="24"/>
  <c r="BY26" i="24"/>
  <c r="BX26" i="24"/>
  <c r="BW26" i="24"/>
  <c r="BV26" i="24"/>
  <c r="BU26" i="24"/>
  <c r="BT26" i="24"/>
  <c r="BS26" i="24"/>
  <c r="BP26" i="24"/>
  <c r="CA25" i="24"/>
  <c r="BZ25" i="24"/>
  <c r="BY25" i="24"/>
  <c r="BX25" i="24"/>
  <c r="BW25" i="24"/>
  <c r="BV25" i="24"/>
  <c r="BU25" i="24"/>
  <c r="BT25" i="24"/>
  <c r="BS25" i="24"/>
  <c r="BP25" i="24"/>
  <c r="CA24" i="24"/>
  <c r="BZ24" i="24"/>
  <c r="BY24" i="24"/>
  <c r="BX24" i="24"/>
  <c r="BW24" i="24"/>
  <c r="BV24" i="24"/>
  <c r="BU24" i="24"/>
  <c r="BT24" i="24"/>
  <c r="BS24" i="24"/>
  <c r="BP24" i="24"/>
  <c r="BV23" i="24"/>
  <c r="BU23" i="24"/>
  <c r="BT23" i="24"/>
  <c r="BS23" i="24"/>
  <c r="BP23" i="24"/>
  <c r="CA21" i="24"/>
  <c r="BZ21" i="24"/>
  <c r="BY21" i="24"/>
  <c r="BX21" i="24"/>
  <c r="BW21" i="24"/>
  <c r="BV21" i="24"/>
  <c r="BU21" i="24"/>
  <c r="BT21" i="24"/>
  <c r="BS21" i="24"/>
  <c r="BP21" i="24"/>
  <c r="CA20" i="24"/>
  <c r="BZ20" i="24"/>
  <c r="BY20" i="24"/>
  <c r="BX20" i="24"/>
  <c r="BW20" i="24"/>
  <c r="BV20" i="24"/>
  <c r="BU20" i="24"/>
  <c r="BT20" i="24"/>
  <c r="BS20" i="24"/>
  <c r="BP20" i="24"/>
  <c r="CA19" i="24"/>
  <c r="BZ19" i="24"/>
  <c r="BY19" i="24"/>
  <c r="BX19" i="24"/>
  <c r="BW19" i="24"/>
  <c r="BV19" i="24"/>
  <c r="BU19" i="24"/>
  <c r="BT19" i="24"/>
  <c r="BS19" i="24"/>
  <c r="BP19" i="24"/>
  <c r="CA18" i="24"/>
  <c r="BZ18" i="24"/>
  <c r="BY18" i="24"/>
  <c r="BX18" i="24"/>
  <c r="BW18" i="24"/>
  <c r="BV18" i="24"/>
  <c r="BU18" i="24"/>
  <c r="BT18" i="24"/>
  <c r="BS18" i="24"/>
  <c r="BP18" i="24"/>
  <c r="BV17" i="24"/>
  <c r="BU17" i="24"/>
  <c r="BT17" i="24"/>
  <c r="BS17" i="24"/>
  <c r="BP17" i="24"/>
  <c r="CA15" i="24"/>
  <c r="BZ15" i="24"/>
  <c r="BY15" i="24"/>
  <c r="BX15" i="24"/>
  <c r="BW15" i="24"/>
  <c r="BV15" i="24"/>
  <c r="BU15" i="24"/>
  <c r="BT15" i="24"/>
  <c r="BS15" i="24"/>
  <c r="BP15" i="24"/>
  <c r="CA14" i="24"/>
  <c r="BZ14" i="24"/>
  <c r="BY14" i="24"/>
  <c r="BX14" i="24"/>
  <c r="BW14" i="24"/>
  <c r="BV14" i="24"/>
  <c r="BU14" i="24"/>
  <c r="BT14" i="24"/>
  <c r="BS14" i="24"/>
  <c r="BP14" i="24"/>
  <c r="CA13" i="24"/>
  <c r="BZ13" i="24"/>
  <c r="BY13" i="24"/>
  <c r="BX13" i="24"/>
  <c r="BW13" i="24"/>
  <c r="BV13" i="24"/>
  <c r="BU13" i="24"/>
  <c r="BT13" i="24"/>
  <c r="BS13" i="24"/>
  <c r="BP13" i="24"/>
  <c r="CA12" i="24"/>
  <c r="BZ12" i="24"/>
  <c r="BY12" i="24"/>
  <c r="BX12" i="24"/>
  <c r="BW12" i="24"/>
  <c r="BV12" i="24"/>
  <c r="BU12" i="24"/>
  <c r="BT12" i="24"/>
  <c r="BS12" i="24"/>
  <c r="BP12" i="24"/>
  <c r="BV11" i="24"/>
  <c r="BU11" i="24"/>
  <c r="BT11" i="24"/>
  <c r="BS11" i="24"/>
  <c r="BP11" i="24"/>
  <c r="BL93" i="24"/>
  <c r="BL92" i="24" s="1"/>
  <c r="BK93" i="24"/>
  <c r="BK92" i="24" s="1"/>
  <c r="BJ93" i="24"/>
  <c r="BJ92" i="24" s="1"/>
  <c r="BI93" i="24"/>
  <c r="BI92" i="24" s="1"/>
  <c r="BG93" i="24"/>
  <c r="BG92" i="24" s="1"/>
  <c r="BF93" i="24"/>
  <c r="BF92" i="24" s="1"/>
  <c r="BD93" i="24"/>
  <c r="BD92" i="24" s="1"/>
  <c r="BC82" i="24"/>
  <c r="BB82" i="24"/>
  <c r="BA82" i="24"/>
  <c r="BC81" i="24"/>
  <c r="BB81" i="24"/>
  <c r="BA81" i="24"/>
  <c r="BC80" i="24"/>
  <c r="BB80" i="24"/>
  <c r="BA80" i="24"/>
  <c r="BC77" i="24"/>
  <c r="BB77" i="24"/>
  <c r="BA77" i="24"/>
  <c r="BC76" i="24"/>
  <c r="BB76" i="24"/>
  <c r="BA76" i="24"/>
  <c r="BC75" i="24"/>
  <c r="BB75" i="24"/>
  <c r="BA75" i="24"/>
  <c r="BC72" i="24"/>
  <c r="BB72" i="24"/>
  <c r="BA72" i="24"/>
  <c r="BC71" i="24"/>
  <c r="BB71" i="24"/>
  <c r="BA71" i="24"/>
  <c r="BC70" i="24"/>
  <c r="BB70" i="24"/>
  <c r="BA70" i="24"/>
  <c r="BL47" i="24"/>
  <c r="BK47" i="24"/>
  <c r="BJ47" i="24"/>
  <c r="BI47" i="24"/>
  <c r="BH47" i="24"/>
  <c r="BG47" i="24"/>
  <c r="BF47" i="24"/>
  <c r="BE47" i="24"/>
  <c r="BD47" i="24"/>
  <c r="BC47" i="24"/>
  <c r="BB47" i="24"/>
  <c r="BA47" i="24"/>
  <c r="BL46" i="24"/>
  <c r="BK46" i="24"/>
  <c r="BJ46" i="24"/>
  <c r="BI46" i="24"/>
  <c r="BH46" i="24"/>
  <c r="BG46" i="24"/>
  <c r="BF46" i="24"/>
  <c r="BE46" i="24"/>
  <c r="BD46" i="24"/>
  <c r="BC46" i="24"/>
  <c r="BB46" i="24"/>
  <c r="BA46" i="24"/>
  <c r="BL45" i="24"/>
  <c r="BK45" i="24"/>
  <c r="BJ45" i="24"/>
  <c r="BI45" i="24"/>
  <c r="BH45" i="24"/>
  <c r="BG45" i="24"/>
  <c r="BF45" i="24"/>
  <c r="BE45" i="24"/>
  <c r="BD45" i="24"/>
  <c r="BC45" i="24"/>
  <c r="BB45" i="24"/>
  <c r="BA45" i="24"/>
  <c r="BL44" i="24"/>
  <c r="BK44" i="24"/>
  <c r="BJ44" i="24"/>
  <c r="BI44" i="24"/>
  <c r="BH44" i="24"/>
  <c r="BG44" i="24"/>
  <c r="BF44" i="24"/>
  <c r="BE44" i="24"/>
  <c r="BD44" i="24"/>
  <c r="BC44" i="24"/>
  <c r="BB44" i="24"/>
  <c r="BA44" i="24"/>
  <c r="BL43" i="24"/>
  <c r="BK43" i="24"/>
  <c r="BJ43" i="24"/>
  <c r="BI43" i="24"/>
  <c r="BH43" i="24"/>
  <c r="BG43" i="24"/>
  <c r="BF43" i="24"/>
  <c r="BE43" i="24"/>
  <c r="BD43" i="24"/>
  <c r="BC43" i="24"/>
  <c r="BB43" i="24"/>
  <c r="BA43" i="24"/>
  <c r="BL42" i="24"/>
  <c r="BK42" i="24"/>
  <c r="BJ42" i="24"/>
  <c r="BI42" i="24"/>
  <c r="BH42" i="24"/>
  <c r="BG42" i="24"/>
  <c r="BF42" i="24"/>
  <c r="BE42" i="24"/>
  <c r="BD42" i="24"/>
  <c r="BC42" i="24"/>
  <c r="BB42" i="24"/>
  <c r="BA42" i="24"/>
  <c r="BL41" i="24"/>
  <c r="BK41" i="24"/>
  <c r="BJ41" i="24"/>
  <c r="BI41" i="24"/>
  <c r="BH41" i="24"/>
  <c r="BG41" i="24"/>
  <c r="BF41" i="24"/>
  <c r="BE41" i="24"/>
  <c r="BD41" i="24"/>
  <c r="BC41" i="24"/>
  <c r="BB41" i="24"/>
  <c r="BA41" i="24"/>
  <c r="BL40" i="24"/>
  <c r="BK40" i="24"/>
  <c r="BJ40" i="24"/>
  <c r="BI40" i="24"/>
  <c r="BH40" i="24"/>
  <c r="BG40" i="24"/>
  <c r="BF40" i="24"/>
  <c r="BE40" i="24"/>
  <c r="BD40" i="24"/>
  <c r="BC40" i="24"/>
  <c r="BB40" i="24"/>
  <c r="BA40" i="24"/>
  <c r="BG39" i="24"/>
  <c r="BF39" i="24"/>
  <c r="BE39" i="24"/>
  <c r="BD39" i="24"/>
  <c r="BA39" i="24"/>
  <c r="BL37" i="24"/>
  <c r="BK37" i="24"/>
  <c r="BJ37" i="24"/>
  <c r="BI37" i="24"/>
  <c r="BH37" i="24"/>
  <c r="BG37" i="24"/>
  <c r="BF37" i="24"/>
  <c r="BE37" i="24"/>
  <c r="BD37" i="24"/>
  <c r="BC37" i="24"/>
  <c r="BB37" i="24"/>
  <c r="BL36" i="24"/>
  <c r="BK36" i="24"/>
  <c r="BJ36" i="24"/>
  <c r="BI36" i="24"/>
  <c r="BH36" i="24"/>
  <c r="BG36" i="24"/>
  <c r="BF36" i="24"/>
  <c r="BE36" i="24"/>
  <c r="BD36" i="24"/>
  <c r="BC36" i="24"/>
  <c r="BB36" i="24"/>
  <c r="BA36" i="24"/>
  <c r="BL35" i="24"/>
  <c r="BK35" i="24"/>
  <c r="BJ35" i="24"/>
  <c r="BI35" i="24"/>
  <c r="BH35" i="24"/>
  <c r="BG35" i="24"/>
  <c r="BF35" i="24"/>
  <c r="BE35" i="24"/>
  <c r="BD35" i="24"/>
  <c r="BC35" i="24"/>
  <c r="BB35" i="24"/>
  <c r="BA35" i="24"/>
  <c r="BL34" i="24"/>
  <c r="BK34" i="24"/>
  <c r="BJ34" i="24"/>
  <c r="BI34" i="24"/>
  <c r="BH34" i="24"/>
  <c r="BG34" i="24"/>
  <c r="BF34" i="24"/>
  <c r="BE34" i="24"/>
  <c r="BD34" i="24"/>
  <c r="BC34" i="24"/>
  <c r="BB34" i="24"/>
  <c r="BA34" i="24"/>
  <c r="BL33" i="24"/>
  <c r="BK33" i="24"/>
  <c r="BJ33" i="24"/>
  <c r="BI33" i="24"/>
  <c r="BH33" i="24"/>
  <c r="BG33" i="24"/>
  <c r="BF33" i="24"/>
  <c r="BE33" i="24"/>
  <c r="BD33" i="24"/>
  <c r="BC33" i="24"/>
  <c r="BB33" i="24"/>
  <c r="BA33" i="24"/>
  <c r="BL32" i="24"/>
  <c r="BK32" i="24"/>
  <c r="BJ32" i="24"/>
  <c r="BI32" i="24"/>
  <c r="BH32" i="24"/>
  <c r="BG32" i="24"/>
  <c r="BF32" i="24"/>
  <c r="BE32" i="24"/>
  <c r="BD32" i="24"/>
  <c r="BC32" i="24"/>
  <c r="BB32" i="24"/>
  <c r="BA32" i="24"/>
  <c r="BL31" i="24"/>
  <c r="BK31" i="24"/>
  <c r="BJ31" i="24"/>
  <c r="BI31" i="24"/>
  <c r="BH31" i="24"/>
  <c r="BG31" i="24"/>
  <c r="BF31" i="24"/>
  <c r="BE31" i="24"/>
  <c r="BD31" i="24"/>
  <c r="BC31" i="24"/>
  <c r="BB31" i="24"/>
  <c r="BA31" i="24"/>
  <c r="BG30" i="24"/>
  <c r="BF30" i="24"/>
  <c r="BE30" i="24"/>
  <c r="BD30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BL27" i="24"/>
  <c r="BK27" i="24"/>
  <c r="BJ27" i="24"/>
  <c r="BI27" i="24"/>
  <c r="BH27" i="24"/>
  <c r="BG27" i="24"/>
  <c r="BF27" i="24"/>
  <c r="BE27" i="24"/>
  <c r="BD27" i="24"/>
  <c r="BC27" i="24"/>
  <c r="BB27" i="24"/>
  <c r="BA27" i="24"/>
  <c r="BL26" i="24"/>
  <c r="BK26" i="24"/>
  <c r="BJ26" i="24"/>
  <c r="BI26" i="24"/>
  <c r="BH26" i="24"/>
  <c r="BG26" i="24"/>
  <c r="BF26" i="24"/>
  <c r="BE26" i="24"/>
  <c r="BD26" i="24"/>
  <c r="BC26" i="24"/>
  <c r="BB26" i="24"/>
  <c r="BA26" i="24"/>
  <c r="BL25" i="24"/>
  <c r="BK25" i="24"/>
  <c r="BJ25" i="24"/>
  <c r="BI25" i="24"/>
  <c r="BH25" i="24"/>
  <c r="BG25" i="24"/>
  <c r="BF25" i="24"/>
  <c r="BE25" i="24"/>
  <c r="BD25" i="24"/>
  <c r="BC25" i="24"/>
  <c r="BB25" i="24"/>
  <c r="BA25" i="24"/>
  <c r="BL24" i="24"/>
  <c r="BK24" i="24"/>
  <c r="BJ24" i="24"/>
  <c r="BI24" i="24"/>
  <c r="BH24" i="24"/>
  <c r="BG24" i="24"/>
  <c r="BF24" i="24"/>
  <c r="BE24" i="24"/>
  <c r="BD24" i="24"/>
  <c r="BC24" i="24"/>
  <c r="BB24" i="24"/>
  <c r="BA24" i="24"/>
  <c r="BG23" i="24"/>
  <c r="BF23" i="24"/>
  <c r="BE23" i="24"/>
  <c r="BD23" i="24"/>
  <c r="BL21" i="24"/>
  <c r="BK21" i="24"/>
  <c r="BJ21" i="24"/>
  <c r="BI21" i="24"/>
  <c r="BH21" i="24"/>
  <c r="BG21" i="24"/>
  <c r="BF21" i="24"/>
  <c r="BE21" i="24"/>
  <c r="BD21" i="24"/>
  <c r="BC21" i="24"/>
  <c r="BB21" i="24"/>
  <c r="BA21" i="24"/>
  <c r="BL20" i="24"/>
  <c r="BK20" i="24"/>
  <c r="BJ20" i="24"/>
  <c r="BI20" i="24"/>
  <c r="BH20" i="24"/>
  <c r="BG20" i="24"/>
  <c r="BF20" i="24"/>
  <c r="BE20" i="24"/>
  <c r="BD20" i="24"/>
  <c r="BC20" i="24"/>
  <c r="BB20" i="24"/>
  <c r="BA20" i="24"/>
  <c r="BL19" i="24"/>
  <c r="BK19" i="24"/>
  <c r="BJ19" i="24"/>
  <c r="BI19" i="24"/>
  <c r="BH19" i="24"/>
  <c r="BG19" i="24"/>
  <c r="BF19" i="24"/>
  <c r="BE19" i="24"/>
  <c r="BD19" i="24"/>
  <c r="BC19" i="24"/>
  <c r="BB19" i="24"/>
  <c r="BA19" i="24"/>
  <c r="BL18" i="24"/>
  <c r="BK18" i="24"/>
  <c r="BJ18" i="24"/>
  <c r="BI18" i="24"/>
  <c r="BH18" i="24"/>
  <c r="BG18" i="24"/>
  <c r="BF18" i="24"/>
  <c r="BE18" i="24"/>
  <c r="BD18" i="24"/>
  <c r="BC18" i="24"/>
  <c r="BB18" i="24"/>
  <c r="BA18" i="24"/>
  <c r="BG17" i="24"/>
  <c r="BF17" i="24"/>
  <c r="BE17" i="24"/>
  <c r="BD17" i="24"/>
  <c r="BL15" i="24"/>
  <c r="BK15" i="24"/>
  <c r="BJ15" i="24"/>
  <c r="BI15" i="24"/>
  <c r="BH15" i="24"/>
  <c r="BG15" i="24"/>
  <c r="BF15" i="24"/>
  <c r="BE15" i="24"/>
  <c r="BD15" i="24"/>
  <c r="BC15" i="24"/>
  <c r="BB15" i="24"/>
  <c r="BA15" i="24"/>
  <c r="BL14" i="24"/>
  <c r="BK14" i="24"/>
  <c r="BJ14" i="24"/>
  <c r="BI14" i="24"/>
  <c r="BH14" i="24"/>
  <c r="BG14" i="24"/>
  <c r="BF14" i="24"/>
  <c r="BE14" i="24"/>
  <c r="BD14" i="24"/>
  <c r="BC14" i="24"/>
  <c r="BB14" i="24"/>
  <c r="BA14" i="24"/>
  <c r="BL13" i="24"/>
  <c r="BK13" i="24"/>
  <c r="BJ13" i="24"/>
  <c r="BI13" i="24"/>
  <c r="BH13" i="24"/>
  <c r="BG13" i="24"/>
  <c r="BF13" i="24"/>
  <c r="BE13" i="24"/>
  <c r="BD13" i="24"/>
  <c r="BC13" i="24"/>
  <c r="BB13" i="24"/>
  <c r="BA13" i="24"/>
  <c r="BL12" i="24"/>
  <c r="BK12" i="24"/>
  <c r="BJ12" i="24"/>
  <c r="BI12" i="24"/>
  <c r="BH12" i="24"/>
  <c r="BG12" i="24"/>
  <c r="BF12" i="24"/>
  <c r="BE12" i="24"/>
  <c r="BD12" i="24"/>
  <c r="BC12" i="24"/>
  <c r="BB12" i="24"/>
  <c r="BA12" i="24"/>
  <c r="BG11" i="24"/>
  <c r="BF11" i="24"/>
  <c r="BE11" i="24"/>
  <c r="BD11" i="24"/>
  <c r="BA11" i="24"/>
  <c r="AW93" i="24"/>
  <c r="AW92" i="24" s="1"/>
  <c r="AV93" i="24"/>
  <c r="AV92" i="24" s="1"/>
  <c r="AU93" i="24"/>
  <c r="AU92" i="24" s="1"/>
  <c r="AT93" i="24"/>
  <c r="AT92" i="24" s="1"/>
  <c r="AR93" i="24"/>
  <c r="AR92" i="24" s="1"/>
  <c r="AQ93" i="24"/>
  <c r="AQ92" i="24" s="1"/>
  <c r="AO93" i="24"/>
  <c r="AO92" i="24" s="1"/>
  <c r="AL93" i="24"/>
  <c r="AL92" i="24" s="1"/>
  <c r="AN67" i="24"/>
  <c r="AM67" i="24"/>
  <c r="AL67" i="24"/>
  <c r="AN66" i="24"/>
  <c r="AM66" i="24"/>
  <c r="AL66" i="24"/>
  <c r="AN65" i="24"/>
  <c r="AM65" i="24"/>
  <c r="AL65" i="24"/>
  <c r="AN64" i="24"/>
  <c r="AM64" i="24"/>
  <c r="AL64" i="24"/>
  <c r="AW47" i="24"/>
  <c r="AV47" i="24"/>
  <c r="AU47" i="24"/>
  <c r="AT47" i="24"/>
  <c r="AS47" i="24"/>
  <c r="AR47" i="24"/>
  <c r="AQ47" i="24"/>
  <c r="AP47" i="24"/>
  <c r="AO47" i="24"/>
  <c r="AN47" i="24"/>
  <c r="AM47" i="24"/>
  <c r="AL47" i="24"/>
  <c r="AW46" i="24"/>
  <c r="AV46" i="24"/>
  <c r="AU46" i="24"/>
  <c r="AT46" i="24"/>
  <c r="AS46" i="24"/>
  <c r="AR46" i="24"/>
  <c r="AQ46" i="24"/>
  <c r="AP46" i="24"/>
  <c r="AO46" i="24"/>
  <c r="AN46" i="24"/>
  <c r="AM46" i="24"/>
  <c r="AL46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R39" i="24"/>
  <c r="AQ39" i="24"/>
  <c r="AP39" i="24"/>
  <c r="AO39" i="24"/>
  <c r="AL39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W36" i="24"/>
  <c r="AV36" i="24"/>
  <c r="AU36" i="24"/>
  <c r="AT36" i="24"/>
  <c r="AS36" i="24"/>
  <c r="AR36" i="24"/>
  <c r="AQ36" i="24"/>
  <c r="AP36" i="24"/>
  <c r="AO36" i="24"/>
  <c r="AN36" i="24"/>
  <c r="AM36" i="24"/>
  <c r="AL36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R30" i="24"/>
  <c r="AQ30" i="24"/>
  <c r="AP30" i="24"/>
  <c r="AO30" i="24"/>
  <c r="AL30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W26" i="24"/>
  <c r="AV26" i="24"/>
  <c r="AU26" i="24"/>
  <c r="AT26" i="24"/>
  <c r="AS26" i="24"/>
  <c r="AR26" i="24"/>
  <c r="AQ26" i="24"/>
  <c r="AP26" i="24"/>
  <c r="AO26" i="24"/>
  <c r="AN26" i="24"/>
  <c r="AM26" i="24"/>
  <c r="AL26" i="24"/>
  <c r="AW25" i="24"/>
  <c r="AV25" i="24"/>
  <c r="AU25" i="24"/>
  <c r="AT25" i="24"/>
  <c r="AS25" i="24"/>
  <c r="AR25" i="24"/>
  <c r="AQ25" i="24"/>
  <c r="AP25" i="24"/>
  <c r="AO25" i="24"/>
  <c r="AN25" i="24"/>
  <c r="AM25" i="24"/>
  <c r="AL25" i="24"/>
  <c r="AW24" i="24"/>
  <c r="AV24" i="24"/>
  <c r="AU24" i="24"/>
  <c r="AT24" i="24"/>
  <c r="AS24" i="24"/>
  <c r="AR24" i="24"/>
  <c r="AQ24" i="24"/>
  <c r="AP24" i="24"/>
  <c r="AO24" i="24"/>
  <c r="AN24" i="24"/>
  <c r="AM24" i="24"/>
  <c r="AL24" i="24"/>
  <c r="AR23" i="24"/>
  <c r="AQ23" i="24"/>
  <c r="AP23" i="24"/>
  <c r="AO23" i="24"/>
  <c r="AL23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R17" i="24"/>
  <c r="AQ17" i="24"/>
  <c r="AP17" i="24"/>
  <c r="AO17" i="24"/>
  <c r="AL17" i="24"/>
  <c r="AW15" i="24"/>
  <c r="AV15" i="24"/>
  <c r="AU15" i="24"/>
  <c r="AT15" i="24"/>
  <c r="AS15" i="24"/>
  <c r="AR15" i="24"/>
  <c r="AQ15" i="24"/>
  <c r="AP15" i="24"/>
  <c r="AO15" i="24"/>
  <c r="AN15" i="24"/>
  <c r="AM15" i="24"/>
  <c r="AL15" i="24"/>
  <c r="AW14" i="24"/>
  <c r="AV14" i="24"/>
  <c r="AU14" i="24"/>
  <c r="AT14" i="24"/>
  <c r="AS14" i="24"/>
  <c r="AR14" i="24"/>
  <c r="AQ14" i="24"/>
  <c r="AP14" i="24"/>
  <c r="AO14" i="24"/>
  <c r="AN14" i="24"/>
  <c r="AM14" i="24"/>
  <c r="AL14" i="24"/>
  <c r="AW13" i="24"/>
  <c r="AV13" i="24"/>
  <c r="AU13" i="24"/>
  <c r="AT13" i="24"/>
  <c r="AS13" i="24"/>
  <c r="AR13" i="24"/>
  <c r="AQ13" i="24"/>
  <c r="AP13" i="24"/>
  <c r="AO13" i="24"/>
  <c r="AN13" i="24"/>
  <c r="AM13" i="24"/>
  <c r="AL13" i="24"/>
  <c r="AW12" i="24"/>
  <c r="AV12" i="24"/>
  <c r="AU12" i="24"/>
  <c r="AT12" i="24"/>
  <c r="AS12" i="24"/>
  <c r="AR12" i="24"/>
  <c r="AQ12" i="24"/>
  <c r="AP12" i="24"/>
  <c r="AO12" i="24"/>
  <c r="AN12" i="24"/>
  <c r="AM12" i="24"/>
  <c r="AL12" i="24"/>
  <c r="AR11" i="24"/>
  <c r="AQ11" i="24"/>
  <c r="AP11" i="24"/>
  <c r="AO11" i="24"/>
  <c r="AL11" i="24"/>
  <c r="AH93" i="24"/>
  <c r="AH92" i="24" s="1"/>
  <c r="AG93" i="24"/>
  <c r="AG92" i="24" s="1"/>
  <c r="AF93" i="24"/>
  <c r="AF92" i="24" s="1"/>
  <c r="AE93" i="24"/>
  <c r="AE92" i="24" s="1"/>
  <c r="AC93" i="24"/>
  <c r="AC92" i="24" s="1"/>
  <c r="AB93" i="24"/>
  <c r="AB92" i="24" s="1"/>
  <c r="Z93" i="24"/>
  <c r="Z92" i="24" s="1"/>
  <c r="AD82" i="24"/>
  <c r="Y82" i="24"/>
  <c r="X82" i="24"/>
  <c r="W82" i="24"/>
  <c r="AD81" i="24"/>
  <c r="Y81" i="24"/>
  <c r="X81" i="24"/>
  <c r="W81" i="24"/>
  <c r="AD80" i="24"/>
  <c r="Y80" i="24"/>
  <c r="X80" i="24"/>
  <c r="W80" i="24"/>
  <c r="AD77" i="24"/>
  <c r="Y77" i="24"/>
  <c r="X77" i="24"/>
  <c r="W77" i="24"/>
  <c r="AD76" i="24"/>
  <c r="Y76" i="24"/>
  <c r="X76" i="24"/>
  <c r="W76" i="24"/>
  <c r="AD75" i="24"/>
  <c r="Y75" i="24"/>
  <c r="X75" i="24"/>
  <c r="W75" i="24"/>
  <c r="Y72" i="24"/>
  <c r="X72" i="24"/>
  <c r="W72" i="24"/>
  <c r="Y71" i="24"/>
  <c r="X71" i="24"/>
  <c r="W71" i="24"/>
  <c r="Y70" i="24"/>
  <c r="X70" i="24"/>
  <c r="W70" i="24"/>
  <c r="AH47" i="24"/>
  <c r="AG47" i="24"/>
  <c r="AF47" i="24"/>
  <c r="AE47" i="24"/>
  <c r="AD47" i="24"/>
  <c r="AC47" i="24"/>
  <c r="AB47" i="24"/>
  <c r="AA47" i="24"/>
  <c r="Z47" i="24"/>
  <c r="Y47" i="24"/>
  <c r="X47" i="24"/>
  <c r="W47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W39" i="24"/>
  <c r="AH37" i="24"/>
  <c r="AG37" i="24"/>
  <c r="AF37" i="24"/>
  <c r="AE37" i="24"/>
  <c r="AD37" i="24"/>
  <c r="AC37" i="24"/>
  <c r="AB37" i="24"/>
  <c r="AA37" i="24"/>
  <c r="Z37" i="24"/>
  <c r="Y37" i="24"/>
  <c r="X37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W30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AH26" i="24"/>
  <c r="AG26" i="24"/>
  <c r="AF26" i="24"/>
  <c r="AE26" i="24"/>
  <c r="AD26" i="24"/>
  <c r="AC26" i="24"/>
  <c r="AB26" i="24"/>
  <c r="AA26" i="24"/>
  <c r="Z26" i="24"/>
  <c r="Y26" i="24"/>
  <c r="X26" i="24"/>
  <c r="W26" i="24"/>
  <c r="AH25" i="24"/>
  <c r="AG25" i="24"/>
  <c r="AF25" i="24"/>
  <c r="AE25" i="24"/>
  <c r="AD25" i="24"/>
  <c r="AC25" i="24"/>
  <c r="AB25" i="24"/>
  <c r="AA25" i="24"/>
  <c r="Z25" i="24"/>
  <c r="Y25" i="24"/>
  <c r="X25" i="24"/>
  <c r="W25" i="24"/>
  <c r="AH24" i="24"/>
  <c r="AG24" i="24"/>
  <c r="AF24" i="24"/>
  <c r="AE24" i="24"/>
  <c r="AD24" i="24"/>
  <c r="AC24" i="24"/>
  <c r="AB24" i="24"/>
  <c r="AA24" i="24"/>
  <c r="Z24" i="24"/>
  <c r="Y24" i="24"/>
  <c r="X24" i="24"/>
  <c r="W24" i="24"/>
  <c r="W23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W17" i="24"/>
  <c r="AH15" i="24"/>
  <c r="AG15" i="24"/>
  <c r="AF15" i="24"/>
  <c r="AE15" i="24"/>
  <c r="AD15" i="24"/>
  <c r="AC15" i="24"/>
  <c r="AB15" i="24"/>
  <c r="AA15" i="24"/>
  <c r="Z15" i="24"/>
  <c r="Y15" i="24"/>
  <c r="X15" i="24"/>
  <c r="W15" i="24"/>
  <c r="AH14" i="24"/>
  <c r="AG14" i="24"/>
  <c r="AF14" i="24"/>
  <c r="AE14" i="24"/>
  <c r="AD14" i="24"/>
  <c r="AC14" i="24"/>
  <c r="AB14" i="24"/>
  <c r="AA14" i="24"/>
  <c r="Z14" i="24"/>
  <c r="Y14" i="24"/>
  <c r="X14" i="24"/>
  <c r="W14" i="24"/>
  <c r="AH13" i="24"/>
  <c r="AG13" i="24"/>
  <c r="AF13" i="24"/>
  <c r="AE13" i="24"/>
  <c r="AD13" i="24"/>
  <c r="AC13" i="24"/>
  <c r="AB13" i="24"/>
  <c r="AA13" i="24"/>
  <c r="Z13" i="24"/>
  <c r="Y13" i="24"/>
  <c r="X13" i="24"/>
  <c r="W13" i="24"/>
  <c r="AH12" i="24"/>
  <c r="AG12" i="24"/>
  <c r="AF12" i="24"/>
  <c r="AE12" i="24"/>
  <c r="AD12" i="24"/>
  <c r="AC12" i="24"/>
  <c r="AB12" i="24"/>
  <c r="AA12" i="24"/>
  <c r="Z12" i="24"/>
  <c r="Y12" i="24"/>
  <c r="X12" i="24"/>
  <c r="W12" i="24"/>
  <c r="W11" i="24"/>
  <c r="Q80" i="12"/>
  <c r="Q132" i="12"/>
  <c r="Q131" i="12"/>
  <c r="Q128" i="12"/>
  <c r="Q127" i="12"/>
  <c r="Q125" i="12"/>
  <c r="Q123" i="12"/>
  <c r="Q122" i="12"/>
  <c r="Q106" i="12"/>
  <c r="Q100" i="12"/>
  <c r="Q99" i="12"/>
  <c r="Q90" i="12"/>
  <c r="H175" i="17"/>
  <c r="Q112" i="12"/>
  <c r="H51" i="12"/>
  <c r="Q98" i="12"/>
  <c r="L99" i="12"/>
  <c r="H99" i="12"/>
  <c r="Q70" i="12"/>
  <c r="Q69" i="12"/>
  <c r="Q79" i="12"/>
  <c r="L79" i="12"/>
  <c r="H79" i="12"/>
  <c r="Q78" i="12"/>
  <c r="L78" i="12"/>
  <c r="H78" i="12"/>
  <c r="Q89" i="12"/>
  <c r="Q88" i="12"/>
  <c r="L89" i="12"/>
  <c r="H89" i="12"/>
  <c r="Q231" i="11"/>
  <c r="Q100" i="11"/>
  <c r="Q99" i="11"/>
  <c r="Q20" i="11"/>
  <c r="Q19" i="11"/>
  <c r="Q18" i="11"/>
  <c r="DJ51" i="20"/>
  <c r="DL51" i="20" s="1"/>
  <c r="H126" i="17"/>
  <c r="H174" i="17"/>
  <c r="H173" i="17"/>
  <c r="H172" i="17"/>
  <c r="H200" i="17"/>
  <c r="H199" i="17"/>
  <c r="H236" i="17"/>
  <c r="H235" i="17"/>
  <c r="H165" i="11"/>
  <c r="H162" i="11"/>
  <c r="H190" i="11"/>
  <c r="H118" i="12"/>
  <c r="H117" i="12"/>
  <c r="Q39" i="12"/>
  <c r="Q38" i="12"/>
  <c r="Q37" i="12"/>
  <c r="Q34" i="12"/>
  <c r="Q18" i="12"/>
  <c r="Q17" i="12"/>
  <c r="Q101" i="11"/>
  <c r="Q154" i="11"/>
  <c r="Q153" i="11"/>
  <c r="E4" i="22"/>
  <c r="E10" i="22"/>
  <c r="F4" i="22"/>
  <c r="F10" i="22"/>
  <c r="G4" i="22"/>
  <c r="G10" i="22" s="1"/>
  <c r="H4" i="22"/>
  <c r="H10" i="22"/>
  <c r="L18" i="12"/>
  <c r="L17" i="12"/>
  <c r="L139" i="12"/>
  <c r="L138" i="12"/>
  <c r="L137" i="12"/>
  <c r="L136" i="12"/>
  <c r="L135" i="12"/>
  <c r="L134" i="12"/>
  <c r="L132" i="12"/>
  <c r="L131" i="12"/>
  <c r="L129" i="12"/>
  <c r="L128" i="12"/>
  <c r="L127" i="12"/>
  <c r="L125" i="12"/>
  <c r="L123" i="12"/>
  <c r="L122" i="12"/>
  <c r="L112" i="12"/>
  <c r="L106" i="12"/>
  <c r="L100" i="12"/>
  <c r="L98" i="12"/>
  <c r="L90" i="12"/>
  <c r="L88" i="12"/>
  <c r="L80" i="12"/>
  <c r="L70" i="12"/>
  <c r="L69" i="12"/>
  <c r="L39" i="12"/>
  <c r="L38" i="12"/>
  <c r="L37" i="12"/>
  <c r="L34" i="12"/>
  <c r="L276" i="11"/>
  <c r="L272" i="11"/>
  <c r="L271" i="11"/>
  <c r="L233" i="11"/>
  <c r="L231" i="11"/>
  <c r="L154" i="11"/>
  <c r="L153" i="11"/>
  <c r="L105" i="11"/>
  <c r="L104" i="11"/>
  <c r="L103" i="11"/>
  <c r="L102" i="11"/>
  <c r="L101" i="11"/>
  <c r="L100" i="11"/>
  <c r="L99" i="11"/>
  <c r="L87" i="11"/>
  <c r="L86" i="11"/>
  <c r="L79" i="11"/>
  <c r="L78" i="11"/>
  <c r="L69" i="11"/>
  <c r="L68" i="11"/>
  <c r="L20" i="11"/>
  <c r="L19" i="11"/>
  <c r="L18" i="11"/>
  <c r="H16" i="12"/>
  <c r="H15" i="12"/>
  <c r="DU94" i="20"/>
  <c r="DU93" i="20" s="1"/>
  <c r="DU91" i="20" s="1"/>
  <c r="DM91" i="20" s="1"/>
  <c r="DY93" i="20"/>
  <c r="DX93" i="20"/>
  <c r="DX91" i="20" s="1"/>
  <c r="DW93" i="20"/>
  <c r="DW91" i="20" s="1"/>
  <c r="DV93" i="20"/>
  <c r="DV91" i="20" s="1"/>
  <c r="DV82" i="20"/>
  <c r="DW82" i="20" s="1"/>
  <c r="BY82" i="24" s="1"/>
  <c r="DU82" i="20"/>
  <c r="DV81" i="20"/>
  <c r="DW81" i="20" s="1"/>
  <c r="BY81" i="24" s="1"/>
  <c r="DU81" i="20"/>
  <c r="DV80" i="20"/>
  <c r="DU80" i="20"/>
  <c r="DV79" i="20"/>
  <c r="DW79" i="20" s="1"/>
  <c r="DV78" i="20"/>
  <c r="DW78" i="20" s="1"/>
  <c r="DV77" i="20"/>
  <c r="DW77" i="20" s="1"/>
  <c r="BY77" i="24" s="1"/>
  <c r="DU77" i="20"/>
  <c r="DV76" i="20"/>
  <c r="DW76" i="20" s="1"/>
  <c r="BY76" i="24" s="1"/>
  <c r="DU76" i="20"/>
  <c r="DV75" i="20"/>
  <c r="DU75" i="20"/>
  <c r="DV74" i="20"/>
  <c r="DW74" i="20" s="1"/>
  <c r="DX74" i="20" s="1"/>
  <c r="DV73" i="20"/>
  <c r="DW73" i="20" s="1"/>
  <c r="DV72" i="20"/>
  <c r="DW72" i="20" s="1"/>
  <c r="BY72" i="24" s="1"/>
  <c r="DU72" i="20"/>
  <c r="DV71" i="20"/>
  <c r="DW71" i="20" s="1"/>
  <c r="BY71" i="24" s="1"/>
  <c r="DU71" i="20"/>
  <c r="DV70" i="20"/>
  <c r="BX70" i="24" s="1"/>
  <c r="DU70" i="20"/>
  <c r="DV69" i="20"/>
  <c r="DW69" i="20" s="1"/>
  <c r="DX69" i="20" s="1"/>
  <c r="DV68" i="20"/>
  <c r="DW68" i="20" s="1"/>
  <c r="DU67" i="20"/>
  <c r="BW67" i="24" s="1"/>
  <c r="DU66" i="20"/>
  <c r="BW66" i="24" s="1"/>
  <c r="DU65" i="20"/>
  <c r="BW65" i="24" s="1"/>
  <c r="DU64" i="20"/>
  <c r="BW64" i="24" s="1"/>
  <c r="DU63" i="20"/>
  <c r="BW63" i="24" s="1"/>
  <c r="DY39" i="20"/>
  <c r="CA39" i="24" s="1"/>
  <c r="DX39" i="20"/>
  <c r="BZ39" i="24" s="1"/>
  <c r="DW39" i="20"/>
  <c r="BY39" i="24" s="1"/>
  <c r="DV39" i="20"/>
  <c r="BX39" i="24" s="1"/>
  <c r="DU39" i="20"/>
  <c r="BW39" i="24" s="1"/>
  <c r="DY30" i="20"/>
  <c r="DY23" i="20" s="1"/>
  <c r="CA23" i="24" s="1"/>
  <c r="DX30" i="20"/>
  <c r="DX23" i="20" s="1"/>
  <c r="BZ23" i="24" s="1"/>
  <c r="DW30" i="20"/>
  <c r="DV30" i="20"/>
  <c r="DV23" i="20" s="1"/>
  <c r="BX23" i="24" s="1"/>
  <c r="DU30" i="20"/>
  <c r="DU23" i="20" s="1"/>
  <c r="BW23" i="24" s="1"/>
  <c r="DY17" i="20"/>
  <c r="CA17" i="24" s="1"/>
  <c r="DX17" i="20"/>
  <c r="BZ17" i="24" s="1"/>
  <c r="DW17" i="20"/>
  <c r="BY17" i="24" s="1"/>
  <c r="DV17" i="20"/>
  <c r="BX17" i="24" s="1"/>
  <c r="DU17" i="20"/>
  <c r="BW17" i="24" s="1"/>
  <c r="DY11" i="20"/>
  <c r="CA11" i="24" s="1"/>
  <c r="DX11" i="20"/>
  <c r="BZ11" i="24" s="1"/>
  <c r="DW11" i="20"/>
  <c r="BY11" i="24" s="1"/>
  <c r="DV11" i="20"/>
  <c r="BX11" i="24" s="1"/>
  <c r="DU11" i="20"/>
  <c r="BW11" i="24" s="1"/>
  <c r="EQ62" i="20"/>
  <c r="EP62" i="20"/>
  <c r="EO62" i="20"/>
  <c r="EN62" i="20"/>
  <c r="EM62" i="20"/>
  <c r="BI67" i="20"/>
  <c r="BA67" i="20" s="1"/>
  <c r="AS67" i="20" s="1"/>
  <c r="BI66" i="20"/>
  <c r="BA66" i="20" s="1"/>
  <c r="AS66" i="20" s="1"/>
  <c r="BI65" i="20"/>
  <c r="BA65" i="20" s="1"/>
  <c r="AS65" i="20" s="1"/>
  <c r="BI64" i="20"/>
  <c r="BA64" i="20" s="1"/>
  <c r="AS64" i="20" s="1"/>
  <c r="CK94" i="20"/>
  <c r="CK93" i="20" s="1"/>
  <c r="CK91" i="20" s="1"/>
  <c r="CO93" i="20"/>
  <c r="CO91" i="20" s="1"/>
  <c r="CN93" i="20"/>
  <c r="CM93" i="20"/>
  <c r="CM91" i="20" s="1"/>
  <c r="CL93" i="20"/>
  <c r="CL91" i="20" s="1"/>
  <c r="CL82" i="20"/>
  <c r="BI82" i="24" s="1"/>
  <c r="CK82" i="20"/>
  <c r="CL81" i="20"/>
  <c r="CM81" i="20" s="1"/>
  <c r="BJ81" i="24" s="1"/>
  <c r="CK81" i="20"/>
  <c r="CL80" i="20"/>
  <c r="CM80" i="20" s="1"/>
  <c r="BJ80" i="24" s="1"/>
  <c r="CK80" i="20"/>
  <c r="CL77" i="20"/>
  <c r="CM77" i="20" s="1"/>
  <c r="BJ77" i="24" s="1"/>
  <c r="CK77" i="20"/>
  <c r="CL76" i="20"/>
  <c r="CM76" i="20" s="1"/>
  <c r="BJ76" i="24" s="1"/>
  <c r="CK76" i="20"/>
  <c r="CL75" i="20"/>
  <c r="CM75" i="20" s="1"/>
  <c r="CN75" i="20" s="1"/>
  <c r="BK75" i="24" s="1"/>
  <c r="CK75" i="20"/>
  <c r="CL72" i="20"/>
  <c r="CM72" i="20" s="1"/>
  <c r="BJ72" i="24" s="1"/>
  <c r="CK72" i="20"/>
  <c r="CL71" i="20"/>
  <c r="CM71" i="20" s="1"/>
  <c r="BJ71" i="24" s="1"/>
  <c r="CK71" i="20"/>
  <c r="CL70" i="20"/>
  <c r="CM70" i="20" s="1"/>
  <c r="BJ70" i="24" s="1"/>
  <c r="CK70" i="20"/>
  <c r="CO39" i="20"/>
  <c r="BL39" i="24" s="1"/>
  <c r="CN39" i="20"/>
  <c r="BK39" i="24" s="1"/>
  <c r="CM39" i="20"/>
  <c r="BJ39" i="24" s="1"/>
  <c r="CL39" i="20"/>
  <c r="BI39" i="24" s="1"/>
  <c r="CK39" i="20"/>
  <c r="BH39" i="24" s="1"/>
  <c r="CO30" i="20"/>
  <c r="CO23" i="20" s="1"/>
  <c r="BL23" i="24" s="1"/>
  <c r="CN30" i="20"/>
  <c r="CN23" i="20" s="1"/>
  <c r="BK23" i="24" s="1"/>
  <c r="CM30" i="20"/>
  <c r="CM23" i="20" s="1"/>
  <c r="BJ23" i="24" s="1"/>
  <c r="CL30" i="20"/>
  <c r="CL23" i="20" s="1"/>
  <c r="BI23" i="24" s="1"/>
  <c r="CK30" i="20"/>
  <c r="CK23" i="20" s="1"/>
  <c r="BH23" i="24" s="1"/>
  <c r="CO17" i="20"/>
  <c r="BL17" i="24" s="1"/>
  <c r="CN17" i="20"/>
  <c r="BK17" i="24" s="1"/>
  <c r="CM17" i="20"/>
  <c r="BJ17" i="24" s="1"/>
  <c r="CL17" i="20"/>
  <c r="BI17" i="24" s="1"/>
  <c r="CK17" i="20"/>
  <c r="BH17" i="24" s="1"/>
  <c r="CO11" i="20"/>
  <c r="BL11" i="24" s="1"/>
  <c r="CN11" i="20"/>
  <c r="BK11" i="24" s="1"/>
  <c r="CM11" i="20"/>
  <c r="BJ11" i="24" s="1"/>
  <c r="CL11" i="20"/>
  <c r="BI11" i="24" s="1"/>
  <c r="CK11" i="20"/>
  <c r="BH11" i="24" s="1"/>
  <c r="DG9" i="20"/>
  <c r="DF9" i="20"/>
  <c r="DE9" i="20"/>
  <c r="DD9" i="20"/>
  <c r="DC9" i="20"/>
  <c r="BW9" i="20"/>
  <c r="BV9" i="20"/>
  <c r="BU9" i="20"/>
  <c r="BT9" i="20"/>
  <c r="BS9" i="20"/>
  <c r="BA94" i="20"/>
  <c r="BE93" i="20"/>
  <c r="BE91" i="20" s="1"/>
  <c r="BD93" i="20"/>
  <c r="BD91" i="20" s="1"/>
  <c r="BC93" i="20"/>
  <c r="BC91" i="20" s="1"/>
  <c r="BB93" i="20"/>
  <c r="BB91" i="20" s="1"/>
  <c r="BE39" i="20"/>
  <c r="AW39" i="24" s="1"/>
  <c r="BD39" i="20"/>
  <c r="AV39" i="24" s="1"/>
  <c r="BC39" i="20"/>
  <c r="AU39" i="24" s="1"/>
  <c r="BB39" i="20"/>
  <c r="AT39" i="24" s="1"/>
  <c r="BA39" i="20"/>
  <c r="BE30" i="20"/>
  <c r="BE23" i="20" s="1"/>
  <c r="AW23" i="24" s="1"/>
  <c r="BD30" i="20"/>
  <c r="AV30" i="24" s="1"/>
  <c r="BC30" i="20"/>
  <c r="BC23" i="20" s="1"/>
  <c r="AU23" i="24" s="1"/>
  <c r="BB30" i="20"/>
  <c r="BA30" i="20"/>
  <c r="BE17" i="20"/>
  <c r="AW17" i="24" s="1"/>
  <c r="BD17" i="20"/>
  <c r="AV17" i="24" s="1"/>
  <c r="BC17" i="20"/>
  <c r="AU17" i="24" s="1"/>
  <c r="BB17" i="20"/>
  <c r="AT17" i="24" s="1"/>
  <c r="BA17" i="20"/>
  <c r="BE11" i="20"/>
  <c r="AW11" i="24" s="1"/>
  <c r="BD11" i="20"/>
  <c r="AV11" i="24" s="1"/>
  <c r="BC11" i="20"/>
  <c r="AU11" i="24" s="1"/>
  <c r="BB11" i="20"/>
  <c r="AT11" i="24" s="1"/>
  <c r="BA11" i="20"/>
  <c r="U72" i="20"/>
  <c r="AH72" i="24" s="1"/>
  <c r="T72" i="20"/>
  <c r="AG72" i="24" s="1"/>
  <c r="S72" i="20"/>
  <c r="AF72" i="24" s="1"/>
  <c r="R72" i="20"/>
  <c r="AE72" i="24" s="1"/>
  <c r="Q72" i="20"/>
  <c r="U71" i="20"/>
  <c r="AH71" i="24" s="1"/>
  <c r="T71" i="20"/>
  <c r="AG71" i="24" s="1"/>
  <c r="S71" i="20"/>
  <c r="AF71" i="24" s="1"/>
  <c r="R71" i="20"/>
  <c r="AE71" i="24" s="1"/>
  <c r="Q71" i="20"/>
  <c r="U70" i="20"/>
  <c r="AH70" i="24" s="1"/>
  <c r="T70" i="20"/>
  <c r="AG70" i="24" s="1"/>
  <c r="S70" i="20"/>
  <c r="AF70" i="24" s="1"/>
  <c r="R70" i="20"/>
  <c r="AE70" i="24" s="1"/>
  <c r="Q70" i="20"/>
  <c r="AM9" i="20"/>
  <c r="AL9" i="20"/>
  <c r="AK9" i="20"/>
  <c r="AJ9" i="20"/>
  <c r="AI9" i="20"/>
  <c r="Q94" i="20"/>
  <c r="U93" i="20"/>
  <c r="U91" i="20" s="1"/>
  <c r="T93" i="20"/>
  <c r="T91" i="20" s="1"/>
  <c r="S93" i="20"/>
  <c r="S91" i="20" s="1"/>
  <c r="R93" i="20"/>
  <c r="R91" i="20" s="1"/>
  <c r="U39" i="20"/>
  <c r="AH39" i="24" s="1"/>
  <c r="T39" i="20"/>
  <c r="AG39" i="24" s="1"/>
  <c r="S39" i="20"/>
  <c r="AF39" i="24" s="1"/>
  <c r="R39" i="20"/>
  <c r="AE39" i="24" s="1"/>
  <c r="Q39" i="20"/>
  <c r="AD39" i="24" s="1"/>
  <c r="U30" i="20"/>
  <c r="U23" i="20" s="1"/>
  <c r="AH23" i="24" s="1"/>
  <c r="T30" i="20"/>
  <c r="T23" i="20" s="1"/>
  <c r="AG23" i="24" s="1"/>
  <c r="S30" i="20"/>
  <c r="S23" i="20" s="1"/>
  <c r="AF23" i="24" s="1"/>
  <c r="R30" i="20"/>
  <c r="R23" i="20" s="1"/>
  <c r="AE23" i="24" s="1"/>
  <c r="Q30" i="20"/>
  <c r="Q23" i="20" s="1"/>
  <c r="AD23" i="24" s="1"/>
  <c r="U17" i="20"/>
  <c r="AH17" i="24" s="1"/>
  <c r="T17" i="20"/>
  <c r="AG17" i="24" s="1"/>
  <c r="S17" i="20"/>
  <c r="AF17" i="24" s="1"/>
  <c r="R17" i="20"/>
  <c r="AE17" i="24" s="1"/>
  <c r="Q17" i="20"/>
  <c r="AD17" i="24" s="1"/>
  <c r="U11" i="20"/>
  <c r="AH11" i="24" s="1"/>
  <c r="T11" i="20"/>
  <c r="AG11" i="24" s="1"/>
  <c r="S11" i="20"/>
  <c r="AF11" i="24" s="1"/>
  <c r="R11" i="20"/>
  <c r="AE11" i="24" s="1"/>
  <c r="Q11" i="20"/>
  <c r="AD11" i="24" s="1"/>
  <c r="H234" i="11"/>
  <c r="H107" i="11"/>
  <c r="H105" i="11"/>
  <c r="H104" i="11"/>
  <c r="H100" i="11"/>
  <c r="H103" i="11"/>
  <c r="H102" i="11"/>
  <c r="H101" i="11"/>
  <c r="H99" i="11"/>
  <c r="H76" i="11"/>
  <c r="H143" i="17"/>
  <c r="BF74" i="20"/>
  <c r="BF62" i="20" s="1"/>
  <c r="BF9" i="20"/>
  <c r="BJ9" i="20"/>
  <c r="BK9" i="20"/>
  <c r="BL9" i="20"/>
  <c r="BM9" i="20"/>
  <c r="BN9" i="20"/>
  <c r="BO9" i="20"/>
  <c r="BP9" i="20"/>
  <c r="BQ9" i="20"/>
  <c r="AV9" i="20"/>
  <c r="AW9" i="20"/>
  <c r="AX9" i="20"/>
  <c r="AY9" i="20"/>
  <c r="V9" i="20"/>
  <c r="Z9" i="20"/>
  <c r="AA9" i="20"/>
  <c r="AB9" i="20"/>
  <c r="AC9" i="20"/>
  <c r="AD9" i="20"/>
  <c r="AE9" i="20"/>
  <c r="AF9" i="20"/>
  <c r="AG9" i="20"/>
  <c r="DZ85" i="20"/>
  <c r="ED85" i="20"/>
  <c r="DZ62" i="20"/>
  <c r="ED62" i="20"/>
  <c r="EE62" i="20"/>
  <c r="EF62" i="20"/>
  <c r="EG62" i="20"/>
  <c r="EH62" i="20"/>
  <c r="EI62" i="20"/>
  <c r="EJ62" i="20"/>
  <c r="EK62" i="20"/>
  <c r="DZ51" i="20"/>
  <c r="ED51" i="20"/>
  <c r="CP51" i="20"/>
  <c r="CT51" i="20"/>
  <c r="CP85" i="20"/>
  <c r="CT85" i="20"/>
  <c r="CF9" i="20"/>
  <c r="CG9" i="20"/>
  <c r="CH9" i="20"/>
  <c r="CI9" i="20"/>
  <c r="CP9" i="20"/>
  <c r="CQ9" i="20"/>
  <c r="CR9" i="20"/>
  <c r="CS9" i="20"/>
  <c r="CT9" i="20"/>
  <c r="CU9" i="20"/>
  <c r="CV9" i="20"/>
  <c r="CW9" i="20"/>
  <c r="CX9" i="20"/>
  <c r="CY9" i="20"/>
  <c r="CZ9" i="20"/>
  <c r="DA9" i="20"/>
  <c r="CP62" i="20"/>
  <c r="CT62" i="20"/>
  <c r="BF85" i="20"/>
  <c r="BJ85" i="20"/>
  <c r="BJ62" i="20"/>
  <c r="BF51" i="20"/>
  <c r="BJ51" i="20"/>
  <c r="V85" i="20"/>
  <c r="Z85" i="20"/>
  <c r="V62" i="20"/>
  <c r="Z62" i="20"/>
  <c r="V51" i="20"/>
  <c r="Z51" i="20"/>
  <c r="L93" i="20"/>
  <c r="L91" i="20" s="1"/>
  <c r="N93" i="20"/>
  <c r="N91" i="20" s="1"/>
  <c r="O93" i="20"/>
  <c r="O91" i="20" s="1"/>
  <c r="L39" i="20"/>
  <c r="Z39" i="24" s="1"/>
  <c r="M39" i="20"/>
  <c r="AA39" i="24" s="1"/>
  <c r="N39" i="20"/>
  <c r="AB39" i="24" s="1"/>
  <c r="O39" i="20"/>
  <c r="AC39" i="24" s="1"/>
  <c r="L30" i="20"/>
  <c r="L23" i="20" s="1"/>
  <c r="Z23" i="24" s="1"/>
  <c r="M30" i="20"/>
  <c r="M23" i="20" s="1"/>
  <c r="AA23" i="24" s="1"/>
  <c r="N30" i="20"/>
  <c r="N23" i="20" s="1"/>
  <c r="AB23" i="24" s="1"/>
  <c r="O30" i="20"/>
  <c r="O23" i="20" s="1"/>
  <c r="AC23" i="24" s="1"/>
  <c r="L17" i="20"/>
  <c r="Z17" i="24" s="1"/>
  <c r="M17" i="20"/>
  <c r="AA17" i="24" s="1"/>
  <c r="N17" i="20"/>
  <c r="AB17" i="24" s="1"/>
  <c r="O17" i="20"/>
  <c r="AC17" i="24" s="1"/>
  <c r="L11" i="20"/>
  <c r="Z11" i="24" s="1"/>
  <c r="M11" i="20"/>
  <c r="AA11" i="24" s="1"/>
  <c r="N11" i="20"/>
  <c r="AB11" i="24" s="1"/>
  <c r="O11" i="20"/>
  <c r="AC11" i="24" s="1"/>
  <c r="CF82" i="20"/>
  <c r="CG82" i="20" s="1"/>
  <c r="CH82" i="20" s="1"/>
  <c r="BF82" i="24" s="1"/>
  <c r="CF81" i="20"/>
  <c r="CG81" i="20" s="1"/>
  <c r="BE81" i="24" s="1"/>
  <c r="CF80" i="20"/>
  <c r="CG80" i="20" s="1"/>
  <c r="BE80" i="24" s="1"/>
  <c r="CF79" i="20"/>
  <c r="CG79" i="20" s="1"/>
  <c r="CH79" i="20" s="1"/>
  <c r="CF78" i="20"/>
  <c r="CG78" i="20" s="1"/>
  <c r="CH78" i="20" s="1"/>
  <c r="CF77" i="20"/>
  <c r="CG77" i="20" s="1"/>
  <c r="BE77" i="24" s="1"/>
  <c r="CF76" i="20"/>
  <c r="CG76" i="20" s="1"/>
  <c r="BE76" i="24" s="1"/>
  <c r="CF75" i="20"/>
  <c r="BD75" i="24" s="1"/>
  <c r="CF74" i="20"/>
  <c r="CG74" i="20" s="1"/>
  <c r="CF73" i="20"/>
  <c r="CG73" i="20" s="1"/>
  <c r="CF72" i="20"/>
  <c r="CG72" i="20" s="1"/>
  <c r="CH72" i="20" s="1"/>
  <c r="CI72" i="20" s="1"/>
  <c r="BG72" i="24" s="1"/>
  <c r="CF71" i="20"/>
  <c r="CF70" i="20"/>
  <c r="BD70" i="24" s="1"/>
  <c r="CF69" i="20"/>
  <c r="CG69" i="20" s="1"/>
  <c r="CF68" i="20"/>
  <c r="CG68" i="20" s="1"/>
  <c r="AV78" i="20"/>
  <c r="AW78" i="20" s="1"/>
  <c r="AV73" i="20"/>
  <c r="AW73" i="20" s="1"/>
  <c r="AX73" i="20" s="1"/>
  <c r="AV68" i="20"/>
  <c r="AW68" i="20" s="1"/>
  <c r="L82" i="20"/>
  <c r="M82" i="20" s="1"/>
  <c r="AA82" i="24" s="1"/>
  <c r="L81" i="20"/>
  <c r="Z81" i="24" s="1"/>
  <c r="L80" i="20"/>
  <c r="M80" i="20" s="1"/>
  <c r="AA80" i="24" s="1"/>
  <c r="L79" i="20"/>
  <c r="M79" i="20" s="1"/>
  <c r="N79" i="20" s="1"/>
  <c r="L78" i="20"/>
  <c r="M78" i="20" s="1"/>
  <c r="N78" i="20" s="1"/>
  <c r="L77" i="20"/>
  <c r="M77" i="20" s="1"/>
  <c r="AA77" i="24" s="1"/>
  <c r="L76" i="20"/>
  <c r="M76" i="20" s="1"/>
  <c r="AA76" i="24" s="1"/>
  <c r="L75" i="20"/>
  <c r="Z75" i="24" s="1"/>
  <c r="L74" i="20"/>
  <c r="M74" i="20" s="1"/>
  <c r="N74" i="20" s="1"/>
  <c r="L73" i="20"/>
  <c r="M73" i="20" s="1"/>
  <c r="N73" i="20" s="1"/>
  <c r="L72" i="20"/>
  <c r="M72" i="20" s="1"/>
  <c r="AA72" i="24" s="1"/>
  <c r="L71" i="20"/>
  <c r="M71" i="20" s="1"/>
  <c r="AA71" i="24" s="1"/>
  <c r="L70" i="20"/>
  <c r="M70" i="20" s="1"/>
  <c r="AA70" i="24" s="1"/>
  <c r="L69" i="20"/>
  <c r="M69" i="20" s="1"/>
  <c r="L68" i="20"/>
  <c r="M68" i="20" s="1"/>
  <c r="H123" i="12"/>
  <c r="H280" i="11"/>
  <c r="AR69" i="20"/>
  <c r="H254" i="11"/>
  <c r="H234" i="17"/>
  <c r="H195" i="17"/>
  <c r="H196" i="17"/>
  <c r="H130" i="17"/>
  <c r="H129" i="17"/>
  <c r="H128" i="17"/>
  <c r="H127" i="17"/>
  <c r="H125" i="17"/>
  <c r="H124" i="17"/>
  <c r="H123" i="17"/>
  <c r="H122" i="17"/>
  <c r="H121" i="17"/>
  <c r="H120" i="17"/>
  <c r="H165" i="17"/>
  <c r="H164" i="17"/>
  <c r="H163" i="17"/>
  <c r="H162" i="17"/>
  <c r="H161" i="17"/>
  <c r="H160" i="17"/>
  <c r="H159" i="17"/>
  <c r="H149" i="17"/>
  <c r="H148" i="17"/>
  <c r="H147" i="17"/>
  <c r="H146" i="17"/>
  <c r="H50" i="12"/>
  <c r="H49" i="12"/>
  <c r="H48" i="12"/>
  <c r="H47" i="12"/>
  <c r="H46" i="12"/>
  <c r="H45" i="12"/>
  <c r="H44" i="12"/>
  <c r="H43" i="12"/>
  <c r="H42" i="12"/>
  <c r="H41" i="12"/>
  <c r="H276" i="11"/>
  <c r="H227" i="11"/>
  <c r="H226" i="11"/>
  <c r="H225" i="11"/>
  <c r="H224" i="11"/>
  <c r="H223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4" i="11"/>
  <c r="H163" i="11"/>
  <c r="H161" i="11"/>
  <c r="H160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12" i="12"/>
  <c r="H109" i="12"/>
  <c r="H111" i="12"/>
  <c r="H110" i="12"/>
  <c r="H97" i="12"/>
  <c r="H87" i="12"/>
  <c r="H77" i="12"/>
  <c r="H69" i="12"/>
  <c r="DN30" i="20"/>
  <c r="AT17" i="20"/>
  <c r="H33" i="16"/>
  <c r="H29" i="16"/>
  <c r="H28" i="16"/>
  <c r="H27" i="16"/>
  <c r="H26" i="16"/>
  <c r="H25" i="16"/>
  <c r="H24" i="16"/>
  <c r="H23" i="16"/>
  <c r="H22" i="16"/>
  <c r="H21" i="16"/>
  <c r="H19" i="16"/>
  <c r="H18" i="16"/>
  <c r="H17" i="16"/>
  <c r="H16" i="16"/>
  <c r="H15" i="16"/>
  <c r="H14" i="16"/>
  <c r="H13" i="16"/>
  <c r="H12" i="16"/>
  <c r="H11" i="16"/>
  <c r="H41" i="16"/>
  <c r="H40" i="16"/>
  <c r="H39" i="16"/>
  <c r="H38" i="16"/>
  <c r="H37" i="16"/>
  <c r="H36" i="16"/>
  <c r="H35" i="16"/>
  <c r="H34" i="16"/>
  <c r="H32" i="16"/>
  <c r="H31" i="16"/>
  <c r="H9" i="16"/>
  <c r="H6" i="16"/>
  <c r="H160" i="23"/>
  <c r="H159" i="23"/>
  <c r="H158" i="23"/>
  <c r="H157" i="23"/>
  <c r="H156" i="23"/>
  <c r="H155" i="23"/>
  <c r="H154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6" i="23"/>
  <c r="H135" i="23"/>
  <c r="H134" i="23"/>
  <c r="H133" i="23"/>
  <c r="H132" i="23"/>
  <c r="H131" i="23"/>
  <c r="H130" i="23"/>
  <c r="H129" i="23"/>
  <c r="H126" i="23"/>
  <c r="H125" i="23"/>
  <c r="H124" i="23"/>
  <c r="H123" i="23"/>
  <c r="H122" i="23"/>
  <c r="H121" i="23"/>
  <c r="H120" i="23"/>
  <c r="H117" i="23"/>
  <c r="H116" i="23"/>
  <c r="H115" i="23"/>
  <c r="H114" i="23"/>
  <c r="H113" i="23"/>
  <c r="H112" i="23"/>
  <c r="H111" i="23"/>
  <c r="H110" i="23"/>
  <c r="H107" i="23"/>
  <c r="H106" i="23"/>
  <c r="H105" i="23"/>
  <c r="H104" i="23"/>
  <c r="H103" i="23"/>
  <c r="H102" i="23"/>
  <c r="H101" i="23"/>
  <c r="H100" i="23"/>
  <c r="H97" i="23"/>
  <c r="H96" i="23"/>
  <c r="H95" i="23"/>
  <c r="H94" i="23"/>
  <c r="H93" i="23"/>
  <c r="H92" i="23"/>
  <c r="H91" i="23"/>
  <c r="H90" i="23"/>
  <c r="H89" i="23"/>
  <c r="H88" i="23"/>
  <c r="H84" i="23"/>
  <c r="H83" i="23"/>
  <c r="H82" i="23"/>
  <c r="H81" i="23"/>
  <c r="H80" i="23"/>
  <c r="H79" i="23"/>
  <c r="H78" i="23"/>
  <c r="H77" i="23"/>
  <c r="H76" i="23"/>
  <c r="H74" i="23"/>
  <c r="H73" i="23"/>
  <c r="H72" i="23"/>
  <c r="H71" i="23"/>
  <c r="H70" i="23"/>
  <c r="H69" i="23"/>
  <c r="H68" i="23"/>
  <c r="H67" i="23"/>
  <c r="H66" i="23"/>
  <c r="H63" i="23"/>
  <c r="H61" i="23"/>
  <c r="H58" i="23"/>
  <c r="H55" i="23"/>
  <c r="H54" i="23"/>
  <c r="H53" i="23"/>
  <c r="H52" i="23"/>
  <c r="H51" i="23"/>
  <c r="H50" i="23"/>
  <c r="H49" i="23"/>
  <c r="H48" i="23"/>
  <c r="H47" i="23"/>
  <c r="H46" i="23"/>
  <c r="H45" i="23"/>
  <c r="H42" i="23"/>
  <c r="H39" i="23"/>
  <c r="H38" i="23"/>
  <c r="H37" i="23"/>
  <c r="H36" i="23"/>
  <c r="H35" i="23"/>
  <c r="H34" i="23"/>
  <c r="H33" i="23"/>
  <c r="H32" i="23"/>
  <c r="H31" i="23"/>
  <c r="H30" i="23"/>
  <c r="H29" i="23"/>
  <c r="H26" i="23"/>
  <c r="H23" i="23"/>
  <c r="H22" i="23"/>
  <c r="H21" i="23"/>
  <c r="H20" i="23"/>
  <c r="H19" i="23"/>
  <c r="H18" i="23"/>
  <c r="H17" i="23"/>
  <c r="H16" i="23"/>
  <c r="H15" i="23"/>
  <c r="H14" i="23"/>
  <c r="H13" i="23"/>
  <c r="H10" i="23"/>
  <c r="H7" i="23"/>
  <c r="H259" i="17"/>
  <c r="H258" i="17"/>
  <c r="H257" i="17"/>
  <c r="H256" i="17"/>
  <c r="H253" i="17"/>
  <c r="H251" i="17"/>
  <c r="H250" i="17"/>
  <c r="H247" i="17"/>
  <c r="H245" i="17"/>
  <c r="H243" i="17"/>
  <c r="H241" i="17"/>
  <c r="H239" i="17"/>
  <c r="H233" i="17"/>
  <c r="H232" i="17"/>
  <c r="H231" i="17"/>
  <c r="H230" i="17"/>
  <c r="H229" i="17"/>
  <c r="H228" i="17"/>
  <c r="H227" i="17"/>
  <c r="H224" i="17"/>
  <c r="H222" i="17"/>
  <c r="H221" i="17"/>
  <c r="H220" i="17"/>
  <c r="H218" i="17"/>
  <c r="H217" i="17"/>
  <c r="H215" i="17"/>
  <c r="H214" i="17"/>
  <c r="H213" i="17"/>
  <c r="H212" i="17"/>
  <c r="H211" i="17"/>
  <c r="H210" i="17"/>
  <c r="H206" i="17"/>
  <c r="H205" i="17"/>
  <c r="H204" i="17"/>
  <c r="H203" i="17"/>
  <c r="H202" i="17"/>
  <c r="H198" i="17"/>
  <c r="H197" i="17"/>
  <c r="H192" i="17"/>
  <c r="H191" i="17"/>
  <c r="H190" i="17"/>
  <c r="H189" i="17"/>
  <c r="H188" i="17"/>
  <c r="H187" i="17"/>
  <c r="H186" i="17"/>
  <c r="H185" i="17"/>
  <c r="H184" i="17"/>
  <c r="H183" i="17"/>
  <c r="H181" i="17"/>
  <c r="H177" i="17"/>
  <c r="H171" i="17"/>
  <c r="H170" i="17"/>
  <c r="H169" i="17"/>
  <c r="H168" i="17"/>
  <c r="H167" i="17"/>
  <c r="H157" i="17"/>
  <c r="H155" i="17"/>
  <c r="H153" i="17"/>
  <c r="H152" i="17"/>
  <c r="H145" i="17"/>
  <c r="H142" i="17"/>
  <c r="H141" i="17"/>
  <c r="H140" i="17"/>
  <c r="H139" i="17"/>
  <c r="H138" i="17"/>
  <c r="H136" i="17"/>
  <c r="H135" i="17"/>
  <c r="H134" i="17"/>
  <c r="H133" i="17"/>
  <c r="H117" i="17"/>
  <c r="H116" i="17"/>
  <c r="H114" i="17"/>
  <c r="H113" i="17"/>
  <c r="H112" i="17"/>
  <c r="H111" i="17"/>
  <c r="H110" i="17"/>
  <c r="H108" i="17"/>
  <c r="H107" i="17"/>
  <c r="H106" i="17"/>
  <c r="H105" i="17"/>
  <c r="H104" i="17"/>
  <c r="H103" i="17"/>
  <c r="H101" i="17"/>
  <c r="H99" i="17"/>
  <c r="H93" i="17"/>
  <c r="H92" i="17"/>
  <c r="H91" i="17"/>
  <c r="H89" i="17"/>
  <c r="H88" i="17"/>
  <c r="H87" i="17"/>
  <c r="H85" i="17"/>
  <c r="H84" i="17"/>
  <c r="H83" i="17"/>
  <c r="H79" i="17"/>
  <c r="H77" i="17"/>
  <c r="H75" i="17"/>
  <c r="H71" i="17"/>
  <c r="H70" i="17"/>
  <c r="H68" i="17"/>
  <c r="H67" i="17"/>
  <c r="H65" i="17"/>
  <c r="H63" i="17"/>
  <c r="H59" i="17"/>
  <c r="H57" i="17"/>
  <c r="H56" i="17"/>
  <c r="H55" i="17"/>
  <c r="H54" i="17"/>
  <c r="H53" i="17"/>
  <c r="H51" i="17"/>
  <c r="H50" i="17"/>
  <c r="H49" i="17"/>
  <c r="H48" i="17"/>
  <c r="H47" i="17"/>
  <c r="H46" i="17"/>
  <c r="H45" i="17"/>
  <c r="H44" i="17"/>
  <c r="H40" i="17"/>
  <c r="H39" i="17"/>
  <c r="H38" i="17"/>
  <c r="H37" i="17"/>
  <c r="H36" i="17"/>
  <c r="H35" i="17"/>
  <c r="H34" i="17"/>
  <c r="H33" i="17"/>
  <c r="H32" i="17"/>
  <c r="H31" i="17"/>
  <c r="H29" i="17"/>
  <c r="H28" i="17"/>
  <c r="H27" i="17"/>
  <c r="H26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139" i="12"/>
  <c r="H138" i="12"/>
  <c r="H137" i="12"/>
  <c r="H136" i="12"/>
  <c r="H135" i="12"/>
  <c r="H134" i="12"/>
  <c r="H132" i="12"/>
  <c r="H131" i="12"/>
  <c r="H130" i="12"/>
  <c r="H129" i="12"/>
  <c r="H128" i="12"/>
  <c r="H127" i="12"/>
  <c r="H126" i="12"/>
  <c r="H125" i="12"/>
  <c r="H124" i="12"/>
  <c r="H122" i="12"/>
  <c r="H114" i="12"/>
  <c r="H113" i="12"/>
  <c r="H108" i="12"/>
  <c r="H106" i="12"/>
  <c r="H104" i="12"/>
  <c r="H103" i="12"/>
  <c r="H102" i="12"/>
  <c r="H100" i="12"/>
  <c r="H98" i="12"/>
  <c r="H96" i="12"/>
  <c r="H95" i="12"/>
  <c r="H94" i="12"/>
  <c r="H93" i="12"/>
  <c r="H92" i="12"/>
  <c r="H90" i="12"/>
  <c r="H88" i="12"/>
  <c r="H86" i="12"/>
  <c r="H85" i="12"/>
  <c r="H84" i="12"/>
  <c r="H83" i="12"/>
  <c r="H82" i="12"/>
  <c r="H80" i="12"/>
  <c r="H76" i="12"/>
  <c r="H75" i="12"/>
  <c r="H74" i="12"/>
  <c r="H73" i="12"/>
  <c r="H70" i="12"/>
  <c r="H68" i="12"/>
  <c r="H67" i="12"/>
  <c r="H66" i="12"/>
  <c r="H65" i="12"/>
  <c r="H64" i="12"/>
  <c r="H63" i="12"/>
  <c r="H61" i="12"/>
  <c r="H60" i="12"/>
  <c r="H59" i="12"/>
  <c r="H58" i="12"/>
  <c r="H57" i="12"/>
  <c r="H56" i="12"/>
  <c r="H55" i="12"/>
  <c r="H39" i="12"/>
  <c r="H38" i="12"/>
  <c r="H37" i="12"/>
  <c r="H36" i="12"/>
  <c r="H35" i="12"/>
  <c r="H34" i="12"/>
  <c r="H33" i="12"/>
  <c r="H32" i="12"/>
  <c r="H30" i="12"/>
  <c r="H29" i="12"/>
  <c r="H28" i="12"/>
  <c r="H27" i="12"/>
  <c r="H26" i="12"/>
  <c r="H25" i="12"/>
  <c r="H24" i="12"/>
  <c r="H23" i="12"/>
  <c r="H22" i="12"/>
  <c r="H21" i="12"/>
  <c r="H19" i="12"/>
  <c r="H18" i="12"/>
  <c r="H17" i="12"/>
  <c r="H14" i="12"/>
  <c r="H13" i="12"/>
  <c r="H12" i="12"/>
  <c r="H11" i="12"/>
  <c r="H10" i="12"/>
  <c r="H8" i="12"/>
  <c r="H7" i="12"/>
  <c r="H337" i="11"/>
  <c r="H336" i="11"/>
  <c r="H335" i="11"/>
  <c r="H334" i="11"/>
  <c r="H331" i="11"/>
  <c r="H330" i="11"/>
  <c r="H327" i="11"/>
  <c r="H326" i="11"/>
  <c r="H323" i="11"/>
  <c r="H322" i="11"/>
  <c r="H319" i="11"/>
  <c r="H318" i="11"/>
  <c r="H317" i="11"/>
  <c r="H316" i="11"/>
  <c r="H313" i="11"/>
  <c r="H312" i="11"/>
  <c r="H309" i="11"/>
  <c r="H306" i="11"/>
  <c r="H305" i="11"/>
  <c r="H302" i="11"/>
  <c r="H299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79" i="11"/>
  <c r="H272" i="11"/>
  <c r="H271" i="11"/>
  <c r="H268" i="11"/>
  <c r="H267" i="11"/>
  <c r="H264" i="11"/>
  <c r="H261" i="11"/>
  <c r="H260" i="11"/>
  <c r="H259" i="11"/>
  <c r="H258" i="11"/>
  <c r="H252" i="11"/>
  <c r="H251" i="11"/>
  <c r="H250" i="11"/>
  <c r="H249" i="11"/>
  <c r="H248" i="11"/>
  <c r="H247" i="11"/>
  <c r="H246" i="11"/>
  <c r="H245" i="11"/>
  <c r="H244" i="11"/>
  <c r="H241" i="11"/>
  <c r="H240" i="11"/>
  <c r="H239" i="11"/>
  <c r="H233" i="11"/>
  <c r="H231" i="11"/>
  <c r="H230" i="11"/>
  <c r="H219" i="11"/>
  <c r="H218" i="11"/>
  <c r="H217" i="11"/>
  <c r="H214" i="11"/>
  <c r="H213" i="11"/>
  <c r="H212" i="11"/>
  <c r="H211" i="11"/>
  <c r="H210" i="11"/>
  <c r="H209" i="11"/>
  <c r="H206" i="11"/>
  <c r="H205" i="11"/>
  <c r="H204" i="11"/>
  <c r="H203" i="11"/>
  <c r="H202" i="11"/>
  <c r="H199" i="11"/>
  <c r="H198" i="11"/>
  <c r="H197" i="11"/>
  <c r="H196" i="11"/>
  <c r="H195" i="11"/>
  <c r="H194" i="11"/>
  <c r="H193" i="11"/>
  <c r="H159" i="11"/>
  <c r="H158" i="11"/>
  <c r="H157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20" i="11"/>
  <c r="H119" i="11"/>
  <c r="H118" i="11"/>
  <c r="H117" i="11"/>
  <c r="H116" i="11"/>
  <c r="H115" i="11"/>
  <c r="H114" i="11"/>
  <c r="H113" i="11"/>
  <c r="H112" i="11"/>
  <c r="H111" i="11"/>
  <c r="H110" i="11"/>
  <c r="H96" i="11"/>
  <c r="H95" i="11"/>
  <c r="H92" i="11"/>
  <c r="H91" i="11"/>
  <c r="H88" i="11"/>
  <c r="H87" i="11"/>
  <c r="H86" i="11"/>
  <c r="H85" i="11"/>
  <c r="H84" i="11"/>
  <c r="H83" i="11"/>
  <c r="H82" i="11"/>
  <c r="H79" i="11"/>
  <c r="H78" i="11"/>
  <c r="H75" i="11"/>
  <c r="H74" i="11"/>
  <c r="H73" i="11"/>
  <c r="H72" i="11"/>
  <c r="H69" i="11"/>
  <c r="H68" i="11"/>
  <c r="H67" i="11"/>
  <c r="H66" i="11"/>
  <c r="H65" i="11"/>
  <c r="H64" i="11"/>
  <c r="H63" i="11"/>
  <c r="H60" i="11"/>
  <c r="H59" i="11"/>
  <c r="H58" i="11"/>
  <c r="H57" i="11"/>
  <c r="H56" i="11"/>
  <c r="H55" i="11"/>
  <c r="H54" i="11"/>
  <c r="H53" i="11"/>
  <c r="H50" i="11"/>
  <c r="H49" i="11"/>
  <c r="H48" i="11"/>
  <c r="H47" i="11"/>
  <c r="H46" i="11"/>
  <c r="H43" i="11"/>
  <c r="H42" i="11"/>
  <c r="H37" i="11"/>
  <c r="H36" i="11"/>
  <c r="H35" i="11"/>
  <c r="H34" i="11"/>
  <c r="H33" i="11"/>
  <c r="H32" i="11"/>
  <c r="H31" i="11"/>
  <c r="H30" i="11"/>
  <c r="H28" i="11"/>
  <c r="H27" i="11"/>
  <c r="H26" i="11"/>
  <c r="H24" i="11"/>
  <c r="H23" i="11"/>
  <c r="H22" i="11"/>
  <c r="H20" i="11"/>
  <c r="H19" i="11"/>
  <c r="H18" i="11"/>
  <c r="H16" i="11"/>
  <c r="H15" i="11"/>
  <c r="H12" i="11"/>
  <c r="H11" i="11"/>
  <c r="H10" i="11"/>
  <c r="EC94" i="20"/>
  <c r="EB94" i="20"/>
  <c r="EA94" i="20"/>
  <c r="DN94" i="20" s="1"/>
  <c r="CS94" i="20"/>
  <c r="CR94" i="20"/>
  <c r="CQ94" i="20"/>
  <c r="BI94" i="20"/>
  <c r="BH94" i="20"/>
  <c r="BG94" i="20"/>
  <c r="Y94" i="20"/>
  <c r="X94" i="20"/>
  <c r="W94" i="20"/>
  <c r="DJ85" i="20"/>
  <c r="DL85" i="20" s="1"/>
  <c r="BZ85" i="20"/>
  <c r="CB85" i="20" s="1"/>
  <c r="AP85" i="20"/>
  <c r="AR85" i="20" s="1"/>
  <c r="F85" i="20"/>
  <c r="H85" i="20" s="1"/>
  <c r="AP79" i="20"/>
  <c r="AP74" i="20"/>
  <c r="AP69" i="20"/>
  <c r="DN67" i="20"/>
  <c r="BZ62" i="20"/>
  <c r="CB62" i="20" s="1"/>
  <c r="F62" i="20"/>
  <c r="H62" i="20" s="1"/>
  <c r="DN66" i="20"/>
  <c r="DN65" i="20"/>
  <c r="DN64" i="20"/>
  <c r="DJ62" i="20"/>
  <c r="BZ51" i="20"/>
  <c r="CB51" i="20" s="1"/>
  <c r="AP51" i="20"/>
  <c r="F51" i="20"/>
  <c r="DO45" i="20"/>
  <c r="BR45" i="24" s="1"/>
  <c r="DN45" i="20"/>
  <c r="DO44" i="20"/>
  <c r="BR44" i="24" s="1"/>
  <c r="DN44" i="20"/>
  <c r="DO43" i="20"/>
  <c r="BR43" i="24" s="1"/>
  <c r="DN43" i="20"/>
  <c r="DO40" i="20"/>
  <c r="BR40" i="24" s="1"/>
  <c r="DN40" i="20"/>
  <c r="CE39" i="20"/>
  <c r="BC39" i="24" s="1"/>
  <c r="CD39" i="20"/>
  <c r="AU39" i="20"/>
  <c r="AN39" i="24" s="1"/>
  <c r="AT39" i="20"/>
  <c r="K39" i="20"/>
  <c r="Y39" i="24" s="1"/>
  <c r="DO30" i="20"/>
  <c r="CE30" i="20"/>
  <c r="CE23" i="20" s="1"/>
  <c r="BC23" i="24" s="1"/>
  <c r="AU30" i="20"/>
  <c r="AU23" i="20" s="1"/>
  <c r="AN23" i="24" s="1"/>
  <c r="AT30" i="20"/>
  <c r="K30" i="20"/>
  <c r="K23" i="20" s="1"/>
  <c r="Y23" i="24" s="1"/>
  <c r="DO28" i="20"/>
  <c r="BR28" i="24" s="1"/>
  <c r="DN28" i="20"/>
  <c r="DO27" i="20"/>
  <c r="BR27" i="24" s="1"/>
  <c r="DN27" i="20"/>
  <c r="DO26" i="20"/>
  <c r="BR26" i="24" s="1"/>
  <c r="DN26" i="20"/>
  <c r="DO25" i="20"/>
  <c r="BR25" i="24" s="1"/>
  <c r="DN25" i="20"/>
  <c r="DO24" i="20"/>
  <c r="BR24" i="24" s="1"/>
  <c r="DN24" i="20"/>
  <c r="DO21" i="20"/>
  <c r="BR21" i="24" s="1"/>
  <c r="DN21" i="20"/>
  <c r="DO20" i="20"/>
  <c r="BR20" i="24" s="1"/>
  <c r="DN20" i="20"/>
  <c r="DO19" i="20"/>
  <c r="BR19" i="24" s="1"/>
  <c r="DN19" i="20"/>
  <c r="DO18" i="20"/>
  <c r="BR18" i="24" s="1"/>
  <c r="DN18" i="20"/>
  <c r="CE17" i="20"/>
  <c r="BC17" i="24" s="1"/>
  <c r="AU17" i="20"/>
  <c r="AN17" i="24" s="1"/>
  <c r="K17" i="20"/>
  <c r="Y17" i="24" s="1"/>
  <c r="DO15" i="20"/>
  <c r="BR15" i="24" s="1"/>
  <c r="DN15" i="20"/>
  <c r="DO14" i="20"/>
  <c r="BR14" i="24" s="1"/>
  <c r="DN14" i="20"/>
  <c r="DO13" i="20"/>
  <c r="BR13" i="24" s="1"/>
  <c r="DN13" i="20"/>
  <c r="DO12" i="20"/>
  <c r="BR12" i="24" s="1"/>
  <c r="DN12" i="20"/>
  <c r="DN11" i="20"/>
  <c r="CE11" i="20"/>
  <c r="CD11" i="20"/>
  <c r="AU11" i="20"/>
  <c r="AN11" i="24" s="1"/>
  <c r="AT11" i="20"/>
  <c r="K11" i="20"/>
  <c r="Y11" i="24" s="1"/>
  <c r="EC62" i="20"/>
  <c r="DN63" i="20"/>
  <c r="EA62" i="20"/>
  <c r="DL94" i="20"/>
  <c r="DN39" i="20"/>
  <c r="AT23" i="20"/>
  <c r="J11" i="20"/>
  <c r="DN23" i="20"/>
  <c r="J17" i="20"/>
  <c r="J23" i="20"/>
  <c r="J30" i="20"/>
  <c r="J39" i="20"/>
  <c r="DO65" i="20"/>
  <c r="BR65" i="24" s="1"/>
  <c r="DO67" i="20"/>
  <c r="BR67" i="24" s="1"/>
  <c r="DO66" i="20"/>
  <c r="BR66" i="24" s="1"/>
  <c r="DO63" i="20"/>
  <c r="BR63" i="24" s="1"/>
  <c r="DO64" i="20"/>
  <c r="BR64" i="24" s="1"/>
  <c r="EB62" i="20"/>
  <c r="DL59" i="20" l="1"/>
  <c r="CB30" i="20"/>
  <c r="CB23" i="20"/>
  <c r="CB93" i="20"/>
  <c r="CB17" i="20"/>
  <c r="AS39" i="20"/>
  <c r="S92" i="24"/>
  <c r="EQ87" i="20"/>
  <c r="Q92" i="24"/>
  <c r="K92" i="24"/>
  <c r="M92" i="24"/>
  <c r="P92" i="24"/>
  <c r="N92" i="24"/>
  <c r="R92" i="24"/>
  <c r="AS30" i="20"/>
  <c r="BP93" i="24"/>
  <c r="BP92" i="24" s="1"/>
  <c r="DQ94" i="20"/>
  <c r="BT93" i="24" s="1"/>
  <c r="BT92" i="24" s="1"/>
  <c r="DO94" i="20"/>
  <c r="AU94" i="20"/>
  <c r="AW94" i="20"/>
  <c r="BC11" i="24"/>
  <c r="EN52" i="20"/>
  <c r="EH56" i="20"/>
  <c r="EF59" i="20"/>
  <c r="EH87" i="20"/>
  <c r="EF55" i="20"/>
  <c r="EN56" i="20"/>
  <c r="EI59" i="20"/>
  <c r="EG56" i="20"/>
  <c r="EQ56" i="20"/>
  <c r="EE54" i="20"/>
  <c r="EJ59" i="20"/>
  <c r="EI52" i="20"/>
  <c r="EM87" i="20"/>
  <c r="EE89" i="20"/>
  <c r="EO53" i="20"/>
  <c r="EI53" i="20"/>
  <c r="EO57" i="20"/>
  <c r="EE60" i="20"/>
  <c r="EI88" i="20"/>
  <c r="EJ53" i="20"/>
  <c r="EE58" i="20"/>
  <c r="EK57" i="20"/>
  <c r="EK87" i="20"/>
  <c r="EN55" i="20"/>
  <c r="EN87" i="20"/>
  <c r="EI58" i="20"/>
  <c r="EO58" i="20"/>
  <c r="EJ60" i="20"/>
  <c r="EF89" i="20"/>
  <c r="EG59" i="20"/>
  <c r="EG52" i="20"/>
  <c r="EK89" i="20"/>
  <c r="AS17" i="20"/>
  <c r="DM94" i="20"/>
  <c r="BQ13" i="24"/>
  <c r="DM13" i="20"/>
  <c r="BW72" i="24"/>
  <c r="DM72" i="20"/>
  <c r="BW77" i="24"/>
  <c r="DM77" i="20"/>
  <c r="BW82" i="24"/>
  <c r="DM82" i="20"/>
  <c r="BQ18" i="24"/>
  <c r="DM18" i="20"/>
  <c r="BQ24" i="24"/>
  <c r="DM24" i="20"/>
  <c r="BQ28" i="24"/>
  <c r="DM28" i="20"/>
  <c r="BQ44" i="24"/>
  <c r="DM44" i="20"/>
  <c r="BQ64" i="24"/>
  <c r="DM64" i="20"/>
  <c r="BQ14" i="24"/>
  <c r="DM14" i="20"/>
  <c r="DV65" i="20"/>
  <c r="BX65" i="24" s="1"/>
  <c r="DM65" i="20"/>
  <c r="BQ19" i="24"/>
  <c r="DM19" i="20"/>
  <c r="BQ25" i="24"/>
  <c r="DM25" i="20"/>
  <c r="BQ45" i="24"/>
  <c r="DM45" i="20"/>
  <c r="DP66" i="20"/>
  <c r="BS66" i="24" s="1"/>
  <c r="DM66" i="20"/>
  <c r="BQ30" i="24"/>
  <c r="DM30" i="20"/>
  <c r="BQ15" i="24"/>
  <c r="DM15" i="20"/>
  <c r="BW70" i="24"/>
  <c r="DM70" i="20"/>
  <c r="BW75" i="24"/>
  <c r="DM75" i="20"/>
  <c r="BW80" i="24"/>
  <c r="DM80" i="20"/>
  <c r="BQ11" i="24"/>
  <c r="DM11" i="20"/>
  <c r="BQ20" i="24"/>
  <c r="DM20" i="20"/>
  <c r="BQ26" i="24"/>
  <c r="DM26" i="20"/>
  <c r="BQ40" i="24"/>
  <c r="DM40" i="20"/>
  <c r="BQ23" i="24"/>
  <c r="DM23" i="20"/>
  <c r="BQ39" i="24"/>
  <c r="DM39" i="20"/>
  <c r="DV63" i="20"/>
  <c r="BX63" i="24" s="1"/>
  <c r="DM63" i="20"/>
  <c r="BQ12" i="24"/>
  <c r="DM12" i="20"/>
  <c r="BQ67" i="24"/>
  <c r="DM67" i="20"/>
  <c r="BW71" i="24"/>
  <c r="DM71" i="20"/>
  <c r="BW76" i="24"/>
  <c r="DM76" i="20"/>
  <c r="BW81" i="24"/>
  <c r="DM81" i="20"/>
  <c r="BQ21" i="24"/>
  <c r="DM21" i="20"/>
  <c r="BQ27" i="24"/>
  <c r="DM27" i="20"/>
  <c r="BQ43" i="24"/>
  <c r="DM43" i="20"/>
  <c r="BH70" i="24"/>
  <c r="CC70" i="20"/>
  <c r="BH76" i="24"/>
  <c r="CC76" i="20"/>
  <c r="BH82" i="24"/>
  <c r="CC82" i="20"/>
  <c r="BB11" i="24"/>
  <c r="CC11" i="20"/>
  <c r="BB39" i="24"/>
  <c r="CC39" i="20"/>
  <c r="BH71" i="24"/>
  <c r="CC71" i="20"/>
  <c r="BH77" i="24"/>
  <c r="CC77" i="20"/>
  <c r="BH72" i="24"/>
  <c r="CC72" i="20"/>
  <c r="BH80" i="24"/>
  <c r="CC80" i="20"/>
  <c r="BH75" i="24"/>
  <c r="CC75" i="20"/>
  <c r="BH81" i="24"/>
  <c r="CC81" i="20"/>
  <c r="AS11" i="20"/>
  <c r="AS64" i="24"/>
  <c r="AS39" i="24"/>
  <c r="AS65" i="24"/>
  <c r="AS11" i="24"/>
  <c r="BA93" i="20"/>
  <c r="AS66" i="24"/>
  <c r="AS67" i="24"/>
  <c r="BA23" i="20"/>
  <c r="AS23" i="20" s="1"/>
  <c r="AS17" i="24"/>
  <c r="AM11" i="24"/>
  <c r="AM39" i="24"/>
  <c r="AM17" i="24"/>
  <c r="AM30" i="24"/>
  <c r="AM23" i="24"/>
  <c r="X30" i="24"/>
  <c r="I30" i="20"/>
  <c r="X11" i="24"/>
  <c r="I11" i="20"/>
  <c r="X23" i="24"/>
  <c r="I23" i="20"/>
  <c r="AD71" i="24"/>
  <c r="I71" i="20"/>
  <c r="AD70" i="24"/>
  <c r="I70" i="20"/>
  <c r="AD72" i="24"/>
  <c r="I72" i="20"/>
  <c r="X39" i="24"/>
  <c r="I39" i="20"/>
  <c r="X17" i="24"/>
  <c r="I17" i="20"/>
  <c r="BZ30" i="24"/>
  <c r="BI72" i="24"/>
  <c r="BI80" i="24"/>
  <c r="BI76" i="24"/>
  <c r="BX71" i="24"/>
  <c r="CA30" i="24"/>
  <c r="BX81" i="24"/>
  <c r="BI70" i="24"/>
  <c r="BJ30" i="24"/>
  <c r="BL30" i="24"/>
  <c r="BX77" i="24"/>
  <c r="AF30" i="24"/>
  <c r="Z70" i="24"/>
  <c r="Z77" i="24"/>
  <c r="AC30" i="24"/>
  <c r="Z72" i="24"/>
  <c r="BP62" i="24"/>
  <c r="BQ66" i="24"/>
  <c r="AE30" i="24"/>
  <c r="BX30" i="24"/>
  <c r="CG71" i="20"/>
  <c r="BE71" i="24" s="1"/>
  <c r="BD71" i="24"/>
  <c r="DW80" i="20"/>
  <c r="BY80" i="24" s="1"/>
  <c r="BX80" i="24"/>
  <c r="BR62" i="24"/>
  <c r="Q93" i="20"/>
  <c r="AD93" i="24"/>
  <c r="AD92" i="24" s="1"/>
  <c r="DW75" i="20"/>
  <c r="BX75" i="24"/>
  <c r="DO23" i="20"/>
  <c r="BR23" i="24" s="1"/>
  <c r="BR30" i="24"/>
  <c r="BB23" i="20"/>
  <c r="AT23" i="24" s="1"/>
  <c r="AT30" i="24"/>
  <c r="CN91" i="20"/>
  <c r="DW23" i="20"/>
  <c r="BY23" i="24" s="1"/>
  <c r="BY30" i="24"/>
  <c r="DY91" i="20"/>
  <c r="H51" i="20"/>
  <c r="AN30" i="24"/>
  <c r="AR51" i="20"/>
  <c r="AD30" i="24"/>
  <c r="AW30" i="24"/>
  <c r="BC30" i="24"/>
  <c r="BK30" i="24"/>
  <c r="BD77" i="24"/>
  <c r="BD81" i="24"/>
  <c r="BW93" i="24"/>
  <c r="BW92" i="24" s="1"/>
  <c r="Z82" i="24"/>
  <c r="Y30" i="24"/>
  <c r="AG30" i="24"/>
  <c r="Z71" i="24"/>
  <c r="BQ63" i="24"/>
  <c r="BQ65" i="24"/>
  <c r="Z30" i="24"/>
  <c r="AH30" i="24"/>
  <c r="Z80" i="24"/>
  <c r="AS30" i="24"/>
  <c r="AS93" i="24"/>
  <c r="AS92" i="24" s="1"/>
  <c r="BD72" i="24"/>
  <c r="BD76" i="24"/>
  <c r="BD80" i="24"/>
  <c r="BD82" i="24"/>
  <c r="AA30" i="24"/>
  <c r="BH30" i="24"/>
  <c r="BI71" i="24"/>
  <c r="BE72" i="24"/>
  <c r="BI75" i="24"/>
  <c r="BI77" i="24"/>
  <c r="BI81" i="24"/>
  <c r="BE82" i="24"/>
  <c r="BH93" i="24"/>
  <c r="BH92" i="24" s="1"/>
  <c r="AB30" i="24"/>
  <c r="Z76" i="24"/>
  <c r="AU30" i="24"/>
  <c r="BI30" i="24"/>
  <c r="BF72" i="24"/>
  <c r="BJ75" i="24"/>
  <c r="BW30" i="24"/>
  <c r="BX72" i="24"/>
  <c r="BX76" i="24"/>
  <c r="BX82" i="24"/>
  <c r="DN93" i="20"/>
  <c r="BQ93" i="24"/>
  <c r="BQ92" i="24" s="1"/>
  <c r="EG57" i="20"/>
  <c r="EG86" i="20"/>
  <c r="EE55" i="20"/>
  <c r="EF52" i="20"/>
  <c r="EF56" i="20"/>
  <c r="EI86" i="20"/>
  <c r="EJ86" i="20"/>
  <c r="EH59" i="20"/>
  <c r="EH88" i="20"/>
  <c r="EJ52" i="20"/>
  <c r="EK54" i="20"/>
  <c r="EM56" i="20"/>
  <c r="EQ58" i="20"/>
  <c r="EN60" i="20"/>
  <c r="EN57" i="20"/>
  <c r="EO54" i="20"/>
  <c r="EN58" i="20"/>
  <c r="EM60" i="20"/>
  <c r="EG55" i="20"/>
  <c r="EB55" i="20" s="1"/>
  <c r="EF60" i="20"/>
  <c r="EE53" i="20"/>
  <c r="EF88" i="20"/>
  <c r="EF58" i="20"/>
  <c r="EI89" i="20"/>
  <c r="EJ89" i="20"/>
  <c r="EK55" i="20"/>
  <c r="EK52" i="20"/>
  <c r="EJ54" i="20"/>
  <c r="EK56" i="20"/>
  <c r="EQ55" i="20"/>
  <c r="EP54" i="20"/>
  <c r="EQ60" i="20"/>
  <c r="EO60" i="20"/>
  <c r="EN59" i="20"/>
  <c r="EN89" i="20"/>
  <c r="EM55" i="20"/>
  <c r="EC55" i="20" s="1"/>
  <c r="EP53" i="20"/>
  <c r="EG89" i="20"/>
  <c r="EE59" i="20"/>
  <c r="EA59" i="20" s="1"/>
  <c r="DN59" i="20" s="1"/>
  <c r="EE86" i="20"/>
  <c r="EE52" i="20"/>
  <c r="EG54" i="20"/>
  <c r="EH57" i="20"/>
  <c r="EH55" i="20"/>
  <c r="EH53" i="20"/>
  <c r="EH52" i="20"/>
  <c r="EI54" i="20"/>
  <c r="EJ56" i="20"/>
  <c r="EK58" i="20"/>
  <c r="EP88" i="20"/>
  <c r="EP58" i="20"/>
  <c r="EP86" i="20"/>
  <c r="EM88" i="20"/>
  <c r="EQ86" i="20"/>
  <c r="EO55" i="20"/>
  <c r="EO56" i="20"/>
  <c r="EP55" i="20"/>
  <c r="EM53" i="20"/>
  <c r="EG60" i="20"/>
  <c r="EE57" i="20"/>
  <c r="EG58" i="20"/>
  <c r="EB58" i="20" s="1"/>
  <c r="EF87" i="20"/>
  <c r="EH89" i="20"/>
  <c r="EH86" i="20"/>
  <c r="EK53" i="20"/>
  <c r="EH54" i="20"/>
  <c r="EI56" i="20"/>
  <c r="EJ58" i="20"/>
  <c r="EK60" i="20"/>
  <c r="EM54" i="20"/>
  <c r="EC54" i="20" s="1"/>
  <c r="EP60" i="20"/>
  <c r="EP89" i="20"/>
  <c r="EP56" i="20"/>
  <c r="EQ89" i="20"/>
  <c r="EO59" i="20"/>
  <c r="EN86" i="20"/>
  <c r="EP57" i="20"/>
  <c r="EM86" i="20"/>
  <c r="EM58" i="20"/>
  <c r="EM59" i="20"/>
  <c r="EP59" i="20"/>
  <c r="EM89" i="20"/>
  <c r="EC89" i="20" s="1"/>
  <c r="EO89" i="20"/>
  <c r="EO86" i="20"/>
  <c r="EN88" i="20"/>
  <c r="EP52" i="20"/>
  <c r="EE88" i="20"/>
  <c r="EF57" i="20"/>
  <c r="EF53" i="20"/>
  <c r="EE56" i="20"/>
  <c r="EG87" i="20"/>
  <c r="EI55" i="20"/>
  <c r="EJ55" i="20"/>
  <c r="EK59" i="20"/>
  <c r="EH58" i="20"/>
  <c r="EI60" i="20"/>
  <c r="EJ87" i="20"/>
  <c r="EK88" i="20"/>
  <c r="EQ88" i="20"/>
  <c r="EQ52" i="20"/>
  <c r="EQ53" i="20"/>
  <c r="EM57" i="20"/>
  <c r="EQ57" i="20"/>
  <c r="EM52" i="20"/>
  <c r="EE87" i="20"/>
  <c r="EG53" i="20"/>
  <c r="EF86" i="20"/>
  <c r="EA86" i="20" s="1"/>
  <c r="EF54" i="20"/>
  <c r="EA54" i="20" s="1"/>
  <c r="EG88" i="20"/>
  <c r="EI57" i="20"/>
  <c r="EJ57" i="20"/>
  <c r="EK86" i="20"/>
  <c r="EH60" i="20"/>
  <c r="EI87" i="20"/>
  <c r="EJ88" i="20"/>
  <c r="EO52" i="20"/>
  <c r="EQ54" i="20"/>
  <c r="EP87" i="20"/>
  <c r="EN53" i="20"/>
  <c r="EN54" i="20"/>
  <c r="EQ59" i="20"/>
  <c r="EA58" i="20"/>
  <c r="DN58" i="20" s="1"/>
  <c r="EA89" i="20"/>
  <c r="H91" i="20"/>
  <c r="H94" i="20"/>
  <c r="AR63" i="20"/>
  <c r="H37" i="20"/>
  <c r="AG55" i="20"/>
  <c r="AR79" i="20"/>
  <c r="AR74" i="20"/>
  <c r="DL58" i="20"/>
  <c r="DL60" i="20"/>
  <c r="DL55" i="20"/>
  <c r="V49" i="20"/>
  <c r="DV66" i="20"/>
  <c r="CB89" i="20"/>
  <c r="CB86" i="20"/>
  <c r="CB66" i="20"/>
  <c r="CB63" i="20"/>
  <c r="CB65" i="20"/>
  <c r="CB64" i="20"/>
  <c r="DO62" i="20"/>
  <c r="DU62" i="20"/>
  <c r="DX78" i="20"/>
  <c r="DY78" i="20" s="1"/>
  <c r="DO39" i="20"/>
  <c r="BR39" i="24" s="1"/>
  <c r="DY74" i="20"/>
  <c r="DX82" i="20"/>
  <c r="M81" i="20"/>
  <c r="EO87" i="20"/>
  <c r="EO88" i="20"/>
  <c r="CU63" i="20"/>
  <c r="CV55" i="20"/>
  <c r="BW72" i="20"/>
  <c r="AR9" i="20"/>
  <c r="BM80" i="20"/>
  <c r="BT58" i="20"/>
  <c r="BQ77" i="20"/>
  <c r="BK75" i="20"/>
  <c r="BV81" i="20"/>
  <c r="BP88" i="20"/>
  <c r="BL56" i="20"/>
  <c r="BP54" i="20"/>
  <c r="BU64" i="20"/>
  <c r="DC86" i="20"/>
  <c r="CZ54" i="20"/>
  <c r="CX87" i="20"/>
  <c r="DD52" i="20"/>
  <c r="DG52" i="20"/>
  <c r="DD58" i="20"/>
  <c r="DC58" i="20"/>
  <c r="DF60" i="20"/>
  <c r="DC64" i="20"/>
  <c r="DF63" i="20"/>
  <c r="DE59" i="20"/>
  <c r="DD67" i="20"/>
  <c r="DE52" i="20"/>
  <c r="DC55" i="20"/>
  <c r="DD89" i="20"/>
  <c r="DA63" i="20"/>
  <c r="CZ55" i="20"/>
  <c r="CX67" i="20"/>
  <c r="DA89" i="20"/>
  <c r="DA58" i="20"/>
  <c r="CZ52" i="20"/>
  <c r="CY64" i="20"/>
  <c r="CX89" i="20"/>
  <c r="CX58" i="20"/>
  <c r="CW55" i="20"/>
  <c r="CV88" i="20"/>
  <c r="CU86" i="20"/>
  <c r="CV57" i="20"/>
  <c r="CW56" i="20"/>
  <c r="CU88" i="20"/>
  <c r="CV52" i="20"/>
  <c r="CV59" i="20"/>
  <c r="DC59" i="20"/>
  <c r="DG63" i="20"/>
  <c r="DF53" i="20"/>
  <c r="DG57" i="20"/>
  <c r="CZ65" i="20"/>
  <c r="CY53" i="20"/>
  <c r="CV58" i="20"/>
  <c r="CU53" i="20"/>
  <c r="CU60" i="20"/>
  <c r="DC66" i="20"/>
  <c r="DF87" i="20"/>
  <c r="DD53" i="20"/>
  <c r="CZ58" i="20"/>
  <c r="CY57" i="20"/>
  <c r="CV89" i="20"/>
  <c r="CU58" i="20"/>
  <c r="DF66" i="20"/>
  <c r="DD88" i="20"/>
  <c r="DG86" i="20"/>
  <c r="DF54" i="20"/>
  <c r="DE86" i="20"/>
  <c r="DD54" i="20"/>
  <c r="DF89" i="20"/>
  <c r="DF58" i="20"/>
  <c r="DC54" i="20"/>
  <c r="DF59" i="20"/>
  <c r="DE57" i="20"/>
  <c r="DD65" i="20"/>
  <c r="DC56" i="20"/>
  <c r="DD64" i="20"/>
  <c r="DA59" i="20"/>
  <c r="CZ88" i="20"/>
  <c r="CZ53" i="20"/>
  <c r="CX65" i="20"/>
  <c r="DA56" i="20"/>
  <c r="CZ86" i="20"/>
  <c r="CY67" i="20"/>
  <c r="CY60" i="20"/>
  <c r="CX56" i="20"/>
  <c r="CW63" i="20"/>
  <c r="CU65" i="20"/>
  <c r="CV67" i="20"/>
  <c r="CW86" i="20"/>
  <c r="CV66" i="20"/>
  <c r="CV87" i="20"/>
  <c r="CW87" i="20"/>
  <c r="DC57" i="20"/>
  <c r="DF88" i="20"/>
  <c r="DD66" i="20"/>
  <c r="DG55" i="20"/>
  <c r="DA86" i="20"/>
  <c r="CY54" i="20"/>
  <c r="CV86" i="20"/>
  <c r="DG89" i="20"/>
  <c r="DG53" i="20"/>
  <c r="DC88" i="20"/>
  <c r="CZ63" i="20"/>
  <c r="DA66" i="20"/>
  <c r="CX66" i="20"/>
  <c r="CW52" i="20"/>
  <c r="CV65" i="20"/>
  <c r="DE64" i="20"/>
  <c r="DG66" i="20"/>
  <c r="DF52" i="20"/>
  <c r="DE66" i="20"/>
  <c r="DC65" i="20"/>
  <c r="DF56" i="20"/>
  <c r="DF57" i="20"/>
  <c r="DE55" i="20"/>
  <c r="DD59" i="20"/>
  <c r="DG67" i="20"/>
  <c r="DE88" i="20"/>
  <c r="DA57" i="20"/>
  <c r="CZ87" i="20"/>
  <c r="CY65" i="20"/>
  <c r="CX63" i="20"/>
  <c r="DA54" i="20"/>
  <c r="CZ66" i="20"/>
  <c r="CY89" i="20"/>
  <c r="CY58" i="20"/>
  <c r="CX54" i="20"/>
  <c r="CW89" i="20"/>
  <c r="CW59" i="20"/>
  <c r="CV60" i="20"/>
  <c r="CU64" i="20"/>
  <c r="CU67" i="20"/>
  <c r="CU59" i="20"/>
  <c r="CV63" i="20"/>
  <c r="CY56" i="20"/>
  <c r="CU87" i="20"/>
  <c r="CV64" i="20"/>
  <c r="DE54" i="20"/>
  <c r="DD55" i="20"/>
  <c r="DA88" i="20"/>
  <c r="CX57" i="20"/>
  <c r="CX86" i="20"/>
  <c r="CV53" i="20"/>
  <c r="DG58" i="20"/>
  <c r="DF86" i="20"/>
  <c r="DE87" i="20"/>
  <c r="CY88" i="20"/>
  <c r="CZ89" i="20"/>
  <c r="DA52" i="20"/>
  <c r="CU89" i="20"/>
  <c r="DF67" i="20"/>
  <c r="DC87" i="20"/>
  <c r="CS87" i="20" s="1"/>
  <c r="DG64" i="20"/>
  <c r="DC67" i="20"/>
  <c r="DE58" i="20"/>
  <c r="DG88" i="20"/>
  <c r="DG87" i="20"/>
  <c r="DF55" i="20"/>
  <c r="DC60" i="20"/>
  <c r="CS60" i="20" s="1"/>
  <c r="DD57" i="20"/>
  <c r="DG59" i="20"/>
  <c r="DE63" i="20"/>
  <c r="DG65" i="20"/>
  <c r="DA55" i="20"/>
  <c r="CZ67" i="20"/>
  <c r="CX59" i="20"/>
  <c r="CY52" i="20"/>
  <c r="CZ64" i="20"/>
  <c r="CX52" i="20"/>
  <c r="CW67" i="20"/>
  <c r="CU54" i="20"/>
  <c r="DG60" i="20"/>
  <c r="DC52" i="20"/>
  <c r="DE53" i="20"/>
  <c r="DA53" i="20"/>
  <c r="CZ60" i="20"/>
  <c r="CU66" i="20"/>
  <c r="CU55" i="20"/>
  <c r="DE89" i="20"/>
  <c r="DD60" i="20"/>
  <c r="DA87" i="20"/>
  <c r="CX55" i="20"/>
  <c r="CW53" i="20"/>
  <c r="CR53" i="20" s="1"/>
  <c r="CV54" i="20"/>
  <c r="DG56" i="20"/>
  <c r="DC89" i="20"/>
  <c r="CS89" i="20" s="1"/>
  <c r="DE67" i="20"/>
  <c r="CW60" i="20"/>
  <c r="CR60" i="20" s="1"/>
  <c r="CX88" i="20"/>
  <c r="DD86" i="20"/>
  <c r="CU57" i="20"/>
  <c r="DE56" i="20"/>
  <c r="CX64" i="20"/>
  <c r="CZ59" i="20"/>
  <c r="DG54" i="20"/>
  <c r="CW58" i="20"/>
  <c r="CR58" i="20" s="1"/>
  <c r="DA60" i="20"/>
  <c r="DE60" i="20"/>
  <c r="CW57" i="20"/>
  <c r="CY87" i="20"/>
  <c r="CY59" i="20"/>
  <c r="DF65" i="20"/>
  <c r="CW64" i="20"/>
  <c r="CY66" i="20"/>
  <c r="CY55" i="20"/>
  <c r="DA65" i="20"/>
  <c r="DC53" i="20"/>
  <c r="CS53" i="20" s="1"/>
  <c r="CZ56" i="20"/>
  <c r="DD56" i="20"/>
  <c r="CW66" i="20"/>
  <c r="CX60" i="20"/>
  <c r="CZ57" i="20"/>
  <c r="CW54" i="20"/>
  <c r="DD87" i="20"/>
  <c r="CU56" i="20"/>
  <c r="CY63" i="20"/>
  <c r="DE65" i="20"/>
  <c r="CU52" i="20"/>
  <c r="CV56" i="20"/>
  <c r="DA64" i="20"/>
  <c r="DD63" i="20"/>
  <c r="CW88" i="20"/>
  <c r="CR88" i="20" s="1"/>
  <c r="CW65" i="20"/>
  <c r="CR65" i="20" s="1"/>
  <c r="CY86" i="20"/>
  <c r="CX53" i="20"/>
  <c r="DA67" i="20"/>
  <c r="DC63" i="20"/>
  <c r="CS63" i="20" s="1"/>
  <c r="DF64" i="20"/>
  <c r="BM81" i="20"/>
  <c r="BV53" i="20"/>
  <c r="BM88" i="20"/>
  <c r="BO76" i="20"/>
  <c r="BP71" i="20"/>
  <c r="BW54" i="20"/>
  <c r="BK70" i="20"/>
  <c r="BK58" i="20"/>
  <c r="BP63" i="20"/>
  <c r="BO80" i="20"/>
  <c r="BQ80" i="20"/>
  <c r="BP75" i="20"/>
  <c r="BS72" i="20"/>
  <c r="BU55" i="20"/>
  <c r="BM76" i="20"/>
  <c r="BP56" i="20"/>
  <c r="BQ81" i="20"/>
  <c r="BS75" i="20"/>
  <c r="BO71" i="20"/>
  <c r="BQ76" i="20"/>
  <c r="BU81" i="20"/>
  <c r="BL57" i="20"/>
  <c r="BM58" i="20"/>
  <c r="BN66" i="20"/>
  <c r="AV66" i="20" s="1"/>
  <c r="AO66" i="24" s="1"/>
  <c r="BO86" i="20"/>
  <c r="BN55" i="20"/>
  <c r="BP89" i="20"/>
  <c r="BS87" i="20"/>
  <c r="BV89" i="20"/>
  <c r="BV80" i="20"/>
  <c r="BU77" i="20"/>
  <c r="BK86" i="20"/>
  <c r="BN59" i="20"/>
  <c r="BT75" i="20"/>
  <c r="BW52" i="20"/>
  <c r="BL77" i="20"/>
  <c r="BL52" i="20"/>
  <c r="BP64" i="20"/>
  <c r="BN63" i="20"/>
  <c r="BN56" i="20"/>
  <c r="BT81" i="20"/>
  <c r="BU58" i="20"/>
  <c r="BW56" i="20"/>
  <c r="BV82" i="20"/>
  <c r="BW89" i="20"/>
  <c r="BS70" i="20"/>
  <c r="BU57" i="20"/>
  <c r="BW76" i="20"/>
  <c r="BW58" i="20"/>
  <c r="BU66" i="20"/>
  <c r="BL55" i="20"/>
  <c r="BT88" i="20"/>
  <c r="BN70" i="20"/>
  <c r="BO89" i="20"/>
  <c r="BO67" i="20"/>
  <c r="BU56" i="20"/>
  <c r="BS81" i="20"/>
  <c r="BL54" i="20"/>
  <c r="BK71" i="20"/>
  <c r="BM72" i="20"/>
  <c r="BP66" i="20"/>
  <c r="BN65" i="20"/>
  <c r="AV65" i="20" s="1"/>
  <c r="AO65" i="24" s="1"/>
  <c r="BN58" i="20"/>
  <c r="BT56" i="20"/>
  <c r="BV77" i="20"/>
  <c r="BS54" i="20"/>
  <c r="BK88" i="20"/>
  <c r="BL89" i="20"/>
  <c r="BM54" i="20"/>
  <c r="BP58" i="20"/>
  <c r="BN60" i="20"/>
  <c r="BQ86" i="20"/>
  <c r="BT86" i="20"/>
  <c r="BV52" i="20"/>
  <c r="BU60" i="20"/>
  <c r="BU86" i="20"/>
  <c r="BV58" i="20"/>
  <c r="BS58" i="20"/>
  <c r="BW60" i="20"/>
  <c r="BS59" i="20"/>
  <c r="BU70" i="20"/>
  <c r="BT64" i="20"/>
  <c r="BB64" i="20" s="1"/>
  <c r="BU59" i="20"/>
  <c r="BU87" i="20"/>
  <c r="BW67" i="20"/>
  <c r="BW80" i="20"/>
  <c r="BS82" i="20"/>
  <c r="BK89" i="20"/>
  <c r="BL86" i="20"/>
  <c r="BK76" i="20"/>
  <c r="BL76" i="20"/>
  <c r="BK77" i="20"/>
  <c r="BK82" i="20"/>
  <c r="BM60" i="20"/>
  <c r="BM75" i="20"/>
  <c r="BH75" i="20" s="1"/>
  <c r="BO54" i="20"/>
  <c r="BN76" i="20"/>
  <c r="BO77" i="20"/>
  <c r="BP60" i="20"/>
  <c r="BO87" i="20"/>
  <c r="BO52" i="20"/>
  <c r="BP72" i="20"/>
  <c r="BP57" i="20"/>
  <c r="BQ87" i="20"/>
  <c r="BQ72" i="20"/>
  <c r="BN71" i="20"/>
  <c r="BN89" i="20"/>
  <c r="BP81" i="20"/>
  <c r="BQ63" i="20"/>
  <c r="BW75" i="20"/>
  <c r="BU63" i="20"/>
  <c r="BW71" i="20"/>
  <c r="BV63" i="20"/>
  <c r="BW77" i="20"/>
  <c r="BS76" i="20"/>
  <c r="BT66" i="20"/>
  <c r="BB66" i="20" s="1"/>
  <c r="BS77" i="20"/>
  <c r="BU72" i="20"/>
  <c r="BS52" i="20"/>
  <c r="BT70" i="20"/>
  <c r="BV64" i="20"/>
  <c r="BU88" i="20"/>
  <c r="BV57" i="20"/>
  <c r="BW82" i="20"/>
  <c r="BK63" i="20"/>
  <c r="BK62" i="20" s="1"/>
  <c r="BQ52" i="20"/>
  <c r="BO65" i="20"/>
  <c r="BP70" i="20"/>
  <c r="BQ66" i="20"/>
  <c r="BO81" i="20"/>
  <c r="BW88" i="20"/>
  <c r="BL60" i="20"/>
  <c r="BK60" i="20"/>
  <c r="BL80" i="20"/>
  <c r="BN80" i="20"/>
  <c r="BO88" i="20"/>
  <c r="BN53" i="20"/>
  <c r="BO53" i="20"/>
  <c r="BP55" i="20"/>
  <c r="BQ65" i="20"/>
  <c r="BV55" i="20"/>
  <c r="BT72" i="20"/>
  <c r="BU76" i="20"/>
  <c r="BV59" i="20"/>
  <c r="BL88" i="20"/>
  <c r="BL82" i="20"/>
  <c r="BL71" i="20"/>
  <c r="BG71" i="20" s="1"/>
  <c r="BL87" i="20"/>
  <c r="BK56" i="20"/>
  <c r="BM71" i="20"/>
  <c r="BM52" i="20"/>
  <c r="BM59" i="20"/>
  <c r="BO58" i="20"/>
  <c r="BN82" i="20"/>
  <c r="BQ57" i="20"/>
  <c r="BO66" i="20"/>
  <c r="BQ56" i="20"/>
  <c r="BP80" i="20"/>
  <c r="BN57" i="20"/>
  <c r="BO55" i="20"/>
  <c r="BN77" i="20"/>
  <c r="BO75" i="20"/>
  <c r="BP67" i="20"/>
  <c r="BQ67" i="20"/>
  <c r="BW57" i="20"/>
  <c r="BS71" i="20"/>
  <c r="BU67" i="20"/>
  <c r="BW59" i="20"/>
  <c r="BV67" i="20"/>
  <c r="BV86" i="20"/>
  <c r="BT80" i="20"/>
  <c r="BT55" i="20"/>
  <c r="BU80" i="20"/>
  <c r="BS80" i="20"/>
  <c r="BW86" i="20"/>
  <c r="BV70" i="20"/>
  <c r="BW64" i="20"/>
  <c r="BV88" i="20"/>
  <c r="BS89" i="20"/>
  <c r="BK57" i="20"/>
  <c r="BK54" i="20"/>
  <c r="BM82" i="20"/>
  <c r="BO82" i="20"/>
  <c r="BQ82" i="20"/>
  <c r="BP77" i="20"/>
  <c r="BV56" i="20"/>
  <c r="BL59" i="20"/>
  <c r="BL70" i="20"/>
  <c r="BG70" i="20" s="1"/>
  <c r="BM53" i="20"/>
  <c r="BQ54" i="20"/>
  <c r="BQ88" i="20"/>
  <c r="BP86" i="20"/>
  <c r="BU65" i="20"/>
  <c r="BV65" i="20"/>
  <c r="BS88" i="20"/>
  <c r="BI88" i="20" s="1"/>
  <c r="BT53" i="20"/>
  <c r="BT76" i="20"/>
  <c r="BV60" i="20"/>
  <c r="BK55" i="20"/>
  <c r="BG55" i="20" s="1"/>
  <c r="BL81" i="20"/>
  <c r="BK72" i="20"/>
  <c r="BK59" i="20"/>
  <c r="BK80" i="20"/>
  <c r="BK52" i="20"/>
  <c r="BK81" i="20"/>
  <c r="BK53" i="20"/>
  <c r="BM57" i="20"/>
  <c r="BM63" i="20"/>
  <c r="BM62" i="20" s="1"/>
  <c r="BM55" i="20"/>
  <c r="BO60" i="20"/>
  <c r="BN87" i="20"/>
  <c r="BP65" i="20"/>
  <c r="BO70" i="20"/>
  <c r="BQ58" i="20"/>
  <c r="BP82" i="20"/>
  <c r="BQ64" i="20"/>
  <c r="BO57" i="20"/>
  <c r="BN81" i="20"/>
  <c r="BN52" i="20"/>
  <c r="BQ71" i="20"/>
  <c r="BQ89" i="20"/>
  <c r="BT63" i="20"/>
  <c r="BT52" i="20"/>
  <c r="BU71" i="20"/>
  <c r="BT89" i="20"/>
  <c r="BU52" i="20"/>
  <c r="BV71" i="20"/>
  <c r="BU89" i="20"/>
  <c r="BV54" i="20"/>
  <c r="BT82" i="20"/>
  <c r="BT57" i="20"/>
  <c r="BU82" i="20"/>
  <c r="BV72" i="20"/>
  <c r="BS53" i="20"/>
  <c r="BW66" i="20"/>
  <c r="BW55" i="20"/>
  <c r="BM56" i="20"/>
  <c r="BN72" i="20"/>
  <c r="BQ59" i="20"/>
  <c r="BN67" i="20"/>
  <c r="AV67" i="20" s="1"/>
  <c r="BT60" i="20"/>
  <c r="BL72" i="20"/>
  <c r="BM77" i="20"/>
  <c r="BO56" i="20"/>
  <c r="BO64" i="20"/>
  <c r="BP76" i="20"/>
  <c r="BN75" i="20"/>
  <c r="BQ55" i="20"/>
  <c r="BS55" i="20"/>
  <c r="BW53" i="20"/>
  <c r="BW81" i="20"/>
  <c r="BS60" i="20"/>
  <c r="BV66" i="20"/>
  <c r="BV87" i="20"/>
  <c r="BM87" i="20"/>
  <c r="BM70" i="20"/>
  <c r="BL53" i="20"/>
  <c r="BK87" i="20"/>
  <c r="BM86" i="20"/>
  <c r="BL75" i="20"/>
  <c r="BG75" i="20" s="1"/>
  <c r="BL58" i="20"/>
  <c r="BM89" i="20"/>
  <c r="BH89" i="20" s="1"/>
  <c r="BL63" i="20"/>
  <c r="BL62" i="20" s="1"/>
  <c r="BP53" i="20"/>
  <c r="BN64" i="20"/>
  <c r="BN88" i="20"/>
  <c r="BP52" i="20"/>
  <c r="BO72" i="20"/>
  <c r="BP59" i="20"/>
  <c r="BQ60" i="20"/>
  <c r="BP87" i="20"/>
  <c r="BQ70" i="20"/>
  <c r="BO63" i="20"/>
  <c r="BO59" i="20"/>
  <c r="BN86" i="20"/>
  <c r="BQ53" i="20"/>
  <c r="BN54" i="20"/>
  <c r="BQ75" i="20"/>
  <c r="BT67" i="20"/>
  <c r="BB67" i="20" s="1"/>
  <c r="BT54" i="20"/>
  <c r="BU75" i="20"/>
  <c r="BS56" i="20"/>
  <c r="BU54" i="20"/>
  <c r="BV75" i="20"/>
  <c r="BS57" i="20"/>
  <c r="BW63" i="20"/>
  <c r="BT59" i="20"/>
  <c r="BT87" i="20"/>
  <c r="BW65" i="20"/>
  <c r="BU53" i="20"/>
  <c r="BV76" i="20"/>
  <c r="BS63" i="20"/>
  <c r="BS62" i="20" s="1"/>
  <c r="BW70" i="20"/>
  <c r="BT65" i="20"/>
  <c r="BB65" i="20" s="1"/>
  <c r="BT71" i="20"/>
  <c r="BG89" i="20"/>
  <c r="AT89" i="20" s="1"/>
  <c r="BH88" i="20"/>
  <c r="BH58" i="20"/>
  <c r="BT77" i="20"/>
  <c r="BG86" i="20"/>
  <c r="AT86" i="20" s="1"/>
  <c r="BG76" i="20"/>
  <c r="BH60" i="20"/>
  <c r="BH82" i="20"/>
  <c r="BW87" i="20"/>
  <c r="BS86" i="20"/>
  <c r="BI86" i="20" s="1"/>
  <c r="BH54" i="20"/>
  <c r="BG80" i="20"/>
  <c r="AT80" i="20" s="1"/>
  <c r="BH80" i="20"/>
  <c r="AL58" i="20"/>
  <c r="AG67" i="20"/>
  <c r="AL66" i="20"/>
  <c r="AI64" i="20"/>
  <c r="H63" i="20"/>
  <c r="H66" i="20"/>
  <c r="H65" i="20"/>
  <c r="H67" i="20"/>
  <c r="H64" i="20"/>
  <c r="CI79" i="20"/>
  <c r="H89" i="20"/>
  <c r="H86" i="20"/>
  <c r="H9" i="20"/>
  <c r="Z49" i="20"/>
  <c r="DZ49" i="20"/>
  <c r="DL56" i="20"/>
  <c r="AT94" i="20"/>
  <c r="AS94" i="20" s="1"/>
  <c r="DP65" i="20"/>
  <c r="AT9" i="20"/>
  <c r="CH69" i="20"/>
  <c r="CI69" i="20" s="1"/>
  <c r="CL69" i="20" s="1"/>
  <c r="CM69" i="20" s="1"/>
  <c r="CP49" i="20"/>
  <c r="BF49" i="20"/>
  <c r="CN71" i="20"/>
  <c r="DX68" i="20"/>
  <c r="DY68" i="20" s="1"/>
  <c r="AU9" i="20"/>
  <c r="L9" i="20"/>
  <c r="CT49" i="20"/>
  <c r="DL57" i="20"/>
  <c r="CB87" i="20"/>
  <c r="CG75" i="20"/>
  <c r="CG70" i="20"/>
  <c r="BJ49" i="20"/>
  <c r="DX73" i="20"/>
  <c r="DY73" i="20" s="1"/>
  <c r="CH73" i="20"/>
  <c r="CI73" i="20" s="1"/>
  <c r="CL73" i="20" s="1"/>
  <c r="CB88" i="20"/>
  <c r="M75" i="20"/>
  <c r="N76" i="20"/>
  <c r="ED49" i="20"/>
  <c r="CO75" i="20"/>
  <c r="BL75" i="24" s="1"/>
  <c r="N82" i="20"/>
  <c r="CN72" i="20"/>
  <c r="DV64" i="20"/>
  <c r="CH68" i="20"/>
  <c r="CI68" i="20" s="1"/>
  <c r="CL68" i="20" s="1"/>
  <c r="CH76" i="20"/>
  <c r="CM82" i="20"/>
  <c r="N9" i="20"/>
  <c r="R9" i="20"/>
  <c r="T9" i="20"/>
  <c r="CN9" i="20"/>
  <c r="U9" i="20"/>
  <c r="BE9" i="20"/>
  <c r="DO11" i="20"/>
  <c r="BR11" i="24" s="1"/>
  <c r="DO17" i="20"/>
  <c r="BR17" i="24" s="1"/>
  <c r="BC9" i="20"/>
  <c r="CL9" i="20"/>
  <c r="DU9" i="20"/>
  <c r="K9" i="20"/>
  <c r="CE9" i="20"/>
  <c r="O9" i="20"/>
  <c r="Q9" i="20"/>
  <c r="CK9" i="20"/>
  <c r="CO9" i="20"/>
  <c r="DV9" i="20"/>
  <c r="AF64" i="20"/>
  <c r="AA55" i="20"/>
  <c r="AL64" i="20"/>
  <c r="AI63" i="20"/>
  <c r="AK56" i="20"/>
  <c r="AL67" i="20"/>
  <c r="AL52" i="20"/>
  <c r="AE86" i="20"/>
  <c r="AJ58" i="20"/>
  <c r="AM60" i="20"/>
  <c r="AE57" i="20"/>
  <c r="AJ86" i="20"/>
  <c r="AF89" i="20"/>
  <c r="AB66" i="20"/>
  <c r="AM88" i="20"/>
  <c r="AJ63" i="20"/>
  <c r="AF65" i="20"/>
  <c r="AC65" i="20"/>
  <c r="AM87" i="20"/>
  <c r="AE56" i="20"/>
  <c r="AF86" i="20"/>
  <c r="AM52" i="20"/>
  <c r="AE59" i="20"/>
  <c r="AI59" i="20"/>
  <c r="AG89" i="20"/>
  <c r="AM65" i="20"/>
  <c r="AB65" i="20"/>
  <c r="AI56" i="20"/>
  <c r="AF55" i="20"/>
  <c r="AG64" i="20"/>
  <c r="AK66" i="20"/>
  <c r="AC55" i="20"/>
  <c r="AJ64" i="20"/>
  <c r="AG59" i="20"/>
  <c r="AL65" i="20"/>
  <c r="AF52" i="20"/>
  <c r="AC86" i="20"/>
  <c r="AJ66" i="20"/>
  <c r="AG58" i="20"/>
  <c r="AL87" i="20"/>
  <c r="AK86" i="20"/>
  <c r="AA64" i="20"/>
  <c r="AA54" i="20"/>
  <c r="AE64" i="20"/>
  <c r="AJ67" i="20"/>
  <c r="AJ57" i="20"/>
  <c r="AG86" i="20"/>
  <c r="AK60" i="20"/>
  <c r="AM89" i="20"/>
  <c r="AF53" i="20"/>
  <c r="AK58" i="20"/>
  <c r="AA86" i="20"/>
  <c r="AI87" i="20"/>
  <c r="AG56" i="20"/>
  <c r="AK67" i="20"/>
  <c r="AK63" i="20"/>
  <c r="AK87" i="20"/>
  <c r="AJ88" i="20"/>
  <c r="AF66" i="20"/>
  <c r="AL55" i="20"/>
  <c r="AD63" i="20"/>
  <c r="AA66" i="20"/>
  <c r="AI52" i="20"/>
  <c r="AJ55" i="20"/>
  <c r="AI66" i="20"/>
  <c r="AG53" i="20"/>
  <c r="AK64" i="20"/>
  <c r="AL63" i="20"/>
  <c r="AK55" i="20"/>
  <c r="AA87" i="20"/>
  <c r="AE88" i="20"/>
  <c r="AG57" i="20"/>
  <c r="AM66" i="20"/>
  <c r="AK52" i="20"/>
  <c r="AL88" i="20"/>
  <c r="AM56" i="20"/>
  <c r="AE89" i="20"/>
  <c r="AJ53" i="20"/>
  <c r="AJ65" i="20"/>
  <c r="AF60" i="20"/>
  <c r="AL57" i="20"/>
  <c r="AM67" i="20"/>
  <c r="AB86" i="20"/>
  <c r="AC60" i="20"/>
  <c r="AE67" i="20"/>
  <c r="AI53" i="20"/>
  <c r="AJ52" i="20"/>
  <c r="AI58" i="20"/>
  <c r="AF54" i="20"/>
  <c r="AM59" i="20"/>
  <c r="AM64" i="20"/>
  <c r="AM55" i="20"/>
  <c r="AM53" i="20"/>
  <c r="AF57" i="20"/>
  <c r="AL59" i="20"/>
  <c r="AM86" i="20"/>
  <c r="AK65" i="20"/>
  <c r="AM63" i="20"/>
  <c r="AL89" i="20"/>
  <c r="AK53" i="20"/>
  <c r="AM54" i="20"/>
  <c r="AK57" i="20"/>
  <c r="AF56" i="20"/>
  <c r="AF67" i="20"/>
  <c r="AG54" i="20"/>
  <c r="AI67" i="20"/>
  <c r="AJ89" i="20"/>
  <c r="AI54" i="20"/>
  <c r="AI60" i="20"/>
  <c r="AE65" i="20"/>
  <c r="AE63" i="20"/>
  <c r="AE87" i="20"/>
  <c r="AE55" i="20"/>
  <c r="AB53" i="20"/>
  <c r="AB59" i="20"/>
  <c r="AB58" i="20"/>
  <c r="AB87" i="20"/>
  <c r="AA53" i="20"/>
  <c r="AC63" i="20"/>
  <c r="AC59" i="20"/>
  <c r="AE60" i="20"/>
  <c r="AC64" i="20"/>
  <c r="AC56" i="20"/>
  <c r="AB67" i="20"/>
  <c r="AB54" i="20"/>
  <c r="AG87" i="20"/>
  <c r="AG66" i="20"/>
  <c r="AG63" i="20"/>
  <c r="AJ87" i="20"/>
  <c r="AE66" i="20"/>
  <c r="AE52" i="20"/>
  <c r="AA88" i="20"/>
  <c r="AA89" i="20"/>
  <c r="AA67" i="20"/>
  <c r="AA59" i="20"/>
  <c r="AA63" i="20"/>
  <c r="AC88" i="20"/>
  <c r="AC66" i="20"/>
  <c r="AL53" i="20"/>
  <c r="AM57" i="20"/>
  <c r="AK54" i="20"/>
  <c r="AF88" i="20"/>
  <c r="AK59" i="20"/>
  <c r="AK89" i="20"/>
  <c r="AL54" i="20"/>
  <c r="AG52" i="20"/>
  <c r="AG65" i="20"/>
  <c r="AI89" i="20"/>
  <c r="AI57" i="20"/>
  <c r="AI65" i="20"/>
  <c r="AJ59" i="20"/>
  <c r="AD67" i="20"/>
  <c r="AD89" i="20"/>
  <c r="AE53" i="20"/>
  <c r="AA56" i="20"/>
  <c r="AC67" i="20"/>
  <c r="AC53" i="20"/>
  <c r="AJ56" i="20"/>
  <c r="AL86" i="20"/>
  <c r="AJ54" i="20"/>
  <c r="AA65" i="20"/>
  <c r="AB63" i="20"/>
  <c r="AA57" i="20"/>
  <c r="AL60" i="20"/>
  <c r="AF59" i="20"/>
  <c r="AF63" i="20"/>
  <c r="AL56" i="20"/>
  <c r="AK88" i="20"/>
  <c r="AG60" i="20"/>
  <c r="AF87" i="20"/>
  <c r="AG88" i="20"/>
  <c r="AF58" i="20"/>
  <c r="AI86" i="20"/>
  <c r="AJ60" i="20"/>
  <c r="AI55" i="20"/>
  <c r="AI88" i="20"/>
  <c r="AD65" i="20"/>
  <c r="AD60" i="20"/>
  <c r="AD59" i="20"/>
  <c r="AE54" i="20"/>
  <c r="AE58" i="20"/>
  <c r="AC57" i="20"/>
  <c r="AB60" i="20"/>
  <c r="AC87" i="20"/>
  <c r="AB56" i="20"/>
  <c r="AM58" i="20"/>
  <c r="AB55" i="20"/>
  <c r="AC58" i="20"/>
  <c r="AC89" i="20"/>
  <c r="X89" i="20" s="1"/>
  <c r="AA58" i="20"/>
  <c r="AB89" i="20"/>
  <c r="AA52" i="20"/>
  <c r="AB57" i="20"/>
  <c r="AB88" i="20"/>
  <c r="AD52" i="20"/>
  <c r="AD53" i="20"/>
  <c r="AD64" i="20"/>
  <c r="AD55" i="20"/>
  <c r="AD87" i="20"/>
  <c r="AD54" i="20"/>
  <c r="AD56" i="20"/>
  <c r="AD66" i="20"/>
  <c r="AD88" i="20"/>
  <c r="AC52" i="20"/>
  <c r="AA60" i="20"/>
  <c r="AB64" i="20"/>
  <c r="AC54" i="20"/>
  <c r="AB52" i="20"/>
  <c r="AD57" i="20"/>
  <c r="AD58" i="20"/>
  <c r="AD86" i="20"/>
  <c r="O74" i="20"/>
  <c r="CH80" i="20"/>
  <c r="CN80" i="20"/>
  <c r="CH81" i="20"/>
  <c r="CN81" i="20"/>
  <c r="N68" i="20"/>
  <c r="O68" i="20" s="1"/>
  <c r="CH74" i="20"/>
  <c r="CI74" i="20" s="1"/>
  <c r="DX79" i="20"/>
  <c r="DY79" i="20" s="1"/>
  <c r="DL88" i="20"/>
  <c r="DL87" i="20"/>
  <c r="DL86" i="20"/>
  <c r="DL89" i="20"/>
  <c r="AR71" i="20"/>
  <c r="AR72" i="20"/>
  <c r="AR70" i="20"/>
  <c r="CM9" i="20"/>
  <c r="AR91" i="20"/>
  <c r="DP67" i="20"/>
  <c r="DN62" i="20"/>
  <c r="DV67" i="20"/>
  <c r="BX67" i="24" s="1"/>
  <c r="CD94" i="20"/>
  <c r="CC94" i="20" s="1"/>
  <c r="CB54" i="20"/>
  <c r="CB55" i="20"/>
  <c r="CB52" i="20"/>
  <c r="CB56" i="20"/>
  <c r="CB60" i="20"/>
  <c r="CB58" i="20"/>
  <c r="CB57" i="20"/>
  <c r="CB59" i="20"/>
  <c r="CB49" i="20"/>
  <c r="CB53" i="20"/>
  <c r="J94" i="20"/>
  <c r="I94" i="20" s="1"/>
  <c r="DN17" i="20"/>
  <c r="DM17" i="20" s="1"/>
  <c r="DL9" i="20"/>
  <c r="J9" i="20"/>
  <c r="H88" i="20"/>
  <c r="H87" i="20"/>
  <c r="AR86" i="20"/>
  <c r="AR88" i="20"/>
  <c r="AR89" i="20"/>
  <c r="AR87" i="20"/>
  <c r="N70" i="20"/>
  <c r="DX72" i="20"/>
  <c r="CD17" i="20"/>
  <c r="CC17" i="20" s="1"/>
  <c r="N71" i="20"/>
  <c r="M9" i="20"/>
  <c r="S9" i="20"/>
  <c r="CN77" i="20"/>
  <c r="DX9" i="20"/>
  <c r="DL91" i="20"/>
  <c r="DP63" i="20"/>
  <c r="N72" i="20"/>
  <c r="DY9" i="20"/>
  <c r="CH77" i="20"/>
  <c r="N77" i="20"/>
  <c r="N69" i="20"/>
  <c r="O69" i="20" s="1"/>
  <c r="R69" i="20" s="1"/>
  <c r="AX68" i="20"/>
  <c r="AY68" i="20" s="1"/>
  <c r="BB68" i="20" s="1"/>
  <c r="DX71" i="20"/>
  <c r="AX78" i="20"/>
  <c r="AY78" i="20" s="1"/>
  <c r="CI78" i="20"/>
  <c r="CN70" i="20"/>
  <c r="DW70" i="20"/>
  <c r="DY69" i="20"/>
  <c r="DX81" i="20"/>
  <c r="CB67" i="20"/>
  <c r="DL54" i="20"/>
  <c r="DL49" i="20"/>
  <c r="DP64" i="20"/>
  <c r="BS64" i="24" s="1"/>
  <c r="DL52" i="20"/>
  <c r="N80" i="20"/>
  <c r="DL53" i="20"/>
  <c r="CI82" i="20"/>
  <c r="BG82" i="24" s="1"/>
  <c r="O73" i="20"/>
  <c r="AY73" i="20"/>
  <c r="CN76" i="20"/>
  <c r="BK76" i="24" s="1"/>
  <c r="DX76" i="20"/>
  <c r="BZ76" i="24" s="1"/>
  <c r="DX77" i="20"/>
  <c r="O78" i="20"/>
  <c r="O79" i="20"/>
  <c r="BD23" i="20"/>
  <c r="EC58" i="20" l="1"/>
  <c r="CQ60" i="20"/>
  <c r="BH77" i="20"/>
  <c r="BI60" i="20"/>
  <c r="BH70" i="20"/>
  <c r="AU70" i="20" s="1"/>
  <c r="AN70" i="24" s="1"/>
  <c r="BH86" i="20"/>
  <c r="BG58" i="20"/>
  <c r="BP59" i="24"/>
  <c r="CB37" i="20"/>
  <c r="CG93" i="20"/>
  <c r="CG91" i="20" s="1"/>
  <c r="BA17" i="24"/>
  <c r="H53" i="20"/>
  <c r="AR60" i="20"/>
  <c r="AL63" i="24"/>
  <c r="W37" i="24"/>
  <c r="AR80" i="20"/>
  <c r="AU80" i="20" s="1"/>
  <c r="AN80" i="24" s="1"/>
  <c r="AR76" i="20"/>
  <c r="BP58" i="24"/>
  <c r="BP55" i="24"/>
  <c r="BA88" i="24"/>
  <c r="BA85" i="24"/>
  <c r="BA66" i="24"/>
  <c r="BA63" i="24"/>
  <c r="BA65" i="24"/>
  <c r="BA64" i="24"/>
  <c r="W63" i="24"/>
  <c r="W66" i="24"/>
  <c r="W65" i="24"/>
  <c r="W67" i="24"/>
  <c r="W64" i="24"/>
  <c r="W88" i="24"/>
  <c r="W85" i="24"/>
  <c r="BP56" i="24"/>
  <c r="BA86" i="24"/>
  <c r="BA87" i="24"/>
  <c r="BP87" i="24"/>
  <c r="BP86" i="24"/>
  <c r="BP85" i="24"/>
  <c r="BP88" i="24"/>
  <c r="AL71" i="24"/>
  <c r="AL72" i="24"/>
  <c r="AL70" i="24"/>
  <c r="BA54" i="24"/>
  <c r="BA55" i="24"/>
  <c r="BA52" i="24"/>
  <c r="CB2" i="20"/>
  <c r="BA56" i="24"/>
  <c r="BA60" i="24"/>
  <c r="BA58" i="24"/>
  <c r="BA57" i="24"/>
  <c r="BA59" i="24"/>
  <c r="BA53" i="24"/>
  <c r="BA51" i="24" s="1"/>
  <c r="W87" i="24"/>
  <c r="W86" i="24"/>
  <c r="AL85" i="24"/>
  <c r="AL87" i="24"/>
  <c r="AL88" i="24"/>
  <c r="AL86" i="24"/>
  <c r="BA67" i="24"/>
  <c r="BA62" i="24" s="1"/>
  <c r="BP54" i="24"/>
  <c r="BP52" i="24"/>
  <c r="BP53" i="24"/>
  <c r="CB94" i="20"/>
  <c r="CB91" i="20"/>
  <c r="CB9" i="20"/>
  <c r="CD23" i="20"/>
  <c r="BA23" i="24"/>
  <c r="BA30" i="24"/>
  <c r="CD30" i="20"/>
  <c r="BA9" i="20"/>
  <c r="AS9" i="20" s="1"/>
  <c r="EB86" i="20"/>
  <c r="DO86" i="20" s="1"/>
  <c r="BR85" i="24" s="1"/>
  <c r="EC86" i="20"/>
  <c r="DU86" i="20" s="1"/>
  <c r="BW85" i="24" s="1"/>
  <c r="BI89" i="20"/>
  <c r="BA89" i="20" s="1"/>
  <c r="AS89" i="20" s="1"/>
  <c r="DU89" i="20"/>
  <c r="BW88" i="24" s="1"/>
  <c r="AP93" i="24"/>
  <c r="AP92" i="24" s="1"/>
  <c r="W84" i="24"/>
  <c r="BI72" i="20"/>
  <c r="AL84" i="24"/>
  <c r="BA84" i="24"/>
  <c r="BP84" i="24"/>
  <c r="EB56" i="20"/>
  <c r="EA60" i="20"/>
  <c r="DN60" i="20" s="1"/>
  <c r="BQ60" i="24" s="1"/>
  <c r="EB60" i="20"/>
  <c r="EB54" i="20"/>
  <c r="DO54" i="20" s="1"/>
  <c r="BR54" i="24" s="1"/>
  <c r="EC60" i="20"/>
  <c r="O92" i="24"/>
  <c r="CS65" i="20"/>
  <c r="CS67" i="20"/>
  <c r="CS88" i="20"/>
  <c r="W93" i="24"/>
  <c r="W92" i="24" s="1"/>
  <c r="K94" i="20"/>
  <c r="M94" i="20"/>
  <c r="CL79" i="20"/>
  <c r="CM79" i="20" s="1"/>
  <c r="EC88" i="20"/>
  <c r="EC52" i="20"/>
  <c r="EC59" i="20"/>
  <c r="DU59" i="20" s="1"/>
  <c r="BW59" i="24" s="1"/>
  <c r="EB53" i="20"/>
  <c r="EC57" i="20"/>
  <c r="EB89" i="20"/>
  <c r="DO89" i="20" s="1"/>
  <c r="BR88" i="24" s="1"/>
  <c r="EC56" i="20"/>
  <c r="EC87" i="20"/>
  <c r="EC53" i="20"/>
  <c r="EA53" i="20"/>
  <c r="DN53" i="20" s="1"/>
  <c r="DP53" i="20" s="1"/>
  <c r="CS66" i="20"/>
  <c r="CS64" i="20"/>
  <c r="CS86" i="20"/>
  <c r="BG88" i="20"/>
  <c r="AT88" i="20" s="1"/>
  <c r="AM87" i="24" s="1"/>
  <c r="DW9" i="20"/>
  <c r="CS56" i="20"/>
  <c r="CS54" i="20"/>
  <c r="CS59" i="20"/>
  <c r="CS52" i="20"/>
  <c r="CS57" i="20"/>
  <c r="CS58" i="20"/>
  <c r="CS55" i="20"/>
  <c r="EA88" i="20"/>
  <c r="EB88" i="20"/>
  <c r="EO51" i="20"/>
  <c r="AR56" i="20"/>
  <c r="AR55" i="20"/>
  <c r="DQ66" i="20"/>
  <c r="DR66" i="20" s="1"/>
  <c r="BU66" i="24" s="1"/>
  <c r="AR52" i="20"/>
  <c r="H56" i="20"/>
  <c r="DW65" i="20"/>
  <c r="DX65" i="20" s="1"/>
  <c r="BZ65" i="24" s="1"/>
  <c r="DW63" i="20"/>
  <c r="BY63" i="24" s="1"/>
  <c r="DM62" i="20"/>
  <c r="EA87" i="20"/>
  <c r="EB87" i="20"/>
  <c r="EK85" i="20"/>
  <c r="BW62" i="24"/>
  <c r="BQ58" i="24"/>
  <c r="BQ59" i="24"/>
  <c r="DM93" i="20"/>
  <c r="EB59" i="20"/>
  <c r="DO59" i="20" s="1"/>
  <c r="BR59" i="24" s="1"/>
  <c r="EG85" i="20"/>
  <c r="EM85" i="20"/>
  <c r="BH76" i="20"/>
  <c r="AU76" i="20" s="1"/>
  <c r="AN76" i="24" s="1"/>
  <c r="EE51" i="20"/>
  <c r="AS23" i="24"/>
  <c r="BA91" i="20"/>
  <c r="AM80" i="24"/>
  <c r="AM85" i="24"/>
  <c r="AT64" i="24"/>
  <c r="AM88" i="24"/>
  <c r="AT65" i="24"/>
  <c r="AT67" i="24"/>
  <c r="AM58" i="24"/>
  <c r="EF85" i="20"/>
  <c r="EA57" i="20"/>
  <c r="BI57" i="20"/>
  <c r="EI51" i="20"/>
  <c r="EB57" i="20"/>
  <c r="EG51" i="20"/>
  <c r="EM51" i="20"/>
  <c r="EA55" i="20"/>
  <c r="DN55" i="20" s="1"/>
  <c r="H54" i="20"/>
  <c r="AR53" i="20"/>
  <c r="CH71" i="20"/>
  <c r="BF71" i="24" s="1"/>
  <c r="AR58" i="20"/>
  <c r="AR54" i="20"/>
  <c r="H58" i="20"/>
  <c r="AR49" i="20"/>
  <c r="I9" i="20"/>
  <c r="DX80" i="20"/>
  <c r="DY80" i="20" s="1"/>
  <c r="CA80" i="24" s="1"/>
  <c r="H57" i="20"/>
  <c r="H59" i="20"/>
  <c r="DN89" i="20"/>
  <c r="H55" i="20"/>
  <c r="H52" i="20"/>
  <c r="H60" i="20"/>
  <c r="BB9" i="20"/>
  <c r="H49" i="20"/>
  <c r="AR59" i="20"/>
  <c r="AR57" i="20"/>
  <c r="BQ62" i="24"/>
  <c r="EF51" i="20"/>
  <c r="BG82" i="20"/>
  <c r="AT82" i="20" s="1"/>
  <c r="EH85" i="20"/>
  <c r="O72" i="20"/>
  <c r="AC72" i="24" s="1"/>
  <c r="AB72" i="24"/>
  <c r="O70" i="20"/>
  <c r="AC70" i="24" s="1"/>
  <c r="AB70" i="24"/>
  <c r="CI80" i="20"/>
  <c r="BG80" i="24" s="1"/>
  <c r="BF80" i="24"/>
  <c r="DQ65" i="20"/>
  <c r="BS65" i="24"/>
  <c r="W62" i="24"/>
  <c r="DX75" i="20"/>
  <c r="BY75" i="24"/>
  <c r="DQ63" i="20"/>
  <c r="BT63" i="24" s="1"/>
  <c r="BS63" i="24"/>
  <c r="CO77" i="20"/>
  <c r="BL77" i="24" s="1"/>
  <c r="BK77" i="24"/>
  <c r="CO72" i="20"/>
  <c r="BL72" i="24" s="1"/>
  <c r="BK72" i="24"/>
  <c r="AT93" i="20"/>
  <c r="AM93" i="24"/>
  <c r="AM92" i="24" s="1"/>
  <c r="N81" i="20"/>
  <c r="AA81" i="24"/>
  <c r="AU93" i="20"/>
  <c r="AU91" i="20" s="1"/>
  <c r="AN93" i="24"/>
  <c r="AN92" i="24" s="1"/>
  <c r="Q91" i="20"/>
  <c r="EN51" i="20"/>
  <c r="O71" i="20"/>
  <c r="AC71" i="24" s="1"/>
  <c r="AB71" i="24"/>
  <c r="CI76" i="20"/>
  <c r="BG76" i="24" s="1"/>
  <c r="BF76" i="24"/>
  <c r="CH75" i="20"/>
  <c r="BE75" i="24"/>
  <c r="DY82" i="20"/>
  <c r="CA82" i="24" s="1"/>
  <c r="BZ82" i="24"/>
  <c r="DW66" i="20"/>
  <c r="BY66" i="24" s="1"/>
  <c r="BX66" i="24"/>
  <c r="EH51" i="20"/>
  <c r="BD9" i="20"/>
  <c r="AV23" i="24"/>
  <c r="DY71" i="20"/>
  <c r="CA71" i="24" s="1"/>
  <c r="BZ71" i="24"/>
  <c r="CN82" i="20"/>
  <c r="BJ82" i="24"/>
  <c r="O82" i="20"/>
  <c r="AB82" i="24"/>
  <c r="AW67" i="20"/>
  <c r="AP67" i="24" s="1"/>
  <c r="AO67" i="24"/>
  <c r="DY81" i="20"/>
  <c r="CA81" i="24" s="1"/>
  <c r="BZ81" i="24"/>
  <c r="CO81" i="20"/>
  <c r="BL81" i="24" s="1"/>
  <c r="BK81" i="24"/>
  <c r="CH70" i="20"/>
  <c r="BF70" i="24" s="1"/>
  <c r="BE70" i="24"/>
  <c r="CO71" i="20"/>
  <c r="BL71" i="24" s="1"/>
  <c r="BK71" i="24"/>
  <c r="O80" i="20"/>
  <c r="AC80" i="24" s="1"/>
  <c r="AB80" i="24"/>
  <c r="DX70" i="20"/>
  <c r="BY70" i="24"/>
  <c r="O77" i="20"/>
  <c r="AC77" i="24" s="1"/>
  <c r="AB77" i="24"/>
  <c r="O76" i="20"/>
  <c r="AC76" i="24" s="1"/>
  <c r="AB76" i="24"/>
  <c r="DY77" i="20"/>
  <c r="CA77" i="24" s="1"/>
  <c r="BZ77" i="24"/>
  <c r="DQ67" i="20"/>
  <c r="BS67" i="24"/>
  <c r="CI81" i="20"/>
  <c r="BG81" i="24" s="1"/>
  <c r="BF81" i="24"/>
  <c r="DW64" i="20"/>
  <c r="BX64" i="24"/>
  <c r="N75" i="20"/>
  <c r="AB75" i="24" s="1"/>
  <c r="AA75" i="24"/>
  <c r="BC66" i="20"/>
  <c r="AU66" i="24" s="1"/>
  <c r="AT66" i="24"/>
  <c r="EJ51" i="20"/>
  <c r="CI77" i="20"/>
  <c r="BG77" i="24" s="1"/>
  <c r="BF77" i="24"/>
  <c r="CO70" i="20"/>
  <c r="BL70" i="24" s="1"/>
  <c r="BK70" i="24"/>
  <c r="DY72" i="20"/>
  <c r="CA72" i="24" s="1"/>
  <c r="BZ72" i="24"/>
  <c r="CO80" i="20"/>
  <c r="BL80" i="24" s="1"/>
  <c r="BK80" i="24"/>
  <c r="CD93" i="20"/>
  <c r="CD91" i="20" s="1"/>
  <c r="CC91" i="20" s="1"/>
  <c r="BB93" i="24"/>
  <c r="BB92" i="24" s="1"/>
  <c r="DN9" i="20"/>
  <c r="DM9" i="20" s="1"/>
  <c r="BQ17" i="24"/>
  <c r="DO93" i="20"/>
  <c r="BR93" i="24"/>
  <c r="BR92" i="24" s="1"/>
  <c r="BB17" i="24"/>
  <c r="BP57" i="24"/>
  <c r="J93" i="20"/>
  <c r="I93" i="20" s="1"/>
  <c r="X93" i="24"/>
  <c r="X92" i="24" s="1"/>
  <c r="AR77" i="20"/>
  <c r="BP60" i="24"/>
  <c r="BB86" i="20"/>
  <c r="BB89" i="20"/>
  <c r="BI81" i="20"/>
  <c r="AT76" i="20"/>
  <c r="DU54" i="20"/>
  <c r="BW54" i="24" s="1"/>
  <c r="DN54" i="20"/>
  <c r="DO58" i="20"/>
  <c r="BR58" i="24" s="1"/>
  <c r="EQ85" i="20"/>
  <c r="EJ85" i="20"/>
  <c r="EE85" i="20"/>
  <c r="EA56" i="20"/>
  <c r="EN85" i="20"/>
  <c r="EI85" i="20"/>
  <c r="EP85" i="20"/>
  <c r="EA52" i="20"/>
  <c r="DP58" i="20"/>
  <c r="BS58" i="24" s="1"/>
  <c r="EK51" i="20"/>
  <c r="EP51" i="20"/>
  <c r="EQ51" i="20"/>
  <c r="EB52" i="20"/>
  <c r="CR66" i="20"/>
  <c r="DU58" i="20"/>
  <c r="BW58" i="24" s="1"/>
  <c r="AR75" i="20"/>
  <c r="EO85" i="20"/>
  <c r="BH59" i="20"/>
  <c r="BH71" i="20"/>
  <c r="AU71" i="20" s="1"/>
  <c r="AN71" i="24" s="1"/>
  <c r="BG77" i="20"/>
  <c r="AR81" i="20"/>
  <c r="AR82" i="20"/>
  <c r="DV58" i="20"/>
  <c r="BG56" i="20"/>
  <c r="BH63" i="20"/>
  <c r="BM51" i="20"/>
  <c r="BI76" i="20"/>
  <c r="BA76" i="20" s="1"/>
  <c r="BC64" i="20"/>
  <c r="BI58" i="20"/>
  <c r="BA58" i="20" s="1"/>
  <c r="AS58" i="20" s="1"/>
  <c r="BI52" i="20"/>
  <c r="BH57" i="20"/>
  <c r="BP62" i="20"/>
  <c r="AW65" i="20"/>
  <c r="BC65" i="20"/>
  <c r="BG87" i="20"/>
  <c r="AT87" i="20" s="1"/>
  <c r="BI70" i="20"/>
  <c r="BA70" i="20" s="1"/>
  <c r="DV62" i="20"/>
  <c r="AT70" i="20"/>
  <c r="Y54" i="20"/>
  <c r="CM68" i="20"/>
  <c r="CN68" i="20" s="1"/>
  <c r="DL2" i="20"/>
  <c r="CQ53" i="20"/>
  <c r="CD53" i="20" s="1"/>
  <c r="CQ54" i="20"/>
  <c r="CD54" i="20" s="1"/>
  <c r="DN86" i="20"/>
  <c r="CR64" i="20"/>
  <c r="BI77" i="20"/>
  <c r="BH55" i="20"/>
  <c r="AU55" i="20" s="1"/>
  <c r="AN55" i="24" s="1"/>
  <c r="BG52" i="20"/>
  <c r="BC67" i="20"/>
  <c r="BI55" i="20"/>
  <c r="BA55" i="20" s="1"/>
  <c r="BI56" i="20"/>
  <c r="BH56" i="20"/>
  <c r="BG72" i="20"/>
  <c r="AT72" i="20" s="1"/>
  <c r="BG53" i="20"/>
  <c r="AT53" i="20" s="1"/>
  <c r="BT85" i="20"/>
  <c r="CR54" i="20"/>
  <c r="DC62" i="20"/>
  <c r="CE60" i="20"/>
  <c r="BC60" i="24" s="1"/>
  <c r="DD62" i="20"/>
  <c r="CR67" i="20"/>
  <c r="CQ58" i="20"/>
  <c r="CE58" i="20" s="1"/>
  <c r="BC58" i="24" s="1"/>
  <c r="CY62" i="20"/>
  <c r="BQ51" i="20"/>
  <c r="BL85" i="20"/>
  <c r="BM85" i="20"/>
  <c r="BI80" i="20"/>
  <c r="BA80" i="20" s="1"/>
  <c r="AS80" i="20" s="1"/>
  <c r="BI75" i="20"/>
  <c r="BA75" i="20" s="1"/>
  <c r="BL51" i="20"/>
  <c r="BI54" i="20"/>
  <c r="BO62" i="20"/>
  <c r="BK85" i="20"/>
  <c r="BI53" i="20"/>
  <c r="BH87" i="20"/>
  <c r="BI87" i="20"/>
  <c r="BG60" i="20"/>
  <c r="AU60" i="20" s="1"/>
  <c r="AN60" i="24" s="1"/>
  <c r="BK51" i="20"/>
  <c r="BN85" i="20"/>
  <c r="AT71" i="20"/>
  <c r="BG63" i="20"/>
  <c r="AT63" i="20" s="1"/>
  <c r="BP51" i="20"/>
  <c r="BH53" i="20"/>
  <c r="BA86" i="20"/>
  <c r="AS86" i="20" s="1"/>
  <c r="BT51" i="20"/>
  <c r="AV86" i="20"/>
  <c r="DD51" i="20"/>
  <c r="DC85" i="20"/>
  <c r="DF51" i="20"/>
  <c r="CR87" i="20"/>
  <c r="DE85" i="20"/>
  <c r="CQ59" i="20"/>
  <c r="CY85" i="20"/>
  <c r="CR57" i="20"/>
  <c r="DF85" i="20"/>
  <c r="CZ62" i="20"/>
  <c r="DA85" i="20"/>
  <c r="CW62" i="20"/>
  <c r="CR63" i="20"/>
  <c r="CV51" i="20"/>
  <c r="CQ52" i="20"/>
  <c r="CD52" i="20" s="1"/>
  <c r="CQ88" i="20"/>
  <c r="CD88" i="20" s="1"/>
  <c r="CL88" i="20" s="1"/>
  <c r="CM88" i="20" s="1"/>
  <c r="DE51" i="20"/>
  <c r="DC51" i="20"/>
  <c r="CY51" i="20"/>
  <c r="DE62" i="20"/>
  <c r="CQ87" i="20"/>
  <c r="CD87" i="20" s="1"/>
  <c r="CL87" i="20" s="1"/>
  <c r="CM87" i="20" s="1"/>
  <c r="CN87" i="20" s="1"/>
  <c r="CO87" i="20" s="1"/>
  <c r="DG85" i="20"/>
  <c r="CR55" i="20"/>
  <c r="DG51" i="20"/>
  <c r="CD60" i="20"/>
  <c r="CK60" i="20"/>
  <c r="BH60" i="24" s="1"/>
  <c r="CR56" i="20"/>
  <c r="DA51" i="20"/>
  <c r="CQ64" i="20"/>
  <c r="CQ66" i="20"/>
  <c r="DF62" i="20"/>
  <c r="DD85" i="20"/>
  <c r="CX85" i="20"/>
  <c r="CR59" i="20"/>
  <c r="CQ65" i="20"/>
  <c r="CR86" i="20"/>
  <c r="CW85" i="20"/>
  <c r="CQ57" i="20"/>
  <c r="DA62" i="20"/>
  <c r="CU62" i="20"/>
  <c r="CQ56" i="20"/>
  <c r="CR52" i="20"/>
  <c r="CW51" i="20"/>
  <c r="CQ67" i="20"/>
  <c r="CD67" i="20" s="1"/>
  <c r="CZ85" i="20"/>
  <c r="DG62" i="20"/>
  <c r="CZ51" i="20"/>
  <c r="CU51" i="20"/>
  <c r="CX51" i="20"/>
  <c r="CQ63" i="20"/>
  <c r="CV62" i="20"/>
  <c r="CR89" i="20"/>
  <c r="CX62" i="20"/>
  <c r="CQ86" i="20"/>
  <c r="CV85" i="20"/>
  <c r="CQ89" i="20"/>
  <c r="CK89" i="20" s="1"/>
  <c r="CU85" i="20"/>
  <c r="CQ55" i="20"/>
  <c r="AV64" i="20"/>
  <c r="BV85" i="20"/>
  <c r="BI82" i="20"/>
  <c r="BI71" i="20"/>
  <c r="BA71" i="20" s="1"/>
  <c r="BN62" i="20"/>
  <c r="AW66" i="20"/>
  <c r="BW62" i="20"/>
  <c r="BH52" i="20"/>
  <c r="BG54" i="20"/>
  <c r="BU62" i="20"/>
  <c r="BG57" i="20"/>
  <c r="BU85" i="20"/>
  <c r="BS51" i="20"/>
  <c r="BT62" i="20"/>
  <c r="BG81" i="20"/>
  <c r="BI63" i="20"/>
  <c r="BN51" i="20"/>
  <c r="BG59" i="20"/>
  <c r="BV51" i="20"/>
  <c r="BW51" i="20"/>
  <c r="BU51" i="20"/>
  <c r="BP85" i="20"/>
  <c r="BQ62" i="20"/>
  <c r="BH81" i="20"/>
  <c r="BV62" i="20"/>
  <c r="BO51" i="20"/>
  <c r="BI59" i="20"/>
  <c r="BQ85" i="20"/>
  <c r="BH72" i="20"/>
  <c r="BO85" i="20"/>
  <c r="BS85" i="20"/>
  <c r="AU75" i="20"/>
  <c r="AN75" i="24" s="1"/>
  <c r="BW85" i="20"/>
  <c r="W66" i="20"/>
  <c r="J66" i="20" s="1"/>
  <c r="Y64" i="20"/>
  <c r="AG62" i="20"/>
  <c r="X65" i="20"/>
  <c r="X53" i="20"/>
  <c r="W53" i="20"/>
  <c r="J53" i="20" s="1"/>
  <c r="Y65" i="20"/>
  <c r="Y87" i="20"/>
  <c r="X54" i="20"/>
  <c r="AJ62" i="20"/>
  <c r="Y53" i="20"/>
  <c r="Y55" i="20"/>
  <c r="Y59" i="20"/>
  <c r="DO9" i="20"/>
  <c r="X66" i="20"/>
  <c r="W55" i="20"/>
  <c r="W65" i="20"/>
  <c r="J65" i="20" s="1"/>
  <c r="AF51" i="20"/>
  <c r="AI51" i="20"/>
  <c r="W56" i="20"/>
  <c r="X55" i="20"/>
  <c r="AJ51" i="20"/>
  <c r="AM51" i="20"/>
  <c r="Y56" i="20"/>
  <c r="W86" i="20"/>
  <c r="J86" i="20" s="1"/>
  <c r="Y66" i="20"/>
  <c r="X86" i="20"/>
  <c r="X60" i="20"/>
  <c r="AG85" i="20"/>
  <c r="AK62" i="20"/>
  <c r="AA85" i="20"/>
  <c r="AL62" i="20"/>
  <c r="W87" i="20"/>
  <c r="J87" i="20" s="1"/>
  <c r="AL85" i="20"/>
  <c r="AJ85" i="20"/>
  <c r="X64" i="20"/>
  <c r="AM62" i="20"/>
  <c r="AK85" i="20"/>
  <c r="AL51" i="20"/>
  <c r="AE85" i="20"/>
  <c r="AI62" i="20"/>
  <c r="AD62" i="20"/>
  <c r="Y58" i="20"/>
  <c r="AC51" i="20"/>
  <c r="X52" i="20"/>
  <c r="X59" i="20"/>
  <c r="AC62" i="20"/>
  <c r="X63" i="20"/>
  <c r="AM85" i="20"/>
  <c r="AD85" i="20"/>
  <c r="W88" i="20"/>
  <c r="X87" i="20"/>
  <c r="AC85" i="20"/>
  <c r="AB62" i="20"/>
  <c r="W63" i="20"/>
  <c r="J63" i="20" s="1"/>
  <c r="AE51" i="20"/>
  <c r="W54" i="20"/>
  <c r="W64" i="20"/>
  <c r="AG51" i="20"/>
  <c r="AD51" i="20"/>
  <c r="W52" i="20"/>
  <c r="AB51" i="20"/>
  <c r="W57" i="20"/>
  <c r="W60" i="20"/>
  <c r="Y57" i="20"/>
  <c r="Y67" i="20"/>
  <c r="AB85" i="20"/>
  <c r="W59" i="20"/>
  <c r="X58" i="20"/>
  <c r="X67" i="20"/>
  <c r="Y52" i="20"/>
  <c r="AA51" i="20"/>
  <c r="Y89" i="20"/>
  <c r="AK51" i="20"/>
  <c r="Y60" i="20"/>
  <c r="AI85" i="20"/>
  <c r="Y86" i="20"/>
  <c r="AF85" i="20"/>
  <c r="X88" i="20"/>
  <c r="W67" i="20"/>
  <c r="W89" i="20"/>
  <c r="X57" i="20"/>
  <c r="Y88" i="20"/>
  <c r="AF62" i="20"/>
  <c r="AA62" i="20"/>
  <c r="Y63" i="20"/>
  <c r="X56" i="20"/>
  <c r="W58" i="20"/>
  <c r="AE62" i="20"/>
  <c r="R68" i="20"/>
  <c r="S68" i="20" s="1"/>
  <c r="BB78" i="20"/>
  <c r="DP62" i="20"/>
  <c r="DL5" i="20"/>
  <c r="H11" i="22" s="1"/>
  <c r="H12" i="22" s="1"/>
  <c r="AU86" i="20"/>
  <c r="AN85" i="24" s="1"/>
  <c r="CM73" i="20"/>
  <c r="CN73" i="20" s="1"/>
  <c r="CN69" i="20"/>
  <c r="CO69" i="20" s="1"/>
  <c r="BC68" i="20"/>
  <c r="BD68" i="20" s="1"/>
  <c r="S69" i="20"/>
  <c r="T69" i="20" s="1"/>
  <c r="BB73" i="20"/>
  <c r="DW67" i="20"/>
  <c r="AU89" i="20"/>
  <c r="AN88" i="24" s="1"/>
  <c r="AV89" i="20"/>
  <c r="DP59" i="20"/>
  <c r="DV59" i="20"/>
  <c r="R79" i="20"/>
  <c r="CO76" i="20"/>
  <c r="BL76" i="24" s="1"/>
  <c r="R73" i="20"/>
  <c r="S73" i="20" s="1"/>
  <c r="DQ64" i="20"/>
  <c r="CL78" i="20"/>
  <c r="CM78" i="20" s="1"/>
  <c r="CL74" i="20"/>
  <c r="CM74" i="20" s="1"/>
  <c r="CN74" i="20" s="1"/>
  <c r="R78" i="20"/>
  <c r="S78" i="20" s="1"/>
  <c r="T78" i="20" s="1"/>
  <c r="DY76" i="20"/>
  <c r="CA76" i="24" s="1"/>
  <c r="BB80" i="20"/>
  <c r="AT80" i="24" s="1"/>
  <c r="AV80" i="20"/>
  <c r="AO80" i="24" s="1"/>
  <c r="R74" i="20"/>
  <c r="S74" i="20" s="1"/>
  <c r="AU77" i="20" l="1"/>
  <c r="AN77" i="24" s="1"/>
  <c r="AT58" i="20"/>
  <c r="AU58" i="20"/>
  <c r="AN58" i="24" s="1"/>
  <c r="BA37" i="24"/>
  <c r="W53" i="24"/>
  <c r="AL60" i="24"/>
  <c r="AL80" i="24"/>
  <c r="AL76" i="24"/>
  <c r="BA93" i="24"/>
  <c r="BA92" i="24" s="1"/>
  <c r="AL56" i="24"/>
  <c r="AL55" i="24"/>
  <c r="AL52" i="24"/>
  <c r="W56" i="24"/>
  <c r="W54" i="24"/>
  <c r="AL53" i="24"/>
  <c r="AL58" i="24"/>
  <c r="AL54" i="24"/>
  <c r="AL51" i="24" s="1"/>
  <c r="W58" i="24"/>
  <c r="AR5" i="20"/>
  <c r="F11" i="22" s="1"/>
  <c r="F12" i="22" s="1"/>
  <c r="W57" i="24"/>
  <c r="W59" i="24"/>
  <c r="W55" i="24"/>
  <c r="W60" i="24"/>
  <c r="H5" i="20"/>
  <c r="E11" i="22" s="1"/>
  <c r="E12" i="22" s="1"/>
  <c r="AL59" i="24"/>
  <c r="AL57" i="24"/>
  <c r="AL77" i="24"/>
  <c r="AL81" i="24"/>
  <c r="CB5" i="20"/>
  <c r="G11" i="22" s="1"/>
  <c r="G12" i="22" s="1"/>
  <c r="CG94" i="20"/>
  <c r="BE93" i="24" s="1"/>
  <c r="BE92" i="24" s="1"/>
  <c r="CE94" i="20"/>
  <c r="BC93" i="24" s="1"/>
  <c r="BC92" i="24" s="1"/>
  <c r="CD9" i="20"/>
  <c r="CC9" i="20" s="1"/>
  <c r="BB30" i="24"/>
  <c r="CC30" i="20"/>
  <c r="BB23" i="24"/>
  <c r="G23" i="24" s="1"/>
  <c r="CC23" i="20"/>
  <c r="DP60" i="20"/>
  <c r="DQ60" i="20" s="1"/>
  <c r="BT60" i="24" s="1"/>
  <c r="DV60" i="20"/>
  <c r="DW60" i="20" s="1"/>
  <c r="AS93" i="20"/>
  <c r="AT91" i="20"/>
  <c r="AS91" i="20" s="1"/>
  <c r="DO60" i="20"/>
  <c r="BR60" i="24" s="1"/>
  <c r="DV89" i="20"/>
  <c r="BX88" i="24" s="1"/>
  <c r="DN87" i="20"/>
  <c r="DP87" i="20" s="1"/>
  <c r="DQ87" i="20" s="1"/>
  <c r="BT86" i="24" s="1"/>
  <c r="DU87" i="20"/>
  <c r="BW86" i="24" s="1"/>
  <c r="DV86" i="20"/>
  <c r="DW86" i="20" s="1"/>
  <c r="DX86" i="20" s="1"/>
  <c r="DY86" i="20" s="1"/>
  <c r="DN88" i="20"/>
  <c r="DP88" i="20" s="1"/>
  <c r="BS87" i="24" s="1"/>
  <c r="DU88" i="20"/>
  <c r="BW87" i="24" s="1"/>
  <c r="BA2" i="24"/>
  <c r="H92" i="24"/>
  <c r="BA49" i="24"/>
  <c r="G17" i="24"/>
  <c r="I92" i="24"/>
  <c r="DU60" i="20"/>
  <c r="BW60" i="24" s="1"/>
  <c r="G92" i="24"/>
  <c r="BT66" i="24"/>
  <c r="BB88" i="20"/>
  <c r="AT87" i="24" s="1"/>
  <c r="BP2" i="24"/>
  <c r="Y93" i="24"/>
  <c r="Y92" i="24" s="1"/>
  <c r="K93" i="20"/>
  <c r="K91" i="20" s="1"/>
  <c r="W52" i="24"/>
  <c r="W2" i="24" s="1"/>
  <c r="H2" i="20"/>
  <c r="AA93" i="24"/>
  <c r="AA92" i="24" s="1"/>
  <c r="L92" i="24" s="1"/>
  <c r="M93" i="20"/>
  <c r="M91" i="20" s="1"/>
  <c r="AT52" i="20"/>
  <c r="AV52" i="20" s="1"/>
  <c r="AT56" i="20"/>
  <c r="BB56" i="20" s="1"/>
  <c r="AV88" i="20"/>
  <c r="AO87" i="24" s="1"/>
  <c r="CN79" i="20"/>
  <c r="CO79" i="20" s="1"/>
  <c r="DV53" i="20"/>
  <c r="DW53" i="20" s="1"/>
  <c r="BY53" i="24" s="1"/>
  <c r="BQ53" i="24"/>
  <c r="DU53" i="20"/>
  <c r="BW53" i="24" s="1"/>
  <c r="DN57" i="20"/>
  <c r="DP57" i="20" s="1"/>
  <c r="BS57" i="24" s="1"/>
  <c r="DU57" i="20"/>
  <c r="BW57" i="24" s="1"/>
  <c r="DO53" i="20"/>
  <c r="BR53" i="24" s="1"/>
  <c r="DO56" i="20"/>
  <c r="BR56" i="24" s="1"/>
  <c r="DU56" i="20"/>
  <c r="BW56" i="24" s="1"/>
  <c r="CK88" i="20"/>
  <c r="BH87" i="24" s="1"/>
  <c r="CK86" i="20"/>
  <c r="BH85" i="24" s="1"/>
  <c r="CK87" i="20"/>
  <c r="BH86" i="24" s="1"/>
  <c r="AU88" i="20"/>
  <c r="AN87" i="24" s="1"/>
  <c r="BA88" i="20"/>
  <c r="AS88" i="20" s="1"/>
  <c r="CN88" i="20"/>
  <c r="CO88" i="20" s="1"/>
  <c r="AT55" i="20"/>
  <c r="AV55" i="20" s="1"/>
  <c r="DO88" i="20"/>
  <c r="BR87" i="24" s="1"/>
  <c r="EO49" i="20"/>
  <c r="EO5" i="20" s="1"/>
  <c r="J56" i="20"/>
  <c r="X56" i="24" s="1"/>
  <c r="DX63" i="20"/>
  <c r="BZ63" i="24" s="1"/>
  <c r="BY65" i="24"/>
  <c r="CI71" i="20"/>
  <c r="BG71" i="24" s="1"/>
  <c r="DO87" i="20"/>
  <c r="BR86" i="24" s="1"/>
  <c r="EK49" i="20"/>
  <c r="EK5" i="20" s="1"/>
  <c r="DM54" i="20"/>
  <c r="EF49" i="20"/>
  <c r="EF5" i="20" s="1"/>
  <c r="DM58" i="20"/>
  <c r="BQ85" i="24"/>
  <c r="DM86" i="20"/>
  <c r="BQ55" i="24"/>
  <c r="BQ88" i="24"/>
  <c r="DM89" i="20"/>
  <c r="DM59" i="20"/>
  <c r="EE49" i="20"/>
  <c r="EE5" i="20" s="1"/>
  <c r="CC60" i="20"/>
  <c r="EM49" i="20"/>
  <c r="EG49" i="20"/>
  <c r="EG5" i="20" s="1"/>
  <c r="BB87" i="24"/>
  <c r="BB52" i="24"/>
  <c r="CC93" i="20"/>
  <c r="AS70" i="20"/>
  <c r="AS71" i="20"/>
  <c r="AS76" i="20"/>
  <c r="R80" i="20"/>
  <c r="AE80" i="24" s="1"/>
  <c r="AS71" i="24"/>
  <c r="AS76" i="24"/>
  <c r="R76" i="20"/>
  <c r="AE76" i="24" s="1"/>
  <c r="AS88" i="24"/>
  <c r="AS85" i="24"/>
  <c r="AS75" i="24"/>
  <c r="AS80" i="24"/>
  <c r="AS55" i="24"/>
  <c r="AS58" i="24"/>
  <c r="AS70" i="24"/>
  <c r="DP55" i="20"/>
  <c r="BS55" i="24" s="1"/>
  <c r="DO57" i="20"/>
  <c r="BR57" i="24" s="1"/>
  <c r="BC78" i="20"/>
  <c r="BD78" i="20" s="1"/>
  <c r="BE78" i="20" s="1"/>
  <c r="DV55" i="20"/>
  <c r="BX55" i="24" s="1"/>
  <c r="AM63" i="24"/>
  <c r="BC73" i="20"/>
  <c r="BD73" i="20" s="1"/>
  <c r="BE73" i="20" s="1"/>
  <c r="AM71" i="24"/>
  <c r="AV58" i="20"/>
  <c r="AO58" i="24" s="1"/>
  <c r="AM82" i="24"/>
  <c r="AM86" i="24"/>
  <c r="AM84" i="24" s="1"/>
  <c r="EI49" i="20"/>
  <c r="EI5" i="20" s="1"/>
  <c r="DO55" i="20"/>
  <c r="BR55" i="24" s="1"/>
  <c r="DU55" i="20"/>
  <c r="BW55" i="24" s="1"/>
  <c r="BB58" i="20"/>
  <c r="AT58" i="24" s="1"/>
  <c r="O75" i="20"/>
  <c r="AC75" i="24" s="1"/>
  <c r="DX66" i="20"/>
  <c r="DY66" i="20" s="1"/>
  <c r="CA66" i="24" s="1"/>
  <c r="BD66" i="20"/>
  <c r="BE66" i="20" s="1"/>
  <c r="AW66" i="24" s="1"/>
  <c r="BZ80" i="24"/>
  <c r="DP89" i="20"/>
  <c r="BS88" i="24" s="1"/>
  <c r="R77" i="20"/>
  <c r="S77" i="20" s="1"/>
  <c r="AF77" i="24" s="1"/>
  <c r="X85" i="24"/>
  <c r="DY65" i="20"/>
  <c r="CA65" i="24" s="1"/>
  <c r="J57" i="20"/>
  <c r="X57" i="24" s="1"/>
  <c r="EJ49" i="20"/>
  <c r="EJ5" i="20" s="1"/>
  <c r="BX62" i="24"/>
  <c r="EH49" i="20"/>
  <c r="EH5" i="20" s="1"/>
  <c r="J55" i="20"/>
  <c r="R55" i="20" s="1"/>
  <c r="AE55" i="24" s="1"/>
  <c r="AX67" i="20"/>
  <c r="AY67" i="20" s="1"/>
  <c r="AR67" i="24" s="1"/>
  <c r="DR63" i="20"/>
  <c r="BU63" i="24" s="1"/>
  <c r="CI70" i="20"/>
  <c r="BG70" i="24" s="1"/>
  <c r="BA82" i="20"/>
  <c r="AS82" i="20" s="1"/>
  <c r="EN49" i="20"/>
  <c r="EN5" i="20" s="1"/>
  <c r="BD64" i="20"/>
  <c r="AU64" i="24"/>
  <c r="DR65" i="20"/>
  <c r="BT65" i="24"/>
  <c r="CI75" i="20"/>
  <c r="BG75" i="24" s="1"/>
  <c r="BF75" i="24"/>
  <c r="BS62" i="24"/>
  <c r="DW62" i="20"/>
  <c r="BY67" i="24"/>
  <c r="AW64" i="20"/>
  <c r="AO64" i="24"/>
  <c r="DS66" i="20"/>
  <c r="BV66" i="24" s="1"/>
  <c r="BD65" i="20"/>
  <c r="AU65" i="24"/>
  <c r="DR67" i="20"/>
  <c r="BT67" i="24"/>
  <c r="AX65" i="20"/>
  <c r="AQ65" i="24" s="1"/>
  <c r="AP65" i="24"/>
  <c r="DY70" i="20"/>
  <c r="CA70" i="24" s="1"/>
  <c r="BZ70" i="24"/>
  <c r="R82" i="20"/>
  <c r="AE82" i="24" s="1"/>
  <c r="AC82" i="24"/>
  <c r="BZ75" i="24"/>
  <c r="DY75" i="20"/>
  <c r="CA75" i="24" s="1"/>
  <c r="BP51" i="24"/>
  <c r="BP49" i="24" s="1"/>
  <c r="AX66" i="20"/>
  <c r="AP66" i="24"/>
  <c r="DR64" i="20"/>
  <c r="BT64" i="24"/>
  <c r="BD67" i="20"/>
  <c r="AV67" i="24" s="1"/>
  <c r="AU67" i="24"/>
  <c r="DX64" i="20"/>
  <c r="BY64" i="24"/>
  <c r="CO82" i="20"/>
  <c r="BL82" i="24" s="1"/>
  <c r="BK82" i="24"/>
  <c r="O81" i="20"/>
  <c r="AB81" i="24"/>
  <c r="R87" i="20"/>
  <c r="X86" i="24"/>
  <c r="CF54" i="20"/>
  <c r="BD54" i="24" s="1"/>
  <c r="BB54" i="24"/>
  <c r="DW58" i="20"/>
  <c r="BX58" i="24"/>
  <c r="DV54" i="20"/>
  <c r="BX54" i="24" s="1"/>
  <c r="BQ54" i="24"/>
  <c r="BB82" i="20"/>
  <c r="AL82" i="24"/>
  <c r="DW59" i="20"/>
  <c r="BY59" i="24" s="1"/>
  <c r="BX59" i="24"/>
  <c r="AW86" i="20"/>
  <c r="AP85" i="24" s="1"/>
  <c r="AO85" i="24"/>
  <c r="BC89" i="20"/>
  <c r="AU88" i="24" s="1"/>
  <c r="AT88" i="24"/>
  <c r="BB76" i="20"/>
  <c r="AM76" i="24"/>
  <c r="L65" i="20"/>
  <c r="X65" i="24"/>
  <c r="R53" i="20"/>
  <c r="X53" i="24"/>
  <c r="CF60" i="20"/>
  <c r="BB60" i="24"/>
  <c r="CL53" i="20"/>
  <c r="BI53" i="24" s="1"/>
  <c r="BB53" i="24"/>
  <c r="AV70" i="20"/>
  <c r="AO70" i="24" s="1"/>
  <c r="AM70" i="24"/>
  <c r="DQ58" i="20"/>
  <c r="L63" i="20"/>
  <c r="X63" i="24"/>
  <c r="BB53" i="20"/>
  <c r="AT53" i="24" s="1"/>
  <c r="AM53" i="24"/>
  <c r="DQ59" i="20"/>
  <c r="BT59" i="24" s="1"/>
  <c r="BS59" i="24"/>
  <c r="BB86" i="24"/>
  <c r="AV72" i="20"/>
  <c r="AM72" i="24"/>
  <c r="AW89" i="20"/>
  <c r="AP88" i="24" s="1"/>
  <c r="AO88" i="24"/>
  <c r="L66" i="20"/>
  <c r="X66" i="24"/>
  <c r="CL67" i="20"/>
  <c r="BI67" i="24" s="1"/>
  <c r="BB67" i="24"/>
  <c r="BC86" i="20"/>
  <c r="AU85" i="24" s="1"/>
  <c r="AT85" i="24"/>
  <c r="AT75" i="20"/>
  <c r="AS75" i="20" s="1"/>
  <c r="AL75" i="24"/>
  <c r="DQ53" i="20"/>
  <c r="BT53" i="24" s="1"/>
  <c r="BS53" i="24"/>
  <c r="J91" i="20"/>
  <c r="I91" i="20" s="1"/>
  <c r="BB87" i="20"/>
  <c r="AT86" i="24" s="1"/>
  <c r="AV76" i="20"/>
  <c r="AU82" i="20"/>
  <c r="AN82" i="24" s="1"/>
  <c r="DP54" i="20"/>
  <c r="BS54" i="24" s="1"/>
  <c r="AV82" i="20"/>
  <c r="EP49" i="20"/>
  <c r="EP5" i="20" s="1"/>
  <c r="DU52" i="20"/>
  <c r="BW52" i="24" s="1"/>
  <c r="DN52" i="20"/>
  <c r="DO52" i="20"/>
  <c r="EQ49" i="20"/>
  <c r="EQ5" i="20" s="1"/>
  <c r="DN56" i="20"/>
  <c r="AR2" i="20"/>
  <c r="U78" i="20"/>
  <c r="BA77" i="20"/>
  <c r="AT77" i="20"/>
  <c r="AU56" i="20"/>
  <c r="AN56" i="24" s="1"/>
  <c r="BA56" i="20"/>
  <c r="T74" i="20"/>
  <c r="U74" i="20" s="1"/>
  <c r="BM49" i="20"/>
  <c r="BM5" i="20" s="1"/>
  <c r="BA87" i="20"/>
  <c r="AS87" i="20" s="1"/>
  <c r="AV87" i="20"/>
  <c r="BB70" i="20"/>
  <c r="AU87" i="20"/>
  <c r="AN86" i="24" s="1"/>
  <c r="AU72" i="20"/>
  <c r="BL49" i="20"/>
  <c r="BL5" i="20" s="1"/>
  <c r="BB72" i="20"/>
  <c r="DX67" i="20"/>
  <c r="BA52" i="20"/>
  <c r="CO73" i="20"/>
  <c r="DP86" i="20"/>
  <c r="BS85" i="24" s="1"/>
  <c r="AU52" i="20"/>
  <c r="AN52" i="24" s="1"/>
  <c r="CO68" i="20"/>
  <c r="CK53" i="20"/>
  <c r="BH53" i="24" s="1"/>
  <c r="CF53" i="20"/>
  <c r="CE53" i="20"/>
  <c r="BC53" i="24" s="1"/>
  <c r="CK54" i="20"/>
  <c r="BH54" i="24" s="1"/>
  <c r="CL54" i="20"/>
  <c r="CE54" i="20"/>
  <c r="BC54" i="24" s="1"/>
  <c r="AU53" i="20"/>
  <c r="AN53" i="24" s="1"/>
  <c r="BA72" i="20"/>
  <c r="AS72" i="20" s="1"/>
  <c r="AT69" i="20"/>
  <c r="BA53" i="20"/>
  <c r="AS53" i="20" s="1"/>
  <c r="CD58" i="20"/>
  <c r="DD49" i="20"/>
  <c r="DD5" i="20" s="1"/>
  <c r="CE55" i="20"/>
  <c r="BC55" i="24" s="1"/>
  <c r="CK58" i="20"/>
  <c r="BH58" i="24" s="1"/>
  <c r="CF67" i="20"/>
  <c r="DF49" i="20"/>
  <c r="DF5" i="20" s="1"/>
  <c r="CU49" i="20"/>
  <c r="CU5" i="20" s="1"/>
  <c r="CW49" i="20"/>
  <c r="CW5" i="20" s="1"/>
  <c r="CX49" i="20"/>
  <c r="CX5" i="20" s="1"/>
  <c r="Q66" i="20"/>
  <c r="AD66" i="24" s="1"/>
  <c r="BB71" i="20"/>
  <c r="AT71" i="24" s="1"/>
  <c r="AV71" i="20"/>
  <c r="AU63" i="20"/>
  <c r="AN63" i="24" s="1"/>
  <c r="AV53" i="20"/>
  <c r="BK49" i="20"/>
  <c r="BK5" i="20" s="1"/>
  <c r="BA63" i="20"/>
  <c r="AS63" i="20" s="1"/>
  <c r="AU74" i="20"/>
  <c r="BW49" i="20"/>
  <c r="BW5" i="20" s="1"/>
  <c r="BQ49" i="20"/>
  <c r="BQ5" i="20" s="1"/>
  <c r="BT49" i="20"/>
  <c r="BT5" i="20" s="1"/>
  <c r="AV63" i="20"/>
  <c r="BB63" i="20"/>
  <c r="BP49" i="20"/>
  <c r="BP5" i="20" s="1"/>
  <c r="BO49" i="20"/>
  <c r="BO5" i="20" s="1"/>
  <c r="AT60" i="20"/>
  <c r="BA60" i="20"/>
  <c r="K66" i="20"/>
  <c r="BN49" i="20"/>
  <c r="BN5" i="20" s="1"/>
  <c r="BU49" i="20"/>
  <c r="BU5" i="20" s="1"/>
  <c r="CE59" i="20"/>
  <c r="BC59" i="24" s="1"/>
  <c r="CE88" i="20"/>
  <c r="BC87" i="24" s="1"/>
  <c r="CY49" i="20"/>
  <c r="CY5" i="20" s="1"/>
  <c r="CV49" i="20"/>
  <c r="CV5" i="20" s="1"/>
  <c r="DC49" i="20"/>
  <c r="CK55" i="20"/>
  <c r="BH55" i="24" s="1"/>
  <c r="CD55" i="20"/>
  <c r="DG49" i="20"/>
  <c r="DG5" i="20" s="1"/>
  <c r="CL60" i="20"/>
  <c r="BI60" i="24" s="1"/>
  <c r="CE56" i="20"/>
  <c r="BC56" i="24" s="1"/>
  <c r="CD56" i="20"/>
  <c r="CK56" i="20"/>
  <c r="BH56" i="24" s="1"/>
  <c r="DE49" i="20"/>
  <c r="DE5" i="20" s="1"/>
  <c r="CK59" i="20"/>
  <c r="BH59" i="24" s="1"/>
  <c r="CD59" i="20"/>
  <c r="CD64" i="20"/>
  <c r="CE64" i="20"/>
  <c r="BC64" i="24" s="1"/>
  <c r="CE87" i="20"/>
  <c r="BC86" i="24" s="1"/>
  <c r="CE65" i="20"/>
  <c r="BC65" i="24" s="1"/>
  <c r="CD65" i="20"/>
  <c r="CK65" i="20"/>
  <c r="BH65" i="24" s="1"/>
  <c r="CE67" i="20"/>
  <c r="BC67" i="24" s="1"/>
  <c r="CF88" i="20"/>
  <c r="BI87" i="24"/>
  <c r="CZ49" i="20"/>
  <c r="CZ5" i="20" s="1"/>
  <c r="BH88" i="24"/>
  <c r="CD89" i="20"/>
  <c r="CL89" i="20" s="1"/>
  <c r="CM89" i="20" s="1"/>
  <c r="CN89" i="20" s="1"/>
  <c r="CE89" i="20"/>
  <c r="BC88" i="24" s="1"/>
  <c r="CK63" i="20"/>
  <c r="BH63" i="24" s="1"/>
  <c r="CD63" i="20"/>
  <c r="CE63" i="20"/>
  <c r="BC63" i="24" s="1"/>
  <c r="CD66" i="20"/>
  <c r="CK66" i="20"/>
  <c r="BH66" i="24" s="1"/>
  <c r="CE66" i="20"/>
  <c r="BC66" i="24" s="1"/>
  <c r="CK52" i="20"/>
  <c r="BH52" i="24" s="1"/>
  <c r="CE52" i="20"/>
  <c r="BC52" i="24" s="1"/>
  <c r="CK67" i="20"/>
  <c r="BH67" i="24" s="1"/>
  <c r="CF87" i="20"/>
  <c r="CK64" i="20"/>
  <c r="BH64" i="24" s="1"/>
  <c r="DA49" i="20"/>
  <c r="DA5" i="20" s="1"/>
  <c r="CD86" i="20"/>
  <c r="CL86" i="20" s="1"/>
  <c r="CM86" i="20" s="1"/>
  <c r="CE86" i="20"/>
  <c r="CD57" i="20"/>
  <c r="CE57" i="20"/>
  <c r="BC57" i="24" s="1"/>
  <c r="CK57" i="20"/>
  <c r="BH57" i="24" s="1"/>
  <c r="AT57" i="20"/>
  <c r="BA57" i="20"/>
  <c r="BV49" i="20"/>
  <c r="BV5" i="20" s="1"/>
  <c r="AT54" i="20"/>
  <c r="BA54" i="20"/>
  <c r="AU54" i="20"/>
  <c r="AN54" i="24" s="1"/>
  <c r="AU59" i="20"/>
  <c r="AN59" i="24" s="1"/>
  <c r="AT59" i="20"/>
  <c r="BA59" i="20"/>
  <c r="AU81" i="20"/>
  <c r="AN81" i="24" s="1"/>
  <c r="AT81" i="20"/>
  <c r="BA81" i="20"/>
  <c r="BS49" i="20"/>
  <c r="AU57" i="20"/>
  <c r="AN57" i="24" s="1"/>
  <c r="BC80" i="20"/>
  <c r="AU80" i="24" s="1"/>
  <c r="AW80" i="20"/>
  <c r="AP80" i="24" s="1"/>
  <c r="R66" i="20"/>
  <c r="L53" i="20"/>
  <c r="K53" i="20"/>
  <c r="Y53" i="24" s="1"/>
  <c r="Q55" i="20"/>
  <c r="AD55" i="24" s="1"/>
  <c r="K65" i="20"/>
  <c r="Q53" i="20"/>
  <c r="AD53" i="24" s="1"/>
  <c r="AJ49" i="20"/>
  <c r="AJ5" i="20" s="1"/>
  <c r="T73" i="20"/>
  <c r="U73" i="20" s="1"/>
  <c r="Q56" i="20"/>
  <c r="AD56" i="24" s="1"/>
  <c r="K56" i="20"/>
  <c r="Y56" i="24" s="1"/>
  <c r="AM49" i="20"/>
  <c r="AM5" i="20" s="1"/>
  <c r="CO74" i="20"/>
  <c r="CN78" i="20"/>
  <c r="CO78" i="20" s="1"/>
  <c r="Q65" i="20"/>
  <c r="AD65" i="24" s="1"/>
  <c r="DQ62" i="20"/>
  <c r="U69" i="20"/>
  <c r="K55" i="20"/>
  <c r="Y55" i="24" s="1"/>
  <c r="R86" i="20"/>
  <c r="AE85" i="24" s="1"/>
  <c r="L86" i="20"/>
  <c r="K86" i="20"/>
  <c r="Y85" i="24" s="1"/>
  <c r="K63" i="20"/>
  <c r="AL49" i="20"/>
  <c r="AL5" i="20" s="1"/>
  <c r="Q63" i="20"/>
  <c r="AD63" i="24" s="1"/>
  <c r="Q86" i="20"/>
  <c r="AD85" i="24" s="1"/>
  <c r="AI49" i="20"/>
  <c r="AG49" i="20"/>
  <c r="AG5" i="20" s="1"/>
  <c r="L87" i="20"/>
  <c r="AK49" i="20"/>
  <c r="AK5" i="20" s="1"/>
  <c r="K87" i="20"/>
  <c r="Y86" i="24" s="1"/>
  <c r="AF49" i="20"/>
  <c r="AF5" i="20" s="1"/>
  <c r="R63" i="20"/>
  <c r="Q87" i="20"/>
  <c r="AD86" i="24" s="1"/>
  <c r="AB49" i="20"/>
  <c r="AB5" i="20" s="1"/>
  <c r="AD49" i="20"/>
  <c r="AD5" i="20" s="1"/>
  <c r="Q59" i="20"/>
  <c r="AD59" i="24" s="1"/>
  <c r="J59" i="20"/>
  <c r="K59" i="20"/>
  <c r="Y59" i="24" s="1"/>
  <c r="K54" i="20"/>
  <c r="Y54" i="24" s="1"/>
  <c r="J54" i="20"/>
  <c r="Q54" i="20"/>
  <c r="AD54" i="24" s="1"/>
  <c r="AE49" i="20"/>
  <c r="AE5" i="20" s="1"/>
  <c r="J52" i="20"/>
  <c r="Q52" i="20"/>
  <c r="K52" i="20"/>
  <c r="Q67" i="20"/>
  <c r="AD67" i="24" s="1"/>
  <c r="K67" i="20"/>
  <c r="Y67" i="24" s="1"/>
  <c r="J67" i="20"/>
  <c r="Q88" i="20"/>
  <c r="AD87" i="24" s="1"/>
  <c r="K88" i="20"/>
  <c r="Y87" i="24" s="1"/>
  <c r="J88" i="20"/>
  <c r="J60" i="20"/>
  <c r="Q60" i="20"/>
  <c r="AD60" i="24" s="1"/>
  <c r="AC49" i="20"/>
  <c r="AC5" i="20" s="1"/>
  <c r="K58" i="20"/>
  <c r="Y58" i="24" s="1"/>
  <c r="J58" i="20"/>
  <c r="Q58" i="20"/>
  <c r="AD58" i="24" s="1"/>
  <c r="J89" i="20"/>
  <c r="K89" i="20"/>
  <c r="Y88" i="24" s="1"/>
  <c r="Q89" i="20"/>
  <c r="AD88" i="24" s="1"/>
  <c r="R65" i="20"/>
  <c r="K64" i="20"/>
  <c r="Y64" i="24" s="1"/>
  <c r="Q64" i="20"/>
  <c r="AD64" i="24" s="1"/>
  <c r="J64" i="20"/>
  <c r="AA49" i="20"/>
  <c r="AA5" i="20" s="1"/>
  <c r="K60" i="20"/>
  <c r="Y60" i="24" s="1"/>
  <c r="K57" i="20"/>
  <c r="Y57" i="24" s="1"/>
  <c r="Q57" i="20"/>
  <c r="AD57" i="24" s="1"/>
  <c r="T68" i="20"/>
  <c r="U68" i="20" s="1"/>
  <c r="BE68" i="20"/>
  <c r="CF52" i="20"/>
  <c r="BD52" i="24" s="1"/>
  <c r="CL52" i="20"/>
  <c r="BI52" i="24" s="1"/>
  <c r="S79" i="20"/>
  <c r="T79" i="20" s="1"/>
  <c r="BS60" i="24" l="1"/>
  <c r="BX60" i="24"/>
  <c r="J92" i="24"/>
  <c r="DN85" i="20"/>
  <c r="BQ86" i="24"/>
  <c r="DV87" i="20"/>
  <c r="BX86" i="24" s="1"/>
  <c r="BR84" i="24"/>
  <c r="BQ87" i="24"/>
  <c r="DV88" i="20"/>
  <c r="BX87" i="24" s="1"/>
  <c r="DW89" i="20"/>
  <c r="DX89" i="20" s="1"/>
  <c r="BZ88" i="24" s="1"/>
  <c r="BW84" i="24"/>
  <c r="AN84" i="24"/>
  <c r="AD84" i="24"/>
  <c r="Y84" i="24"/>
  <c r="AT84" i="24"/>
  <c r="BH84" i="24"/>
  <c r="H84" i="24"/>
  <c r="DM60" i="20"/>
  <c r="AL2" i="24"/>
  <c r="F2" i="24" s="1"/>
  <c r="AW88" i="20"/>
  <c r="AP87" i="24" s="1"/>
  <c r="BC88" i="20"/>
  <c r="AU87" i="24" s="1"/>
  <c r="W51" i="24"/>
  <c r="H51" i="24" s="1"/>
  <c r="BH2" i="24"/>
  <c r="BW2" i="24"/>
  <c r="AS52" i="20"/>
  <c r="Q2" i="20"/>
  <c r="J2" i="20"/>
  <c r="AD52" i="24"/>
  <c r="Y52" i="24"/>
  <c r="Y51" i="24" s="1"/>
  <c r="K2" i="20"/>
  <c r="AM52" i="24"/>
  <c r="BB52" i="20"/>
  <c r="BC52" i="20" s="1"/>
  <c r="AV56" i="20"/>
  <c r="AO56" i="24" s="1"/>
  <c r="AM56" i="24"/>
  <c r="AS56" i="20"/>
  <c r="L56" i="20"/>
  <c r="Z56" i="24" s="1"/>
  <c r="DY63" i="20"/>
  <c r="CA63" i="24" s="1"/>
  <c r="R56" i="20"/>
  <c r="S56" i="20" s="1"/>
  <c r="AF56" i="24" s="1"/>
  <c r="BX53" i="24"/>
  <c r="DM53" i="20"/>
  <c r="BQ57" i="24"/>
  <c r="DV57" i="20"/>
  <c r="DW57" i="20" s="1"/>
  <c r="BY57" i="24" s="1"/>
  <c r="BS86" i="24"/>
  <c r="BS84" i="24" s="1"/>
  <c r="BC85" i="24"/>
  <c r="CE2" i="20"/>
  <c r="CO89" i="20"/>
  <c r="CN86" i="20"/>
  <c r="CO86" i="20" s="1"/>
  <c r="S80" i="20"/>
  <c r="AF80" i="24" s="1"/>
  <c r="AS87" i="24"/>
  <c r="AM55" i="24"/>
  <c r="AS55" i="20"/>
  <c r="DV56" i="20"/>
  <c r="DW56" i="20" s="1"/>
  <c r="DX56" i="20" s="1"/>
  <c r="DY56" i="20" s="1"/>
  <c r="BB55" i="20"/>
  <c r="BC55" i="20" s="1"/>
  <c r="DM88" i="20"/>
  <c r="DQ88" i="20"/>
  <c r="DR88" i="20" s="1"/>
  <c r="BU87" i="24" s="1"/>
  <c r="DU85" i="20"/>
  <c r="DO85" i="20"/>
  <c r="DM87" i="20"/>
  <c r="S76" i="20"/>
  <c r="T76" i="20" s="1"/>
  <c r="AG76" i="24" s="1"/>
  <c r="BQ56" i="24"/>
  <c r="DM56" i="20"/>
  <c r="DM55" i="20"/>
  <c r="BQ52" i="24"/>
  <c r="DM52" i="20"/>
  <c r="DM57" i="20"/>
  <c r="DQ57" i="20"/>
  <c r="BT57" i="24" s="1"/>
  <c r="DR59" i="20"/>
  <c r="DS59" i="20" s="1"/>
  <c r="BV59" i="24" s="1"/>
  <c r="AW70" i="20"/>
  <c r="AP70" i="24" s="1"/>
  <c r="BB66" i="24"/>
  <c r="CC66" i="20"/>
  <c r="BB64" i="24"/>
  <c r="CC64" i="20"/>
  <c r="CC58" i="20"/>
  <c r="CC52" i="20"/>
  <c r="BB59" i="24"/>
  <c r="CC59" i="20"/>
  <c r="BB55" i="24"/>
  <c r="CC55" i="20"/>
  <c r="CC54" i="20"/>
  <c r="BB63" i="24"/>
  <c r="CC63" i="20"/>
  <c r="CC53" i="20"/>
  <c r="BB57" i="24"/>
  <c r="CC57" i="20"/>
  <c r="CC67" i="20"/>
  <c r="BB65" i="24"/>
  <c r="CC65" i="20"/>
  <c r="BB88" i="24"/>
  <c r="CC89" i="20"/>
  <c r="BB56" i="24"/>
  <c r="CC56" i="20"/>
  <c r="CC88" i="20"/>
  <c r="BB85" i="24"/>
  <c r="CC86" i="20"/>
  <c r="CC87" i="20"/>
  <c r="AS60" i="20"/>
  <c r="R75" i="20"/>
  <c r="S75" i="20" s="1"/>
  <c r="AS54" i="20"/>
  <c r="AS57" i="20"/>
  <c r="AS81" i="20"/>
  <c r="AS77" i="20"/>
  <c r="AS59" i="20"/>
  <c r="AW58" i="20"/>
  <c r="AP58" i="24" s="1"/>
  <c r="DQ55" i="20"/>
  <c r="BT55" i="24" s="1"/>
  <c r="AS52" i="24"/>
  <c r="AS86" i="24"/>
  <c r="AS82" i="24"/>
  <c r="AS60" i="24"/>
  <c r="AS54" i="24"/>
  <c r="AS56" i="24"/>
  <c r="AS63" i="24"/>
  <c r="AS57" i="24"/>
  <c r="AS59" i="24"/>
  <c r="AS53" i="24"/>
  <c r="DW55" i="20"/>
  <c r="AM59" i="24"/>
  <c r="AM60" i="24"/>
  <c r="AM54" i="24"/>
  <c r="BC58" i="20"/>
  <c r="AU58" i="24" s="1"/>
  <c r="AM81" i="24"/>
  <c r="AM75" i="24"/>
  <c r="AM57" i="24"/>
  <c r="BZ66" i="24"/>
  <c r="L57" i="20"/>
  <c r="M57" i="20" s="1"/>
  <c r="AA57" i="24" s="1"/>
  <c r="R57" i="20"/>
  <c r="AE57" i="24" s="1"/>
  <c r="DQ89" i="20"/>
  <c r="BT88" i="24" s="1"/>
  <c r="I65" i="20"/>
  <c r="AQ67" i="24"/>
  <c r="X58" i="24"/>
  <c r="I58" i="20"/>
  <c r="X54" i="24"/>
  <c r="I54" i="20"/>
  <c r="AE77" i="24"/>
  <c r="BT62" i="24"/>
  <c r="X59" i="24"/>
  <c r="I59" i="20"/>
  <c r="I63" i="20"/>
  <c r="I56" i="20"/>
  <c r="X64" i="24"/>
  <c r="I64" i="20"/>
  <c r="I87" i="20"/>
  <c r="AY65" i="20"/>
  <c r="AR65" i="24" s="1"/>
  <c r="BE67" i="20"/>
  <c r="AW67" i="24" s="1"/>
  <c r="I66" i="20"/>
  <c r="X60" i="24"/>
  <c r="I60" i="20"/>
  <c r="AV66" i="24"/>
  <c r="I57" i="20"/>
  <c r="I86" i="20"/>
  <c r="X67" i="24"/>
  <c r="I67" i="20"/>
  <c r="X88" i="24"/>
  <c r="I89" i="20"/>
  <c r="X87" i="24"/>
  <c r="I88" i="20"/>
  <c r="X52" i="24"/>
  <c r="I52" i="20"/>
  <c r="X55" i="24"/>
  <c r="I55" i="20"/>
  <c r="I53" i="20"/>
  <c r="DS63" i="20"/>
  <c r="BV63" i="24" s="1"/>
  <c r="L55" i="20"/>
  <c r="Z55" i="24" s="1"/>
  <c r="BC53" i="20"/>
  <c r="AU53" i="24" s="1"/>
  <c r="DX59" i="20"/>
  <c r="DY59" i="20" s="1"/>
  <c r="CA59" i="24" s="1"/>
  <c r="BY62" i="24"/>
  <c r="AV75" i="20"/>
  <c r="AO75" i="24" s="1"/>
  <c r="CM67" i="20"/>
  <c r="CN67" i="20" s="1"/>
  <c r="BK67" i="24" s="1"/>
  <c r="BB75" i="20"/>
  <c r="AT75" i="24" s="1"/>
  <c r="CM53" i="20"/>
  <c r="CN53" i="20" s="1"/>
  <c r="BK53" i="24" s="1"/>
  <c r="AX89" i="20"/>
  <c r="AY89" i="20" s="1"/>
  <c r="AR88" i="24" s="1"/>
  <c r="BW51" i="24"/>
  <c r="BH62" i="24"/>
  <c r="BZ64" i="24"/>
  <c r="DY64" i="20"/>
  <c r="CA64" i="24" s="1"/>
  <c r="DS65" i="20"/>
  <c r="BV65" i="24" s="1"/>
  <c r="BU65" i="24"/>
  <c r="BU67" i="24"/>
  <c r="DS67" i="20"/>
  <c r="BV67" i="24" s="1"/>
  <c r="BD86" i="20"/>
  <c r="AV85" i="24" s="1"/>
  <c r="T77" i="20"/>
  <c r="BE64" i="20"/>
  <c r="AW64" i="24" s="1"/>
  <c r="AV64" i="24"/>
  <c r="DW54" i="20"/>
  <c r="BY54" i="24" s="1"/>
  <c r="DX53" i="20"/>
  <c r="DY53" i="20" s="1"/>
  <c r="CA53" i="24" s="1"/>
  <c r="BE65" i="20"/>
  <c r="AW65" i="24" s="1"/>
  <c r="AV65" i="24"/>
  <c r="R81" i="20"/>
  <c r="AC81" i="24"/>
  <c r="DS64" i="20"/>
  <c r="BU64" i="24"/>
  <c r="AY66" i="20"/>
  <c r="AR66" i="24" s="1"/>
  <c r="AQ66" i="24"/>
  <c r="AX64" i="20"/>
  <c r="AP64" i="24"/>
  <c r="DR62" i="20"/>
  <c r="DX62" i="20"/>
  <c r="BZ67" i="24"/>
  <c r="S82" i="20"/>
  <c r="S65" i="20"/>
  <c r="AF65" i="24" s="1"/>
  <c r="AE65" i="24"/>
  <c r="BA79" i="20"/>
  <c r="AS81" i="24"/>
  <c r="Y66" i="24"/>
  <c r="CG67" i="20"/>
  <c r="BE67" i="24" s="1"/>
  <c r="BD67" i="24"/>
  <c r="CG53" i="20"/>
  <c r="BE53" i="24" s="1"/>
  <c r="BD53" i="24"/>
  <c r="DO51" i="20"/>
  <c r="BR52" i="24"/>
  <c r="M65" i="20"/>
  <c r="AA65" i="24" s="1"/>
  <c r="Z65" i="24"/>
  <c r="BA69" i="20"/>
  <c r="AS69" i="20" s="1"/>
  <c r="AS72" i="24"/>
  <c r="BC70" i="20"/>
  <c r="AU70" i="24" s="1"/>
  <c r="AT70" i="24"/>
  <c r="DR87" i="20"/>
  <c r="BJ86" i="24"/>
  <c r="BI86" i="24"/>
  <c r="Y63" i="24"/>
  <c r="BH51" i="24"/>
  <c r="BC72" i="20"/>
  <c r="AU72" i="24" s="1"/>
  <c r="AT72" i="24"/>
  <c r="BA74" i="20"/>
  <c r="AS77" i="24"/>
  <c r="AX86" i="20"/>
  <c r="CG54" i="20"/>
  <c r="BE54" i="24" s="1"/>
  <c r="S55" i="20"/>
  <c r="Y65" i="24"/>
  <c r="AW55" i="20"/>
  <c r="AP55" i="24" s="1"/>
  <c r="AO55" i="24"/>
  <c r="BX85" i="24"/>
  <c r="AN51" i="24"/>
  <c r="AW76" i="20"/>
  <c r="AP76" i="24" s="1"/>
  <c r="AO76" i="24"/>
  <c r="AL62" i="24"/>
  <c r="H62" i="24" s="1"/>
  <c r="DX58" i="20"/>
  <c r="BY58" i="24"/>
  <c r="M66" i="20"/>
  <c r="AA66" i="24" s="1"/>
  <c r="Z66" i="24"/>
  <c r="AD62" i="24"/>
  <c r="BC51" i="24"/>
  <c r="AV77" i="20"/>
  <c r="AM77" i="24"/>
  <c r="AW87" i="20"/>
  <c r="AP86" i="24" s="1"/>
  <c r="AO86" i="24"/>
  <c r="AO84" i="24" s="1"/>
  <c r="M87" i="20"/>
  <c r="AA86" i="24" s="1"/>
  <c r="Z86" i="24"/>
  <c r="M86" i="20"/>
  <c r="AA85" i="24" s="1"/>
  <c r="Z85" i="24"/>
  <c r="BD89" i="20"/>
  <c r="BC56" i="20"/>
  <c r="AT56" i="24"/>
  <c r="CG60" i="20"/>
  <c r="BD60" i="24"/>
  <c r="S66" i="20"/>
  <c r="AE66" i="24"/>
  <c r="CG87" i="20"/>
  <c r="BE86" i="24" s="1"/>
  <c r="BD86" i="24"/>
  <c r="AW72" i="20"/>
  <c r="AP72" i="24" s="1"/>
  <c r="AO72" i="24"/>
  <c r="BC82" i="20"/>
  <c r="AT82" i="24"/>
  <c r="DQ54" i="20"/>
  <c r="BT54" i="24" s="1"/>
  <c r="AW71" i="20"/>
  <c r="AP71" i="24" s="1"/>
  <c r="AO71" i="24"/>
  <c r="DR53" i="20"/>
  <c r="BC63" i="20"/>
  <c r="AT63" i="24"/>
  <c r="CF58" i="20"/>
  <c r="BB58" i="24"/>
  <c r="CM54" i="20"/>
  <c r="BI54" i="24"/>
  <c r="AN72" i="24"/>
  <c r="AN62" i="24" s="1"/>
  <c r="DR60" i="20"/>
  <c r="AW82" i="20"/>
  <c r="AP82" i="24" s="1"/>
  <c r="AO82" i="24"/>
  <c r="BC87" i="20"/>
  <c r="AU86" i="24" s="1"/>
  <c r="M63" i="20"/>
  <c r="AA63" i="24" s="1"/>
  <c r="Z63" i="24"/>
  <c r="BC76" i="20"/>
  <c r="AT76" i="24"/>
  <c r="S63" i="20"/>
  <c r="AF63" i="24" s="1"/>
  <c r="AE63" i="24"/>
  <c r="DR58" i="20"/>
  <c r="BU58" i="24" s="1"/>
  <c r="BT58" i="24"/>
  <c r="M53" i="20"/>
  <c r="AA53" i="24" s="1"/>
  <c r="Z53" i="24"/>
  <c r="BC62" i="24"/>
  <c r="CG88" i="20"/>
  <c r="BE87" i="24" s="1"/>
  <c r="BD87" i="24"/>
  <c r="AW63" i="20"/>
  <c r="AP63" i="24" s="1"/>
  <c r="AO63" i="24"/>
  <c r="AW53" i="20"/>
  <c r="AP53" i="24" s="1"/>
  <c r="AO53" i="24"/>
  <c r="AW52" i="20"/>
  <c r="AP52" i="24" s="1"/>
  <c r="AO52" i="24"/>
  <c r="DX60" i="20"/>
  <c r="BZ60" i="24" s="1"/>
  <c r="BY60" i="24"/>
  <c r="S53" i="20"/>
  <c r="AE53" i="24"/>
  <c r="S87" i="20"/>
  <c r="AE86" i="24"/>
  <c r="AU79" i="20"/>
  <c r="DU2" i="20"/>
  <c r="DP56" i="20"/>
  <c r="DO2" i="20"/>
  <c r="DN51" i="20"/>
  <c r="DP52" i="20"/>
  <c r="BS52" i="24" s="1"/>
  <c r="DV52" i="20"/>
  <c r="BX52" i="24" s="1"/>
  <c r="DU51" i="20"/>
  <c r="DN2" i="20"/>
  <c r="AT74" i="20"/>
  <c r="BB77" i="20"/>
  <c r="U79" i="20"/>
  <c r="AU69" i="20"/>
  <c r="AV69" i="20"/>
  <c r="BB69" i="20"/>
  <c r="DY67" i="20"/>
  <c r="DP85" i="20"/>
  <c r="DQ86" i="20"/>
  <c r="CK2" i="20"/>
  <c r="CD2" i="20"/>
  <c r="CG52" i="20"/>
  <c r="CL58" i="20"/>
  <c r="AU2" i="20"/>
  <c r="AT2" i="20"/>
  <c r="BA2" i="20"/>
  <c r="BC71" i="20"/>
  <c r="CD51" i="20"/>
  <c r="BA85" i="20"/>
  <c r="AV60" i="20"/>
  <c r="BB60" i="20"/>
  <c r="AT60" i="24" s="1"/>
  <c r="BA51" i="20"/>
  <c r="AU85" i="20"/>
  <c r="CE85" i="20"/>
  <c r="CK51" i="20"/>
  <c r="CL65" i="20"/>
  <c r="BI65" i="24" s="1"/>
  <c r="CF65" i="20"/>
  <c r="CD62" i="20"/>
  <c r="CF63" i="20"/>
  <c r="BD63" i="24" s="1"/>
  <c r="CL63" i="20"/>
  <c r="BI63" i="24" s="1"/>
  <c r="CD85" i="20"/>
  <c r="CF86" i="20"/>
  <c r="BI85" i="24"/>
  <c r="CK62" i="20"/>
  <c r="CK85" i="20"/>
  <c r="CE51" i="20"/>
  <c r="CL64" i="20"/>
  <c r="BI64" i="24" s="1"/>
  <c r="CF64" i="20"/>
  <c r="CF89" i="20"/>
  <c r="CL59" i="20"/>
  <c r="CF59" i="20"/>
  <c r="CL66" i="20"/>
  <c r="BI66" i="24" s="1"/>
  <c r="CF66" i="20"/>
  <c r="BD66" i="24" s="1"/>
  <c r="CL55" i="20"/>
  <c r="CF55" i="20"/>
  <c r="CF57" i="20"/>
  <c r="BD57" i="24" s="1"/>
  <c r="CL57" i="20"/>
  <c r="BI57" i="24" s="1"/>
  <c r="CE62" i="20"/>
  <c r="CF56" i="20"/>
  <c r="CL56" i="20"/>
  <c r="BI56" i="24" s="1"/>
  <c r="CM60" i="20"/>
  <c r="BB59" i="20"/>
  <c r="AT59" i="24" s="1"/>
  <c r="AV59" i="20"/>
  <c r="AU51" i="20"/>
  <c r="BB54" i="20"/>
  <c r="AV54" i="20"/>
  <c r="AO54" i="24" s="1"/>
  <c r="AT51" i="20"/>
  <c r="AX80" i="20"/>
  <c r="AQ80" i="24" s="1"/>
  <c r="BB81" i="20"/>
  <c r="AV81" i="20"/>
  <c r="AO81" i="24" s="1"/>
  <c r="AT79" i="20"/>
  <c r="BB57" i="20"/>
  <c r="AV57" i="20"/>
  <c r="AT85" i="20"/>
  <c r="BD80" i="20"/>
  <c r="AV80" i="24" s="1"/>
  <c r="J62" i="20"/>
  <c r="Q62" i="20"/>
  <c r="S86" i="20"/>
  <c r="AF85" i="24" s="1"/>
  <c r="K62" i="20"/>
  <c r="Q85" i="20"/>
  <c r="Q51" i="20"/>
  <c r="L89" i="20"/>
  <c r="R89" i="20"/>
  <c r="R52" i="20"/>
  <c r="L52" i="20"/>
  <c r="J51" i="20"/>
  <c r="L54" i="20"/>
  <c r="R54" i="20"/>
  <c r="R88" i="20"/>
  <c r="L88" i="20"/>
  <c r="Z87" i="24" s="1"/>
  <c r="K85" i="20"/>
  <c r="R64" i="20"/>
  <c r="L64" i="20"/>
  <c r="Z64" i="24" s="1"/>
  <c r="L58" i="20"/>
  <c r="R58" i="20"/>
  <c r="R67" i="20"/>
  <c r="L67" i="20"/>
  <c r="L60" i="20"/>
  <c r="Z60" i="24" s="1"/>
  <c r="R60" i="20"/>
  <c r="L59" i="20"/>
  <c r="R59" i="20"/>
  <c r="K51" i="20"/>
  <c r="J85" i="20"/>
  <c r="CM52" i="20"/>
  <c r="BJ52" i="24" s="1"/>
  <c r="R2" i="20" l="1"/>
  <c r="BQ84" i="24"/>
  <c r="DM85" i="20"/>
  <c r="AT52" i="24"/>
  <c r="DV85" i="20"/>
  <c r="BX84" i="24"/>
  <c r="DY89" i="20"/>
  <c r="CA88" i="24" s="1"/>
  <c r="DW87" i="20"/>
  <c r="DX87" i="20" s="1"/>
  <c r="DW88" i="20"/>
  <c r="BW49" i="24"/>
  <c r="AP84" i="24"/>
  <c r="AN49" i="24"/>
  <c r="AX88" i="20"/>
  <c r="AY88" i="20" s="1"/>
  <c r="AR87" i="24" s="1"/>
  <c r="AU84" i="24"/>
  <c r="AS84" i="24"/>
  <c r="X84" i="24"/>
  <c r="BH49" i="24"/>
  <c r="BB84" i="24"/>
  <c r="BC2" i="24"/>
  <c r="BC84" i="24"/>
  <c r="AL49" i="24"/>
  <c r="W49" i="24"/>
  <c r="H49" i="24"/>
  <c r="H2" i="24"/>
  <c r="BD88" i="20"/>
  <c r="AV87" i="24" s="1"/>
  <c r="T80" i="20"/>
  <c r="AG80" i="24" s="1"/>
  <c r="AE56" i="24"/>
  <c r="BB2" i="24"/>
  <c r="AS2" i="24"/>
  <c r="AM2" i="24"/>
  <c r="BR51" i="24"/>
  <c r="BR2" i="24"/>
  <c r="BQ2" i="24"/>
  <c r="Y2" i="24"/>
  <c r="X2" i="24"/>
  <c r="AD51" i="24"/>
  <c r="AD49" i="24" s="1"/>
  <c r="AD2" i="24"/>
  <c r="AN2" i="24"/>
  <c r="Z52" i="24"/>
  <c r="L2" i="20"/>
  <c r="AE52" i="24"/>
  <c r="I2" i="20"/>
  <c r="AW56" i="20"/>
  <c r="AP56" i="24" s="1"/>
  <c r="M56" i="20"/>
  <c r="AA56" i="24" s="1"/>
  <c r="CC2" i="20"/>
  <c r="DM2" i="20"/>
  <c r="BT87" i="24"/>
  <c r="BX57" i="24"/>
  <c r="DX57" i="20"/>
  <c r="DY57" i="20" s="1"/>
  <c r="CA57" i="24" s="1"/>
  <c r="CH88" i="20"/>
  <c r="CI88" i="20" s="1"/>
  <c r="BG87" i="24" s="1"/>
  <c r="AS2" i="20"/>
  <c r="AT55" i="24"/>
  <c r="AS79" i="20"/>
  <c r="DU49" i="20"/>
  <c r="DU5" i="20" s="1"/>
  <c r="BY88" i="24"/>
  <c r="DO49" i="20"/>
  <c r="DO5" i="20" s="1"/>
  <c r="AF76" i="24"/>
  <c r="BQ51" i="24"/>
  <c r="BQ49" i="24" s="1"/>
  <c r="DR57" i="20"/>
  <c r="DS57" i="20" s="1"/>
  <c r="BV57" i="24" s="1"/>
  <c r="DN49" i="20"/>
  <c r="DM51" i="20"/>
  <c r="BU59" i="24"/>
  <c r="AX70" i="20"/>
  <c r="AQ70" i="24" s="1"/>
  <c r="CC62" i="20"/>
  <c r="BB51" i="24"/>
  <c r="CC85" i="20"/>
  <c r="BB62" i="24"/>
  <c r="CC51" i="20"/>
  <c r="DR89" i="20"/>
  <c r="DS89" i="20" s="1"/>
  <c r="BV88" i="24" s="1"/>
  <c r="AS74" i="20"/>
  <c r="AF75" i="24"/>
  <c r="T75" i="20"/>
  <c r="AG75" i="24" s="1"/>
  <c r="AS85" i="20"/>
  <c r="AE75" i="24"/>
  <c r="AS51" i="20"/>
  <c r="DR55" i="20"/>
  <c r="DS55" i="20" s="1"/>
  <c r="BV55" i="24" s="1"/>
  <c r="BD58" i="20"/>
  <c r="BE58" i="20" s="1"/>
  <c r="AW58" i="24" s="1"/>
  <c r="AX58" i="20"/>
  <c r="AQ58" i="24" s="1"/>
  <c r="AM51" i="24"/>
  <c r="AS51" i="24"/>
  <c r="AM62" i="24"/>
  <c r="T63" i="20"/>
  <c r="U63" i="20" s="1"/>
  <c r="AH63" i="24" s="1"/>
  <c r="S57" i="20"/>
  <c r="AF57" i="24" s="1"/>
  <c r="BY55" i="24"/>
  <c r="DX55" i="20"/>
  <c r="Z57" i="24"/>
  <c r="DQ85" i="20"/>
  <c r="I85" i="20"/>
  <c r="N57" i="20"/>
  <c r="AB57" i="24" s="1"/>
  <c r="BZ59" i="24"/>
  <c r="X51" i="24"/>
  <c r="M55" i="20"/>
  <c r="AA55" i="24" s="1"/>
  <c r="I62" i="20"/>
  <c r="AV74" i="20"/>
  <c r="T65" i="20"/>
  <c r="U65" i="20" s="1"/>
  <c r="AH65" i="24" s="1"/>
  <c r="BZ53" i="24"/>
  <c r="BJ67" i="24"/>
  <c r="X62" i="24"/>
  <c r="AW75" i="20"/>
  <c r="AP75" i="24" s="1"/>
  <c r="AQ88" i="24"/>
  <c r="BJ53" i="24"/>
  <c r="I51" i="20"/>
  <c r="DS88" i="20"/>
  <c r="BV87" i="24" s="1"/>
  <c r="CH67" i="20"/>
  <c r="CI67" i="20" s="1"/>
  <c r="BG67" i="24" s="1"/>
  <c r="BD53" i="20"/>
  <c r="AV53" i="24" s="1"/>
  <c r="BD72" i="20"/>
  <c r="BE72" i="20" s="1"/>
  <c r="AW72" i="24" s="1"/>
  <c r="BE86" i="20"/>
  <c r="AW85" i="24" s="1"/>
  <c r="CH87" i="20"/>
  <c r="CI87" i="20" s="1"/>
  <c r="BG86" i="24" s="1"/>
  <c r="AX76" i="20"/>
  <c r="AY76" i="20" s="1"/>
  <c r="AR76" i="24" s="1"/>
  <c r="CO67" i="20"/>
  <c r="BL67" i="24" s="1"/>
  <c r="AX53" i="20"/>
  <c r="AY53" i="20" s="1"/>
  <c r="AR53" i="24" s="1"/>
  <c r="BC75" i="20"/>
  <c r="AU75" i="24" s="1"/>
  <c r="BL86" i="24"/>
  <c r="BU62" i="24"/>
  <c r="AS62" i="24"/>
  <c r="O62" i="24" s="1"/>
  <c r="DX54" i="20"/>
  <c r="DY54" i="20" s="1"/>
  <c r="CA54" i="24" s="1"/>
  <c r="U76" i="20"/>
  <c r="AH76" i="24" s="1"/>
  <c r="Y62" i="24"/>
  <c r="AU62" i="20"/>
  <c r="AU49" i="20" s="1"/>
  <c r="AU5" i="20" s="1"/>
  <c r="N53" i="20"/>
  <c r="AB53" i="24" s="1"/>
  <c r="AX71" i="20"/>
  <c r="AQ71" i="24" s="1"/>
  <c r="AX82" i="20"/>
  <c r="AY82" i="20" s="1"/>
  <c r="AR82" i="24" s="1"/>
  <c r="T82" i="20"/>
  <c r="AG82" i="24" s="1"/>
  <c r="AF82" i="24"/>
  <c r="AW69" i="20"/>
  <c r="S81" i="20"/>
  <c r="AF81" i="24" s="1"/>
  <c r="AE81" i="24"/>
  <c r="U77" i="20"/>
  <c r="AH77" i="24" s="1"/>
  <c r="AG77" i="24"/>
  <c r="BZ62" i="24"/>
  <c r="N87" i="20"/>
  <c r="O87" i="20" s="1"/>
  <c r="AC86" i="24" s="1"/>
  <c r="DY62" i="20"/>
  <c r="CA67" i="24"/>
  <c r="CA62" i="24" s="1"/>
  <c r="AX63" i="20"/>
  <c r="AQ63" i="24" s="1"/>
  <c r="AX72" i="20"/>
  <c r="AY72" i="20" s="1"/>
  <c r="AR72" i="24" s="1"/>
  <c r="N63" i="20"/>
  <c r="O63" i="20" s="1"/>
  <c r="AC63" i="24" s="1"/>
  <c r="BA62" i="20"/>
  <c r="AQ64" i="24"/>
  <c r="AY64" i="20"/>
  <c r="AR64" i="24" s="1"/>
  <c r="BV64" i="24"/>
  <c r="BV62" i="24" s="1"/>
  <c r="DS62" i="20"/>
  <c r="S60" i="20"/>
  <c r="AF60" i="24" s="1"/>
  <c r="AE60" i="24"/>
  <c r="S64" i="20"/>
  <c r="AE64" i="24"/>
  <c r="CG59" i="20"/>
  <c r="BD59" i="24"/>
  <c r="BY56" i="24"/>
  <c r="BX56" i="24"/>
  <c r="AW57" i="20"/>
  <c r="AO57" i="24"/>
  <c r="BC54" i="20"/>
  <c r="AT54" i="24"/>
  <c r="CM59" i="20"/>
  <c r="BI59" i="24"/>
  <c r="CG58" i="20"/>
  <c r="BE58" i="24" s="1"/>
  <c r="BD58" i="24"/>
  <c r="AY86" i="20"/>
  <c r="AR85" i="24" s="1"/>
  <c r="AQ85" i="24"/>
  <c r="BC57" i="20"/>
  <c r="AU57" i="24" s="1"/>
  <c r="AT57" i="24"/>
  <c r="BI88" i="24"/>
  <c r="BI84" i="24" s="1"/>
  <c r="BD71" i="20"/>
  <c r="AU71" i="24"/>
  <c r="BE60" i="24"/>
  <c r="CH60" i="20"/>
  <c r="S67" i="20"/>
  <c r="AF67" i="24" s="1"/>
  <c r="AE67" i="24"/>
  <c r="CG55" i="20"/>
  <c r="BE55" i="24" s="1"/>
  <c r="BD55" i="24"/>
  <c r="AX52" i="20"/>
  <c r="BD70" i="20"/>
  <c r="DS60" i="20"/>
  <c r="BV60" i="24" s="1"/>
  <c r="BU60" i="24"/>
  <c r="AW77" i="20"/>
  <c r="AP77" i="24" s="1"/>
  <c r="AO77" i="24"/>
  <c r="AO62" i="24" s="1"/>
  <c r="S54" i="20"/>
  <c r="AF54" i="24" s="1"/>
  <c r="AE54" i="24"/>
  <c r="CM55" i="20"/>
  <c r="BJ55" i="24" s="1"/>
  <c r="BI55" i="24"/>
  <c r="CG64" i="20"/>
  <c r="BD64" i="24"/>
  <c r="BI62" i="24"/>
  <c r="CH53" i="20"/>
  <c r="AU76" i="24"/>
  <c r="BD76" i="20"/>
  <c r="T87" i="20"/>
  <c r="AG86" i="24" s="1"/>
  <c r="AF86" i="24"/>
  <c r="CA85" i="24"/>
  <c r="BY85" i="24"/>
  <c r="S89" i="20"/>
  <c r="AF88" i="24" s="1"/>
  <c r="AE88" i="24"/>
  <c r="M67" i="20"/>
  <c r="AA67" i="24" s="1"/>
  <c r="Z67" i="24"/>
  <c r="Z62" i="24" s="1"/>
  <c r="AX87" i="20"/>
  <c r="AU52" i="24"/>
  <c r="BD52" i="20"/>
  <c r="S88" i="20"/>
  <c r="AE87" i="24"/>
  <c r="AW59" i="20"/>
  <c r="AP59" i="24" s="1"/>
  <c r="AO59" i="24"/>
  <c r="CG89" i="20"/>
  <c r="BD88" i="24"/>
  <c r="BD63" i="20"/>
  <c r="AU63" i="24"/>
  <c r="BD82" i="20"/>
  <c r="AU82" i="24"/>
  <c r="S58" i="20"/>
  <c r="AF58" i="24" s="1"/>
  <c r="AE58" i="24"/>
  <c r="M54" i="20"/>
  <c r="Z54" i="24"/>
  <c r="T56" i="20"/>
  <c r="N86" i="20"/>
  <c r="BB79" i="20"/>
  <c r="AT81" i="24"/>
  <c r="CN60" i="20"/>
  <c r="BK60" i="24" s="1"/>
  <c r="BJ60" i="24"/>
  <c r="BK87" i="24"/>
  <c r="BJ87" i="24"/>
  <c r="AX55" i="20"/>
  <c r="DR86" i="20"/>
  <c r="BU85" i="24" s="1"/>
  <c r="BT85" i="24"/>
  <c r="BC77" i="20"/>
  <c r="AT77" i="24"/>
  <c r="BD87" i="20"/>
  <c r="AU55" i="24"/>
  <c r="BD55" i="20"/>
  <c r="AU56" i="24"/>
  <c r="BD56" i="20"/>
  <c r="N65" i="20"/>
  <c r="DS53" i="20"/>
  <c r="BV53" i="24" s="1"/>
  <c r="BU53" i="24"/>
  <c r="M89" i="20"/>
  <c r="Z88" i="24"/>
  <c r="Z84" i="24" s="1"/>
  <c r="AF53" i="24"/>
  <c r="T53" i="20"/>
  <c r="S59" i="20"/>
  <c r="AF59" i="24" s="1"/>
  <c r="AE59" i="24"/>
  <c r="CO53" i="20"/>
  <c r="BL53" i="24" s="1"/>
  <c r="CM58" i="20"/>
  <c r="BJ58" i="24" s="1"/>
  <c r="BI58" i="24"/>
  <c r="CH54" i="20"/>
  <c r="DY60" i="20"/>
  <c r="CA60" i="24" s="1"/>
  <c r="BE89" i="20"/>
  <c r="AW88" i="24" s="1"/>
  <c r="AV88" i="24"/>
  <c r="DS87" i="20"/>
  <c r="BV86" i="24" s="1"/>
  <c r="BU86" i="24"/>
  <c r="N66" i="20"/>
  <c r="DS58" i="20"/>
  <c r="BV58" i="24" s="1"/>
  <c r="T66" i="20"/>
  <c r="AG66" i="24" s="1"/>
  <c r="AF66" i="24"/>
  <c r="CG86" i="20"/>
  <c r="BE85" i="24" s="1"/>
  <c r="BD85" i="24"/>
  <c r="M58" i="20"/>
  <c r="Z58" i="24"/>
  <c r="M59" i="20"/>
  <c r="AA59" i="24" s="1"/>
  <c r="Z59" i="24"/>
  <c r="CG56" i="20"/>
  <c r="BD56" i="24"/>
  <c r="CG65" i="20"/>
  <c r="BD65" i="24"/>
  <c r="AW60" i="20"/>
  <c r="AP60" i="24" s="1"/>
  <c r="AO60" i="24"/>
  <c r="CH52" i="20"/>
  <c r="BF52" i="24" s="1"/>
  <c r="BE52" i="24"/>
  <c r="DR54" i="20"/>
  <c r="BU54" i="24" s="1"/>
  <c r="DQ56" i="20"/>
  <c r="BS56" i="24"/>
  <c r="BS51" i="24" s="1"/>
  <c r="BS49" i="24" s="1"/>
  <c r="CN54" i="20"/>
  <c r="BJ54" i="24"/>
  <c r="BZ58" i="24"/>
  <c r="DY58" i="20"/>
  <c r="CA58" i="24" s="1"/>
  <c r="T55" i="20"/>
  <c r="AF55" i="24"/>
  <c r="DV2" i="20"/>
  <c r="DP2" i="20"/>
  <c r="DW52" i="20"/>
  <c r="BY52" i="24" s="1"/>
  <c r="DV51" i="20"/>
  <c r="DQ52" i="20"/>
  <c r="DP51" i="20"/>
  <c r="DP49" i="20" s="1"/>
  <c r="DP5" i="20" s="1"/>
  <c r="AT62" i="20"/>
  <c r="BB74" i="20"/>
  <c r="BC69" i="20"/>
  <c r="AV2" i="20"/>
  <c r="CN52" i="20"/>
  <c r="CL2" i="20"/>
  <c r="CF2" i="20"/>
  <c r="BB2" i="20"/>
  <c r="S52" i="20"/>
  <c r="CD49" i="20"/>
  <c r="CL51" i="20"/>
  <c r="CF51" i="20"/>
  <c r="BC81" i="20"/>
  <c r="BC60" i="20"/>
  <c r="CF62" i="20"/>
  <c r="CE49" i="20"/>
  <c r="CG57" i="20"/>
  <c r="BE57" i="24" s="1"/>
  <c r="CG66" i="20"/>
  <c r="CM66" i="20"/>
  <c r="CM56" i="20"/>
  <c r="CL85" i="20"/>
  <c r="CM65" i="20"/>
  <c r="BJ85" i="24"/>
  <c r="CF85" i="20"/>
  <c r="CM63" i="20"/>
  <c r="BJ63" i="24" s="1"/>
  <c r="CL62" i="20"/>
  <c r="CM57" i="20"/>
  <c r="CM64" i="20"/>
  <c r="CG63" i="20"/>
  <c r="BE63" i="24" s="1"/>
  <c r="CK49" i="20"/>
  <c r="CK5" i="20" s="1"/>
  <c r="BC59" i="20"/>
  <c r="AV51" i="20"/>
  <c r="AV85" i="20"/>
  <c r="AW81" i="20"/>
  <c r="AP81" i="24" s="1"/>
  <c r="AV79" i="20"/>
  <c r="AW54" i="20"/>
  <c r="AP54" i="24" s="1"/>
  <c r="BC85" i="20"/>
  <c r="BB85" i="20"/>
  <c r="BB51" i="20"/>
  <c r="AY80" i="20"/>
  <c r="AR80" i="24" s="1"/>
  <c r="BE80" i="20"/>
  <c r="AW80" i="24" s="1"/>
  <c r="T86" i="20"/>
  <c r="Q49" i="20"/>
  <c r="Q5" i="20" s="1"/>
  <c r="L62" i="20"/>
  <c r="R85" i="20"/>
  <c r="M88" i="20"/>
  <c r="AA87" i="24" s="1"/>
  <c r="M60" i="20"/>
  <c r="M52" i="20"/>
  <c r="L51" i="20"/>
  <c r="K49" i="20"/>
  <c r="K5" i="20" s="1"/>
  <c r="J49" i="20"/>
  <c r="L85" i="20"/>
  <c r="M64" i="20"/>
  <c r="R51" i="20"/>
  <c r="R62" i="20"/>
  <c r="DV49" i="20" l="1"/>
  <c r="DV5" i="20" s="1"/>
  <c r="BY86" i="24"/>
  <c r="AQ87" i="24"/>
  <c r="DW85" i="20"/>
  <c r="U80" i="20"/>
  <c r="AH80" i="24" s="1"/>
  <c r="DY87" i="20"/>
  <c r="CA86" i="24" s="1"/>
  <c r="BZ86" i="24"/>
  <c r="DX88" i="20"/>
  <c r="BZ87" i="24" s="1"/>
  <c r="BY87" i="24"/>
  <c r="BD84" i="24"/>
  <c r="X49" i="24"/>
  <c r="AE84" i="24"/>
  <c r="AM49" i="24"/>
  <c r="BT84" i="24"/>
  <c r="J62" i="24"/>
  <c r="Y49" i="24"/>
  <c r="BB49" i="24"/>
  <c r="J51" i="24"/>
  <c r="BR49" i="24"/>
  <c r="O84" i="24"/>
  <c r="AS49" i="24"/>
  <c r="I62" i="24"/>
  <c r="G84" i="24"/>
  <c r="I84" i="24"/>
  <c r="I2" i="24"/>
  <c r="I51" i="24"/>
  <c r="O2" i="24"/>
  <c r="J2" i="24"/>
  <c r="G62" i="24"/>
  <c r="G51" i="24"/>
  <c r="G2" i="24"/>
  <c r="O51" i="24"/>
  <c r="BE88" i="20"/>
  <c r="AW87" i="24" s="1"/>
  <c r="AT2" i="24"/>
  <c r="BX2" i="24"/>
  <c r="BI2" i="24"/>
  <c r="BS2" i="24"/>
  <c r="BD2" i="24"/>
  <c r="AO2" i="24"/>
  <c r="AE2" i="24"/>
  <c r="Z2" i="24"/>
  <c r="S2" i="20"/>
  <c r="AA52" i="24"/>
  <c r="M2" i="20"/>
  <c r="AX56" i="20"/>
  <c r="AY56" i="20" s="1"/>
  <c r="AR56" i="24" s="1"/>
  <c r="N56" i="20"/>
  <c r="O56" i="20" s="1"/>
  <c r="AC56" i="24" s="1"/>
  <c r="BX51" i="24"/>
  <c r="BX49" i="24" s="1"/>
  <c r="BZ57" i="24"/>
  <c r="BF87" i="24"/>
  <c r="BU57" i="24"/>
  <c r="U75" i="20"/>
  <c r="AH75" i="24" s="1"/>
  <c r="AG63" i="24"/>
  <c r="AY70" i="20"/>
  <c r="AR70" i="24" s="1"/>
  <c r="AX75" i="20"/>
  <c r="AQ75" i="24" s="1"/>
  <c r="DN5" i="20"/>
  <c r="DM5" i="20" s="1"/>
  <c r="DM49" i="20"/>
  <c r="BU55" i="24"/>
  <c r="O57" i="20"/>
  <c r="AC57" i="24" s="1"/>
  <c r="BU88" i="24"/>
  <c r="BU84" i="24" s="1"/>
  <c r="CD5" i="20"/>
  <c r="CC5" i="20" s="1"/>
  <c r="CC49" i="20"/>
  <c r="T57" i="20"/>
  <c r="U57" i="20" s="1"/>
  <c r="AH57" i="24" s="1"/>
  <c r="AV62" i="20"/>
  <c r="AV49" i="20" s="1"/>
  <c r="AV5" i="20" s="1"/>
  <c r="AQ82" i="24"/>
  <c r="AS62" i="20"/>
  <c r="AV58" i="24"/>
  <c r="AY58" i="20"/>
  <c r="AR58" i="24" s="1"/>
  <c r="BA49" i="20"/>
  <c r="N55" i="20"/>
  <c r="O55" i="20" s="1"/>
  <c r="AC55" i="24" s="1"/>
  <c r="DY55" i="20"/>
  <c r="CA55" i="24" s="1"/>
  <c r="BZ55" i="24"/>
  <c r="AT49" i="20"/>
  <c r="O53" i="20"/>
  <c r="AC53" i="24" s="1"/>
  <c r="BE53" i="20"/>
  <c r="AW53" i="24" s="1"/>
  <c r="AB63" i="24"/>
  <c r="T54" i="20"/>
  <c r="U54" i="20" s="1"/>
  <c r="AH54" i="24" s="1"/>
  <c r="BF86" i="24"/>
  <c r="BK86" i="24"/>
  <c r="AG65" i="24"/>
  <c r="T58" i="20"/>
  <c r="U58" i="20" s="1"/>
  <c r="AH58" i="24" s="1"/>
  <c r="AV72" i="24"/>
  <c r="BD75" i="20"/>
  <c r="AV75" i="24" s="1"/>
  <c r="BD69" i="20"/>
  <c r="BC74" i="20"/>
  <c r="U82" i="20"/>
  <c r="AH82" i="24" s="1"/>
  <c r="BD62" i="24"/>
  <c r="K62" i="24" s="1"/>
  <c r="BB62" i="20"/>
  <c r="BB49" i="20" s="1"/>
  <c r="BB5" i="20" s="1"/>
  <c r="AW74" i="20"/>
  <c r="AX77" i="20"/>
  <c r="AQ77" i="24" s="1"/>
  <c r="BF67" i="24"/>
  <c r="J5" i="20"/>
  <c r="I5" i="20" s="1"/>
  <c r="I49" i="20"/>
  <c r="AX60" i="20"/>
  <c r="AY60" i="20" s="1"/>
  <c r="AR60" i="24" s="1"/>
  <c r="AQ72" i="24"/>
  <c r="AQ76" i="24"/>
  <c r="AQ53" i="24"/>
  <c r="T59" i="20"/>
  <c r="U59" i="20" s="1"/>
  <c r="AH59" i="24" s="1"/>
  <c r="BZ54" i="24"/>
  <c r="AB86" i="24"/>
  <c r="AX69" i="20"/>
  <c r="CO60" i="20"/>
  <c r="BL60" i="24" s="1"/>
  <c r="DR85" i="20"/>
  <c r="AT62" i="24"/>
  <c r="BI51" i="24"/>
  <c r="BI49" i="24" s="1"/>
  <c r="AO51" i="24"/>
  <c r="AO49" i="24" s="1"/>
  <c r="AY63" i="20"/>
  <c r="AR63" i="24" s="1"/>
  <c r="T60" i="20"/>
  <c r="U60" i="20" s="1"/>
  <c r="AH60" i="24" s="1"/>
  <c r="BY51" i="24"/>
  <c r="AT51" i="24"/>
  <c r="N67" i="20"/>
  <c r="AB67" i="24" s="1"/>
  <c r="DS86" i="20"/>
  <c r="BV85" i="24" s="1"/>
  <c r="BV84" i="24" s="1"/>
  <c r="CA56" i="24"/>
  <c r="DS54" i="20"/>
  <c r="BV54" i="24" s="1"/>
  <c r="AY71" i="20"/>
  <c r="AR71" i="24" s="1"/>
  <c r="AE51" i="24"/>
  <c r="AP62" i="24"/>
  <c r="T89" i="20"/>
  <c r="U89" i="20" s="1"/>
  <c r="AH88" i="24" s="1"/>
  <c r="AE62" i="24"/>
  <c r="CN58" i="20"/>
  <c r="CO58" i="20" s="1"/>
  <c r="BL58" i="24" s="1"/>
  <c r="CN55" i="20"/>
  <c r="CO55" i="20" s="1"/>
  <c r="BL55" i="24" s="1"/>
  <c r="BL87" i="24"/>
  <c r="Z51" i="24"/>
  <c r="Z49" i="24" s="1"/>
  <c r="BD51" i="24"/>
  <c r="T81" i="20"/>
  <c r="AG81" i="24" s="1"/>
  <c r="CH66" i="20"/>
  <c r="BE66" i="24"/>
  <c r="U56" i="20"/>
  <c r="AH56" i="24" s="1"/>
  <c r="AG56" i="24"/>
  <c r="AY52" i="20"/>
  <c r="AR52" i="24" s="1"/>
  <c r="AQ52" i="24"/>
  <c r="M62" i="20"/>
  <c r="AA64" i="24"/>
  <c r="AA62" i="24" s="1"/>
  <c r="BE76" i="20"/>
  <c r="AW76" i="24" s="1"/>
  <c r="AV76" i="24"/>
  <c r="CN65" i="20"/>
  <c r="BK65" i="24" s="1"/>
  <c r="BJ65" i="24"/>
  <c r="BK54" i="24"/>
  <c r="CO54" i="20"/>
  <c r="BL54" i="24" s="1"/>
  <c r="CO52" i="20"/>
  <c r="BL52" i="24" s="1"/>
  <c r="BK52" i="24"/>
  <c r="N89" i="20"/>
  <c r="AA88" i="24"/>
  <c r="AA84" i="24" s="1"/>
  <c r="N54" i="20"/>
  <c r="AA54" i="24"/>
  <c r="T88" i="20"/>
  <c r="AF87" i="24"/>
  <c r="AF84" i="24" s="1"/>
  <c r="CH64" i="20"/>
  <c r="BE64" i="24"/>
  <c r="DQ51" i="20"/>
  <c r="DQ49" i="20" s="1"/>
  <c r="DQ5" i="20" s="1"/>
  <c r="BT52" i="24"/>
  <c r="CH56" i="20"/>
  <c r="BF56" i="24" s="1"/>
  <c r="BE56" i="24"/>
  <c r="BE82" i="20"/>
  <c r="AW82" i="24" s="1"/>
  <c r="AV82" i="24"/>
  <c r="N58" i="20"/>
  <c r="AB58" i="24" s="1"/>
  <c r="AA58" i="24"/>
  <c r="CI54" i="20"/>
  <c r="BG54" i="24" s="1"/>
  <c r="BF54" i="24"/>
  <c r="CN64" i="20"/>
  <c r="BJ64" i="24"/>
  <c r="AX59" i="20"/>
  <c r="CI52" i="20"/>
  <c r="BG52" i="24" s="1"/>
  <c r="CN59" i="20"/>
  <c r="BJ59" i="24"/>
  <c r="BD57" i="20"/>
  <c r="CN57" i="20"/>
  <c r="BJ57" i="24"/>
  <c r="T67" i="20"/>
  <c r="CH86" i="20"/>
  <c r="T52" i="20"/>
  <c r="AF52" i="24"/>
  <c r="AF51" i="24" s="1"/>
  <c r="DR56" i="20"/>
  <c r="BT56" i="24"/>
  <c r="AV52" i="24"/>
  <c r="BE52" i="20"/>
  <c r="AW52" i="24" s="1"/>
  <c r="BZ85" i="24"/>
  <c r="BE71" i="20"/>
  <c r="AW71" i="24" s="1"/>
  <c r="AV71" i="24"/>
  <c r="BD54" i="20"/>
  <c r="AU54" i="24"/>
  <c r="CI60" i="20"/>
  <c r="BG60" i="24" s="1"/>
  <c r="BF60" i="24"/>
  <c r="N59" i="20"/>
  <c r="BD77" i="20"/>
  <c r="AU77" i="24"/>
  <c r="BE63" i="20"/>
  <c r="AW63" i="24" s="1"/>
  <c r="AV63" i="24"/>
  <c r="U86" i="20"/>
  <c r="AH85" i="24" s="1"/>
  <c r="AG85" i="24"/>
  <c r="CN56" i="20"/>
  <c r="BJ56" i="24"/>
  <c r="BD60" i="20"/>
  <c r="AU60" i="24"/>
  <c r="CG85" i="20"/>
  <c r="CH65" i="20"/>
  <c r="BE65" i="24"/>
  <c r="O65" i="20"/>
  <c r="AC65" i="24" s="1"/>
  <c r="AB65" i="24"/>
  <c r="BE55" i="20"/>
  <c r="AW55" i="24" s="1"/>
  <c r="AV55" i="24"/>
  <c r="CH89" i="20"/>
  <c r="BE88" i="24"/>
  <c r="BE84" i="24" s="1"/>
  <c r="U87" i="20"/>
  <c r="AH86" i="24" s="1"/>
  <c r="CI53" i="20"/>
  <c r="BG53" i="24" s="1"/>
  <c r="BF53" i="24"/>
  <c r="CH59" i="20"/>
  <c r="BE59" i="24"/>
  <c r="U66" i="20"/>
  <c r="AH66" i="24" s="1"/>
  <c r="BD59" i="20"/>
  <c r="AU59" i="24"/>
  <c r="BE87" i="20"/>
  <c r="AW86" i="24" s="1"/>
  <c r="AV86" i="24"/>
  <c r="AV84" i="24" s="1"/>
  <c r="U53" i="20"/>
  <c r="AH53" i="24" s="1"/>
  <c r="AG53" i="24"/>
  <c r="N60" i="20"/>
  <c r="AA60" i="24"/>
  <c r="BD81" i="20"/>
  <c r="AU81" i="24"/>
  <c r="T64" i="20"/>
  <c r="AG64" i="24" s="1"/>
  <c r="AF64" i="24"/>
  <c r="AF62" i="24" s="1"/>
  <c r="S62" i="20"/>
  <c r="CN66" i="20"/>
  <c r="BJ66" i="24"/>
  <c r="CH55" i="20"/>
  <c r="U55" i="20"/>
  <c r="AH55" i="24" s="1"/>
  <c r="AG55" i="24"/>
  <c r="O66" i="20"/>
  <c r="AC66" i="24" s="1"/>
  <c r="AB66" i="24"/>
  <c r="BE56" i="20"/>
  <c r="AW56" i="24" s="1"/>
  <c r="AV56" i="24"/>
  <c r="AY55" i="20"/>
  <c r="AR55" i="24" s="1"/>
  <c r="AQ55" i="24"/>
  <c r="O86" i="20"/>
  <c r="AC85" i="24" s="1"/>
  <c r="AB85" i="24"/>
  <c r="AY87" i="20"/>
  <c r="AR86" i="24" s="1"/>
  <c r="AR84" i="24" s="1"/>
  <c r="AQ86" i="24"/>
  <c r="CH58" i="20"/>
  <c r="BE70" i="20"/>
  <c r="AV70" i="24"/>
  <c r="BJ88" i="24"/>
  <c r="BJ84" i="24" s="1"/>
  <c r="AX57" i="20"/>
  <c r="AP57" i="24"/>
  <c r="AP51" i="24" s="1"/>
  <c r="DQ2" i="20"/>
  <c r="DR52" i="20"/>
  <c r="DW51" i="20"/>
  <c r="DW2" i="20"/>
  <c r="DX52" i="20"/>
  <c r="BZ52" i="24" s="1"/>
  <c r="CG2" i="20"/>
  <c r="CM2" i="20"/>
  <c r="AW2" i="20"/>
  <c r="BC2" i="20"/>
  <c r="S51" i="20"/>
  <c r="CF49" i="20"/>
  <c r="CF5" i="20" s="1"/>
  <c r="CM51" i="20"/>
  <c r="BC79" i="20"/>
  <c r="CL49" i="20"/>
  <c r="CL5" i="20" s="1"/>
  <c r="CH57" i="20"/>
  <c r="BF57" i="24" s="1"/>
  <c r="CG51" i="20"/>
  <c r="BK85" i="24"/>
  <c r="CM85" i="20"/>
  <c r="CN63" i="20"/>
  <c r="CM62" i="20"/>
  <c r="CG62" i="20"/>
  <c r="CH63" i="20"/>
  <c r="BF63" i="24" s="1"/>
  <c r="AX81" i="20"/>
  <c r="AQ81" i="24" s="1"/>
  <c r="AW79" i="20"/>
  <c r="BC51" i="20"/>
  <c r="AX54" i="20"/>
  <c r="AQ54" i="24" s="1"/>
  <c r="AX85" i="20"/>
  <c r="AW85" i="20"/>
  <c r="AW51" i="20"/>
  <c r="S85" i="20"/>
  <c r="N64" i="20"/>
  <c r="M51" i="20"/>
  <c r="N52" i="20"/>
  <c r="R49" i="20"/>
  <c r="R5" i="20" s="1"/>
  <c r="L49" i="20"/>
  <c r="L5" i="20" s="1"/>
  <c r="N88" i="20"/>
  <c r="M85" i="20"/>
  <c r="DW49" i="20" l="1"/>
  <c r="DW5" i="20" s="1"/>
  <c r="BY84" i="24"/>
  <c r="BY49" i="24" s="1"/>
  <c r="AQ84" i="24"/>
  <c r="BZ84" i="24"/>
  <c r="DX85" i="20"/>
  <c r="BY2" i="24"/>
  <c r="AW84" i="24"/>
  <c r="DY88" i="20"/>
  <c r="CA87" i="24" s="1"/>
  <c r="CA84" i="24" s="1"/>
  <c r="O49" i="24"/>
  <c r="AT49" i="24"/>
  <c r="AP49" i="24"/>
  <c r="AF49" i="24"/>
  <c r="I49" i="24"/>
  <c r="K84" i="24"/>
  <c r="BD49" i="24"/>
  <c r="P84" i="24"/>
  <c r="AE49" i="24"/>
  <c r="L84" i="24"/>
  <c r="K2" i="24"/>
  <c r="P62" i="24"/>
  <c r="P2" i="24"/>
  <c r="P51" i="24"/>
  <c r="K51" i="24"/>
  <c r="AB56" i="24"/>
  <c r="BT2" i="24"/>
  <c r="BJ2" i="24"/>
  <c r="AF2" i="24"/>
  <c r="BE2" i="24"/>
  <c r="AU2" i="24"/>
  <c r="AP2" i="24"/>
  <c r="AA2" i="24"/>
  <c r="AB52" i="24"/>
  <c r="N2" i="20"/>
  <c r="AG52" i="24"/>
  <c r="T2" i="20"/>
  <c r="AQ56" i="24"/>
  <c r="AY75" i="20"/>
  <c r="AR75" i="24" s="1"/>
  <c r="AY77" i="20"/>
  <c r="AR77" i="24" s="1"/>
  <c r="AG57" i="24"/>
  <c r="AS49" i="20"/>
  <c r="T62" i="20"/>
  <c r="AG58" i="24"/>
  <c r="AX74" i="20"/>
  <c r="AB55" i="24"/>
  <c r="BA5" i="20"/>
  <c r="BD74" i="20"/>
  <c r="AG54" i="24"/>
  <c r="BE75" i="20"/>
  <c r="AW75" i="24" s="1"/>
  <c r="AT5" i="20"/>
  <c r="BC62" i="20"/>
  <c r="BC49" i="20" s="1"/>
  <c r="BC5" i="20" s="1"/>
  <c r="T85" i="20"/>
  <c r="AG60" i="24"/>
  <c r="AW62" i="20"/>
  <c r="AW49" i="20" s="1"/>
  <c r="AW5" i="20" s="1"/>
  <c r="AU62" i="24"/>
  <c r="AU51" i="24"/>
  <c r="AQ60" i="24"/>
  <c r="BD2" i="20"/>
  <c r="BE51" i="24"/>
  <c r="O67" i="20"/>
  <c r="AC67" i="24" s="1"/>
  <c r="BD79" i="20"/>
  <c r="DS85" i="20"/>
  <c r="BJ62" i="24"/>
  <c r="AG59" i="24"/>
  <c r="BK55" i="24"/>
  <c r="AG88" i="24"/>
  <c r="O58" i="20"/>
  <c r="AC58" i="24" s="1"/>
  <c r="AY69" i="20"/>
  <c r="T51" i="20"/>
  <c r="BZ56" i="24"/>
  <c r="BZ51" i="24" s="1"/>
  <c r="DR2" i="20"/>
  <c r="CN51" i="20"/>
  <c r="U81" i="20"/>
  <c r="AH81" i="24" s="1"/>
  <c r="BJ51" i="24"/>
  <c r="BK58" i="24"/>
  <c r="BE62" i="24"/>
  <c r="L62" i="24" s="1"/>
  <c r="U52" i="20"/>
  <c r="AQ62" i="24"/>
  <c r="AA51" i="24"/>
  <c r="AA49" i="24" s="1"/>
  <c r="BE57" i="20"/>
  <c r="AW57" i="24" s="1"/>
  <c r="AV57" i="24"/>
  <c r="BL88" i="24"/>
  <c r="BK88" i="24"/>
  <c r="BK84" i="24" s="1"/>
  <c r="BE60" i="20"/>
  <c r="AW60" i="24" s="1"/>
  <c r="AV60" i="24"/>
  <c r="BE77" i="20"/>
  <c r="AW77" i="24" s="1"/>
  <c r="AV77" i="24"/>
  <c r="AY59" i="20"/>
  <c r="AR59" i="24" s="1"/>
  <c r="AQ59" i="24"/>
  <c r="CI66" i="20"/>
  <c r="BG66" i="24" s="1"/>
  <c r="BF66" i="24"/>
  <c r="N85" i="20"/>
  <c r="AB87" i="24"/>
  <c r="O64" i="20"/>
  <c r="AB64" i="24"/>
  <c r="AB62" i="24" s="1"/>
  <c r="CO65" i="20"/>
  <c r="BL65" i="24" s="1"/>
  <c r="AW70" i="24"/>
  <c r="BE69" i="20"/>
  <c r="CI56" i="20"/>
  <c r="BG56" i="24" s="1"/>
  <c r="CI64" i="20"/>
  <c r="BG64" i="24" s="1"/>
  <c r="BF64" i="24"/>
  <c r="BF88" i="24"/>
  <c r="CI89" i="20"/>
  <c r="BG88" i="24" s="1"/>
  <c r="DS56" i="20"/>
  <c r="BV56" i="24" s="1"/>
  <c r="BU56" i="24"/>
  <c r="CI59" i="20"/>
  <c r="BG59" i="24" s="1"/>
  <c r="BF59" i="24"/>
  <c r="O89" i="20"/>
  <c r="AC88" i="24" s="1"/>
  <c r="AB88" i="24"/>
  <c r="CI55" i="20"/>
  <c r="BG55" i="24" s="1"/>
  <c r="BF55" i="24"/>
  <c r="DS52" i="20"/>
  <c r="BU52" i="24"/>
  <c r="BU2" i="24" s="1"/>
  <c r="CI58" i="20"/>
  <c r="BG58" i="24" s="1"/>
  <c r="BF58" i="24"/>
  <c r="BE81" i="20"/>
  <c r="AV81" i="24"/>
  <c r="CO56" i="20"/>
  <c r="BL56" i="24" s="1"/>
  <c r="BK56" i="24"/>
  <c r="O59" i="20"/>
  <c r="AC59" i="24" s="1"/>
  <c r="AB59" i="24"/>
  <c r="CI86" i="20"/>
  <c r="BF85" i="24"/>
  <c r="O60" i="20"/>
  <c r="AC60" i="24" s="1"/>
  <c r="AB60" i="24"/>
  <c r="CN62" i="20"/>
  <c r="BK63" i="24"/>
  <c r="AV54" i="24"/>
  <c r="BE54" i="20"/>
  <c r="U67" i="20"/>
  <c r="AH67" i="24" s="1"/>
  <c r="AG67" i="24"/>
  <c r="AG62" i="24" s="1"/>
  <c r="CO59" i="20"/>
  <c r="BL59" i="24" s="1"/>
  <c r="BK59" i="24"/>
  <c r="CO64" i="20"/>
  <c r="BL64" i="24" s="1"/>
  <c r="BK64" i="24"/>
  <c r="U88" i="20"/>
  <c r="AH87" i="24" s="1"/>
  <c r="AH84" i="24" s="1"/>
  <c r="AG87" i="24"/>
  <c r="U64" i="20"/>
  <c r="AQ57" i="24"/>
  <c r="AY57" i="20"/>
  <c r="AR57" i="24" s="1"/>
  <c r="CI65" i="20"/>
  <c r="BG65" i="24" s="1"/>
  <c r="BF65" i="24"/>
  <c r="CO57" i="20"/>
  <c r="BL57" i="24" s="1"/>
  <c r="BK57" i="24"/>
  <c r="O54" i="20"/>
  <c r="AC54" i="24" s="1"/>
  <c r="AB54" i="24"/>
  <c r="BD51" i="20"/>
  <c r="CH85" i="20"/>
  <c r="CO66" i="20"/>
  <c r="BL66" i="24" s="1"/>
  <c r="BK66" i="24"/>
  <c r="BE59" i="20"/>
  <c r="AW59" i="24" s="1"/>
  <c r="AV59" i="24"/>
  <c r="BT51" i="24"/>
  <c r="BT49" i="24" s="1"/>
  <c r="DR51" i="20"/>
  <c r="DR49" i="20" s="1"/>
  <c r="DR5" i="20" s="1"/>
  <c r="DY52" i="20"/>
  <c r="CA52" i="24" s="1"/>
  <c r="DX2" i="20"/>
  <c r="DX51" i="20"/>
  <c r="S49" i="20"/>
  <c r="S5" i="20" s="1"/>
  <c r="CH2" i="20"/>
  <c r="CN2" i="20"/>
  <c r="AX2" i="20"/>
  <c r="CM49" i="20"/>
  <c r="CM5" i="20" s="1"/>
  <c r="AY85" i="20"/>
  <c r="CO63" i="20"/>
  <c r="CI57" i="20"/>
  <c r="BG57" i="24" s="1"/>
  <c r="CH51" i="20"/>
  <c r="CH62" i="20"/>
  <c r="CI63" i="20"/>
  <c r="BL85" i="24"/>
  <c r="CN85" i="20"/>
  <c r="CG49" i="20"/>
  <c r="CG5" i="20" s="1"/>
  <c r="AY81" i="20"/>
  <c r="AX79" i="20"/>
  <c r="AY54" i="20"/>
  <c r="AR54" i="24" s="1"/>
  <c r="AX51" i="20"/>
  <c r="BD85" i="20"/>
  <c r="N62" i="20"/>
  <c r="M49" i="20"/>
  <c r="M5" i="20" s="1"/>
  <c r="N51" i="20"/>
  <c r="O52" i="20"/>
  <c r="O88" i="20"/>
  <c r="Q84" i="24" l="1"/>
  <c r="DX49" i="20"/>
  <c r="DX5" i="20" s="1"/>
  <c r="BZ49" i="24"/>
  <c r="DY85" i="20"/>
  <c r="AB84" i="24"/>
  <c r="AG84" i="24"/>
  <c r="P49" i="24"/>
  <c r="BL84" i="24"/>
  <c r="BJ49" i="24"/>
  <c r="BF84" i="24"/>
  <c r="BE49" i="24"/>
  <c r="AU49" i="24"/>
  <c r="K49" i="24"/>
  <c r="Q51" i="24"/>
  <c r="Q62" i="24"/>
  <c r="Q2" i="24"/>
  <c r="L51" i="24"/>
  <c r="L49" i="24" s="1"/>
  <c r="L2" i="24"/>
  <c r="BF2" i="24"/>
  <c r="AQ2" i="24"/>
  <c r="BK2" i="24"/>
  <c r="AV2" i="24"/>
  <c r="BZ2" i="24"/>
  <c r="AG2" i="24"/>
  <c r="AB2" i="24"/>
  <c r="CA51" i="24"/>
  <c r="CA49" i="24" s="1"/>
  <c r="CA2" i="24"/>
  <c r="AC52" i="24"/>
  <c r="O2" i="20"/>
  <c r="U51" i="20"/>
  <c r="U2" i="20"/>
  <c r="AY74" i="20"/>
  <c r="AS5" i="20"/>
  <c r="AX62" i="20"/>
  <c r="AX49" i="20" s="1"/>
  <c r="AX5" i="20" s="1"/>
  <c r="BD62" i="20"/>
  <c r="BD49" i="20" s="1"/>
  <c r="BD5" i="20" s="1"/>
  <c r="T49" i="20"/>
  <c r="T5" i="20" s="1"/>
  <c r="AB51" i="24"/>
  <c r="AG51" i="24"/>
  <c r="CN49" i="20"/>
  <c r="CN5" i="20" s="1"/>
  <c r="BE2" i="20"/>
  <c r="AR51" i="24"/>
  <c r="BK51" i="24"/>
  <c r="BF51" i="24"/>
  <c r="AV51" i="24"/>
  <c r="AV62" i="24"/>
  <c r="AH52" i="24"/>
  <c r="BU51" i="24"/>
  <c r="BU49" i="24" s="1"/>
  <c r="BF62" i="24"/>
  <c r="M62" i="24" s="1"/>
  <c r="AQ51" i="24"/>
  <c r="AQ49" i="24" s="1"/>
  <c r="BL51" i="24"/>
  <c r="BG51" i="24"/>
  <c r="BE74" i="20"/>
  <c r="CI62" i="20"/>
  <c r="BG63" i="24"/>
  <c r="BG62" i="24" s="1"/>
  <c r="AW54" i="24"/>
  <c r="AW51" i="24" s="1"/>
  <c r="BE51" i="20"/>
  <c r="DS51" i="20"/>
  <c r="DS49" i="20" s="1"/>
  <c r="DS5" i="20" s="1"/>
  <c r="BV52" i="24"/>
  <c r="BK62" i="24"/>
  <c r="O85" i="20"/>
  <c r="AC87" i="24"/>
  <c r="AC84" i="24" s="1"/>
  <c r="AH64" i="24"/>
  <c r="AH62" i="24" s="1"/>
  <c r="U62" i="20"/>
  <c r="CO51" i="20"/>
  <c r="O62" i="20"/>
  <c r="AC64" i="24"/>
  <c r="AC62" i="24" s="1"/>
  <c r="U85" i="20"/>
  <c r="AY79" i="20"/>
  <c r="AR81" i="24"/>
  <c r="AR62" i="24" s="1"/>
  <c r="CO62" i="20"/>
  <c r="BL63" i="24"/>
  <c r="BL62" i="24" s="1"/>
  <c r="DS2" i="20"/>
  <c r="AW81" i="24"/>
  <c r="AW62" i="24" s="1"/>
  <c r="BE79" i="20"/>
  <c r="BG85" i="24"/>
  <c r="BG84" i="24" s="1"/>
  <c r="CI85" i="20"/>
  <c r="DY51" i="20"/>
  <c r="DY2" i="20"/>
  <c r="CI2" i="20"/>
  <c r="CO2" i="20"/>
  <c r="AY2" i="20"/>
  <c r="CH49" i="20"/>
  <c r="CH5" i="20" s="1"/>
  <c r="CO85" i="20"/>
  <c r="CI51" i="20"/>
  <c r="BE85" i="20"/>
  <c r="AY51" i="20"/>
  <c r="N49" i="20"/>
  <c r="N5" i="20" s="1"/>
  <c r="O51" i="20"/>
  <c r="DY49" i="20" l="1"/>
  <c r="DY5" i="20" s="1"/>
  <c r="AB49" i="24"/>
  <c r="AY62" i="20"/>
  <c r="AY49" i="20" s="1"/>
  <c r="AY5" i="20" s="1"/>
  <c r="BK49" i="24"/>
  <c r="AW49" i="24"/>
  <c r="AV49" i="24"/>
  <c r="Q49" i="24"/>
  <c r="BG49" i="24"/>
  <c r="BF49" i="24"/>
  <c r="AR49" i="24"/>
  <c r="S84" i="24"/>
  <c r="BL49" i="24"/>
  <c r="R84" i="24"/>
  <c r="AG49" i="24"/>
  <c r="N84" i="24"/>
  <c r="R62" i="24"/>
  <c r="R2" i="24"/>
  <c r="M84" i="24"/>
  <c r="M2" i="24"/>
  <c r="N62" i="24"/>
  <c r="R51" i="24"/>
  <c r="S62" i="24"/>
  <c r="M51" i="24"/>
  <c r="AR2" i="24"/>
  <c r="AW2" i="24"/>
  <c r="AH51" i="24"/>
  <c r="AH2" i="24"/>
  <c r="BV51" i="24"/>
  <c r="BV49" i="24" s="1"/>
  <c r="BV2" i="24"/>
  <c r="BL2" i="24"/>
  <c r="AC51" i="24"/>
  <c r="AC49" i="24" s="1"/>
  <c r="AC2" i="24"/>
  <c r="BG2" i="24"/>
  <c r="CI49" i="20"/>
  <c r="CI5" i="20" s="1"/>
  <c r="BE62" i="20"/>
  <c r="BE49" i="20" s="1"/>
  <c r="BE5" i="20" s="1"/>
  <c r="U49" i="20"/>
  <c r="U5" i="20" s="1"/>
  <c r="CO49" i="20"/>
  <c r="CO5" i="20" s="1"/>
  <c r="O49" i="20"/>
  <c r="O5" i="20" s="1"/>
  <c r="R49" i="24" l="1"/>
  <c r="S51" i="24"/>
  <c r="S49" i="24" s="1"/>
  <c r="AH49" i="24"/>
  <c r="M49" i="24"/>
  <c r="N51" i="24"/>
  <c r="N49" i="24" s="1"/>
  <c r="N2" i="24"/>
  <c r="CE93" i="20"/>
  <c r="CE91" i="20" s="1"/>
  <c r="CE5" i="20" s="1"/>
  <c r="J84" i="24" l="1"/>
  <c r="J49" i="24" s="1"/>
  <c r="BC49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tc={9A743D6E-8086-47BA-8AC2-1634115C3391}</author>
  </authors>
  <commentList>
    <comment ref="D53" authorId="0" shapeId="0" xr:uid="{9A743D6E-8086-47BA-8AC2-1634115C33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@Vinod Soudi Please check why the % is loaded.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tc={78D468CD-E331-4D95-9451-CCE7532594F6}</author>
    <author>tc={8D327E95-6E7F-463D-A848-E197C8A32DBA}</author>
    <author>tc={2EAA130D-7DAE-4078-A55E-CB79E080C904}</author>
    <author>tc={57931C55-6F50-4EDD-9FDA-14A12F5D597D}</author>
    <author>tc={2CF9B105-1068-4D49-BC04-3304693B0302}</author>
    <author>tc={E654263D-51E6-4EB0-BDE7-10C36246BE6A}</author>
    <author>tc={CE887959-FD45-4370-9393-F7BFFB120CFA}</author>
    <author>tc={9FC2116F-69FC-4ABF-9203-162CE86B3DE9}</author>
    <author>tc={6C50D380-8A06-4E90-89F9-62D6795780BC}</author>
    <author>tc={DC093610-4E49-4834-BD85-F14BCFD9E5DD}</author>
    <author>tc={35441667-3546-4A72-9386-7E2049064B22}</author>
    <author>tc={5C51F5D5-7B47-4BA2-8F89-7F4020883AEA}</author>
    <author>tc={7DD73A23-EDFE-4F6A-B39D-BAA95D64294A}</author>
    <author>tc={250AF68A-5B07-48E4-9D9D-8011C758192E}</author>
    <author>tc={33BBEBEB-4075-4217-8066-20322BC63029}</author>
    <author>tc={746BC393-D30A-4462-A5F7-F397885827D4}</author>
    <author>tc={8BA7FA2D-6533-4C50-9DDF-AE53E27DA248}</author>
    <author>tc={1143747F-6EB0-46DA-AE72-20979D57FB6E}</author>
    <author>tc={04CCA4A7-C8E3-44DD-82D6-A32B25C210B5}</author>
    <author>tc={2CD86319-169C-42DC-9DE3-FF04CCA1D714}</author>
    <author>tc={2B8A87C1-8EB0-42DF-BB78-8FD946503962}</author>
    <author>tc={EE603FE9-1D1A-4B83-BE5E-55539AFE067D}</author>
    <author>tc={80BF41B3-EB6B-4186-84DB-97C1BE256548}</author>
    <author>tc={D7C1AD59-91AB-4D7C-B4BB-19867CCFAB8F}</author>
    <author>tc={BB1D0322-8093-4B3A-BDD2-4FEDF759D86A}</author>
    <author>tc={A4AB752C-14A3-4A43-8D91-7B29FDB70718}</author>
    <author>tc={C82D839C-F7DB-44C4-BE27-B910D81AB414}</author>
    <author>tc={EFC69104-B072-479F-A9CD-0C1E803DECDC}</author>
    <author>tc={A50DEA52-FF72-4521-AE16-BD0613F107FC}</author>
    <author>tc={0FA9DA84-4CA7-469E-AC27-C431EA235635}</author>
    <author>tc={7053FE80-0F53-44E2-A1A0-CD37FED4B11A}</author>
    <author>tc={D34CCAC2-AF50-4949-AAFB-30BFEE4152C5}</author>
    <author>tc={8BF2A959-068A-4AE0-87BA-F67FFCE15322}</author>
    <author>tc={26FD2918-AD91-4165-B324-E45FAF3799BD}</author>
    <author>tc={C5EC0771-D0F3-45D5-BCE5-C0C677592D7B}</author>
    <author>tc={CD65AADD-D9AE-4E72-9634-04FFD574B1DD}</author>
    <author>tc={9DBFA1A7-AC74-45FE-823D-475581884F71}</author>
    <author>tc={AA4E6D75-7260-486F-B4AD-3B9E4763F023}</author>
    <author>tc={EAC4B1A7-2E59-4494-BAC9-61245BBBC39A}</author>
    <author>tc={8339E97E-D4CC-4DB0-84E5-380107981A1D}</author>
    <author>tc={AF48207B-06C9-4D58-AD33-855033C9E29B}</author>
    <author>tc={C2665DB8-34F4-4E4D-8DEF-C019C09DDD10}</author>
    <author>tc={83A2E62C-63B6-42F0-A7C2-27393B20CD80}</author>
    <author>tc={DC3BA0E2-67E6-45EB-855A-F2DE630511D0}</author>
    <author>tc={9EBADE7E-B643-43B0-9261-F3A44F6DADB8}</author>
    <author>tc={13F4D365-A0F8-4A4A-B108-8857362A1D5E}</author>
    <author>tc={C457801E-B863-4D41-A920-E38B92E8C889}</author>
  </authors>
  <commentList>
    <comment ref="E14" authorId="0" shapeId="0" xr:uid="{78D468CD-E331-4D95-9451-CCE7532594F6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above 3 in this drawing</t>
      </text>
    </comment>
    <comment ref="E24" authorId="1" shapeId="0" xr:uid="{8D327E95-6E7F-463D-A848-E197C8A32DBA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the above are in vendor's scope as discussed with praveen regarding toilet details</t>
      </text>
    </comment>
    <comment ref="E27" authorId="2" shapeId="0" xr:uid="{2EAA130D-7DAE-4078-A55E-CB79E080C9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drawings are NA</t>
      </text>
    </comment>
    <comment ref="E34" authorId="3" shapeId="0" xr:uid="{57931C55-6F50-4EDD-9FDA-14A12F5D59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37" authorId="4" shapeId="0" xr:uid="{2CF9B105-1068-4D49-BC04-3304693B0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of Surface drainage detail 1031</t>
      </text>
    </comment>
    <comment ref="E38" authorId="5" shapeId="0" xr:uid="{E654263D-51E6-4EB0-BDE7-10C36246BE6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of UG sump details</t>
      </text>
    </comment>
    <comment ref="E39" authorId="6" shapeId="0" xr:uid="{CE887959-FD45-4370-9393-F7BFFB120CF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R44" authorId="7" shapeId="0" xr:uid="{9FC2116F-69FC-4ABF-9203-162CE86B3DE9}">
      <text>
        <t>[Threaded comment]
Your version of Excel allows you to read this threaded comment; however, any edits to it will get removed if the file is opened in a newer version of Excel. Learn more: https://go.microsoft.com/fwlink/?linkid=870924
Comment:
    209</t>
      </text>
    </comment>
    <comment ref="R45" authorId="8" shapeId="0" xr:uid="{6C50D380-8A06-4E90-89F9-62D6795780BC}">
      <text>
        <t>[Threaded comment]
Your version of Excel allows you to read this threaded comment; however, any edits to it will get removed if the file is opened in a newer version of Excel. Learn more: https://go.microsoft.com/fwlink/?linkid=870924
Comment:
    209</t>
      </text>
    </comment>
    <comment ref="R46" authorId="9" shapeId="0" xr:uid="{DC093610-4E49-4834-BD85-F14BCFD9E5DD}">
      <text>
        <t>[Threaded comment]
Your version of Excel allows you to read this threaded comment; however, any edits to it will get removed if the file is opened in a newer version of Excel. Learn more: https://go.microsoft.com/fwlink/?linkid=870924
Comment:
    168</t>
      </text>
    </comment>
    <comment ref="R47" authorId="10" shapeId="0" xr:uid="{35441667-3546-4A72-9386-7E2049064B22}">
      <text>
        <t>[Threaded comment]
Your version of Excel allows you to read this threaded comment; however, any edits to it will get removed if the file is opened in a newer version of Excel. Learn more: https://go.microsoft.com/fwlink/?linkid=870924
Comment:
    Tr. 209</t>
      </text>
    </comment>
    <comment ref="R51" authorId="11" shapeId="0" xr:uid="{5C51F5D5-7B47-4BA2-8F89-7F4020883AEA}">
      <text>
        <t>[Threaded comment]
Your version of Excel allows you to read this threaded comment; however, any edits to it will get removed if the file is opened in a newer version of Excel. Learn more: https://go.microsoft.com/fwlink/?linkid=870924
Comment:
    210</t>
      </text>
    </comment>
    <comment ref="R55" authorId="12" shapeId="0" xr:uid="{7DD73A23-EDFE-4F6A-B39D-BAA95D64294A}">
      <text>
        <t>[Threaded comment]
Your version of Excel allows you to read this threaded comment; however, any edits to it will get removed if the file is opened in a newer version of Excel. Learn more: https://go.microsoft.com/fwlink/?linkid=870924
Comment:
    168</t>
      </text>
    </comment>
    <comment ref="R56" authorId="13" shapeId="0" xr:uid="{250AF68A-5B07-48E4-9D9D-8011C758192E}">
      <text>
        <t>[Threaded comment]
Your version of Excel allows you to read this threaded comment; however, any edits to it will get removed if the file is opened in a newer version of Excel. Learn more: https://go.microsoft.com/fwlink/?linkid=870924
Comment:
    168</t>
      </text>
    </comment>
    <comment ref="R83" authorId="14" shapeId="0" xr:uid="{33BBEBEB-4075-4217-8066-20322BC63029}">
      <text>
        <t>[Threaded comment]
Your version of Excel allows you to read this threaded comment; however, any edits to it will get removed if the file is opened in a newer version of Excel. Learn more: https://go.microsoft.com/fwlink/?linkid=870924
Comment:
    206</t>
      </text>
    </comment>
    <comment ref="R84" authorId="15" shapeId="0" xr:uid="{746BC393-D30A-4462-A5F7-F397885827D4}">
      <text>
        <t>[Threaded comment]
Your version of Excel allows you to read this threaded comment; however, any edits to it will get removed if the file is opened in a newer version of Excel. Learn more: https://go.microsoft.com/fwlink/?linkid=870924
Comment:
    206</t>
      </text>
    </comment>
    <comment ref="E85" authorId="16" shapeId="0" xr:uid="{8BA7FA2D-6533-4C50-9DDF-AE53E27DA2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R99" authorId="17" shapeId="0" xr:uid="{1143747F-6EB0-46DA-AE72-20979D57FB6E}">
      <text>
        <t>[Threaded comment]
Your version of Excel allows you to read this threaded comment; however, any edits to it will get removed if the file is opened in a newer version of Excel. Learn more: https://go.microsoft.com/fwlink/?linkid=870924
Comment:
    176</t>
      </text>
    </comment>
    <comment ref="E103" authorId="18" shapeId="0" xr:uid="{04CCA4A7-C8E3-44DD-82D6-A32B25C210B5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Dependent on Arch Toilet detail - in Vendor's scope as of now</t>
      </text>
    </comment>
    <comment ref="E110" authorId="19" shapeId="0" xr:uid="{2CD86319-169C-42DC-9DE3-FF04CCA1D714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Dependent on Arch Toilet detail - in Vendor's scope as of now</t>
      </text>
    </comment>
    <comment ref="S118" authorId="20" shapeId="0" xr:uid="{2B8A87C1-8EB0-42DF-BB78-8FD946503962}">
      <text>
        <t>[Threaded comment]
Your version of Excel allows you to read this threaded comment; however, any edits to it will get removed if the file is opened in a newer version of Excel. Learn more: https://go.microsoft.com/fwlink/?linkid=870924
Comment:
    238</t>
      </text>
    </comment>
    <comment ref="E120" authorId="21" shapeId="0" xr:uid="{EE603FE9-1D1A-4B83-BE5E-55539AFE067D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Details awaited from Architect</t>
      </text>
    </comment>
    <comment ref="E123" authorId="22" shapeId="0" xr:uid="{80BF41B3-EB6B-4186-84DB-97C1BE2565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R126" authorId="23" shapeId="0" xr:uid="{D7C1AD59-91AB-4D7C-B4BB-19867CCFAB8F}">
      <text>
        <t>[Threaded comment]
Your version of Excel allows you to read this threaded comment; however, any edits to it will get removed if the file is opened in a newer version of Excel. Learn more: https://go.microsoft.com/fwlink/?linkid=870924
Comment:
    88</t>
      </text>
    </comment>
    <comment ref="E128" authorId="24" shapeId="0" xr:uid="{BB1D0322-8093-4B3A-BDD2-4FEDF759D86A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of UG Sump drawing</t>
      </text>
    </comment>
    <comment ref="R129" authorId="25" shapeId="0" xr:uid="{A4AB752C-14A3-4A43-8D91-7B29FDB7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Vendor</t>
      </text>
    </comment>
    <comment ref="R130" authorId="26" shapeId="0" xr:uid="{C82D839C-F7DB-44C4-BE27-B910D81AB4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108</t>
      </text>
    </comment>
    <comment ref="R133" authorId="27" shapeId="0" xr:uid="{EFC69104-B072-479F-A9CD-0C1E803DECDC}">
      <text>
        <t>[Threaded comment]
Your version of Excel allows you to read this threaded comment; however, any edits to it will get removed if the file is opened in a newer version of Excel. Learn more: https://go.microsoft.com/fwlink/?linkid=870924
Comment:
    209</t>
      </text>
    </comment>
    <comment ref="R142" authorId="28" shapeId="0" xr:uid="{A50DEA52-FF72-4521-AE16-BD0613F107FC}">
      <text>
        <t>[Threaded comment]
Your version of Excel allows you to read this threaded comment; however, any edits to it will get removed if the file is opened in a newer version of Excel. Learn more: https://go.microsoft.com/fwlink/?linkid=870924
Comment:
    127</t>
      </text>
    </comment>
    <comment ref="R152" authorId="29" shapeId="0" xr:uid="{0FA9DA84-4CA7-469E-AC27-C431EA235635}">
      <text>
        <t>[Threaded comment]
Your version of Excel allows you to read this threaded comment; however, any edits to it will get removed if the file is opened in a newer version of Excel. Learn more: https://go.microsoft.com/fwlink/?linkid=870924
Comment:
    188</t>
      </text>
    </comment>
    <comment ref="R157" authorId="30" shapeId="0" xr:uid="{7053FE80-0F53-44E2-A1A0-CD37FED4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127</t>
      </text>
    </comment>
    <comment ref="R159" authorId="31" shapeId="0" xr:uid="{D34CCAC2-AF50-4949-AAFB-30BFEE4152C5}">
      <text>
        <t>[Threaded comment]
Your version of Excel allows you to read this threaded comment; however, any edits to it will get removed if the file is opened in a newer version of Excel. Learn more: https://go.microsoft.com/fwlink/?linkid=870924
Comment:
    151</t>
      </text>
    </comment>
    <comment ref="R160" authorId="32" shapeId="0" xr:uid="{8BF2A959-068A-4AE0-87BA-F67FFCE15322}">
      <text>
        <t>[Threaded comment]
Your version of Excel allows you to read this threaded comment; however, any edits to it will get removed if the file is opened in a newer version of Excel. Learn more: https://go.microsoft.com/fwlink/?linkid=870924
Comment:
    210</t>
      </text>
    </comment>
    <comment ref="R161" authorId="33" shapeId="0" xr:uid="{26FD2918-AD91-4165-B324-E45FAF3799BD}">
      <text>
        <t>[Threaded comment]
Your version of Excel allows you to read this threaded comment; however, any edits to it will get removed if the file is opened in a newer version of Excel. Learn more: https://go.microsoft.com/fwlink/?linkid=870924
Comment:
    209</t>
      </text>
    </comment>
    <comment ref="E196" authorId="34" shapeId="0" xr:uid="{C5EC0771-D0F3-45D5-BCE5-C0C677592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197" authorId="35" shapeId="0" xr:uid="{CD65AADD-D9AE-4E72-9634-04FFD574B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198" authorId="36" shapeId="0" xr:uid="{9DBFA1A7-AC74-45FE-823D-475581884F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R199" authorId="37" shapeId="0" xr:uid="{AA4E6D75-7260-486F-B4AD-3B9E4763F023}">
      <text>
        <t>[Threaded comment]
Your version of Excel allows you to read this threaded comment; however, any edits to it will get removed if the file is opened in a newer version of Excel. Learn more: https://go.microsoft.com/fwlink/?linkid=870924
Comment:
    206</t>
      </text>
    </comment>
    <comment ref="R200" authorId="38" shapeId="0" xr:uid="{EAC4B1A7-2E59-4494-BAC9-61245BBBC39A}">
      <text>
        <t>[Threaded comment]
Your version of Excel allows you to read this threaded comment; however, any edits to it will get removed if the file is opened in a newer version of Excel. Learn more: https://go.microsoft.com/fwlink/?linkid=870924
Comment:
    206</t>
      </text>
    </comment>
    <comment ref="E202" authorId="39" shapeId="0" xr:uid="{8339E97E-D4CC-4DB0-84E5-380107981A1D}">
      <text>
        <t>[Threaded comment]
Your version of Excel allows you to read this threaded comment; however, any edits to it will get removed if the file is opened in a newer version of Excel. Learn more: https://go.microsoft.com/fwlink/?linkid=870924
Comment:
    Awaiting details from Architect - Vendor dependent as of now</t>
      </text>
    </comment>
    <comment ref="E211" authorId="40" shapeId="0" xr:uid="{AF48207B-06C9-4D58-AD33-855033C9E29B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214" authorId="41" shapeId="0" xr:uid="{C2665DB8-34F4-4E4D-8DEF-C019C09DDD10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217" authorId="42" shapeId="0" xr:uid="{83A2E62C-63B6-42F0-A7C2-27393B20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218" authorId="43" shapeId="0" xr:uid="{DC3BA0E2-67E6-45EB-855A-F2DE630511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E220" authorId="44" shapeId="0" xr:uid="{9EBADE7E-B643-43B0-9261-F3A44F6DADB8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Details awaited from Arch</t>
      </text>
    </comment>
    <comment ref="R235" authorId="45" shapeId="0" xr:uid="{13F4D365-A0F8-4A4A-B108-8857362A1D5E}">
      <text>
        <t>[Threaded comment]
Your version of Excel allows you to read this threaded comment; however, any edits to it will get removed if the file is opened in a newer version of Excel. Learn more: https://go.microsoft.com/fwlink/?linkid=870924
Comment:
    210</t>
      </text>
    </comment>
    <comment ref="R236" authorId="46" shapeId="0" xr:uid="{C457801E-B863-4D41-A920-E38B92E8C889}">
      <text>
        <t>[Threaded comment]
Your version of Excel allows you to read this threaded comment; however, any edits to it will get removed if the file is opened in a newer version of Excel. Learn more: https://go.microsoft.com/fwlink/?linkid=870924
Comment:
    210</t>
      </text>
    </comment>
  </commentList>
</comments>
</file>

<file path=xl/sharedStrings.xml><?xml version="1.0" encoding="utf-8"?>
<sst xmlns="http://schemas.openxmlformats.org/spreadsheetml/2006/main" count="36729" uniqueCount="1079">
  <si>
    <t>No. of Batches</t>
  </si>
  <si>
    <r>
      <rPr>
        <sz val="14"/>
        <color theme="0"/>
        <rFont val="Meta-Normal"/>
        <family val="3"/>
      </rPr>
      <t>0059</t>
    </r>
    <r>
      <rPr>
        <sz val="14"/>
        <color theme="0"/>
        <rFont val="Impact"/>
        <family val="2"/>
      </rPr>
      <t xml:space="preserve"> | Pursuit of a Radical Rhapsody | Commercial</t>
    </r>
  </si>
  <si>
    <t>Total</t>
  </si>
  <si>
    <t>Total Packages</t>
  </si>
  <si>
    <t>Packages till Dec'22</t>
  </si>
  <si>
    <t>Planned Packages in CY 23</t>
  </si>
  <si>
    <t>Q1</t>
  </si>
  <si>
    <t>Q2</t>
  </si>
  <si>
    <t>Q3</t>
  </si>
  <si>
    <t>Q4</t>
  </si>
  <si>
    <t>Actual Packages in CY 23</t>
  </si>
  <si>
    <t>AR</t>
  </si>
  <si>
    <t>ST</t>
  </si>
  <si>
    <t>MEP</t>
  </si>
  <si>
    <t>LS</t>
  </si>
  <si>
    <t xml:space="preserve">DESIGN </t>
  </si>
  <si>
    <t>Contract + Design Brief</t>
  </si>
  <si>
    <t>Vision Statement</t>
  </si>
  <si>
    <t xml:space="preserve">Land - Topographical Survey with information as per defined standard, </t>
  </si>
  <si>
    <t>Zoning &amp; Development Regulations</t>
  </si>
  <si>
    <t>Design Brief</t>
  </si>
  <si>
    <t>Schematic Concept</t>
  </si>
  <si>
    <t>Master Plan</t>
  </si>
  <si>
    <t>Blocks and Products</t>
  </si>
  <si>
    <t>Amenities &amp; Facilities</t>
  </si>
  <si>
    <t>Design Basis</t>
  </si>
  <si>
    <t>Pre Construction Set</t>
  </si>
  <si>
    <t>Blocks</t>
  </si>
  <si>
    <t>Products</t>
  </si>
  <si>
    <t>Approvals</t>
  </si>
  <si>
    <t>Development Plan</t>
  </si>
  <si>
    <t>Building Plan</t>
  </si>
  <si>
    <t>Fire Safety</t>
  </si>
  <si>
    <t>Environment</t>
  </si>
  <si>
    <t>Water Supply and Sewerage</t>
  </si>
  <si>
    <t>Power Supply</t>
  </si>
  <si>
    <t>Airport Authority</t>
  </si>
  <si>
    <t>Marketing and Sales</t>
  </si>
  <si>
    <t>Masterplan</t>
  </si>
  <si>
    <t>Specifications</t>
  </si>
  <si>
    <t>Clubhouse Design with list of Amenities</t>
  </si>
  <si>
    <t>Renders, Walk-through and Scaled model</t>
  </si>
  <si>
    <t>Project Entrance and Boundary wall</t>
  </si>
  <si>
    <t>Sales Centre and Experience Homes [Construction Docs]</t>
  </si>
  <si>
    <t>CONSTRUCTION DOCUMENTS</t>
  </si>
  <si>
    <t>GFC | Tower—09 [Commercial]</t>
  </si>
  <si>
    <t>T09-1</t>
  </si>
  <si>
    <t>Foundation and Grade Slab</t>
  </si>
  <si>
    <t>T09-2</t>
  </si>
  <si>
    <t>Parking Level-Sub grade</t>
  </si>
  <si>
    <t>T09-3</t>
  </si>
  <si>
    <t>Building Envelope and Common Areas [Basement]</t>
  </si>
  <si>
    <t>T09-4</t>
  </si>
  <si>
    <t>Habitable Level 01</t>
  </si>
  <si>
    <t>T09-5</t>
  </si>
  <si>
    <t>Habitable Level - Even</t>
  </si>
  <si>
    <t>T09-6</t>
  </si>
  <si>
    <t>Habitable Level - Odd</t>
  </si>
  <si>
    <t>T09-7</t>
  </si>
  <si>
    <t>Building Envelope and Common Areas [Typical Tower Levels]</t>
  </si>
  <si>
    <t>T09-8</t>
  </si>
  <si>
    <t>Terrace Level / Hospitality</t>
  </si>
  <si>
    <t>T09-9</t>
  </si>
  <si>
    <t>Building Envelope and Common Areas [Terrace Level]</t>
  </si>
  <si>
    <t>GFC | Independent Subgrade Structure [Tower 9]</t>
  </si>
  <si>
    <t>ST9-1</t>
  </si>
  <si>
    <t>Earthwork</t>
  </si>
  <si>
    <t>ST9-2</t>
  </si>
  <si>
    <t>Foundations &amp; Grade Slab</t>
  </si>
  <si>
    <t>ST9-3</t>
  </si>
  <si>
    <t xml:space="preserve">Parking Level Slab - Sub grade </t>
  </si>
  <si>
    <t>ST9-4</t>
  </si>
  <si>
    <t>Podium Slab</t>
  </si>
  <si>
    <t>ST9-5</t>
  </si>
  <si>
    <t>Building Envelope and Common Areas</t>
  </si>
  <si>
    <t>GFC | Independent Subgrade Structure—Block A</t>
  </si>
  <si>
    <t>SSA-1</t>
  </si>
  <si>
    <t>SSA-2</t>
  </si>
  <si>
    <t>SSA-3</t>
  </si>
  <si>
    <t>GFC | Independent Subgrade Structure—Block B</t>
  </si>
  <si>
    <t>SSB-02</t>
  </si>
  <si>
    <t>SSB-03</t>
  </si>
  <si>
    <t>SSB-04</t>
  </si>
  <si>
    <t>GFC | Independent Subgrade Structure—Block C,D,E</t>
  </si>
  <si>
    <t>SSC-02</t>
  </si>
  <si>
    <t>SSC-03</t>
  </si>
  <si>
    <t>SSC-04</t>
  </si>
  <si>
    <t>GFC | Master Plan</t>
  </si>
  <si>
    <t>SDV-1</t>
  </si>
  <si>
    <t>SDV-2</t>
  </si>
  <si>
    <t>Site Development</t>
  </si>
  <si>
    <t>SDV-4</t>
  </si>
  <si>
    <t>Site MEP</t>
  </si>
  <si>
    <t>SDV-9</t>
  </si>
  <si>
    <t>Landscaping</t>
  </si>
  <si>
    <t>POST-CONSTRUCTION</t>
  </si>
  <si>
    <t>Archives</t>
  </si>
  <si>
    <t xml:space="preserve">Complete set of "As-Built" drawings, final BoQ and project costs, </t>
  </si>
  <si>
    <t>Status</t>
  </si>
  <si>
    <t>GFC Release</t>
  </si>
  <si>
    <t>Fee</t>
  </si>
  <si>
    <t>Billing YTD</t>
  </si>
  <si>
    <t>Billing till Dec'22</t>
  </si>
  <si>
    <t>Planned Billing in CY 23</t>
  </si>
  <si>
    <t>Actual Billing in CY 23</t>
  </si>
  <si>
    <t>Completed till Dec'22</t>
  </si>
  <si>
    <t>Plan in 
CY: 23</t>
  </si>
  <si>
    <t>Actual in 
CY: 23</t>
  </si>
  <si>
    <t>Issued till Dec'22</t>
  </si>
  <si>
    <t>Plan in CY - 23</t>
  </si>
  <si>
    <t>Actual in CY - 23</t>
  </si>
  <si>
    <t>YTD</t>
  </si>
  <si>
    <t>Plan in CY 23</t>
  </si>
  <si>
    <t>Issued in CY 23</t>
  </si>
  <si>
    <t>Issued till Mar'22</t>
  </si>
  <si>
    <t>Plan in CY 22-23</t>
  </si>
  <si>
    <t>Actual in CY 22-23</t>
  </si>
  <si>
    <t>REMARKS</t>
  </si>
  <si>
    <t>Batch fee is calculated based on the respective percentage of overall design fee.</t>
  </si>
  <si>
    <t>Terrace Level</t>
  </si>
  <si>
    <t>0059 | Pursuit of a Radical Rhapsody</t>
  </si>
  <si>
    <t>Location</t>
  </si>
  <si>
    <t>Batch Code</t>
  </si>
  <si>
    <t>Batch</t>
  </si>
  <si>
    <t>Issue Status</t>
  </si>
  <si>
    <t>Plan in 23</t>
  </si>
  <si>
    <t>Issued in 23</t>
  </si>
  <si>
    <t>Plan in 24</t>
  </si>
  <si>
    <t>Issued in 24</t>
  </si>
  <si>
    <t>AR | DRAWING LIST</t>
  </si>
  <si>
    <t>Till Dec'22</t>
  </si>
  <si>
    <t>Revision</t>
  </si>
  <si>
    <t>Independent Subgrade Structure [Tower 9]</t>
  </si>
  <si>
    <t>GENERAL ARRANGEMENT PLANS - 10XX</t>
  </si>
  <si>
    <t>A</t>
  </si>
  <si>
    <t>T9B</t>
  </si>
  <si>
    <t>1001</t>
  </si>
  <si>
    <t>FLOOR PLAN - BASEMENT 3</t>
  </si>
  <si>
    <t>ST9</t>
  </si>
  <si>
    <t>1002</t>
  </si>
  <si>
    <t>FLOOR PLAN - BASEMENT 2</t>
  </si>
  <si>
    <t>1003</t>
  </si>
  <si>
    <t>FLOOR PLAN – BASEMENT 1</t>
  </si>
  <si>
    <t>STAIRCASE DETAILS - 46XX</t>
  </si>
  <si>
    <t>4601</t>
  </si>
  <si>
    <t>STAIRCASE 1 - BASEMENT 3 TO BASEMENT 1</t>
  </si>
  <si>
    <t>4602</t>
  </si>
  <si>
    <t>STAIRCASE 1 - BASEMENT 1 TO LEVEL 1</t>
  </si>
  <si>
    <t>MASONRY PLANS - 11XX</t>
  </si>
  <si>
    <t>1101</t>
  </si>
  <si>
    <t>MASONRY SETOUT PLAN - BASEMENT 3</t>
  </si>
  <si>
    <t>1102</t>
  </si>
  <si>
    <t>MASONRY SETOUT PLAN - BASEMENT 2</t>
  </si>
  <si>
    <t>1103</t>
  </si>
  <si>
    <t>MASONRY SETOUT PLAN - BASEMENT 1</t>
  </si>
  <si>
    <t>FLOORING &amp; DRAINAGE PLANS - 13XX</t>
  </si>
  <si>
    <t>1301</t>
  </si>
  <si>
    <t>FLOORING AND DRAINAGE PLAN - BASEMENT 3</t>
  </si>
  <si>
    <t>1302</t>
  </si>
  <si>
    <t>FLOORING AND DRAINAGE PLAN - BASEMENT 2</t>
  </si>
  <si>
    <t>1303</t>
  </si>
  <si>
    <t>FLOORING AND DRAINAGE PLAN - BASEMENT 1</t>
  </si>
  <si>
    <t>ELECTRICAL &amp; REFLECTED CEILING PLANS - 14XX</t>
  </si>
  <si>
    <t>1401</t>
  </si>
  <si>
    <t>ELECTRICAL PLAN - BASEMENT 3</t>
  </si>
  <si>
    <t>1402</t>
  </si>
  <si>
    <t>ELECTRICAL PLAN - BASEMENT 2</t>
  </si>
  <si>
    <t>1403</t>
  </si>
  <si>
    <t>ELECTRICAL PLAN - BASEMENT 1</t>
  </si>
  <si>
    <t>PART PLANS - 41XX</t>
  </si>
  <si>
    <t>4101</t>
  </si>
  <si>
    <t>FLOOR PLAN- BASEMENT 3 - PART A</t>
  </si>
  <si>
    <t>4102</t>
  </si>
  <si>
    <t>FLOOR PLAN- BASEMENT 3 - PART B</t>
  </si>
  <si>
    <t>4103</t>
  </si>
  <si>
    <t>FLOOR PLAN- BASEMENT 3 - PART C</t>
  </si>
  <si>
    <t>4106</t>
  </si>
  <si>
    <t>FLOOR PLAN- BASEMENT 2 - PART A</t>
  </si>
  <si>
    <t>4107</t>
  </si>
  <si>
    <t>FLOOR PLAN- BASEMENT 2 - PART B</t>
  </si>
  <si>
    <t>R4</t>
  </si>
  <si>
    <t>4108</t>
  </si>
  <si>
    <t>FLOOR PLAN- BASEMENT 2 - PART C</t>
  </si>
  <si>
    <t>4111</t>
  </si>
  <si>
    <t>FLOOR PLAN- BASEMENT 1 - PART A</t>
  </si>
  <si>
    <t>4112</t>
  </si>
  <si>
    <t>FLOOR PLAN- BASEMENT 1 - PART B</t>
  </si>
  <si>
    <t>R2</t>
  </si>
  <si>
    <t>4113</t>
  </si>
  <si>
    <t>FLOOR PLAN- BASEMENT 1 - PART C</t>
  </si>
  <si>
    <t>Tower—09 [Commercial]</t>
  </si>
  <si>
    <t>GENERAL  - 0000</t>
  </si>
  <si>
    <t>T9</t>
  </si>
  <si>
    <t>0000</t>
  </si>
  <si>
    <t>COVER SHEET</t>
  </si>
  <si>
    <t>T09</t>
  </si>
  <si>
    <t>0001</t>
  </si>
  <si>
    <t>ABBREVIATIONS AND SYMBOLS</t>
  </si>
  <si>
    <t>SETTING OUT PLANS</t>
  </si>
  <si>
    <t>0003</t>
  </si>
  <si>
    <t>SETTING OUT BASEMENT 3</t>
  </si>
  <si>
    <t>0008</t>
  </si>
  <si>
    <t>SETTING OUT BASEMENT 3 - PART A</t>
  </si>
  <si>
    <t>0101</t>
  </si>
  <si>
    <t>FOUNDATION SETTING OUT</t>
  </si>
  <si>
    <t>0102</t>
  </si>
  <si>
    <t>COLUMN AND RETAINING WALL SETTING OUT</t>
  </si>
  <si>
    <t>0103</t>
  </si>
  <si>
    <t>COLUMN SETTING OUT - LEVEL 02 (SIZE CHANGE)</t>
  </si>
  <si>
    <t>FLOOR PLAN - LEVEL 1</t>
  </si>
  <si>
    <t>1001a</t>
  </si>
  <si>
    <t>FLOOR PLAN - MEZZANINE</t>
  </si>
  <si>
    <t>FLOOR PLAN - TYPICAL EVEN LEVEL 2,4,6,8,10,12,14,16</t>
  </si>
  <si>
    <t>FLOOR PLAN - TYPICAL ODD LEVEL 3,5,7,9,11,13,15,17</t>
  </si>
  <si>
    <t>1018</t>
  </si>
  <si>
    <t>FLOOR PLAN - LEVEL 18 (WINDMILLS)</t>
  </si>
  <si>
    <t>1019</t>
  </si>
  <si>
    <t>FLOOR PLAN - LEVEL 19 (TERRACE)</t>
  </si>
  <si>
    <t>1020</t>
  </si>
  <si>
    <t>FLOOR PLAN - LIFT MACHINE ROOM AND SERVICES</t>
  </si>
  <si>
    <t>1021</t>
  </si>
  <si>
    <t>ROOF PLAN</t>
  </si>
  <si>
    <t>MASONRY SETOUT PLAN - GROUND LEVEL</t>
  </si>
  <si>
    <t>1101a</t>
  </si>
  <si>
    <t>MASONRY SETOUT PLAN - MEZZANINE LEVEL</t>
  </si>
  <si>
    <t>MASONRY SETOUT PLAN - TYPICAL EVEN LEVELS</t>
  </si>
  <si>
    <t>MASONRY SETOUT PLAN - TYPICAL ODD LEVELS</t>
  </si>
  <si>
    <t>1118</t>
  </si>
  <si>
    <t>MASONRY SECTIONS</t>
  </si>
  <si>
    <t>1119</t>
  </si>
  <si>
    <t>MASONRY SETOUT PLAN - LEVEL 23 (TERRACE)</t>
  </si>
  <si>
    <t>1120</t>
  </si>
  <si>
    <t>MASONRY SETOUT PLAN - OHT, MACHINE ROOM ETC</t>
  </si>
  <si>
    <t>FLOORING AND DRAINAGE PLAN - GROUND LEVEL AND EXTENDED PODIUM</t>
  </si>
  <si>
    <t>1301a</t>
  </si>
  <si>
    <t>FLOORING PLAN - MEZZANINE LEVEL</t>
  </si>
  <si>
    <t>FLOORING PLAN - TYPICAL EVEN LEVELS</t>
  </si>
  <si>
    <t>FLOORING PLAN - TYPICAL ODD LEVELS</t>
  </si>
  <si>
    <t>1307</t>
  </si>
  <si>
    <t>FLOORING PLANS - PODIUM LEVEL</t>
  </si>
  <si>
    <t>1308</t>
  </si>
  <si>
    <t>FLOORING DETAILS - PODIUM LEVEL</t>
  </si>
  <si>
    <t>1318</t>
  </si>
  <si>
    <t>FLOORING PLAN - LEVEL 23</t>
  </si>
  <si>
    <t>1319</t>
  </si>
  <si>
    <t>FLOORING PLAN - OHT, MACHINE ROOM ETC</t>
  </si>
  <si>
    <t>ELECTRICAL PLAN - GROUND LEVEL</t>
  </si>
  <si>
    <t>1401a</t>
  </si>
  <si>
    <t>ELECTRICAL PLAN - MEZZANINE LEVEL</t>
  </si>
  <si>
    <t>ELECTRICAL PLAN - TYPICAL EVEN LEVELS</t>
  </si>
  <si>
    <t>ELECTRICAL PLAN - TYPICAL ODD LEVELS</t>
  </si>
  <si>
    <t>1418</t>
  </si>
  <si>
    <t>ELECTRICAL PLAN - LEVEL 23</t>
  </si>
  <si>
    <t>1420</t>
  </si>
  <si>
    <t>ELECTRICAL PLAN - OHT, MACHINE ROOM ETC</t>
  </si>
  <si>
    <t>1421</t>
  </si>
  <si>
    <t>FACADE LIGHTING SCHEME</t>
  </si>
  <si>
    <t>NA</t>
  </si>
  <si>
    <t>GENERAL ARRANGEMENT ELEVATIONS - 20XX</t>
  </si>
  <si>
    <t>2001</t>
  </si>
  <si>
    <t>ELEVATIONS - NORTH &amp; WEST</t>
  </si>
  <si>
    <t>2002</t>
  </si>
  <si>
    <t>ELEVATIONS - SOUTH &amp; WEST</t>
  </si>
  <si>
    <t>GENERAL ARRANGEMENT SECTIONS - 30XX</t>
  </si>
  <si>
    <t>3001</t>
  </si>
  <si>
    <t>SECTION - TRANSVERSE</t>
  </si>
  <si>
    <t>3002</t>
  </si>
  <si>
    <t>SECTION - LONGITUDINAL</t>
  </si>
  <si>
    <t>RECEPTION LOBBY DETAILS</t>
  </si>
  <si>
    <t>LIFT LOBBY DETAILS BASEMENT</t>
  </si>
  <si>
    <t>LIFT LOBBY DETAILS LEVEL 01 + LEVEL 01A</t>
  </si>
  <si>
    <t>4109</t>
  </si>
  <si>
    <t>LIFT LOBBY DETAILS TYPICAL LEVELS</t>
  </si>
  <si>
    <t>4110</t>
  </si>
  <si>
    <t>LIFT LOBBY DETAILS LEVELS 23</t>
  </si>
  <si>
    <t>LIFT LOBBY DETAILS LEVELS 24</t>
  </si>
  <si>
    <t>4119</t>
  </si>
  <si>
    <t>SHAFT SH - B3 - DETAILS</t>
  </si>
  <si>
    <t>EXTERNAL BUILDING ENEVELOPE - 44XX</t>
  </si>
  <si>
    <t>4401</t>
  </si>
  <si>
    <t>TRELLIS DETAILS - GROUND LEVEL</t>
  </si>
  <si>
    <t>4402</t>
  </si>
  <si>
    <t>TRELLIS DETAILS - TERRACE LEVEL</t>
  </si>
  <si>
    <t>4406</t>
  </si>
  <si>
    <t xml:space="preserve">RAILING DETAILS - TYPICAL LEVEL TERRACE GARDEN </t>
  </si>
  <si>
    <t>4407</t>
  </si>
  <si>
    <t>RAILING DETAILS - TERRACE LEVEL</t>
  </si>
  <si>
    <t>4411</t>
  </si>
  <si>
    <t>KEY PLAN - WALL SECTIONS (EXTERNAL)</t>
  </si>
  <si>
    <t>4412</t>
  </si>
  <si>
    <t>LOUVERED WALL DETAILS - BASEMENT 1</t>
  </si>
  <si>
    <t>4413</t>
  </si>
  <si>
    <t>WALL SECTION - WIRE CUT BRICK DETAILS - GROUND AND MEZZANINE</t>
  </si>
  <si>
    <t>4414</t>
  </si>
  <si>
    <t>WALL SECTION - WIRE CUT BRICK DETAILS - TYPICAL LEVELS</t>
  </si>
  <si>
    <t>4415</t>
  </si>
  <si>
    <t>WALL SECTION - WIRE CUT BRICK DETAILS - LEVEL18, 19 AND 20</t>
  </si>
  <si>
    <t>4416</t>
  </si>
  <si>
    <t>SHUTTERING DETAILS - EXPOSED CONCRETE FINISH COLUMNS</t>
  </si>
  <si>
    <t>4417</t>
  </si>
  <si>
    <t>SHUTTERING DETAILS - EXPOSED CONCRETE FINISH TERRACE GARDEN</t>
  </si>
  <si>
    <t>4430</t>
  </si>
  <si>
    <t xml:space="preserve">BRICK JAALI WALL - ELEVATION FROM CLUBHOUSE </t>
  </si>
  <si>
    <t>4431</t>
  </si>
  <si>
    <t>BRICK JAALI WALL - BASEMENT 1 PLAN</t>
  </si>
  <si>
    <t>4432</t>
  </si>
  <si>
    <t xml:space="preserve">BRICK JAALI WALL - PART ELEVATIONS </t>
  </si>
  <si>
    <t>4433</t>
  </si>
  <si>
    <t xml:space="preserve">CORRUGATED CONCRETE FINISH WALL - BASEMENT1 PLAN </t>
  </si>
  <si>
    <t>4434</t>
  </si>
  <si>
    <t xml:space="preserve">BRICK JAALI AND CONCRETE WALL - SECTIONS AND DETAILS </t>
  </si>
  <si>
    <t>4422</t>
  </si>
  <si>
    <t>FRAMING ELEVATIONS EAST</t>
  </si>
  <si>
    <t>4423</t>
  </si>
  <si>
    <t>FRAMING ELEVATIONS WEST</t>
  </si>
  <si>
    <t>4424</t>
  </si>
  <si>
    <t>FRAMING ELEVATIONS DETAILS 1-3</t>
  </si>
  <si>
    <t>4425</t>
  </si>
  <si>
    <t>FRAMING ELEVATIONS DETAILS 2-3</t>
  </si>
  <si>
    <t>4426</t>
  </si>
  <si>
    <t>FRAMING ELEVATIONS DETAILS 3-3</t>
  </si>
  <si>
    <t>4451</t>
  </si>
  <si>
    <t>EXTERNAL WALL - KEYPLAN</t>
  </si>
  <si>
    <t>4452</t>
  </si>
  <si>
    <t>EXTERNAL WALL - PART 01 PLANS</t>
  </si>
  <si>
    <t>4453</t>
  </si>
  <si>
    <t>EXTERNAL WALL - PART 01 ELEVATIONS</t>
  </si>
  <si>
    <t>4456</t>
  </si>
  <si>
    <t>EXTERNAL WALL - PART 02 PLANS</t>
  </si>
  <si>
    <t>4457</t>
  </si>
  <si>
    <t>EXTERNAL WALL - PART 02 ELEVATIONS</t>
  </si>
  <si>
    <t>4461</t>
  </si>
  <si>
    <t>EXTERNAL WALL - PART 03 PLANS</t>
  </si>
  <si>
    <t>4462</t>
  </si>
  <si>
    <t>4463</t>
  </si>
  <si>
    <t>EXTERNAL WALL - PART 03 ELEVATIONS</t>
  </si>
  <si>
    <t>4464</t>
  </si>
  <si>
    <t>4470</t>
  </si>
  <si>
    <t>EXTERNAL WALL - TYPICAL DETAILS</t>
  </si>
  <si>
    <t>STAIRCASE 1 DETAILS</t>
  </si>
  <si>
    <t xml:space="preserve">STAIRCASE 1 DETAILS </t>
  </si>
  <si>
    <t>4603</t>
  </si>
  <si>
    <t>STAIRCASE 2 AND 3 TYPICAL DETAILS</t>
  </si>
  <si>
    <t>4604</t>
  </si>
  <si>
    <t>4605</t>
  </si>
  <si>
    <t>4607</t>
  </si>
  <si>
    <t>EXTENDED BASEMENT STAIRCASE 04 - PLANS, SECTIONS AND DETAILS</t>
  </si>
  <si>
    <t>4608</t>
  </si>
  <si>
    <t>EXTENDED BASEMENT STAIRCASE 05 - PLANS, SECTIONS AND DETAILS</t>
  </si>
  <si>
    <t>020100</t>
  </si>
  <si>
    <t>STAIRCASE STANDARD DETAILS - WAIST SLAB</t>
  </si>
  <si>
    <t>024000</t>
  </si>
  <si>
    <t>STAIRCASE STANDARD DETILS - NOSING</t>
  </si>
  <si>
    <t>220106</t>
  </si>
  <si>
    <t>STAIRCASE STANDARD DETAILS - RAILING</t>
  </si>
  <si>
    <t>4631</t>
  </si>
  <si>
    <t>EXTENDED BASEMENT STAIRCASE 4 - BASEMENT 3 TO LEVEL 1</t>
  </si>
  <si>
    <t>4632</t>
  </si>
  <si>
    <t>EXTENDED BASEMENT STAIRCASE 5 - BASEMENT 3 TO CENTRAL GREENS</t>
  </si>
  <si>
    <t>DOOR AND WINDOW DETAILS - 47XX</t>
  </si>
  <si>
    <t>4801</t>
  </si>
  <si>
    <t>DOOR DETAILS - D01A</t>
  </si>
  <si>
    <t>4802</t>
  </si>
  <si>
    <t>DOOR DETAILS - D01B</t>
  </si>
  <si>
    <t>4803</t>
  </si>
  <si>
    <t>DOOR DETAILS - D01C</t>
  </si>
  <si>
    <t>4804</t>
  </si>
  <si>
    <t>DOOR DETAILS - D02A</t>
  </si>
  <si>
    <t>4805</t>
  </si>
  <si>
    <t>DOOR DETAILS - D02B</t>
  </si>
  <si>
    <t>DOOR DETAILS - D02C</t>
  </si>
  <si>
    <t>4806</t>
  </si>
  <si>
    <t>DOOR DETAILS - D03</t>
  </si>
  <si>
    <t>4807</t>
  </si>
  <si>
    <t>DOOR DETAILS - D04</t>
  </si>
  <si>
    <t>DOOR DETAILS - D05</t>
  </si>
  <si>
    <t>4811</t>
  </si>
  <si>
    <t>FIXED DOOR DETAILS - FD01</t>
  </si>
  <si>
    <t>4812</t>
  </si>
  <si>
    <t>FIXED DOOR DETAILS - FD02</t>
  </si>
  <si>
    <t>4813</t>
  </si>
  <si>
    <t>FIXED DOOR DETAILS - FD03</t>
  </si>
  <si>
    <t>4814</t>
  </si>
  <si>
    <t>FIXED DOOR DETAILS - FD03B</t>
  </si>
  <si>
    <t>4815</t>
  </si>
  <si>
    <t>FIXED DOOR DETAILS - FD03C</t>
  </si>
  <si>
    <t>4816</t>
  </si>
  <si>
    <t>FIXED DOOR DETAILS - FD04A</t>
  </si>
  <si>
    <t>4817</t>
  </si>
  <si>
    <t>FIXED DOOR DETAILS - FD04B</t>
  </si>
  <si>
    <t>4818</t>
  </si>
  <si>
    <t>FIXED DOOR DETAILS - FD04C</t>
  </si>
  <si>
    <t>4819</t>
  </si>
  <si>
    <t>FIXED DOOR DETAILS - FD05A</t>
  </si>
  <si>
    <t>4820</t>
  </si>
  <si>
    <t>FIXED DOOR DETAILS - FD05B</t>
  </si>
  <si>
    <t>4821</t>
  </si>
  <si>
    <t>FIXED DOOR DETAILS - FD05C</t>
  </si>
  <si>
    <t>4822</t>
  </si>
  <si>
    <t>FIXED DOOR DETAILS - FD06A</t>
  </si>
  <si>
    <t>4823</t>
  </si>
  <si>
    <t>FIXED DOOR DETAILS - FD06B</t>
  </si>
  <si>
    <t>4824</t>
  </si>
  <si>
    <t>FIXED DOOR DETAILS - FD07A</t>
  </si>
  <si>
    <t>4825</t>
  </si>
  <si>
    <t>FIXED DOOR DETAILS - FD07B</t>
  </si>
  <si>
    <t>4851</t>
  </si>
  <si>
    <t>WINDOW DETAILS - W01</t>
  </si>
  <si>
    <t>4852</t>
  </si>
  <si>
    <t>WINDOW DETAILS - W02</t>
  </si>
  <si>
    <t>4853</t>
  </si>
  <si>
    <t>WINDOW DETAILS - W03</t>
  </si>
  <si>
    <t>4861</t>
  </si>
  <si>
    <t>CURTAIN WALL DETAILS - CW01</t>
  </si>
  <si>
    <t>4862</t>
  </si>
  <si>
    <t>CURTAIN WALL DETAILS - CW02</t>
  </si>
  <si>
    <t>4863</t>
  </si>
  <si>
    <t>CURTAIN WALL DETAILS - CW03A</t>
  </si>
  <si>
    <t>4864</t>
  </si>
  <si>
    <t>CURTAIN WALL DETAILS - CW03B</t>
  </si>
  <si>
    <t>4865</t>
  </si>
  <si>
    <t>CURTAIN WALL DETAILS - CW03C</t>
  </si>
  <si>
    <t>7421</t>
  </si>
  <si>
    <t>DOOR AND WINDOWS SCHEDULE</t>
  </si>
  <si>
    <t>SHAFT DOOR DETAILS SD01 to SD07</t>
  </si>
  <si>
    <t>RAMP DETAILS - 51XX</t>
  </si>
  <si>
    <t>5101</t>
  </si>
  <si>
    <t>ENTRY RAMP - B1</t>
  </si>
  <si>
    <t>5102</t>
  </si>
  <si>
    <t>ENTRY RAMP - B2</t>
  </si>
  <si>
    <t>5103</t>
  </si>
  <si>
    <t>ENTRY RAMP - B3</t>
  </si>
  <si>
    <t>5104</t>
  </si>
  <si>
    <t>EXIT RAMP - B1</t>
  </si>
  <si>
    <t>5105</t>
  </si>
  <si>
    <t>EXIT RAMP - B2</t>
  </si>
  <si>
    <t>5106</t>
  </si>
  <si>
    <t>EXIT RAMP - B3</t>
  </si>
  <si>
    <t>5107</t>
  </si>
  <si>
    <t>CONNECTION RAMP TO TOWER 7</t>
  </si>
  <si>
    <t>TOILET DETAILS - 55XX</t>
  </si>
  <si>
    <t>5501</t>
  </si>
  <si>
    <t>TOILET DETAILS - BASEMENT LEVELS</t>
  </si>
  <si>
    <t>5502</t>
  </si>
  <si>
    <t>TOILET DETAILS - LEVEL 1</t>
  </si>
  <si>
    <t>5503</t>
  </si>
  <si>
    <t>TOILET DETAILS - MEZZANINE</t>
  </si>
  <si>
    <t>5504</t>
  </si>
  <si>
    <t>TOILET DETAILS - TYPICAL LEVEL</t>
  </si>
  <si>
    <t>5505</t>
  </si>
  <si>
    <t>TOILET DETAILS - HOSPITALITY LEVELS</t>
  </si>
  <si>
    <t>SERVICE INFORMATION DRAWINGS - 58XX</t>
  </si>
  <si>
    <t>5801</t>
  </si>
  <si>
    <t>SERVICE ROOMS AND EQUIPMENT LAYOUT - BASEMENTS</t>
  </si>
  <si>
    <t>5802</t>
  </si>
  <si>
    <t>SERVICE ROOMS AND EQUIPMENT LAYOUT - LEVEL 01</t>
  </si>
  <si>
    <t>5803</t>
  </si>
  <si>
    <t>SERVICE ROOMS AND EQUIPMENT LAYOUT - MEZZANINE</t>
  </si>
  <si>
    <t>5804</t>
  </si>
  <si>
    <t>SERVICE ROOMS AND EQUIPMENT LAYOUT - TYPICAL LEVEL</t>
  </si>
  <si>
    <t>5805</t>
  </si>
  <si>
    <t>SERVICE ROOMS AND EQUIPMENT LAYOUT - HOSPITALITY LEVELS</t>
  </si>
  <si>
    <t>5806</t>
  </si>
  <si>
    <t>SERVICE ROOMS AND EQUIPMENT LAYOUT - TERRACE</t>
  </si>
  <si>
    <t>FLOORING DETAILS - 59XX</t>
  </si>
  <si>
    <t>5901</t>
  </si>
  <si>
    <t>5902</t>
  </si>
  <si>
    <t>5903</t>
  </si>
  <si>
    <t>TERRACE GARDEN DETAILS - 62XX</t>
  </si>
  <si>
    <t>6201</t>
  </si>
  <si>
    <t>TYPICAL EVEN LEVEL TERRACE GARDEN DETAIL 1-2</t>
  </si>
  <si>
    <t>6202</t>
  </si>
  <si>
    <t>TYPICAL EVEN LEVEL TERRACE GARDEN DETAIL 2-2</t>
  </si>
  <si>
    <t>6203</t>
  </si>
  <si>
    <t>TYPICAL ODD LEVEL TERRACE GARDEN DETAIL 1-2</t>
  </si>
  <si>
    <t>6204</t>
  </si>
  <si>
    <t>TYPICAL ODD LEVEL TERRACE GARDEN DETAIL 2-2</t>
  </si>
  <si>
    <t>6205</t>
  </si>
  <si>
    <t>TERRACE GARDEN TYPICAL DETAILS</t>
  </si>
  <si>
    <t>SPECIFICATIONS / SCHEDULES - 7XXX</t>
  </si>
  <si>
    <t>DOORS AND WINDOWS SCHEDULE</t>
  </si>
  <si>
    <t>FINISHES SCHEDULE</t>
  </si>
  <si>
    <t>STAFF LOUNGE DETAILED PLAN</t>
  </si>
  <si>
    <t>PLUMBING AND SANITARY SCHEDULE [Staff lounge]</t>
  </si>
  <si>
    <t>LUMINAIRE SCHEDULE</t>
  </si>
  <si>
    <t>GENERAL</t>
  </si>
  <si>
    <t>00</t>
  </si>
  <si>
    <t>SDV</t>
  </si>
  <si>
    <t>0002</t>
  </si>
  <si>
    <t>SITE MASTER KEY PLAN</t>
  </si>
  <si>
    <t>PLANS</t>
  </si>
  <si>
    <t>0011</t>
  </si>
  <si>
    <t>MASTERPLAN</t>
  </si>
  <si>
    <t>0012</t>
  </si>
  <si>
    <t>SITE PLAN - LEVEL 1</t>
  </si>
  <si>
    <t>0013</t>
  </si>
  <si>
    <t>GRADING PLAN</t>
  </si>
  <si>
    <t>0014</t>
  </si>
  <si>
    <t>DRAINAGE PLAN</t>
  </si>
  <si>
    <t>0015</t>
  </si>
  <si>
    <t>FINISHES PLAN</t>
  </si>
  <si>
    <t>0016</t>
  </si>
  <si>
    <t>LANDSCAPE PLAN</t>
  </si>
  <si>
    <t>0024</t>
  </si>
  <si>
    <t>PARTIAL SITE PLAN - TOWER 9</t>
  </si>
  <si>
    <t>0050</t>
  </si>
  <si>
    <t>ELECTRICAL PLAN</t>
  </si>
  <si>
    <t>Captured in Street light Layout Residential</t>
  </si>
  <si>
    <t>0060</t>
  </si>
  <si>
    <t>METAL FABRICATION</t>
  </si>
  <si>
    <t>ELECTRICAL  - 14XX</t>
  </si>
  <si>
    <t>SITE - STREET LIGHTING LAYOUT</t>
  </si>
  <si>
    <t>GENERAL ARRANGEMENT ELEVATIONS</t>
  </si>
  <si>
    <t>2000</t>
  </si>
  <si>
    <t>ELEVATION (EAST)</t>
  </si>
  <si>
    <t>2010</t>
  </si>
  <si>
    <t>ELEVATION (WEST)</t>
  </si>
  <si>
    <t>2020</t>
  </si>
  <si>
    <t>ELEVATION (NORTH)</t>
  </si>
  <si>
    <t>2030</t>
  </si>
  <si>
    <t>ELEVATION (SOUTH)</t>
  </si>
  <si>
    <t>GENERAL ARRANGEMENT SECTIONS</t>
  </si>
  <si>
    <t>3023</t>
  </si>
  <si>
    <t>SITE SECTION THROUGH TOWER 9</t>
  </si>
  <si>
    <t>EXTERNAL BUILDING ENVELOPE DETAILS</t>
  </si>
  <si>
    <t>EXTERNAL BUILDING ELEMENTS - 1</t>
  </si>
  <si>
    <t>EXTERNAL BUILDING ELEMENTS - 2</t>
  </si>
  <si>
    <t>ENCLOSURE AND FENCING DETAILS</t>
  </si>
  <si>
    <t>5005</t>
  </si>
  <si>
    <t>ENCLOSURE AND FENCING - TRANSFORMER YARD</t>
  </si>
  <si>
    <t>5006</t>
  </si>
  <si>
    <t>ENCLOSURE AND FENCING - DG YARD</t>
  </si>
  <si>
    <t>ENCLOSURE AND FENCING - COOLING TOWER</t>
  </si>
  <si>
    <t>STREET LIGHTING</t>
  </si>
  <si>
    <t>INFRASTRUCTURE DRAWINGS</t>
  </si>
  <si>
    <t>INFRA</t>
  </si>
  <si>
    <t>001</t>
  </si>
  <si>
    <t>OVER ALL SITE PLAN WITH SHEET INDEX</t>
  </si>
  <si>
    <t>002</t>
  </si>
  <si>
    <t>TOWER 9 STREETS</t>
  </si>
  <si>
    <t>008</t>
  </si>
  <si>
    <t>ROAD CROSS SECTIONS</t>
  </si>
  <si>
    <t>009</t>
  </si>
  <si>
    <t>ROAD CENTER LINE SET OUT PLAN</t>
  </si>
  <si>
    <t>010</t>
  </si>
  <si>
    <t>ROAD CENTER LINE SET OUT TABLE</t>
  </si>
  <si>
    <t>SD</t>
  </si>
  <si>
    <t>STORM DRAIN PLAN</t>
  </si>
  <si>
    <t>003</t>
  </si>
  <si>
    <t>STORM DRAIN - PROFILE L-SECTION</t>
  </si>
  <si>
    <t>004</t>
  </si>
  <si>
    <t>005</t>
  </si>
  <si>
    <t>006</t>
  </si>
  <si>
    <t>007</t>
  </si>
  <si>
    <t>STORM DRAIN - STRUCTURE TABLES</t>
  </si>
  <si>
    <t>STORM DRAIN - STRUCTURE TABLES &amp; MANHOLE DETAILS</t>
  </si>
  <si>
    <t>011</t>
  </si>
  <si>
    <t>STORM DRAIN PIPE TABLES AND RAIN WATER RECHARGE PIT DETAIL</t>
  </si>
  <si>
    <t>012</t>
  </si>
  <si>
    <t>MANHOLE DETAILS</t>
  </si>
  <si>
    <t>Security Cabin Details</t>
  </si>
  <si>
    <t>GENERAL 0000</t>
  </si>
  <si>
    <t>CSC</t>
  </si>
  <si>
    <t>ABBREVIATIONS, SYMBOLS AND ANNOTATIONS</t>
  </si>
  <si>
    <t>SETTING OUT PLANS 00XX</t>
  </si>
  <si>
    <t>SETOUT PLAN - COLUMNS</t>
  </si>
  <si>
    <t>GENERAL ARRANGEMENT - PLANS - 10XX</t>
  </si>
  <si>
    <t>G.A. PLAN – SSL 1 - LEVEL 1</t>
  </si>
  <si>
    <t xml:space="preserve">G.A. PLAN – ROOF LEVEL </t>
  </si>
  <si>
    <t>MASONARY  PLANS 11XX</t>
  </si>
  <si>
    <t>MASONRY SETOUT PLAN – SSL 1 - LEVEL 1</t>
  </si>
  <si>
    <t>FLOORING PLANS 13XX</t>
  </si>
  <si>
    <t>FLOORING PLAN - LEVEL 1</t>
  </si>
  <si>
    <t>FLOORING PLAN – ROOF</t>
  </si>
  <si>
    <t>ELECTRICAL (co-orinated) - 14XX</t>
  </si>
  <si>
    <t>ELECTRICAL - LEVEL -1</t>
  </si>
  <si>
    <t>ELECTRICAL - ROOF</t>
  </si>
  <si>
    <t>SWITCH SCHEDULE</t>
  </si>
  <si>
    <t>LIGHTING FIXTURE  SCHEDULE</t>
  </si>
  <si>
    <t>GENERAL ARRANGEMENT - ELEVATIONS - 20XX</t>
  </si>
  <si>
    <t>GA - ELEVATIONS</t>
  </si>
  <si>
    <t>GENERAL ARRANGEMENT - SECTIONS - 30XX</t>
  </si>
  <si>
    <t>GA -SECTIONS</t>
  </si>
  <si>
    <t>BUILDING ENVOLOPE DETAILS -  44XX</t>
  </si>
  <si>
    <t>WALL SECTION - 1</t>
  </si>
  <si>
    <t>ROOF SECTION</t>
  </si>
  <si>
    <t>DOOR WINDOW-  47XX</t>
  </si>
  <si>
    <t>4701</t>
  </si>
  <si>
    <t>DOOR AND WINDOW DETAILS – 1</t>
  </si>
  <si>
    <t>4702</t>
  </si>
  <si>
    <t>DOOR AND WINDOW DETAILS – 2</t>
  </si>
  <si>
    <t>4703</t>
  </si>
  <si>
    <t>DOOR AND WINDOW DETAILS – 3</t>
  </si>
  <si>
    <t>4704</t>
  </si>
  <si>
    <t>DOOR AND WINDOW DETAILS – 4</t>
  </si>
  <si>
    <t>Toilet Drawing</t>
  </si>
  <si>
    <t>Pantry Drawing</t>
  </si>
  <si>
    <t>Cabinetry details</t>
  </si>
  <si>
    <t>@</t>
  </si>
  <si>
    <t>Plan in FY 23</t>
  </si>
  <si>
    <t>Issued in FY 23</t>
  </si>
  <si>
    <t>ST | DRAWING LIST</t>
  </si>
  <si>
    <t>Excavation Layout</t>
  </si>
  <si>
    <t>ISS</t>
  </si>
  <si>
    <t>Excavation Sections</t>
  </si>
  <si>
    <t>Independent Subgrade Structure—Block A</t>
  </si>
  <si>
    <t>FD</t>
  </si>
  <si>
    <t>FOUNDATION DETAILS</t>
  </si>
  <si>
    <t>SSA</t>
  </si>
  <si>
    <t>CL</t>
  </si>
  <si>
    <t>COLUMN DETAILS</t>
  </si>
  <si>
    <t>FP</t>
  </si>
  <si>
    <t>FRAMING PLANS—ALL LEVELS</t>
  </si>
  <si>
    <t>BM</t>
  </si>
  <si>
    <t>BEAM REINFORCEMENT DETAILS—SSL 1</t>
  </si>
  <si>
    <t>SB</t>
  </si>
  <si>
    <t>SLAB REINFORCEMENT DETAILS—SSL 1</t>
  </si>
  <si>
    <t>BEAM REINFORCEMENT DETAILS—SSL 2</t>
  </si>
  <si>
    <t>SLAB REINFORCEMENT DETAILS—SSL 2</t>
  </si>
  <si>
    <t>BEAM REINFORCEMENT DETAILS—PODIUM</t>
  </si>
  <si>
    <t>SLAB REINFORCEMENT DETAILS—PODIUM</t>
  </si>
  <si>
    <t>STAIRCASE DETAILS</t>
  </si>
  <si>
    <t>Independent Subgrade Structure—Block B</t>
  </si>
  <si>
    <t>SSB</t>
  </si>
  <si>
    <t>Independent Subgrade Structure—Block C</t>
  </si>
  <si>
    <t>SSC</t>
  </si>
  <si>
    <t>Independent Subgrade Structure—Block D,E</t>
  </si>
  <si>
    <t>BASEMENT SUMP DETAILS</t>
  </si>
  <si>
    <t>FOUNDATION DRAWINGS TOWER 9</t>
  </si>
  <si>
    <t>PCC LAYOUT</t>
  </si>
  <si>
    <t>FOUNDATION LAYOUT</t>
  </si>
  <si>
    <t>RAFT DETAILS AND SECTIONS</t>
  </si>
  <si>
    <t>CONSTRUCTION JOINT DETAILS</t>
  </si>
  <si>
    <t>THERMOCOUPLE DETAILS</t>
  </si>
  <si>
    <t>ISOLATED FOOTING TABLE</t>
  </si>
  <si>
    <t>RETAINING WALL BASE SLAB DETIALS</t>
  </si>
  <si>
    <t>COLUMN DRAWINGS TOWER 9</t>
  </si>
  <si>
    <t>GENERAL COLUMN DETAILS</t>
  </si>
  <si>
    <t>TYPICAL COLUMN LAPPING DETAILS</t>
  </si>
  <si>
    <t>COLUMN DETAILS - FOUNDATION TO SSL 3</t>
  </si>
  <si>
    <t>COLUMN DETAILS - SSL 4 &amp; 5</t>
  </si>
  <si>
    <t>COLUMN DETAILS - SSL 6 TO 11</t>
  </si>
  <si>
    <t>COLUMN DETAILS - SSL 11 TO 25</t>
  </si>
  <si>
    <t>BLOCK 9 - FRAMING PLAN SSL  26 TO ROOF</t>
  </si>
  <si>
    <t>COLUMN DETAILS - ABOVE TERRACE DETAILS</t>
  </si>
  <si>
    <t>COLUMN STRENGTHENING DETAILS C1a</t>
  </si>
  <si>
    <t>FRAMING PLANS TOWER 9</t>
  </si>
  <si>
    <t>BLOCK 9 - FRAMING PLAN SSL 1</t>
  </si>
  <si>
    <t>BLOCK 9 - FRAMING PLAN SSL 2 TO 3</t>
  </si>
  <si>
    <t>BLOCK 9 - FRAMING PLAN SSL 4 &amp; 5</t>
  </si>
  <si>
    <t>BLOCK 9 - FRAMING PLAN SSL  6 to 11</t>
  </si>
  <si>
    <t>BLOCK 9 - FRAMING PLAN SSL  11 to 25</t>
  </si>
  <si>
    <t>BLOCK 9 - BEAM DETAILS - SSL 26</t>
  </si>
  <si>
    <t>BLOCK 9 - BEAM DETAILS - SSL 27</t>
  </si>
  <si>
    <t>BLOCK 9 - FRAMING PLAN  - TERRACE DETAILS</t>
  </si>
  <si>
    <t>BEAM DRAWINGS TOWER 9</t>
  </si>
  <si>
    <t>BLOCK 9 - GENERAL NOTES - BEAMS</t>
  </si>
  <si>
    <t xml:space="preserve">BLOCK 9 - BEAM DETAILS - SSL 1 </t>
  </si>
  <si>
    <t>BLOCK 9 - BEAM DETAILS - SSL 2 TO 3</t>
  </si>
  <si>
    <t>BLOCK 9 - BEAM DETAILS - SSL 4 &amp; 5</t>
  </si>
  <si>
    <t>BLOCK 9 - BEAM DETAILS - SSL 6 TO 11</t>
  </si>
  <si>
    <t>BLOCK 9 - BEAM DETAILS - SSL 11 TO 25</t>
  </si>
  <si>
    <t>BLOCK 9 - BEAM DETAILS - TERRACE DETAILS</t>
  </si>
  <si>
    <t>SLAB DRAWINGS TOWER 9</t>
  </si>
  <si>
    <t>BLOCK 9 - GENERAL NOTES - SLABS</t>
  </si>
  <si>
    <t xml:space="preserve">BLOCK 9 -SLAB DETAILS - SSL 1 </t>
  </si>
  <si>
    <t>BLOCK 9 - SLAB DETAILS - SSL 2 TO 3</t>
  </si>
  <si>
    <t>BLOCK 9 - SLAB DETAILS - SSL 4 &amp; 5</t>
  </si>
  <si>
    <t>BLOCK 9 - SLAB DETAILS - SSL 6 TO 11</t>
  </si>
  <si>
    <t>BLOCK 9 - SLAB DETAILS - SSL 11 TO 25</t>
  </si>
  <si>
    <t>BLOCK 9 - SLAB DETAILS - SSL 26</t>
  </si>
  <si>
    <t>BLOCK 9 - SLAB DETAILS - SSL 27</t>
  </si>
  <si>
    <t>BLOCK 9 - SLAB DETAILS - ABOVE TERRACE DETAILS</t>
  </si>
  <si>
    <t>SLEEVE DRAWINGS TOWER 9</t>
  </si>
  <si>
    <t>SL</t>
  </si>
  <si>
    <t>BLOCK 9 - GENERAL NOTES - SLEEVES</t>
  </si>
  <si>
    <t>BLOCK 9 - SLEEVE DETAILS - SSL 1 TO 5</t>
  </si>
  <si>
    <t>BLOCK 9 - SLEEVE DETAILS - SSL 6 TO 24</t>
  </si>
  <si>
    <t>TOWER 9 EAST SIDE ENTRANCE WALL WIRECUT SUPPORTING SLAB DETAIL</t>
  </si>
  <si>
    <t>BLOCK 9 - SLEEVE DETAILS - SSL 25 TO  ROOF</t>
  </si>
  <si>
    <t>STAIRCASE DRAWINGS TOWER 9</t>
  </si>
  <si>
    <t>MAIN STAIRCASE DETAILS</t>
  </si>
  <si>
    <t>MAIN STAIRCASE 3 to 5</t>
  </si>
  <si>
    <t>MAIN STAIRCASE 5 to 6</t>
  </si>
  <si>
    <t>MAIN STAIRCASE 6 to 25</t>
  </si>
  <si>
    <t>MAIN STAIRCASE 26 to Roof</t>
  </si>
  <si>
    <t>EXIT RAMP DETAILS</t>
  </si>
  <si>
    <t>ENTRY  RAMP DETAILS</t>
  </si>
  <si>
    <t>Aditional Drawings</t>
  </si>
  <si>
    <t>RAFT STRENGTHENING DETAILS</t>
  </si>
  <si>
    <t>W1a-S COL RFT &amp; ANCHOR DETAILS</t>
  </si>
  <si>
    <t>SITE</t>
  </si>
  <si>
    <t xml:space="preserve">RAMP DETAILS - 1 </t>
  </si>
  <si>
    <t xml:space="preserve">RAMP DETAILS - 2 </t>
  </si>
  <si>
    <t>SI</t>
  </si>
  <si>
    <t>ELECTRICAL TRENCH</t>
  </si>
  <si>
    <t>WATER TRENCH</t>
  </si>
  <si>
    <t>ROAD</t>
  </si>
  <si>
    <t>STORM WATER DRAINAGE</t>
  </si>
  <si>
    <t>STREET LIGHT POLE DETAILS</t>
  </si>
  <si>
    <t>ENTRANCE GATE</t>
  </si>
  <si>
    <t>TEMPORARY ENTRANCE GATE</t>
  </si>
  <si>
    <t>TRANSFORMER YARD FOUNDATION</t>
  </si>
  <si>
    <t>DG YARD FOUNDATION</t>
  </si>
  <si>
    <t>SECURITY CABINS</t>
  </si>
  <si>
    <t>PSC</t>
  </si>
  <si>
    <t>FRAMING PLANS</t>
  </si>
  <si>
    <t>BEAM REINFORCEMENT DETAILS</t>
  </si>
  <si>
    <t>SLAB REINFORCEMENT DETAILS</t>
  </si>
  <si>
    <t>M</t>
  </si>
  <si>
    <t>OTHER MISCELLANEOUS</t>
  </si>
  <si>
    <t>MEP | DRAWING LIST</t>
  </si>
  <si>
    <t>PLUMBING</t>
  </si>
  <si>
    <t>LEVEL 01(PARKING)</t>
  </si>
  <si>
    <t>PHE</t>
  </si>
  <si>
    <t>1011</t>
  </si>
  <si>
    <t xml:space="preserve">Basement-1 Floor Plan - Surface  Drainage  Layout </t>
  </si>
  <si>
    <t>1012</t>
  </si>
  <si>
    <t xml:space="preserve">Basement-1 Ceiling Plan - Water supply  piping  layout </t>
  </si>
  <si>
    <t>1013</t>
  </si>
  <si>
    <t xml:space="preserve">Basement-1 Ceiling Plan - Sewage disposal  piping  Layout </t>
  </si>
  <si>
    <t>1014</t>
  </si>
  <si>
    <t xml:space="preserve">Basement-1 Ceiling Plan - Rain water disposal  piping  Layout </t>
  </si>
  <si>
    <t>1015</t>
  </si>
  <si>
    <t>SSL 3  -Combined services   [water supply, sewerage and rain water disposal]</t>
  </si>
  <si>
    <t>RAMP STORM WATER DRAIN &amp; SUMP DETAILS</t>
  </si>
  <si>
    <t>4001</t>
  </si>
  <si>
    <t>Enlarge Toilet Detail [Ladies] Water Supply Layout</t>
  </si>
  <si>
    <t>4002</t>
  </si>
  <si>
    <t>Enlarge Toilet Detail [Ladies] Drainage Layout</t>
  </si>
  <si>
    <t>4003</t>
  </si>
  <si>
    <t>Enlarge Toilet Detail [Ladies] Elevation B</t>
  </si>
  <si>
    <t>4004</t>
  </si>
  <si>
    <t>Enlarge Toilet Detail [Ladies] Elevation D</t>
  </si>
  <si>
    <t>4005</t>
  </si>
  <si>
    <t>Enlarge Toilet Detail [Gents] Water Supply Layout</t>
  </si>
  <si>
    <t>4006</t>
  </si>
  <si>
    <t>Enlarge Toilet Detail [Gents] Drainage Layout</t>
  </si>
  <si>
    <t>4007</t>
  </si>
  <si>
    <t>Enlarge Toilet Detail [Gents] Elevation B</t>
  </si>
  <si>
    <t>4008</t>
  </si>
  <si>
    <t>Enlarge Toilet Detail [Gents] Elevation C</t>
  </si>
  <si>
    <t>4009</t>
  </si>
  <si>
    <t>Enlarge Toilet Detail [Gents] Elevation D</t>
  </si>
  <si>
    <t>LEVEL 02 (PARKING)</t>
  </si>
  <si>
    <t xml:space="preserve">Basement-2 Floor Plan - Surface  Drainage  Layout </t>
  </si>
  <si>
    <t xml:space="preserve">Basement-2 Ceiling Plan - Water supply  piping  layout </t>
  </si>
  <si>
    <t xml:space="preserve">Basement-2 Ceiling Plan - Sewage disposal  piping  Layout </t>
  </si>
  <si>
    <t xml:space="preserve">Basement-2 Ceiling Plan - Rain water disposal  piping  Layout </t>
  </si>
  <si>
    <t>LEVEL 03(PARKING)</t>
  </si>
  <si>
    <t>Grade Slab Basement-3 Floor Plan  - Surface  Drainage  Layout 1/2</t>
  </si>
  <si>
    <t>Grade Slab Basement-3 Floor Plan  - Surface  Drainage  Layout 2/2</t>
  </si>
  <si>
    <t>Lower Basement Rain water Collection Sumps &amp; Sections</t>
  </si>
  <si>
    <t>Lower Basement Ceiling Plan -Combined services  [Water supply, Sewage and Rain water disposal]</t>
  </si>
  <si>
    <t>Grade Slab Basement-3 Floor Plan -Sub Soil Drainage Layout 1/2</t>
  </si>
  <si>
    <t>Grade Slab Basement-3 Floor Plan  - Sub Soil Drainage  Layout 2/2</t>
  </si>
  <si>
    <t>Lower Basement -Typical Plan and Sections for Basement Collection Sumps, Storm Water Drain</t>
  </si>
  <si>
    <t>Rain Water Sump Detail</t>
  </si>
  <si>
    <t>Sewage Collection Sump Detail</t>
  </si>
  <si>
    <t>Lower Basement Ceiling Plan -Plumbing and Drainage Section Layout</t>
  </si>
  <si>
    <t>ELECTRICAL</t>
  </si>
  <si>
    <t>ELE</t>
  </si>
  <si>
    <t xml:space="preserve">Basement-1 Equipment layout  </t>
  </si>
  <si>
    <t>Basement-1 Cable Tray Layout</t>
  </si>
  <si>
    <t xml:space="preserve">Basement-1 Lighting layout </t>
  </si>
  <si>
    <t>Basement-1 Cable Tray Layout- Sections</t>
  </si>
  <si>
    <t>Basement-1 External Lighting Cable Tray Layout</t>
  </si>
  <si>
    <t>Basement-1 and Common Area Distribution Schemes</t>
  </si>
  <si>
    <t>Basement-1 DG Layout</t>
  </si>
  <si>
    <t>DG Layout Enlarged View and section</t>
  </si>
  <si>
    <t>LEVEL 02(PARKING)</t>
  </si>
  <si>
    <t>Basement-2 Equipment and Cable Tray Layout</t>
  </si>
  <si>
    <t xml:space="preserve">Basement-2 Cable tray layout </t>
  </si>
  <si>
    <t xml:space="preserve">Basement-2 Lighting layout </t>
  </si>
  <si>
    <t>1025</t>
  </si>
  <si>
    <t>Basement-2 Equipment and Cable tray layout-Section</t>
  </si>
  <si>
    <t>1026</t>
  </si>
  <si>
    <t>Basement-3 Lighting and Power Layout</t>
  </si>
  <si>
    <t>HVAC</t>
  </si>
  <si>
    <t>Basement 1- Mechanical Venitilation Layout</t>
  </si>
  <si>
    <t xml:space="preserve">Basement 1- Mechanical Venitilation Layout - Section </t>
  </si>
  <si>
    <t>Basement 1- Staff lounge - HVAC layout</t>
  </si>
  <si>
    <t>Basement 2- Mechanical Venitilation Layout</t>
  </si>
  <si>
    <t>1024</t>
  </si>
  <si>
    <t xml:space="preserve">Basement 2- Mechanical Venitilation Layout - Section </t>
  </si>
  <si>
    <t>Basement 3- Mechanical Venitilation Layout</t>
  </si>
  <si>
    <t xml:space="preserve">Basement 3- Mechanical Venitilation Layout - Section </t>
  </si>
  <si>
    <t>FIRE PROTECTION SYSTEM</t>
  </si>
  <si>
    <t>FPS</t>
  </si>
  <si>
    <t>Basement 1 Ceiling Plan -Fire Fighting Layout</t>
  </si>
  <si>
    <t>Basement 2 Ceiling Plan -Fire Fighting  layout</t>
  </si>
  <si>
    <t>Basement 3 Ceiling Plan -Fire Fighting  layout</t>
  </si>
  <si>
    <t>COORDINATED</t>
  </si>
  <si>
    <t>CO</t>
  </si>
  <si>
    <t>Basement 1 Ceiling Plan - Coordinated Services Layout</t>
  </si>
  <si>
    <t>Basement 1 Ceiling Plan - Coordinated Services Layout - Section</t>
  </si>
  <si>
    <t>Basement 1 Ceiling plan - combined Services slab cutout layout</t>
  </si>
  <si>
    <t>Basement 2 Ceiling Plan - Coordinated Services Layout</t>
  </si>
  <si>
    <t>Basement 2 Ceiling Plan - Coordinated Services Layout - Section</t>
  </si>
  <si>
    <t>Basement 2 Ceiling plan - combined Services slab cutout layout</t>
  </si>
  <si>
    <t>SHAFT DETAIL DRAWING</t>
  </si>
  <si>
    <t xml:space="preserve">PHE Shaft detail drawing </t>
  </si>
  <si>
    <t>SCHEMATICS</t>
  </si>
  <si>
    <t xml:space="preserve">Water Supply Schematic Layout - T1 </t>
  </si>
  <si>
    <t>PLUMBING LAYOUT</t>
  </si>
  <si>
    <t xml:space="preserve">Ground Floor- Plumbing Layout </t>
  </si>
  <si>
    <t xml:space="preserve">Mezzanine Level - Plumbing Layout </t>
  </si>
  <si>
    <t xml:space="preserve">Typical EVEN lvl Plumbing Layout </t>
  </si>
  <si>
    <t xml:space="preserve">Typical ODD lvl Plumbing Layout </t>
  </si>
  <si>
    <t xml:space="preserve">Level 18 - Plumbing Layout </t>
  </si>
  <si>
    <t>Service Platform Layout</t>
  </si>
  <si>
    <t>TOILET DETAILS &amp; WALL ELEVATIONS</t>
  </si>
  <si>
    <t>Enlarged toilet details and Wall Elevation- MALE</t>
  </si>
  <si>
    <t>Enlarged toilet details and Wall Elevation- FEMALE</t>
  </si>
  <si>
    <t>Enlarged toilet details and Wall Elevation- HANDICAP</t>
  </si>
  <si>
    <t xml:space="preserve">Enlarged Utility Plumbing details and Wall Elevation </t>
  </si>
  <si>
    <t xml:space="preserve">Enlarged Dry  Kitchen Plumbing details and Wall Elevation </t>
  </si>
  <si>
    <t>TERRACE FLOOR PLAN</t>
  </si>
  <si>
    <t>Terrace Floor Plan Plumbing Layout</t>
  </si>
  <si>
    <t xml:space="preserve">Terrace floor -  Rain Water Disposal Layout </t>
  </si>
  <si>
    <t>Terrace floor -  Rain Water Disposal Layout - Level 23, 24 and 25</t>
  </si>
  <si>
    <t>SITE SERVICES</t>
  </si>
  <si>
    <t>Enlarge Toilet Detail_Security Room</t>
  </si>
  <si>
    <t>Enlarge Toilet Elevation-A_Security Room</t>
  </si>
  <si>
    <t>Enlarge Toilet Elevation-B &amp; C_ Security Room</t>
  </si>
  <si>
    <t>Electrical Room Rain Water Disposal Layout</t>
  </si>
  <si>
    <t>OHT Puddle Flange Detail</t>
  </si>
  <si>
    <t>UG Sump Pump Room Puddle Flange Details</t>
  </si>
  <si>
    <t>Storm water sump 1 Puddle Flange Details</t>
  </si>
  <si>
    <t>Storm water sump 2 Puddle Flange Details</t>
  </si>
  <si>
    <t>WTP basic layout plan with schematic flow diagram</t>
  </si>
  <si>
    <t>STP -Basic layout plan with schematic flow diagram</t>
  </si>
  <si>
    <t>Standard Puddle flange Details</t>
  </si>
  <si>
    <t>SHAFT</t>
  </si>
  <si>
    <t>Electrical and Communication Shaft Details</t>
  </si>
  <si>
    <t>Level 19 (Terrace floor) Lightning Arrester layout</t>
  </si>
  <si>
    <t>Lightning Arrester details</t>
  </si>
  <si>
    <t>Lightning Arrester Layout (Elevation)</t>
  </si>
  <si>
    <t xml:space="preserve">TYPICAL FLOORS </t>
  </si>
  <si>
    <t xml:space="preserve">Ground Floor  Lighting and Power Layout </t>
  </si>
  <si>
    <t xml:space="preserve">Mezzanine Level -  Lighting and Power Layout </t>
  </si>
  <si>
    <t>Typical Even level  Lighting and Power layout (Default)</t>
  </si>
  <si>
    <t>Typical Odd level  Lighting and Power layout (Default)</t>
  </si>
  <si>
    <t>Level 22 -  Lighting and Power Layout (Default)</t>
  </si>
  <si>
    <t>Typical Staircase Electrical Layout</t>
  </si>
  <si>
    <t xml:space="preserve">TERRACE FLOOR </t>
  </si>
  <si>
    <t>Level 23 (Terrace floor ) Electrical layout</t>
  </si>
  <si>
    <t>Staircase-1 Plan Electrical Layout</t>
  </si>
  <si>
    <t>Staircase-1 Sections Electrical Layout</t>
  </si>
  <si>
    <t>Staircase-2 &amp; 3 Plan Electrical Layout</t>
  </si>
  <si>
    <t>Staircase-2 &amp; 3  Sections Electrical Layout</t>
  </si>
  <si>
    <t>9001</t>
  </si>
  <si>
    <t>Power distribution Schematic (EB Distribution)</t>
  </si>
  <si>
    <t>9024</t>
  </si>
  <si>
    <t>External Lighting Layout DB Details</t>
  </si>
  <si>
    <t>GENERAL NOTES</t>
  </si>
  <si>
    <t>GN01</t>
  </si>
  <si>
    <t>Standard Electrical Notes for Apartment</t>
  </si>
  <si>
    <t>Common Area</t>
  </si>
  <si>
    <t>Typical Level Common Area Electrical Layout</t>
  </si>
  <si>
    <t xml:space="preserve">Security Cabin Lighting Layout </t>
  </si>
  <si>
    <t>DG Yard/ Room Layout</t>
  </si>
  <si>
    <t>Electrical Panel Room Layout</t>
  </si>
  <si>
    <t>Communication Room Layout</t>
  </si>
  <si>
    <t>Central Garbage Vacuum System-Electrical Layout</t>
  </si>
  <si>
    <t xml:space="preserve">Under Ground Tank (WTP) Electrical layout </t>
  </si>
  <si>
    <t>Electrical Distribution Schematic Diagram for STP and OWC Plant</t>
  </si>
  <si>
    <t>Ground Floor HVAC Layout</t>
  </si>
  <si>
    <t>Mezzanine Level - HVAC Layout</t>
  </si>
  <si>
    <t>Typical Even level  HVAC Layout</t>
  </si>
  <si>
    <t>Typical Odd level  HVAC Layout</t>
  </si>
  <si>
    <t>Level 22- HVAC Layout</t>
  </si>
  <si>
    <t>Level 23- HVAC Layout</t>
  </si>
  <si>
    <t>Level 24- HVAC Layout</t>
  </si>
  <si>
    <t>Level 25- HVAC Layout</t>
  </si>
  <si>
    <t>Chilled water schematic layout</t>
  </si>
  <si>
    <t>Terrace</t>
  </si>
  <si>
    <t>Level 23 - Terrace Level Mechanical Ventilation Layout</t>
  </si>
  <si>
    <t>TERRACE FLOOR</t>
  </si>
  <si>
    <t>Level 23 - Terrace Floor Plan Fire Fighting Layout</t>
  </si>
  <si>
    <t xml:space="preserve">Fire Fighthing Schematic Layout </t>
  </si>
  <si>
    <t>1AA1</t>
  </si>
  <si>
    <t xml:space="preserve">Ground Floor (Level 1) - Fire Protection Layout </t>
  </si>
  <si>
    <t>1BB1</t>
  </si>
  <si>
    <t xml:space="preserve">Ground Floor  (Level 1) - Fire Detection Layout </t>
  </si>
  <si>
    <t>1AA3</t>
  </si>
  <si>
    <t xml:space="preserve">Mezzanine Level  (Level 2) - Fire Protection Layout </t>
  </si>
  <si>
    <t>1BB3</t>
  </si>
  <si>
    <t xml:space="preserve">Mezzanine Level  (Level 2)  - Fire Detection Layout </t>
  </si>
  <si>
    <t>1AA5</t>
  </si>
  <si>
    <t>Typical Even level  - Fire Protection Layout</t>
  </si>
  <si>
    <t>1BB5</t>
  </si>
  <si>
    <t xml:space="preserve">Typical Even level   - Fire Detection Layout </t>
  </si>
  <si>
    <t>1AA7</t>
  </si>
  <si>
    <t>Typical Odd level   - Fire Protection Layout</t>
  </si>
  <si>
    <t>1AA9</t>
  </si>
  <si>
    <t>Level 22 - Fire Protection Layout</t>
  </si>
  <si>
    <t>1BB9</t>
  </si>
  <si>
    <t xml:space="preserve">Level 23 - Fire Detection Layout </t>
  </si>
  <si>
    <t>COORDINATED DRAWING</t>
  </si>
  <si>
    <t xml:space="preserve">Co-ordinated Terrace Layout </t>
  </si>
  <si>
    <t>Co-ordinated Services Sleeve Layout -for Terrace</t>
  </si>
  <si>
    <t>Co-ordinated Shaft Layout -  Tower 9</t>
  </si>
  <si>
    <t>Coordinated Service Platform Layout</t>
  </si>
  <si>
    <t>Coordinated Basement Cieling Layout</t>
  </si>
  <si>
    <t>Coordinated Basement Cieling Layout - Section</t>
  </si>
  <si>
    <t>TOILET</t>
  </si>
  <si>
    <t>SITE PLAN</t>
  </si>
  <si>
    <t>0006</t>
  </si>
  <si>
    <t xml:space="preserve">Site Plan -Water Supply  Layout </t>
  </si>
  <si>
    <t xml:space="preserve">Site Plan- Sewage Disposal Layout </t>
  </si>
  <si>
    <t xml:space="preserve">Site Plan - Storm Water Disposal  Layout </t>
  </si>
  <si>
    <t>0021</t>
  </si>
  <si>
    <t>Site Plan Section Details</t>
  </si>
  <si>
    <t>Site Plan - Tower Road Cross Section Sleeves Layout</t>
  </si>
  <si>
    <t>Site Plan Combined Services   [water supply, sewerage and Storm Water]</t>
  </si>
  <si>
    <t>Specific Detailing</t>
  </si>
  <si>
    <t>Typical Mounting Details</t>
  </si>
  <si>
    <t>Typical Construction Details</t>
  </si>
  <si>
    <t>Site Services</t>
  </si>
  <si>
    <t>SCN</t>
  </si>
  <si>
    <t>Security Cabin 1 Plan</t>
  </si>
  <si>
    <t>Security Cabin Toilet Plan &amp; Elevation Detail</t>
  </si>
  <si>
    <t>TRANSFORMER YARD</t>
  </si>
  <si>
    <t>Transformer Yard Roof Drainage Layout</t>
  </si>
  <si>
    <t>Site plan Transformer yard layout</t>
  </si>
  <si>
    <t>0004</t>
  </si>
  <si>
    <t>External cable routing layout ( HT / LT/Communication )</t>
  </si>
  <si>
    <t>0007</t>
  </si>
  <si>
    <t>Site plan Earthing layout</t>
  </si>
  <si>
    <t>0010</t>
  </si>
  <si>
    <t>Site plan External lighting layout</t>
  </si>
  <si>
    <t xml:space="preserve">Site Plan - Road Cross Section </t>
  </si>
  <si>
    <t>0022</t>
  </si>
  <si>
    <t>Villa - Electrical Trench &amp; Culvert details</t>
  </si>
  <si>
    <t>0023</t>
  </si>
  <si>
    <t>Electrical Service Yard</t>
  </si>
  <si>
    <t>0034</t>
  </si>
  <si>
    <t>General Details for Earthing layout</t>
  </si>
  <si>
    <t>Siteplan Equipment Layout</t>
  </si>
  <si>
    <t>Siteplan Section</t>
  </si>
  <si>
    <t>SECURITY CABIN</t>
  </si>
  <si>
    <t>Electrical Security Cabin 2 Layout</t>
  </si>
  <si>
    <t>DG YARD</t>
  </si>
  <si>
    <t>DG</t>
  </si>
  <si>
    <t xml:space="preserve">DG Yard/ Room and Transformer Yard  2 Layout </t>
  </si>
  <si>
    <t>ELECTRICAL ROOM</t>
  </si>
  <si>
    <t>PRM</t>
  </si>
  <si>
    <t>Electrical Panel Room 7</t>
  </si>
  <si>
    <t>COMMUNICATION ROOM</t>
  </si>
  <si>
    <t>CRM</t>
  </si>
  <si>
    <t>Communication Room 7 Layout</t>
  </si>
  <si>
    <t xml:space="preserve">Transformer Yard Electrical Lighting and Power Layout </t>
  </si>
  <si>
    <t>Security Cabin 2 Layout</t>
  </si>
  <si>
    <t>STP</t>
  </si>
  <si>
    <t>STP 3 Ventilation Layout</t>
  </si>
  <si>
    <t xml:space="preserve">Site plan fire fighting layout </t>
  </si>
  <si>
    <t>0005</t>
  </si>
  <si>
    <t>Co-ordinated Site plan  Sectional Details</t>
  </si>
  <si>
    <t>Site Plan - Road Cross Section ( near Culvert Area )</t>
  </si>
  <si>
    <t>Site plan  - Co-ordinated Tower Road Cross Section</t>
  </si>
  <si>
    <t xml:space="preserve">Site plan  - Co-ordinated Equipment Layout </t>
  </si>
  <si>
    <t>LS | DRAWING LIST</t>
  </si>
  <si>
    <t>T7</t>
  </si>
  <si>
    <t>IRRIGATION WATER SUPPLY  SCHEMATIC - T7</t>
  </si>
  <si>
    <t>T07</t>
  </si>
  <si>
    <t>IRRIGATION WATER SUPPLY  SCHEMATIC - T9</t>
  </si>
  <si>
    <t xml:space="preserve">Odd level area  Landscape </t>
  </si>
  <si>
    <t>VO1</t>
  </si>
  <si>
    <t>PLANTING &amp; MATERIAL PLAN</t>
  </si>
  <si>
    <t>SETTING OUT PLAN</t>
  </si>
  <si>
    <t>LEVELS &amp; DRAINAGE PLAN</t>
  </si>
  <si>
    <t xml:space="preserve">SUB SURFACE DRAINAGE PLAN </t>
  </si>
  <si>
    <t>LIGHTING PLAN</t>
  </si>
  <si>
    <t>IRRIGATION PLAN</t>
  </si>
  <si>
    <t xml:space="preserve">SECTIONS </t>
  </si>
  <si>
    <t>DETAILS</t>
  </si>
  <si>
    <t>ELECTRO MECHANICAL LAYOUT</t>
  </si>
  <si>
    <t xml:space="preserve">Even level area  Landscape </t>
  </si>
  <si>
    <t xml:space="preserve">Site plan level landscape </t>
  </si>
  <si>
    <t>Landscape development plan</t>
  </si>
  <si>
    <t>PLANTING  PLAN</t>
  </si>
  <si>
    <t>MATERIAL PLAN</t>
  </si>
  <si>
    <t>SR</t>
  </si>
  <si>
    <t>GFC | Parking</t>
  </si>
  <si>
    <t>GFC | Commercial Tower</t>
  </si>
  <si>
    <t>GFC | Site development and Services</t>
  </si>
  <si>
    <t>Check</t>
  </si>
  <si>
    <t>Plan in 
FY: 21-22</t>
  </si>
  <si>
    <t>Issued in 
FY: 21-22</t>
  </si>
  <si>
    <t>Till Mar'21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</si>
  <si>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</si>
  <si>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</si>
  <si>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</si>
  <si>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</si>
  <si>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</si>
  <si>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</si>
  <si>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</si>
  <si>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</si>
  <si>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</si>
  <si>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</si>
  <si>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</si>
  <si>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 - 21</t>
  </si>
  <si>
    <t>Tower—01</t>
  </si>
  <si>
    <t>T1</t>
  </si>
  <si>
    <t>IRRIGATION WATER SUPPLY  SCHEMATIC - T1</t>
  </si>
  <si>
    <t>T01</t>
  </si>
  <si>
    <t>Tower—2V</t>
  </si>
  <si>
    <t>T2V</t>
  </si>
  <si>
    <t>IRRIGATION WATER SUPPLY  SCHEMATIC - T2</t>
  </si>
  <si>
    <t>Tower—2S</t>
  </si>
  <si>
    <t>T2S</t>
  </si>
  <si>
    <t>IRRIGATION WATER SUPPLY  SCHEMATIC - T2S</t>
  </si>
  <si>
    <t>PLANTING PLAN</t>
  </si>
  <si>
    <t>SECTIONS 01</t>
  </si>
  <si>
    <t>SECTIONS 02</t>
  </si>
  <si>
    <t xml:space="preserve">GRAB BAR DETAILS </t>
  </si>
  <si>
    <t>Tower—3V-5V</t>
  </si>
  <si>
    <t>T3V</t>
  </si>
  <si>
    <t>IRRIGATION WATER SUPPLY  SCHEMATIC - T3V-5V</t>
  </si>
  <si>
    <t>TXV</t>
  </si>
  <si>
    <t>Tower—3S-5S</t>
  </si>
  <si>
    <t>T3S</t>
  </si>
  <si>
    <t>IRRIGATION WATER SUPPLY  SCHEMATIC - T3S-5S</t>
  </si>
  <si>
    <t>TXS</t>
  </si>
  <si>
    <t>Tower—6V</t>
  </si>
  <si>
    <t>T6V</t>
  </si>
  <si>
    <t>IRRIGATION WATER SUPPLY  SCHEMATIC - T6</t>
  </si>
  <si>
    <t>Tower—6S</t>
  </si>
  <si>
    <t>T6S</t>
  </si>
  <si>
    <t>IRRIGATION WATER SUPPLY  SCHEMATIC - T6S</t>
  </si>
  <si>
    <t>Tower—07</t>
  </si>
  <si>
    <t>Tower—08</t>
  </si>
  <si>
    <t>T8</t>
  </si>
  <si>
    <t>T08</t>
  </si>
  <si>
    <t>Villa Block - Cluster 1 &amp; 2</t>
  </si>
  <si>
    <t>V01</t>
  </si>
  <si>
    <t>Villa Block - Cluster 3</t>
  </si>
  <si>
    <t>V03</t>
  </si>
  <si>
    <t>Individual Homes</t>
  </si>
  <si>
    <t>Individual Home V50</t>
  </si>
  <si>
    <t>V50</t>
  </si>
  <si>
    <t>Individual Home L30</t>
  </si>
  <si>
    <t>L30</t>
  </si>
  <si>
    <t>Individual Home V40</t>
  </si>
  <si>
    <t>V40</t>
  </si>
  <si>
    <t>Individual Home C20</t>
  </si>
  <si>
    <t>C20</t>
  </si>
  <si>
    <t>Individual Home L45</t>
  </si>
  <si>
    <t>L45</t>
  </si>
  <si>
    <t>LANDSCAPE DEVELOPMENT PLAN</t>
  </si>
  <si>
    <t>HARDSCAPE LAYOUT – IF REQUIRED</t>
  </si>
  <si>
    <t>SECTIONS 03</t>
  </si>
  <si>
    <t>PROJECT ENTRANCE</t>
  </si>
  <si>
    <t>TEMPORARY ENTRANCE</t>
  </si>
  <si>
    <t>CH</t>
  </si>
  <si>
    <t>CLUB HOUSE LANDSCAPE LAYOUT—ALL LEVELS</t>
  </si>
  <si>
    <t>AMN</t>
  </si>
  <si>
    <t>CLUB HOUSE LANDSCAPE LAYOUT—ROOF LEVEL</t>
  </si>
  <si>
    <t>CLUB HOUSE LANDSCAPE LAYOUT—COMMON AREA</t>
  </si>
  <si>
    <t>CENTRAL GREEN AREA LAYOUT</t>
  </si>
  <si>
    <t>CHILDREN'S PLAY AREA LAYOUT</t>
  </si>
  <si>
    <t>DOG PARK</t>
  </si>
  <si>
    <t>BOARD WALK</t>
  </si>
  <si>
    <t>Podium Slab - ISS Block 01</t>
  </si>
  <si>
    <t>Podium Slab - ISS Block 02</t>
  </si>
  <si>
    <t>Podium Slab - ISS Block 03</t>
  </si>
  <si>
    <t>Podium Slab - ISS Block 04</t>
  </si>
  <si>
    <t>Podium Slab - ISS Block 05</t>
  </si>
  <si>
    <t>Podium Slab - ISS Block 06</t>
  </si>
  <si>
    <t>Podium Slab - ISS Block 07</t>
  </si>
  <si>
    <t>Podium Slab - ISS Block 08</t>
  </si>
  <si>
    <t>Podium Slab - ISS Block 09</t>
  </si>
  <si>
    <t>Podium Slab - ISS Block 10</t>
  </si>
  <si>
    <t>Podium Slab - ISS Block 11</t>
  </si>
  <si>
    <t>Podium Slab - ISS Block 12</t>
  </si>
  <si>
    <t>x`</t>
  </si>
  <si>
    <t>Sq.ft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</si>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</sst>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0.0"/>
    <numFmt numFmtId="167" formatCode="mmmm&quot; &quot;d&quot;, &quot;yyyy;@"/>
    <numFmt numFmtId="168" formatCode="0%;\-0%;\-;@"/>
    <numFmt numFmtId="169" formatCode="0.0%;\-0.0%;\-;@"/>
    <numFmt numFmtId="170" formatCode="[$-409]mmmm\ d\,\ yyyy;@"/>
    <numFmt numFmtId="171" formatCode="_(* #,##0_);_(* \(#,##0\);_(* &quot;-&quot;??_);_(@_)"/>
    <numFmt numFmtId="172" formatCode="_(* #,##0.00_);_(* \(#,##0.00\);_(* \-??_);_(@_)"/>
    <numFmt numFmtId="173" formatCode="0.00_);\(0.00\)"/>
    <numFmt numFmtId="174" formatCode="#,##0.00\ ;&quot; -&quot;#,##0.00\ ;&quot; -&quot;#\ ;@\ "/>
    <numFmt numFmtId="175" formatCode="#,##0.00\ ;&quot; (&quot;#,##0.00\);&quot; -&quot;#\ ;@\ "/>
    <numFmt numFmtId="176" formatCode="_(* #,##0.000_);_(* \(#,##0.000\);_(* &quot;-&quot;??_);_(@_)"/>
    <numFmt numFmtId="177" formatCode="_(* #,##0.0_);_(* \(#,##0.0\);_(* &quot;-&quot;??_);_(@_)"/>
  </numFmts>
  <fonts count="96">
    <font>
      <sz val="10"/>
      <color theme="1"/>
      <name val="Meta-Norm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Neo Sans Pro Light"/>
      <family val="2"/>
    </font>
    <font>
      <sz val="10"/>
      <color theme="1"/>
      <name val="Neo Sans Pro Medium"/>
      <family val="2"/>
    </font>
    <font>
      <sz val="10"/>
      <color theme="1"/>
      <name val="Neo Sans Pro"/>
      <family val="2"/>
    </font>
    <font>
      <sz val="10"/>
      <color theme="1"/>
      <name val="Meta-Norm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Meta-Normal"/>
      <family val="2"/>
      <charset val="1"/>
    </font>
    <font>
      <sz val="10"/>
      <name val="Neo Sans Pro Medium"/>
      <family val="2"/>
    </font>
    <font>
      <sz val="10"/>
      <color theme="1"/>
      <name val="Meta-Normal"/>
      <family val="3"/>
    </font>
    <font>
      <sz val="14"/>
      <color theme="0"/>
      <name val="Impact"/>
      <family val="2"/>
    </font>
    <font>
      <sz val="9"/>
      <name val="Times New Roman"/>
      <family val="1"/>
      <charset val="1"/>
    </font>
    <font>
      <sz val="10"/>
      <name val="Century Gothic"/>
      <family val="2"/>
      <charset val="1"/>
    </font>
    <font>
      <sz val="9"/>
      <color indexed="8"/>
      <name val="Neo Sans Pro Light"/>
      <family val="2"/>
    </font>
    <font>
      <strike/>
      <sz val="10"/>
      <name val="Cambria"/>
      <family val="1"/>
    </font>
    <font>
      <sz val="10"/>
      <name val="Neo Sans Pro Light"/>
      <family val="2"/>
    </font>
    <font>
      <sz val="9"/>
      <color rgb="FF000000"/>
      <name val="Times New Roman"/>
      <family val="1"/>
    </font>
    <font>
      <sz val="10"/>
      <name val="Meta-Normal"/>
      <family val="3"/>
    </font>
    <font>
      <sz val="8"/>
      <name val="Neo Sans Pro Light"/>
      <family val="2"/>
    </font>
    <font>
      <b/>
      <sz val="10"/>
      <name val="Neo Sans Pro Light"/>
      <family val="2"/>
    </font>
    <font>
      <b/>
      <sz val="10"/>
      <name val="Century Gothic"/>
      <family val="2"/>
      <charset val="1"/>
    </font>
    <font>
      <sz val="10"/>
      <name val="Neo Sans Pro Light"/>
      <family val="2"/>
      <charset val="1"/>
    </font>
    <font>
      <b/>
      <sz val="10"/>
      <name val="Meta-Normal"/>
      <family val="3"/>
    </font>
    <font>
      <sz val="10"/>
      <name val="Meta-Normal"/>
      <family val="2"/>
    </font>
    <font>
      <b/>
      <strike/>
      <sz val="10"/>
      <name val="Cambria"/>
      <family val="1"/>
    </font>
    <font>
      <sz val="10"/>
      <color theme="1"/>
      <name val="Meta-Normal"/>
      <family val="1"/>
    </font>
    <font>
      <sz val="12"/>
      <color theme="1"/>
      <name val="Calibri"/>
      <family val="2"/>
      <scheme val="minor"/>
    </font>
    <font>
      <sz val="10"/>
      <color rgb="FFFF0000"/>
      <name val="Neo Sans Pro Light"/>
      <family val="2"/>
    </font>
    <font>
      <sz val="10"/>
      <color rgb="FFFF0000"/>
      <name val="Neo Sans Pro Medium"/>
      <family val="2"/>
    </font>
    <font>
      <sz val="10"/>
      <name val="Neo Sans Pro"/>
      <family val="2"/>
    </font>
    <font>
      <sz val="11"/>
      <color indexed="8"/>
      <name val="Calibri"/>
      <family val="2"/>
    </font>
    <font>
      <sz val="10"/>
      <color theme="0"/>
      <name val="Neo Sans Pro Light"/>
      <family val="2"/>
    </font>
    <font>
      <sz val="10"/>
      <color theme="0"/>
      <name val="Meta-Normal"/>
      <family val="3"/>
    </font>
    <font>
      <sz val="8"/>
      <name val="Meta-Normal"/>
      <family val="2"/>
    </font>
    <font>
      <sz val="12"/>
      <name val="Times New Roman"/>
      <family val="1"/>
    </font>
    <font>
      <sz val="10"/>
      <color theme="1"/>
      <name val="NeoSansPro-Light"/>
      <family val="2"/>
    </font>
    <font>
      <sz val="8"/>
      <color indexed="8"/>
      <name val="Neo Sans Pro Light"/>
      <family val="2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Meta-Normal"/>
      <family val="2"/>
      <charset val="1"/>
    </font>
    <font>
      <sz val="8"/>
      <name val="Neo Sans Pro Light"/>
      <family val="2"/>
      <charset val="134"/>
    </font>
    <font>
      <sz val="12"/>
      <name val="Times New Roman"/>
      <family val="1"/>
      <charset val="134"/>
    </font>
    <font>
      <sz val="8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angal"/>
      <family val="1"/>
    </font>
    <font>
      <sz val="10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sz val="12"/>
      <color indexed="8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entury Gothic"/>
      <family val="2"/>
      <charset val="1"/>
    </font>
    <font>
      <sz val="10"/>
      <color indexed="8"/>
      <name val="Neo Sans Pro Light"/>
      <family val="2"/>
    </font>
    <font>
      <b/>
      <sz val="10"/>
      <color theme="1"/>
      <name val="Neo Sans Pro"/>
      <family val="2"/>
    </font>
    <font>
      <sz val="12"/>
      <color theme="1"/>
      <name val="Neo Sans Pro"/>
      <family val="2"/>
    </font>
    <font>
      <sz val="14"/>
      <color theme="0"/>
      <name val="Neo Sans Pro"/>
      <family val="2"/>
    </font>
    <font>
      <sz val="10"/>
      <color rgb="FF000000"/>
      <name val="Neo Sans Pro"/>
      <family val="2"/>
    </font>
    <font>
      <sz val="14"/>
      <color theme="0"/>
      <name val="Meta-Normal"/>
      <family val="3"/>
    </font>
    <font>
      <b/>
      <sz val="10"/>
      <color theme="1"/>
      <name val="Meta-Normal"/>
      <family val="3"/>
    </font>
    <font>
      <sz val="9"/>
      <color theme="1"/>
      <name val="Meta-Normal"/>
      <family val="3"/>
    </font>
    <font>
      <sz val="9"/>
      <color rgb="FF000000"/>
      <name val="Meta-Normal"/>
      <family val="3"/>
    </font>
    <font>
      <b/>
      <sz val="12"/>
      <color theme="1"/>
      <name val="Meta-Bold"/>
      <family val="3"/>
    </font>
    <font>
      <sz val="12"/>
      <color theme="1"/>
      <name val="Meta-Bold"/>
      <family val="3"/>
    </font>
    <font>
      <b/>
      <sz val="10"/>
      <color theme="1"/>
      <name val="Neo Sans Pro Medium"/>
      <family val="2"/>
    </font>
    <font>
      <sz val="9"/>
      <name val="Meta-Normal"/>
      <family val="3"/>
    </font>
    <font>
      <b/>
      <sz val="12"/>
      <color theme="1"/>
      <name val="Meta-Normal"/>
      <family val="3"/>
    </font>
    <font>
      <b/>
      <sz val="11"/>
      <color theme="1"/>
      <name val="Meta-Normal"/>
    </font>
    <font>
      <sz val="11"/>
      <color theme="1"/>
      <name val="Meta-Normal"/>
    </font>
    <font>
      <sz val="11"/>
      <color theme="1"/>
      <name val="Neo Sans Pro Medium"/>
      <family val="2"/>
    </font>
    <font>
      <b/>
      <sz val="10"/>
      <name val="Helvetica"/>
      <family val="2"/>
    </font>
    <font>
      <b/>
      <sz val="10"/>
      <color theme="1"/>
      <name val="Helvetica"/>
      <family val="2"/>
    </font>
    <font>
      <sz val="20"/>
      <color theme="0"/>
      <name val="Impact"/>
      <family val="2"/>
    </font>
    <font>
      <sz val="10"/>
      <color theme="0"/>
      <name val="Neo Sans Pro"/>
      <family val="2"/>
    </font>
    <font>
      <b/>
      <sz val="10"/>
      <color theme="1"/>
      <name val="Meta-Normal"/>
    </font>
    <font>
      <b/>
      <sz val="10"/>
      <color theme="1"/>
      <name val="Meta-Normal"/>
      <family val="2"/>
    </font>
    <font>
      <b/>
      <sz val="10"/>
      <name val="Neo Sans Pro Medium"/>
      <family val="2"/>
    </font>
    <font>
      <strike/>
      <sz val="10"/>
      <name val="Neo Sans Pro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99CA3B"/>
        <bgColor indexed="64"/>
      </patternFill>
    </fill>
  </fills>
  <borders count="3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/>
      <bottom/>
      <diagonal/>
    </border>
    <border>
      <left style="thin">
        <color theme="0" tint="-0.249977111117893"/>
      </left>
      <right style="thin">
        <color theme="0" tint="-0.24994659260841701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indexed="64"/>
      </bottom>
      <diagonal/>
    </border>
  </borders>
  <cellStyleXfs count="2247">
    <xf numFmtId="0" fontId="0" fillId="0" borderId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/>
    <xf numFmtId="0" fontId="15" fillId="0" borderId="0"/>
    <xf numFmtId="49" fontId="12" fillId="0" borderId="0">
      <alignment horizontal="left" vertical="center"/>
    </xf>
    <xf numFmtId="49" fontId="17" fillId="0" borderId="0"/>
    <xf numFmtId="167" fontId="20" fillId="0" borderId="0"/>
    <xf numFmtId="0" fontId="22" fillId="0" borderId="0"/>
    <xf numFmtId="0" fontId="4" fillId="0" borderId="0"/>
    <xf numFmtId="0" fontId="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  <xf numFmtId="0" fontId="9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0" fillId="0" borderId="0" applyNumberFormat="0" applyBorder="0" applyProtection="0"/>
    <xf numFmtId="170" fontId="34" fillId="0" borderId="0"/>
    <xf numFmtId="0" fontId="10" fillId="0" borderId="0"/>
    <xf numFmtId="43" fontId="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8" fillId="0" borderId="0"/>
    <xf numFmtId="43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9" fillId="0" borderId="0"/>
    <xf numFmtId="43" fontId="5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22" fillId="0" borderId="0"/>
    <xf numFmtId="43" fontId="9" fillId="0" borderId="0" applyFont="0" applyFill="0" applyBorder="0" applyAlignment="0" applyProtection="0"/>
    <xf numFmtId="0" fontId="40" fillId="0" borderId="0" applyBorder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1" fillId="0" borderId="0"/>
    <xf numFmtId="0" fontId="38" fillId="0" borderId="0">
      <alignment vertical="center"/>
    </xf>
    <xf numFmtId="43" fontId="22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2" fillId="0" borderId="0"/>
    <xf numFmtId="0" fontId="42" fillId="0" borderId="0"/>
    <xf numFmtId="0" fontId="39" fillId="0" borderId="0"/>
    <xf numFmtId="43" fontId="41" fillId="0" borderId="0" applyFont="0" applyFill="0" applyBorder="0" applyAlignment="0" applyProtection="0"/>
    <xf numFmtId="0" fontId="41" fillId="0" borderId="0"/>
    <xf numFmtId="0" fontId="22" fillId="0" borderId="0"/>
    <xf numFmtId="0" fontId="41" fillId="0" borderId="0"/>
    <xf numFmtId="0" fontId="1" fillId="0" borderId="0"/>
    <xf numFmtId="43" fontId="41" fillId="0" borderId="0" applyProtection="0"/>
    <xf numFmtId="0" fontId="43" fillId="0" borderId="0" applyProtection="0"/>
    <xf numFmtId="0" fontId="41" fillId="0" borderId="0"/>
    <xf numFmtId="43" fontId="1" fillId="0" borderId="0" applyFont="0" applyFill="0" applyBorder="0" applyAlignment="0" applyProtection="0"/>
    <xf numFmtId="0" fontId="9" fillId="0" borderId="0">
      <alignment vertical="center"/>
    </xf>
    <xf numFmtId="0" fontId="41" fillId="0" borderId="0" applyProtection="0"/>
    <xf numFmtId="0" fontId="41" fillId="0" borderId="0" applyProtection="0"/>
    <xf numFmtId="0" fontId="44" fillId="0" borderId="0"/>
    <xf numFmtId="0" fontId="41" fillId="0" borderId="0" applyNumberFormat="0" applyFont="0" applyFill="0" applyBorder="0" applyProtection="0"/>
    <xf numFmtId="0" fontId="34" fillId="0" borderId="0" applyProtection="0"/>
    <xf numFmtId="0" fontId="41" fillId="0" borderId="0" applyProtection="0"/>
    <xf numFmtId="172" fontId="34" fillId="0" borderId="0" applyFill="0" applyBorder="0" applyAlignment="0" applyProtection="0"/>
    <xf numFmtId="0" fontId="9" fillId="0" borderId="0">
      <alignment vertical="center"/>
    </xf>
    <xf numFmtId="0" fontId="34" fillId="0" borderId="0" applyProtection="0"/>
    <xf numFmtId="43" fontId="22" fillId="0" borderId="0" applyFont="0" applyFill="0" applyBorder="0" applyAlignment="0" applyProtection="0"/>
    <xf numFmtId="0" fontId="41" fillId="0" borderId="0"/>
    <xf numFmtId="0" fontId="9" fillId="0" borderId="0" applyProtection="0"/>
    <xf numFmtId="0" fontId="9" fillId="0" borderId="0"/>
    <xf numFmtId="0" fontId="4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45" fillId="0" borderId="0"/>
    <xf numFmtId="43" fontId="1" fillId="0" borderId="0" applyFont="0" applyFill="0" applyBorder="0" applyAlignment="0" applyProtection="0"/>
    <xf numFmtId="0" fontId="4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9" fillId="0" borderId="0"/>
    <xf numFmtId="0" fontId="4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2" fillId="0" borderId="0"/>
    <xf numFmtId="0" fontId="1" fillId="0" borderId="0"/>
    <xf numFmtId="43" fontId="1" fillId="0" borderId="0" applyFont="0" applyFill="0" applyBorder="0" applyAlignment="0" applyProtection="0"/>
    <xf numFmtId="0" fontId="47" fillId="0" borderId="0">
      <alignment vertical="center"/>
    </xf>
    <xf numFmtId="0" fontId="48" fillId="0" borderId="0">
      <alignment vertical="center"/>
    </xf>
    <xf numFmtId="43" fontId="1" fillId="0" borderId="0" applyFont="0" applyFill="0" applyBorder="0" applyAlignment="0" applyProtection="0"/>
    <xf numFmtId="173" fontId="49" fillId="0" borderId="0" applyFont="0" applyFill="0" applyBorder="0" applyAlignment="0" applyProtection="0"/>
    <xf numFmtId="0" fontId="9" fillId="0" borderId="0"/>
    <xf numFmtId="0" fontId="38" fillId="0" borderId="0"/>
    <xf numFmtId="0" fontId="22" fillId="0" borderId="0"/>
    <xf numFmtId="43" fontId="9" fillId="0" borderId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41" fillId="0" borderId="0">
      <alignment vertical="center"/>
    </xf>
    <xf numFmtId="43" fontId="41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9" fillId="0" borderId="0">
      <alignment vertical="center"/>
    </xf>
    <xf numFmtId="0" fontId="41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13" borderId="8" applyNumberFormat="0" applyAlignment="0" applyProtection="0">
      <alignment vertical="center"/>
    </xf>
    <xf numFmtId="0" fontId="53" fillId="10" borderId="9" applyNumberFormat="0" applyAlignment="0" applyProtection="0">
      <alignment vertical="center"/>
    </xf>
    <xf numFmtId="174" fontId="54" fillId="0" borderId="0" applyFill="0" applyBorder="0" applyAlignment="0" applyProtection="0">
      <alignment vertical="center"/>
    </xf>
    <xf numFmtId="174" fontId="54" fillId="0" borderId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5" fontId="54" fillId="0" borderId="0" applyFill="0" applyBorder="0" applyAlignment="0" applyProtection="0"/>
    <xf numFmtId="174" fontId="54" fillId="0" borderId="0" applyFill="0" applyBorder="0" applyAlignment="0" applyProtection="0">
      <alignment vertical="center"/>
    </xf>
    <xf numFmtId="43" fontId="41" fillId="0" borderId="0" applyFont="0" applyFill="0" applyBorder="0" applyAlignment="0" applyProtection="0"/>
    <xf numFmtId="174" fontId="54" fillId="0" borderId="0" applyFill="0" applyBorder="0" applyAlignment="0" applyProtection="0">
      <alignment vertical="center"/>
    </xf>
    <xf numFmtId="175" fontId="54" fillId="0" borderId="0" applyFill="0" applyBorder="0" applyAlignment="0" applyProtection="0"/>
    <xf numFmtId="0" fontId="41" fillId="0" borderId="0">
      <alignment vertical="center"/>
    </xf>
    <xf numFmtId="0" fontId="55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8" fillId="0" borderId="10" applyNumberFormat="0" applyFill="0" applyAlignment="0" applyProtection="0">
      <alignment vertical="center"/>
    </xf>
    <xf numFmtId="0" fontId="59" fillId="0" borderId="11" applyNumberFormat="0" applyFill="0" applyAlignment="0" applyProtection="0">
      <alignment vertical="center"/>
    </xf>
    <xf numFmtId="0" fontId="60" fillId="0" borderId="12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4" borderId="8" applyNumberFormat="0" applyAlignment="0" applyProtection="0">
      <alignment vertical="center"/>
    </xf>
    <xf numFmtId="0" fontId="62" fillId="0" borderId="13" applyNumberFormat="0" applyFill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64" fillId="0" borderId="0" applyNumberFormat="0" applyBorder="0" applyProtection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1" fillId="0" borderId="0"/>
    <xf numFmtId="0" fontId="43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9" fillId="0" borderId="0"/>
    <xf numFmtId="0" fontId="9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43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43" fillId="0" borderId="0"/>
    <xf numFmtId="0" fontId="43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43" fillId="0" borderId="0"/>
    <xf numFmtId="0" fontId="43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4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9" fillId="0" borderId="0"/>
    <xf numFmtId="0" fontId="9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34" fillId="0" borderId="0"/>
    <xf numFmtId="0" fontId="34" fillId="0" borderId="0"/>
    <xf numFmtId="0" fontId="9" fillId="0" borderId="0">
      <alignment vertical="center"/>
    </xf>
    <xf numFmtId="0" fontId="9" fillId="0" borderId="0"/>
    <xf numFmtId="0" fontId="9" fillId="0" borderId="0"/>
    <xf numFmtId="0" fontId="34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41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9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9" fillId="0" borderId="0">
      <alignment vertical="center"/>
    </xf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65" fillId="0" borderId="0">
      <alignment vertical="center"/>
    </xf>
    <xf numFmtId="0" fontId="22" fillId="0" borderId="0">
      <alignment vertical="center"/>
    </xf>
    <xf numFmtId="0" fontId="65" fillId="0" borderId="0"/>
    <xf numFmtId="0" fontId="65" fillId="0" borderId="0"/>
    <xf numFmtId="0" fontId="65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 applyProtection="0">
      <alignment vertical="center"/>
    </xf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1" fillId="7" borderId="14" applyNumberFormat="0" applyFont="0" applyAlignment="0" applyProtection="0">
      <alignment vertical="center"/>
    </xf>
    <xf numFmtId="0" fontId="66" fillId="13" borderId="15" applyNumberFormat="0" applyAlignment="0" applyProtection="0">
      <alignment vertical="center"/>
    </xf>
    <xf numFmtId="0" fontId="54" fillId="0" borderId="7" applyFill="0" applyProtection="0">
      <alignment vertical="center"/>
    </xf>
    <xf numFmtId="0" fontId="54" fillId="0" borderId="7" applyFill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41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28">
    <xf numFmtId="0" fontId="0" fillId="0" borderId="0" xfId="0"/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9" fontId="19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21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vertical="center"/>
    </xf>
    <xf numFmtId="0" fontId="5" fillId="0" borderId="0" xfId="19" applyFont="1"/>
    <xf numFmtId="2" fontId="13" fillId="0" borderId="0" xfId="19" applyNumberFormat="1" applyFont="1" applyAlignment="1">
      <alignment horizontal="center"/>
    </xf>
    <xf numFmtId="0" fontId="5" fillId="0" borderId="0" xfId="19" applyFont="1" applyAlignment="1">
      <alignment horizontal="center"/>
    </xf>
    <xf numFmtId="0" fontId="29" fillId="0" borderId="0" xfId="19" applyFont="1" applyAlignment="1">
      <alignment horizontal="left"/>
    </xf>
    <xf numFmtId="0" fontId="13" fillId="0" borderId="0" xfId="19" applyFont="1" applyAlignment="1">
      <alignment horizontal="center"/>
    </xf>
    <xf numFmtId="2" fontId="13" fillId="0" borderId="0" xfId="19" applyNumberFormat="1" applyFont="1" applyAlignment="1">
      <alignment horizontal="center" vertical="center"/>
    </xf>
    <xf numFmtId="0" fontId="6" fillId="0" borderId="1" xfId="21" applyFont="1" applyBorder="1" applyAlignment="1">
      <alignment horizontal="left" vertical="center"/>
    </xf>
    <xf numFmtId="0" fontId="5" fillId="0" borderId="1" xfId="21" applyFont="1" applyBorder="1" applyAlignment="1">
      <alignment horizontal="center" vertical="center"/>
    </xf>
    <xf numFmtId="0" fontId="6" fillId="0" borderId="1" xfId="21" applyFont="1" applyBorder="1" applyAlignment="1">
      <alignment horizontal="center" vertical="center"/>
    </xf>
    <xf numFmtId="2" fontId="13" fillId="0" borderId="1" xfId="5" applyNumberFormat="1" applyFont="1" applyBorder="1" applyAlignment="1">
      <alignment horizontal="center"/>
    </xf>
    <xf numFmtId="49" fontId="13" fillId="0" borderId="1" xfId="5" applyNumberFormat="1" applyFont="1" applyBorder="1" applyAlignment="1">
      <alignment horizontal="center"/>
    </xf>
    <xf numFmtId="2" fontId="13" fillId="0" borderId="1" xfId="5" applyNumberFormat="1" applyFont="1" applyBorder="1" applyAlignment="1">
      <alignment horizontal="center" vertical="center"/>
    </xf>
    <xf numFmtId="0" fontId="6" fillId="0" borderId="0" xfId="19" applyFont="1"/>
    <xf numFmtId="0" fontId="5" fillId="0" borderId="1" xfId="21" applyFont="1" applyBorder="1" applyAlignment="1">
      <alignment horizontal="left" vertical="center"/>
    </xf>
    <xf numFmtId="0" fontId="29" fillId="0" borderId="1" xfId="19" applyFont="1" applyBorder="1" applyAlignment="1">
      <alignment horizontal="left"/>
    </xf>
    <xf numFmtId="0" fontId="5" fillId="0" borderId="1" xfId="5" applyFont="1" applyBorder="1" applyAlignment="1">
      <alignment horizontal="center" vertical="center"/>
    </xf>
    <xf numFmtId="2" fontId="13" fillId="0" borderId="1" xfId="21" applyNumberFormat="1" applyFont="1" applyBorder="1" applyAlignment="1">
      <alignment horizontal="center" vertical="center"/>
    </xf>
    <xf numFmtId="0" fontId="13" fillId="0" borderId="1" xfId="21" applyFont="1" applyBorder="1" applyAlignment="1">
      <alignment horizontal="center" vertical="center"/>
    </xf>
    <xf numFmtId="0" fontId="5" fillId="0" borderId="0" xfId="21" applyFont="1" applyAlignment="1">
      <alignment horizontal="center" vertical="center"/>
    </xf>
    <xf numFmtId="0" fontId="6" fillId="0" borderId="1" xfId="19" applyFont="1" applyBorder="1" applyAlignment="1">
      <alignment horizontal="left"/>
    </xf>
    <xf numFmtId="2" fontId="13" fillId="0" borderId="1" xfId="19" applyNumberFormat="1" applyFont="1" applyBorder="1" applyAlignment="1">
      <alignment horizontal="center" vertical="center"/>
    </xf>
    <xf numFmtId="0" fontId="5" fillId="0" borderId="1" xfId="19" applyFont="1" applyBorder="1" applyAlignment="1">
      <alignment horizontal="left"/>
    </xf>
    <xf numFmtId="2" fontId="13" fillId="0" borderId="1" xfId="19" applyNumberFormat="1" applyFont="1" applyBorder="1" applyAlignment="1">
      <alignment horizontal="center"/>
    </xf>
    <xf numFmtId="0" fontId="6" fillId="0" borderId="1" xfId="19" applyFont="1" applyBorder="1"/>
    <xf numFmtId="0" fontId="5" fillId="0" borderId="0" xfId="19" applyFont="1" applyAlignment="1">
      <alignment horizontal="left"/>
    </xf>
    <xf numFmtId="0" fontId="31" fillId="0" borderId="0" xfId="0" applyFont="1" applyAlignment="1">
      <alignment vertical="center"/>
    </xf>
    <xf numFmtId="0" fontId="32" fillId="0" borderId="1" xfId="21" applyFont="1" applyBorder="1" applyAlignment="1">
      <alignment horizontal="center" vertical="center"/>
    </xf>
    <xf numFmtId="0" fontId="31" fillId="0" borderId="0" xfId="19" applyFont="1"/>
    <xf numFmtId="0" fontId="12" fillId="0" borderId="1" xfId="24" applyFont="1" applyBorder="1" applyAlignment="1">
      <alignment horizontal="center" vertical="center"/>
    </xf>
    <xf numFmtId="0" fontId="6" fillId="0" borderId="1" xfId="24" applyFont="1" applyBorder="1" applyAlignment="1">
      <alignment horizontal="left" vertical="center"/>
    </xf>
    <xf numFmtId="0" fontId="5" fillId="0" borderId="1" xfId="24" applyFont="1" applyBorder="1" applyAlignment="1">
      <alignment horizontal="center" vertical="center"/>
    </xf>
    <xf numFmtId="0" fontId="6" fillId="0" borderId="1" xfId="24" applyFont="1" applyBorder="1" applyAlignment="1">
      <alignment horizontal="center" vertical="center"/>
    </xf>
    <xf numFmtId="0" fontId="5" fillId="0" borderId="1" xfId="23" applyFont="1" applyBorder="1" applyAlignment="1">
      <alignment horizontal="left"/>
    </xf>
    <xf numFmtId="0" fontId="5" fillId="0" borderId="1" xfId="23" applyFont="1" applyBorder="1" applyAlignment="1">
      <alignment horizontal="center"/>
    </xf>
    <xf numFmtId="0" fontId="13" fillId="0" borderId="1" xfId="23" applyFont="1" applyBorder="1"/>
    <xf numFmtId="0" fontId="13" fillId="0" borderId="1" xfId="23" applyFont="1" applyBorder="1" applyAlignment="1">
      <alignment horizontal="center"/>
    </xf>
    <xf numFmtId="0" fontId="5" fillId="0" borderId="1" xfId="23" applyFont="1" applyBorder="1"/>
    <xf numFmtId="0" fontId="6" fillId="0" borderId="1" xfId="23" applyFont="1" applyBorder="1" applyAlignment="1">
      <alignment horizontal="left"/>
    </xf>
    <xf numFmtId="0" fontId="6" fillId="0" borderId="1" xfId="23" applyFont="1" applyBorder="1"/>
    <xf numFmtId="0" fontId="5" fillId="0" borderId="1" xfId="24" applyFont="1" applyBorder="1" applyAlignment="1">
      <alignment horizontal="left" vertical="center"/>
    </xf>
    <xf numFmtId="0" fontId="5" fillId="0" borderId="0" xfId="23" applyFont="1"/>
    <xf numFmtId="0" fontId="5" fillId="0" borderId="0" xfId="23" applyFont="1" applyAlignment="1">
      <alignment horizontal="center"/>
    </xf>
    <xf numFmtId="0" fontId="6" fillId="0" borderId="0" xfId="23" applyFont="1"/>
    <xf numFmtId="0" fontId="13" fillId="0" borderId="0" xfId="23" applyFont="1" applyAlignment="1">
      <alignment horizontal="center"/>
    </xf>
    <xf numFmtId="0" fontId="29" fillId="0" borderId="0" xfId="23" applyFont="1" applyAlignment="1">
      <alignment horizontal="left"/>
    </xf>
    <xf numFmtId="0" fontId="12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9" fontId="19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vertical="center"/>
    </xf>
    <xf numFmtId="1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9" fillId="0" borderId="1" xfId="23" applyFont="1" applyBorder="1" applyAlignment="1">
      <alignment horizontal="left"/>
    </xf>
    <xf numFmtId="0" fontId="13" fillId="0" borderId="1" xfId="23" applyFont="1" applyBorder="1" applyAlignment="1">
      <alignment vertical="center"/>
    </xf>
    <xf numFmtId="0" fontId="33" fillId="0" borderId="1" xfId="23" applyFont="1" applyBorder="1" applyAlignment="1">
      <alignment horizontal="left" indent="1"/>
    </xf>
    <xf numFmtId="0" fontId="13" fillId="0" borderId="1" xfId="23" quotePrefix="1" applyFont="1" applyBorder="1" applyAlignment="1">
      <alignment horizontal="center" vertical="center"/>
    </xf>
    <xf numFmtId="0" fontId="7" fillId="0" borderId="1" xfId="23" applyFont="1" applyBorder="1" applyAlignment="1">
      <alignment horizontal="left"/>
    </xf>
    <xf numFmtId="0" fontId="33" fillId="0" borderId="1" xfId="23" applyFont="1" applyBorder="1" applyAlignment="1">
      <alignment horizontal="left"/>
    </xf>
    <xf numFmtId="0" fontId="13" fillId="0" borderId="0" xfId="23" applyFont="1" applyAlignment="1">
      <alignment vertical="center"/>
    </xf>
    <xf numFmtId="0" fontId="13" fillId="0" borderId="1" xfId="19" applyFont="1" applyBorder="1" applyAlignment="1">
      <alignment horizontal="center" vertical="center"/>
    </xf>
    <xf numFmtId="0" fontId="5" fillId="0" borderId="1" xfId="19" applyFont="1" applyBorder="1"/>
    <xf numFmtId="0" fontId="31" fillId="0" borderId="1" xfId="19" applyFont="1" applyBorder="1"/>
    <xf numFmtId="0" fontId="13" fillId="0" borderId="1" xfId="19" quotePrefix="1" applyFont="1" applyBorder="1" applyAlignment="1">
      <alignment horizontal="center" vertical="center"/>
    </xf>
    <xf numFmtId="0" fontId="13" fillId="0" borderId="1" xfId="21" quotePrefix="1" applyFont="1" applyBorder="1" applyAlignment="1">
      <alignment horizontal="center" vertical="center"/>
    </xf>
    <xf numFmtId="0" fontId="13" fillId="0" borderId="0" xfId="19" applyFont="1" applyAlignment="1">
      <alignment horizontal="center" vertical="center"/>
    </xf>
    <xf numFmtId="0" fontId="31" fillId="0" borderId="1" xfId="19" applyFont="1" applyBorder="1" applyAlignment="1">
      <alignment horizontal="left"/>
    </xf>
    <xf numFmtId="0" fontId="5" fillId="0" borderId="1" xfId="19" applyFont="1" applyBorder="1" applyAlignment="1">
      <alignment horizontal="left" wrapText="1"/>
    </xf>
    <xf numFmtId="0" fontId="31" fillId="0" borderId="1" xfId="19" applyFont="1" applyBorder="1" applyAlignment="1">
      <alignment horizontal="left" wrapText="1"/>
    </xf>
    <xf numFmtId="0" fontId="13" fillId="0" borderId="1" xfId="19" applyFont="1" applyBorder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8" fontId="7" fillId="0" borderId="0" xfId="0" applyNumberFormat="1" applyFont="1" applyAlignment="1">
      <alignment vertical="center"/>
    </xf>
    <xf numFmtId="0" fontId="35" fillId="0" borderId="0" xfId="5" applyFont="1" applyAlignment="1">
      <alignment horizontal="center" vertical="center"/>
    </xf>
    <xf numFmtId="166" fontId="36" fillId="0" borderId="0" xfId="5" applyNumberFormat="1" applyFont="1" applyAlignment="1">
      <alignment horizontal="center" vertical="center"/>
    </xf>
    <xf numFmtId="0" fontId="12" fillId="6" borderId="2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49" fontId="12" fillId="0" borderId="1" xfId="10" applyNumberFormat="1" applyFont="1" applyBorder="1" applyAlignment="1">
      <alignment horizontal="center" vertical="center" wrapText="1"/>
    </xf>
    <xf numFmtId="0" fontId="5" fillId="6" borderId="1" xfId="19" applyFont="1" applyFill="1" applyBorder="1"/>
    <xf numFmtId="0" fontId="5" fillId="6" borderId="1" xfId="21" applyFont="1" applyFill="1" applyBorder="1" applyAlignment="1">
      <alignment horizontal="center" vertical="center"/>
    </xf>
    <xf numFmtId="0" fontId="6" fillId="6" borderId="1" xfId="21" applyFont="1" applyFill="1" applyBorder="1" applyAlignment="1">
      <alignment horizontal="left" vertical="center"/>
    </xf>
    <xf numFmtId="0" fontId="6" fillId="6" borderId="1" xfId="21" applyFont="1" applyFill="1" applyBorder="1" applyAlignment="1">
      <alignment horizontal="center" vertical="center"/>
    </xf>
    <xf numFmtId="0" fontId="29" fillId="6" borderId="1" xfId="19" applyFont="1" applyFill="1" applyBorder="1" applyAlignment="1">
      <alignment horizontal="left"/>
    </xf>
    <xf numFmtId="0" fontId="9" fillId="0" borderId="0" xfId="119"/>
    <xf numFmtId="1" fontId="12" fillId="0" borderId="0" xfId="5" applyNumberFormat="1" applyFont="1" applyAlignment="1">
      <alignment horizontal="center" vertical="center"/>
    </xf>
    <xf numFmtId="1" fontId="12" fillId="0" borderId="1" xfId="10" applyNumberFormat="1" applyFont="1" applyBorder="1" applyAlignment="1">
      <alignment horizontal="center" vertical="center" wrapText="1"/>
    </xf>
    <xf numFmtId="1" fontId="12" fillId="0" borderId="1" xfId="5" applyNumberFormat="1" applyFont="1" applyBorder="1" applyAlignment="1">
      <alignment horizontal="center" vertical="center"/>
    </xf>
    <xf numFmtId="2" fontId="0" fillId="0" borderId="0" xfId="0" applyNumberFormat="1"/>
    <xf numFmtId="1" fontId="12" fillId="0" borderId="3" xfId="10" applyNumberFormat="1" applyFont="1" applyBorder="1" applyAlignment="1">
      <alignment horizontal="center" vertical="center" wrapText="1"/>
    </xf>
    <xf numFmtId="1" fontId="12" fillId="0" borderId="0" xfId="10" applyNumberFormat="1" applyFont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168" fontId="7" fillId="0" borderId="1" xfId="0" applyNumberFormat="1" applyFont="1" applyBorder="1" applyAlignment="1">
      <alignment horizontal="center" vertical="center"/>
    </xf>
    <xf numFmtId="168" fontId="7" fillId="0" borderId="1" xfId="0" applyNumberFormat="1" applyFont="1" applyBorder="1" applyAlignment="1">
      <alignment vertical="center"/>
    </xf>
    <xf numFmtId="171" fontId="7" fillId="0" borderId="1" xfId="29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vertical="center"/>
    </xf>
    <xf numFmtId="9" fontId="7" fillId="0" borderId="1" xfId="11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" fontId="7" fillId="0" borderId="1" xfId="11" applyNumberFormat="1" applyFont="1" applyBorder="1" applyAlignment="1">
      <alignment vertical="center"/>
    </xf>
    <xf numFmtId="168" fontId="7" fillId="0" borderId="1" xfId="1" applyNumberFormat="1" applyFont="1" applyBorder="1" applyAlignment="1">
      <alignment horizontal="center" vertical="center"/>
    </xf>
    <xf numFmtId="171" fontId="7" fillId="0" borderId="1" xfId="29" applyNumberFormat="1" applyFont="1" applyFill="1" applyBorder="1" applyAlignment="1">
      <alignment vertical="center"/>
    </xf>
    <xf numFmtId="171" fontId="7" fillId="0" borderId="1" xfId="29" applyNumberFormat="1" applyFont="1" applyBorder="1" applyAlignment="1">
      <alignment horizontal="center" vertical="center" wrapText="1"/>
    </xf>
    <xf numFmtId="9" fontId="7" fillId="0" borderId="1" xfId="1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43" fontId="7" fillId="0" borderId="1" xfId="1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4" fillId="0" borderId="1" xfId="0" applyFont="1" applyBorder="1" applyAlignment="1">
      <alignment vertical="center" wrapText="1"/>
    </xf>
    <xf numFmtId="0" fontId="74" fillId="0" borderId="1" xfId="0" applyFont="1" applyBorder="1" applyAlignment="1">
      <alignment vertical="center"/>
    </xf>
    <xf numFmtId="171" fontId="7" fillId="0" borderId="1" xfId="11" applyNumberFormat="1" applyFont="1" applyBorder="1" applyAlignment="1">
      <alignment horizontal="center" vertical="center"/>
    </xf>
    <xf numFmtId="43" fontId="7" fillId="0" borderId="1" xfId="12" applyFont="1" applyFill="1" applyBorder="1" applyAlignment="1">
      <alignment vertical="center"/>
    </xf>
    <xf numFmtId="9" fontId="7" fillId="0" borderId="1" xfId="11" applyNumberFormat="1" applyFont="1" applyBorder="1" applyAlignment="1">
      <alignment vertical="center" wrapText="1"/>
    </xf>
    <xf numFmtId="1" fontId="7" fillId="0" borderId="1" xfId="11" applyNumberFormat="1" applyFont="1" applyBorder="1" applyAlignment="1">
      <alignment vertical="center" wrapText="1"/>
    </xf>
    <xf numFmtId="0" fontId="72" fillId="3" borderId="1" xfId="0" applyFont="1" applyFill="1" applyBorder="1" applyAlignment="1">
      <alignment horizontal="right" vertical="center"/>
    </xf>
    <xf numFmtId="0" fontId="74" fillId="3" borderId="1" xfId="0" applyFont="1" applyFill="1" applyBorder="1" applyAlignment="1">
      <alignment vertical="center" wrapText="1"/>
    </xf>
    <xf numFmtId="0" fontId="74" fillId="3" borderId="1" xfId="0" applyFont="1" applyFill="1" applyBorder="1" applyAlignment="1">
      <alignment vertical="center"/>
    </xf>
    <xf numFmtId="168" fontId="7" fillId="3" borderId="1" xfId="0" applyNumberFormat="1" applyFont="1" applyFill="1" applyBorder="1" applyAlignment="1">
      <alignment horizontal="center" vertical="center"/>
    </xf>
    <xf numFmtId="171" fontId="7" fillId="3" borderId="1" xfId="0" applyNumberFormat="1" applyFont="1" applyFill="1" applyBorder="1" applyAlignment="1">
      <alignment horizontal="center" vertical="center"/>
    </xf>
    <xf numFmtId="171" fontId="72" fillId="0" borderId="1" xfId="12" applyNumberFormat="1" applyFont="1" applyFill="1" applyBorder="1" applyAlignment="1">
      <alignment vertical="center"/>
    </xf>
    <xf numFmtId="1" fontId="7" fillId="0" borderId="1" xfId="12" applyNumberFormat="1" applyFont="1" applyFill="1" applyBorder="1" applyAlignment="1">
      <alignment vertical="center"/>
    </xf>
    <xf numFmtId="171" fontId="72" fillId="0" borderId="1" xfId="12" applyNumberFormat="1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2" fillId="0" borderId="1" xfId="0" applyFont="1" applyBorder="1" applyAlignment="1">
      <alignment horizontal="center" vertical="center"/>
    </xf>
    <xf numFmtId="0" fontId="7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171" fontId="72" fillId="4" borderId="1" xfId="12" applyNumberFormat="1" applyFont="1" applyFill="1" applyBorder="1" applyAlignment="1">
      <alignment vertical="center"/>
    </xf>
    <xf numFmtId="1" fontId="7" fillId="4" borderId="1" xfId="1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171" fontId="7" fillId="0" borderId="1" xfId="12" applyNumberFormat="1" applyFont="1" applyBorder="1" applyAlignment="1">
      <alignment vertical="center"/>
    </xf>
    <xf numFmtId="9" fontId="72" fillId="0" borderId="1" xfId="11" applyNumberFormat="1" applyFont="1" applyBorder="1" applyAlignment="1">
      <alignment horizontal="center" vertical="center"/>
    </xf>
    <xf numFmtId="9" fontId="7" fillId="0" borderId="1" xfId="14" applyFont="1" applyBorder="1" applyAlignment="1">
      <alignment vertical="center"/>
    </xf>
    <xf numFmtId="9" fontId="7" fillId="4" borderId="1" xfId="11" applyNumberFormat="1" applyFont="1" applyFill="1" applyBorder="1" applyAlignment="1">
      <alignment horizontal="center" vertical="center"/>
    </xf>
    <xf numFmtId="0" fontId="7" fillId="4" borderId="1" xfId="11" applyFont="1" applyFill="1" applyBorder="1" applyAlignment="1">
      <alignment vertical="center"/>
    </xf>
    <xf numFmtId="9" fontId="7" fillId="4" borderId="1" xfId="0" applyNumberFormat="1" applyFont="1" applyFill="1" applyBorder="1" applyAlignment="1">
      <alignment horizontal="center" vertical="center"/>
    </xf>
    <xf numFmtId="0" fontId="7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right" vertical="center"/>
    </xf>
    <xf numFmtId="2" fontId="72" fillId="0" borderId="1" xfId="0" applyNumberFormat="1" applyFont="1" applyBorder="1" applyAlignment="1">
      <alignment horizontal="right" vertical="center"/>
    </xf>
    <xf numFmtId="171" fontId="7" fillId="0" borderId="1" xfId="11" applyNumberFormat="1" applyFont="1" applyBorder="1" applyAlignment="1">
      <alignment vertical="center"/>
    </xf>
    <xf numFmtId="166" fontId="72" fillId="0" borderId="1" xfId="0" applyNumberFormat="1" applyFont="1" applyBorder="1" applyAlignment="1">
      <alignment horizontal="right" vertical="center"/>
    </xf>
    <xf numFmtId="9" fontId="7" fillId="0" borderId="1" xfId="1" applyFont="1" applyBorder="1" applyAlignment="1">
      <alignment vertical="center"/>
    </xf>
    <xf numFmtId="0" fontId="74" fillId="3" borderId="1" xfId="0" applyFont="1" applyFill="1" applyBorder="1" applyAlignment="1">
      <alignment horizontal="left" vertical="center" wrapText="1"/>
    </xf>
    <xf numFmtId="0" fontId="74" fillId="3" borderId="1" xfId="0" applyFont="1" applyFill="1" applyBorder="1" applyAlignment="1">
      <alignment horizontal="left" vertical="center"/>
    </xf>
    <xf numFmtId="168" fontId="74" fillId="3" borderId="1" xfId="0" applyNumberFormat="1" applyFont="1" applyFill="1" applyBorder="1" applyAlignment="1">
      <alignment horizontal="left" vertical="center"/>
    </xf>
    <xf numFmtId="171" fontId="74" fillId="3" borderId="1" xfId="29" applyNumberFormat="1" applyFont="1" applyFill="1" applyBorder="1" applyAlignment="1">
      <alignment horizontal="center" vertical="center"/>
    </xf>
    <xf numFmtId="171" fontId="74" fillId="3" borderId="1" xfId="29" applyNumberFormat="1" applyFont="1" applyFill="1" applyBorder="1" applyAlignment="1">
      <alignment horizontal="left" vertical="center"/>
    </xf>
    <xf numFmtId="9" fontId="7" fillId="0" borderId="0" xfId="1" applyFont="1" applyBorder="1" applyAlignment="1">
      <alignment vertical="center"/>
    </xf>
    <xf numFmtId="0" fontId="72" fillId="0" borderId="0" xfId="0" applyFont="1" applyAlignment="1">
      <alignment horizontal="right" vertical="center"/>
    </xf>
    <xf numFmtId="168" fontId="7" fillId="0" borderId="0" xfId="0" applyNumberFormat="1" applyFont="1" applyAlignment="1">
      <alignment horizontal="center" vertical="center"/>
    </xf>
    <xf numFmtId="171" fontId="7" fillId="0" borderId="0" xfId="29" applyNumberFormat="1" applyFont="1" applyFill="1" applyBorder="1" applyAlignment="1">
      <alignment horizontal="center" vertical="center"/>
    </xf>
    <xf numFmtId="0" fontId="7" fillId="0" borderId="0" xfId="11" applyFont="1" applyAlignment="1">
      <alignment vertical="center"/>
    </xf>
    <xf numFmtId="9" fontId="7" fillId="0" borderId="0" xfId="11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" fontId="7" fillId="0" borderId="0" xfId="11" applyNumberFormat="1" applyFont="1" applyAlignment="1">
      <alignment vertical="center"/>
    </xf>
    <xf numFmtId="168" fontId="7" fillId="0" borderId="0" xfId="1" applyNumberFormat="1" applyFont="1" applyBorder="1" applyAlignment="1">
      <alignment horizontal="center" vertical="center"/>
    </xf>
    <xf numFmtId="171" fontId="7" fillId="0" borderId="0" xfId="29" applyNumberFormat="1" applyFont="1" applyFill="1" applyBorder="1" applyAlignment="1">
      <alignment vertical="center"/>
    </xf>
    <xf numFmtId="168" fontId="76" fillId="0" borderId="1" xfId="0" applyNumberFormat="1" applyFont="1" applyBorder="1" applyAlignment="1">
      <alignment vertical="center"/>
    </xf>
    <xf numFmtId="171" fontId="77" fillId="0" borderId="1" xfId="29" applyNumberFormat="1" applyFont="1" applyFill="1" applyBorder="1" applyAlignment="1">
      <alignment horizontal="center" vertical="center"/>
    </xf>
    <xf numFmtId="171" fontId="77" fillId="0" borderId="1" xfId="12" applyNumberFormat="1" applyFont="1" applyFill="1" applyBorder="1" applyAlignment="1">
      <alignment vertical="center"/>
    </xf>
    <xf numFmtId="171" fontId="77" fillId="0" borderId="1" xfId="29" applyNumberFormat="1" applyFont="1" applyFill="1" applyBorder="1" applyAlignment="1">
      <alignment vertical="center"/>
    </xf>
    <xf numFmtId="171" fontId="77" fillId="0" borderId="1" xfId="12" applyNumberFormat="1" applyFont="1" applyBorder="1" applyAlignment="1">
      <alignment vertical="center"/>
    </xf>
    <xf numFmtId="171" fontId="77" fillId="0" borderId="1" xfId="29" applyNumberFormat="1" applyFont="1" applyBorder="1" applyAlignment="1">
      <alignment horizontal="center" vertical="center"/>
    </xf>
    <xf numFmtId="168" fontId="77" fillId="4" borderId="1" xfId="0" applyNumberFormat="1" applyFont="1" applyFill="1" applyBorder="1" applyAlignment="1">
      <alignment horizontal="center" vertical="center"/>
    </xf>
    <xf numFmtId="171" fontId="77" fillId="4" borderId="1" xfId="2245" applyNumberFormat="1" applyFont="1" applyFill="1" applyBorder="1" applyAlignment="1">
      <alignment horizontal="center" vertical="center"/>
    </xf>
    <xf numFmtId="171" fontId="77" fillId="4" borderId="1" xfId="12" applyNumberFormat="1" applyFont="1" applyFill="1" applyBorder="1" applyAlignment="1">
      <alignment vertical="center"/>
    </xf>
    <xf numFmtId="9" fontId="77" fillId="4" borderId="1" xfId="11" applyNumberFormat="1" applyFont="1" applyFill="1" applyBorder="1" applyAlignment="1">
      <alignment horizontal="center" vertical="center"/>
    </xf>
    <xf numFmtId="171" fontId="77" fillId="4" borderId="1" xfId="29" applyNumberFormat="1" applyFont="1" applyFill="1" applyBorder="1" applyAlignment="1">
      <alignment vertical="center"/>
    </xf>
    <xf numFmtId="169" fontId="78" fillId="0" borderId="1" xfId="0" applyNumberFormat="1" applyFont="1" applyBorder="1" applyAlignment="1">
      <alignment horizontal="center" vertical="center"/>
    </xf>
    <xf numFmtId="168" fontId="78" fillId="0" borderId="1" xfId="0" applyNumberFormat="1" applyFont="1" applyBorder="1" applyAlignment="1">
      <alignment vertical="center" wrapText="1"/>
    </xf>
    <xf numFmtId="9" fontId="77" fillId="0" borderId="1" xfId="11" applyNumberFormat="1" applyFont="1" applyBorder="1" applyAlignment="1">
      <alignment horizontal="center" vertical="center"/>
    </xf>
    <xf numFmtId="168" fontId="78" fillId="0" borderId="1" xfId="1" applyNumberFormat="1" applyFont="1" applyBorder="1" applyAlignment="1">
      <alignment horizontal="center" vertical="center"/>
    </xf>
    <xf numFmtId="168" fontId="78" fillId="0" borderId="1" xfId="0" applyNumberFormat="1" applyFont="1" applyBorder="1" applyAlignment="1">
      <alignment horizontal="center" vertical="center"/>
    </xf>
    <xf numFmtId="9" fontId="77" fillId="0" borderId="1" xfId="0" applyNumberFormat="1" applyFont="1" applyBorder="1" applyAlignment="1">
      <alignment horizontal="center" vertical="center"/>
    </xf>
    <xf numFmtId="171" fontId="77" fillId="4" borderId="1" xfId="2245" applyNumberFormat="1" applyFont="1" applyFill="1" applyBorder="1" applyAlignment="1">
      <alignment vertical="center"/>
    </xf>
    <xf numFmtId="168" fontId="79" fillId="0" borderId="1" xfId="0" applyNumberFormat="1" applyFont="1" applyBorder="1" applyAlignment="1">
      <alignment vertical="center" wrapText="1"/>
    </xf>
    <xf numFmtId="171" fontId="78" fillId="0" borderId="1" xfId="29" applyNumberFormat="1" applyFont="1" applyBorder="1" applyAlignment="1">
      <alignment horizontal="center" vertical="center"/>
    </xf>
    <xf numFmtId="169" fontId="78" fillId="0" borderId="1" xfId="1" applyNumberFormat="1" applyFont="1" applyBorder="1" applyAlignment="1">
      <alignment horizontal="center" vertical="center"/>
    </xf>
    <xf numFmtId="171" fontId="77" fillId="4" borderId="1" xfId="29" applyNumberFormat="1" applyFont="1" applyFill="1" applyBorder="1" applyAlignment="1">
      <alignment horizontal="center" vertical="center"/>
    </xf>
    <xf numFmtId="171" fontId="78" fillId="0" borderId="1" xfId="1" applyNumberFormat="1" applyFont="1" applyBorder="1" applyAlignment="1">
      <alignment horizontal="center" vertical="center"/>
    </xf>
    <xf numFmtId="168" fontId="77" fillId="0" borderId="1" xfId="0" applyNumberFormat="1" applyFont="1" applyBorder="1" applyAlignment="1">
      <alignment horizontal="center" vertical="center"/>
    </xf>
    <xf numFmtId="171" fontId="80" fillId="2" borderId="1" xfId="29" applyNumberFormat="1" applyFont="1" applyFill="1" applyBorder="1" applyAlignment="1">
      <alignment horizontal="center" vertical="center"/>
    </xf>
    <xf numFmtId="171" fontId="81" fillId="2" borderId="1" xfId="29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 vertical="center"/>
    </xf>
    <xf numFmtId="0" fontId="7" fillId="0" borderId="1" xfId="11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19" fillId="0" borderId="0" xfId="5" applyFont="1" applyAlignment="1">
      <alignment horizontal="center" vertical="center"/>
    </xf>
    <xf numFmtId="1" fontId="27" fillId="0" borderId="0" xfId="0" applyNumberFormat="1" applyFont="1" applyAlignment="1">
      <alignment horizontal="center"/>
    </xf>
    <xf numFmtId="1" fontId="12" fillId="0" borderId="3" xfId="10" applyNumberFormat="1" applyFont="1" applyBorder="1" applyAlignment="1">
      <alignment horizontal="center" wrapText="1"/>
    </xf>
    <xf numFmtId="2" fontId="13" fillId="0" borderId="1" xfId="21" applyNumberFormat="1" applyFont="1" applyBorder="1" applyAlignment="1">
      <alignment horizontal="center"/>
    </xf>
    <xf numFmtId="0" fontId="13" fillId="0" borderId="1" xfId="21" applyFont="1" applyBorder="1" applyAlignment="1">
      <alignment horizontal="center"/>
    </xf>
    <xf numFmtId="0" fontId="13" fillId="0" borderId="1" xfId="19" applyFont="1" applyBorder="1" applyAlignment="1">
      <alignment horizontal="center"/>
    </xf>
    <xf numFmtId="0" fontId="5" fillId="0" borderId="1" xfId="19" applyFont="1" applyBorder="1" applyAlignment="1">
      <alignment horizontal="right"/>
    </xf>
    <xf numFmtId="1" fontId="12" fillId="0" borderId="4" xfId="10" applyNumberFormat="1" applyFont="1" applyBorder="1" applyAlignment="1">
      <alignment horizontal="center" vertical="center" wrapText="1"/>
    </xf>
    <xf numFmtId="1" fontId="12" fillId="0" borderId="6" xfId="10" applyNumberFormat="1" applyFont="1" applyBorder="1" applyAlignment="1">
      <alignment horizontal="center" vertical="center" wrapText="1"/>
    </xf>
    <xf numFmtId="1" fontId="13" fillId="0" borderId="1" xfId="5" applyNumberFormat="1" applyFont="1" applyBorder="1" applyAlignment="1">
      <alignment horizontal="center"/>
    </xf>
    <xf numFmtId="1" fontId="13" fillId="0" borderId="1" xfId="23" applyNumberFormat="1" applyFont="1" applyBorder="1" applyAlignment="1">
      <alignment horizontal="center"/>
    </xf>
    <xf numFmtId="1" fontId="13" fillId="0" borderId="0" xfId="23" applyNumberFormat="1" applyFont="1" applyAlignment="1">
      <alignment horizontal="center"/>
    </xf>
    <xf numFmtId="0" fontId="19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1" fontId="12" fillId="0" borderId="1" xfId="24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13" fillId="0" borderId="1" xfId="24" applyNumberFormat="1" applyFont="1" applyBorder="1" applyAlignment="1">
      <alignment horizontal="center" vertical="center"/>
    </xf>
    <xf numFmtId="0" fontId="13" fillId="0" borderId="1" xfId="23" applyFont="1" applyBorder="1" applyAlignment="1">
      <alignment horizontal="center" vertical="center"/>
    </xf>
    <xf numFmtId="0" fontId="7" fillId="0" borderId="1" xfId="24" applyFont="1" applyBorder="1" applyAlignment="1">
      <alignment horizontal="left" vertical="center"/>
    </xf>
    <xf numFmtId="0" fontId="19" fillId="0" borderId="1" xfId="23" applyFont="1" applyBorder="1" applyAlignment="1">
      <alignment horizontal="left"/>
    </xf>
    <xf numFmtId="0" fontId="5" fillId="0" borderId="1" xfId="2243" applyFont="1" applyBorder="1" applyAlignment="1">
      <alignment horizontal="left" vertical="center"/>
    </xf>
    <xf numFmtId="1" fontId="13" fillId="0" borderId="4" xfId="24" applyNumberFormat="1" applyFont="1" applyBorder="1" applyAlignment="1">
      <alignment horizontal="center" vertical="center"/>
    </xf>
    <xf numFmtId="0" fontId="19" fillId="0" borderId="4" xfId="23" applyFont="1" applyBorder="1" applyAlignment="1">
      <alignment horizontal="left"/>
    </xf>
    <xf numFmtId="0" fontId="5" fillId="0" borderId="17" xfId="23" applyFont="1" applyBorder="1" applyAlignment="1">
      <alignment horizontal="center"/>
    </xf>
    <xf numFmtId="0" fontId="5" fillId="0" borderId="18" xfId="24" applyFont="1" applyBorder="1" applyAlignment="1">
      <alignment horizontal="center" vertical="center"/>
    </xf>
    <xf numFmtId="0" fontId="7" fillId="0" borderId="18" xfId="23" applyFont="1" applyBorder="1" applyAlignment="1">
      <alignment horizontal="left"/>
    </xf>
    <xf numFmtId="0" fontId="5" fillId="0" borderId="0" xfId="24" applyFont="1" applyAlignment="1">
      <alignment horizontal="center" vertical="center"/>
    </xf>
    <xf numFmtId="0" fontId="5" fillId="0" borderId="0" xfId="23" applyFont="1" applyAlignment="1">
      <alignment horizontal="left"/>
    </xf>
    <xf numFmtId="0" fontId="13" fillId="0" borderId="0" xfId="23" applyFont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9" fontId="19" fillId="0" borderId="19" xfId="0" applyNumberFormat="1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6" fontId="21" fillId="0" borderId="19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vertical="center"/>
    </xf>
    <xf numFmtId="0" fontId="27" fillId="0" borderId="19" xfId="0" applyFont="1" applyBorder="1" applyAlignment="1">
      <alignment vertical="center"/>
    </xf>
    <xf numFmtId="1" fontId="12" fillId="0" borderId="19" xfId="5" applyNumberFormat="1" applyFont="1" applyBorder="1" applyAlignment="1">
      <alignment vertical="center"/>
    </xf>
    <xf numFmtId="1" fontId="12" fillId="0" borderId="19" xfId="10" applyNumberFormat="1" applyFont="1" applyBorder="1" applyAlignment="1">
      <alignment horizontal="center" vertical="center" wrapText="1"/>
    </xf>
    <xf numFmtId="0" fontId="14" fillId="3" borderId="19" xfId="0" applyFont="1" applyFill="1" applyBorder="1" applyAlignment="1">
      <alignment vertical="center"/>
    </xf>
    <xf numFmtId="0" fontId="19" fillId="3" borderId="19" xfId="0" applyFont="1" applyFill="1" applyBorder="1" applyAlignment="1">
      <alignment vertical="center"/>
    </xf>
    <xf numFmtId="0" fontId="19" fillId="3" borderId="19" xfId="0" applyFont="1" applyFill="1" applyBorder="1" applyAlignment="1">
      <alignment horizontal="center" vertical="center"/>
    </xf>
    <xf numFmtId="1" fontId="12" fillId="0" borderId="19" xfId="5" applyNumberFormat="1" applyFont="1" applyBorder="1" applyAlignment="1">
      <alignment horizontal="center" vertical="center"/>
    </xf>
    <xf numFmtId="49" fontId="12" fillId="0" borderId="19" xfId="5" applyNumberFormat="1" applyFont="1" applyBorder="1" applyAlignment="1">
      <alignment horizontal="center" vertical="center"/>
    </xf>
    <xf numFmtId="49" fontId="19" fillId="0" borderId="19" xfId="5" applyNumberFormat="1" applyFont="1" applyBorder="1" applyAlignment="1">
      <alignment horizontal="center" vertical="center"/>
    </xf>
    <xf numFmtId="49" fontId="21" fillId="0" borderId="19" xfId="5" applyNumberFormat="1" applyFont="1" applyBorder="1" applyAlignment="1">
      <alignment horizontal="center" vertical="center"/>
    </xf>
    <xf numFmtId="0" fontId="19" fillId="0" borderId="19" xfId="5" applyFont="1" applyBorder="1" applyAlignment="1">
      <alignment horizontal="left" vertical="center"/>
    </xf>
    <xf numFmtId="0" fontId="19" fillId="0" borderId="19" xfId="5" applyFont="1" applyBorder="1" applyAlignment="1">
      <alignment horizontal="center" vertical="center"/>
    </xf>
    <xf numFmtId="1" fontId="21" fillId="0" borderId="19" xfId="5" applyNumberFormat="1" applyFont="1" applyBorder="1" applyAlignment="1">
      <alignment horizontal="center" vertical="center"/>
    </xf>
    <xf numFmtId="1" fontId="16" fillId="0" borderId="19" xfId="5" applyNumberFormat="1" applyFont="1" applyBorder="1" applyAlignment="1">
      <alignment horizontal="center" vertical="center"/>
    </xf>
    <xf numFmtId="1" fontId="16" fillId="0" borderId="19" xfId="5" applyNumberFormat="1" applyFont="1" applyBorder="1" applyAlignment="1">
      <alignment vertical="center"/>
    </xf>
    <xf numFmtId="0" fontId="16" fillId="0" borderId="19" xfId="5" applyFont="1" applyBorder="1" applyAlignment="1">
      <alignment vertical="center"/>
    </xf>
    <xf numFmtId="0" fontId="6" fillId="20" borderId="19" xfId="0" applyFont="1" applyFill="1" applyBorder="1" applyAlignment="1">
      <alignment horizontal="left" vertical="center"/>
    </xf>
    <xf numFmtId="0" fontId="35" fillId="0" borderId="19" xfId="5" applyFont="1" applyBorder="1" applyAlignment="1">
      <alignment horizontal="center" vertical="center"/>
    </xf>
    <xf numFmtId="166" fontId="36" fillId="0" borderId="19" xfId="5" applyNumberFormat="1" applyFont="1" applyBorder="1" applyAlignment="1">
      <alignment horizontal="center" vertical="center"/>
    </xf>
    <xf numFmtId="49" fontId="12" fillId="0" borderId="19" xfId="5" applyNumberFormat="1" applyFont="1" applyBorder="1" applyAlignment="1">
      <alignment vertical="center"/>
    </xf>
    <xf numFmtId="0" fontId="19" fillId="0" borderId="19" xfId="9" applyFont="1" applyBorder="1" applyAlignment="1">
      <alignment vertical="center"/>
    </xf>
    <xf numFmtId="49" fontId="23" fillId="0" borderId="19" xfId="5" applyNumberFormat="1" applyFont="1" applyBorder="1" applyAlignment="1">
      <alignment horizontal="center" vertical="center"/>
    </xf>
    <xf numFmtId="49" fontId="26" fillId="0" borderId="19" xfId="5" applyNumberFormat="1" applyFont="1" applyBorder="1" applyAlignment="1">
      <alignment horizontal="center" vertical="center"/>
    </xf>
    <xf numFmtId="49" fontId="23" fillId="0" borderId="19" xfId="5" applyNumberFormat="1" applyFont="1" applyBorder="1" applyAlignment="1">
      <alignment vertical="center"/>
    </xf>
    <xf numFmtId="0" fontId="24" fillId="0" borderId="19" xfId="5" applyFont="1" applyBorder="1" applyAlignment="1">
      <alignment vertical="center"/>
    </xf>
    <xf numFmtId="1" fontId="24" fillId="0" borderId="19" xfId="5" applyNumberFormat="1" applyFont="1" applyBorder="1" applyAlignment="1">
      <alignment horizontal="center" vertical="center"/>
    </xf>
    <xf numFmtId="1" fontId="24" fillId="0" borderId="19" xfId="5" applyNumberFormat="1" applyFont="1" applyBorder="1" applyAlignment="1">
      <alignment vertical="center"/>
    </xf>
    <xf numFmtId="49" fontId="19" fillId="0" borderId="19" xfId="5" applyNumberFormat="1" applyFont="1" applyBorder="1" applyAlignment="1">
      <alignment horizontal="left" vertical="center"/>
    </xf>
    <xf numFmtId="0" fontId="18" fillId="0" borderId="19" xfId="5" applyFont="1" applyBorder="1" applyAlignment="1">
      <alignment vertical="center"/>
    </xf>
    <xf numFmtId="1" fontId="18" fillId="0" borderId="19" xfId="5" applyNumberFormat="1" applyFont="1" applyBorder="1" applyAlignment="1">
      <alignment horizontal="center" vertical="center"/>
    </xf>
    <xf numFmtId="1" fontId="18" fillId="0" borderId="19" xfId="5" applyNumberFormat="1" applyFont="1" applyBorder="1" applyAlignment="1">
      <alignment vertical="center"/>
    </xf>
    <xf numFmtId="0" fontId="12" fillId="20" borderId="19" xfId="0" applyFont="1" applyFill="1" applyBorder="1" applyAlignment="1">
      <alignment vertical="center"/>
    </xf>
    <xf numFmtId="0" fontId="19" fillId="0" borderId="19" xfId="5" applyFont="1" applyBorder="1" applyAlignment="1">
      <alignment vertical="center"/>
    </xf>
    <xf numFmtId="0" fontId="23" fillId="0" borderId="19" xfId="5" applyFont="1" applyBorder="1" applyAlignment="1">
      <alignment horizontal="center" vertical="center"/>
    </xf>
    <xf numFmtId="0" fontId="26" fillId="0" borderId="19" xfId="5" applyFont="1" applyBorder="1" applyAlignment="1">
      <alignment horizontal="center" vertical="center"/>
    </xf>
    <xf numFmtId="0" fontId="23" fillId="0" borderId="19" xfId="5" applyFont="1" applyBorder="1" applyAlignment="1">
      <alignment vertical="center"/>
    </xf>
    <xf numFmtId="0" fontId="12" fillId="0" borderId="19" xfId="5" applyFont="1" applyBorder="1" applyAlignment="1">
      <alignment horizontal="center" vertical="center"/>
    </xf>
    <xf numFmtId="0" fontId="19" fillId="0" borderId="19" xfId="7" applyNumberFormat="1" applyFont="1" applyBorder="1" applyAlignment="1">
      <alignment vertical="center"/>
    </xf>
    <xf numFmtId="49" fontId="12" fillId="0" borderId="19" xfId="5" applyNumberFormat="1" applyFont="1" applyBorder="1" applyAlignment="1">
      <alignment horizontal="left" vertical="center"/>
    </xf>
    <xf numFmtId="49" fontId="23" fillId="0" borderId="19" xfId="5" applyNumberFormat="1" applyFont="1" applyBorder="1" applyAlignment="1">
      <alignment horizontal="left" vertical="center"/>
    </xf>
    <xf numFmtId="49" fontId="70" fillId="0" borderId="19" xfId="5" applyNumberFormat="1" applyFont="1" applyBorder="1" applyAlignment="1">
      <alignment horizontal="center"/>
    </xf>
    <xf numFmtId="0" fontId="70" fillId="0" borderId="19" xfId="5" applyFont="1" applyBorder="1" applyAlignment="1">
      <alignment horizontal="left"/>
    </xf>
    <xf numFmtId="1" fontId="26" fillId="0" borderId="19" xfId="5" applyNumberFormat="1" applyFont="1" applyBorder="1" applyAlignment="1">
      <alignment horizontal="center" vertical="center"/>
    </xf>
    <xf numFmtId="1" fontId="28" fillId="0" borderId="19" xfId="5" applyNumberFormat="1" applyFont="1" applyBorder="1" applyAlignment="1">
      <alignment vertical="center"/>
    </xf>
    <xf numFmtId="0" fontId="28" fillId="0" borderId="19" xfId="5" applyFont="1" applyBorder="1" applyAlignment="1">
      <alignment vertical="center"/>
    </xf>
    <xf numFmtId="0" fontId="23" fillId="0" borderId="19" xfId="5" applyFont="1" applyBorder="1" applyAlignment="1">
      <alignment horizontal="left" vertical="center"/>
    </xf>
    <xf numFmtId="49" fontId="71" fillId="0" borderId="19" xfId="5" applyNumberFormat="1" applyFont="1" applyBorder="1" applyAlignment="1">
      <alignment horizontal="center"/>
    </xf>
    <xf numFmtId="0" fontId="71" fillId="0" borderId="19" xfId="5" applyFont="1" applyBorder="1" applyAlignment="1">
      <alignment horizontal="left"/>
    </xf>
    <xf numFmtId="49" fontId="16" fillId="0" borderId="19" xfId="6" applyFont="1" applyBorder="1">
      <alignment horizontal="left" vertical="center"/>
    </xf>
    <xf numFmtId="49" fontId="12" fillId="0" borderId="19" xfId="6" applyBorder="1">
      <alignment horizontal="left" vertical="center"/>
    </xf>
    <xf numFmtId="49" fontId="19" fillId="0" borderId="19" xfId="6" applyFont="1" applyBorder="1" applyAlignment="1">
      <alignment horizontal="center" vertical="center"/>
    </xf>
    <xf numFmtId="49" fontId="21" fillId="0" borderId="19" xfId="6" applyFont="1" applyBorder="1" applyAlignment="1">
      <alignment horizontal="center" vertical="center"/>
    </xf>
    <xf numFmtId="49" fontId="19" fillId="0" borderId="19" xfId="6" applyFont="1" applyBorder="1">
      <alignment horizontal="left" vertical="center"/>
    </xf>
    <xf numFmtId="1" fontId="16" fillId="0" borderId="19" xfId="6" applyNumberFormat="1" applyFont="1" applyBorder="1" applyAlignment="1">
      <alignment horizontal="center" vertical="center"/>
    </xf>
    <xf numFmtId="1" fontId="16" fillId="0" borderId="19" xfId="6" applyNumberFormat="1" applyFont="1" applyBorder="1">
      <alignment horizontal="left" vertical="center"/>
    </xf>
    <xf numFmtId="49" fontId="12" fillId="0" borderId="19" xfId="6" applyBorder="1" applyAlignment="1">
      <alignment vertical="center"/>
    </xf>
    <xf numFmtId="49" fontId="19" fillId="0" borderId="19" xfId="6" applyFont="1" applyBorder="1" applyAlignment="1">
      <alignment vertical="center"/>
    </xf>
    <xf numFmtId="49" fontId="19" fillId="0" borderId="19" xfId="7" applyFont="1" applyBorder="1" applyAlignment="1">
      <alignment vertical="center"/>
    </xf>
    <xf numFmtId="0" fontId="70" fillId="0" borderId="19" xfId="5" applyFont="1" applyBorder="1"/>
    <xf numFmtId="0" fontId="21" fillId="0" borderId="19" xfId="5" applyFont="1" applyBorder="1" applyAlignment="1">
      <alignment horizontal="center" vertical="center"/>
    </xf>
    <xf numFmtId="166" fontId="21" fillId="0" borderId="19" xfId="5" applyNumberFormat="1" applyFont="1" applyBorder="1" applyAlignment="1">
      <alignment horizontal="center" vertical="center"/>
    </xf>
    <xf numFmtId="1" fontId="12" fillId="0" borderId="19" xfId="6" applyNumberFormat="1" applyBorder="1" applyAlignment="1">
      <alignment horizontal="center" vertical="center"/>
    </xf>
    <xf numFmtId="1" fontId="12" fillId="0" borderId="19" xfId="6" applyNumberFormat="1" applyBorder="1">
      <alignment horizontal="left" vertical="center"/>
    </xf>
    <xf numFmtId="1" fontId="25" fillId="0" borderId="19" xfId="6" applyNumberFormat="1" applyFont="1" applyBorder="1" applyAlignment="1">
      <alignment horizontal="center" vertical="center"/>
    </xf>
    <xf numFmtId="49" fontId="25" fillId="0" borderId="19" xfId="6" applyFont="1" applyBorder="1" applyAlignment="1">
      <alignment horizontal="center" vertical="center"/>
    </xf>
    <xf numFmtId="166" fontId="21" fillId="0" borderId="19" xfId="6" applyNumberFormat="1" applyFont="1" applyBorder="1" applyAlignment="1">
      <alignment horizontal="center" vertical="center"/>
    </xf>
    <xf numFmtId="166" fontId="12" fillId="0" borderId="19" xfId="5" applyNumberFormat="1" applyFont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5" fillId="0" borderId="0" xfId="5" applyFont="1" applyAlignment="1">
      <alignment horizontal="center" vertical="center"/>
    </xf>
    <xf numFmtId="0" fontId="13" fillId="0" borderId="0" xfId="21" quotePrefix="1" applyFont="1" applyAlignment="1">
      <alignment horizontal="center" vertical="center"/>
    </xf>
    <xf numFmtId="2" fontId="13" fillId="0" borderId="0" xfId="21" applyNumberFormat="1" applyFont="1" applyAlignment="1">
      <alignment horizontal="center" vertical="center"/>
    </xf>
    <xf numFmtId="1" fontId="13" fillId="0" borderId="1" xfId="24" quotePrefix="1" applyNumberFormat="1" applyFont="1" applyBorder="1" applyAlignment="1">
      <alignment horizontal="center" vertical="center"/>
    </xf>
    <xf numFmtId="0" fontId="19" fillId="6" borderId="1" xfId="23" applyFont="1" applyFill="1" applyBorder="1" applyAlignment="1">
      <alignment horizontal="left"/>
    </xf>
    <xf numFmtId="0" fontId="82" fillId="0" borderId="1" xfId="21" applyFont="1" applyBorder="1" applyAlignment="1">
      <alignment horizontal="left" vertical="center"/>
    </xf>
    <xf numFmtId="2" fontId="13" fillId="0" borderId="0" xfId="5" applyNumberFormat="1" applyFont="1" applyAlignment="1">
      <alignment horizontal="center"/>
    </xf>
    <xf numFmtId="168" fontId="13" fillId="0" borderId="1" xfId="0" applyNumberFormat="1" applyFont="1" applyBorder="1" applyAlignment="1">
      <alignment horizontal="center" vertical="center"/>
    </xf>
    <xf numFmtId="171" fontId="13" fillId="0" borderId="1" xfId="29" applyNumberFormat="1" applyFont="1" applyFill="1" applyBorder="1" applyAlignment="1">
      <alignment horizontal="center" vertical="center"/>
    </xf>
    <xf numFmtId="171" fontId="13" fillId="0" borderId="1" xfId="11" applyNumberFormat="1" applyFont="1" applyBorder="1" applyAlignment="1">
      <alignment horizontal="center" vertical="center"/>
    </xf>
    <xf numFmtId="43" fontId="13" fillId="0" borderId="1" xfId="12" applyFont="1" applyFill="1" applyBorder="1" applyAlignment="1">
      <alignment vertical="center"/>
    </xf>
    <xf numFmtId="168" fontId="13" fillId="0" borderId="1" xfId="1" applyNumberFormat="1" applyFont="1" applyFill="1" applyBorder="1" applyAlignment="1">
      <alignment horizontal="center" vertical="center"/>
    </xf>
    <xf numFmtId="171" fontId="13" fillId="0" borderId="1" xfId="29" applyNumberFormat="1" applyFont="1" applyFill="1" applyBorder="1" applyAlignment="1">
      <alignment vertical="center"/>
    </xf>
    <xf numFmtId="176" fontId="13" fillId="0" borderId="1" xfId="29" applyNumberFormat="1" applyFont="1" applyFill="1" applyBorder="1" applyAlignment="1">
      <alignment vertical="center"/>
    </xf>
    <xf numFmtId="168" fontId="13" fillId="3" borderId="1" xfId="0" applyNumberFormat="1" applyFont="1" applyFill="1" applyBorder="1" applyAlignment="1">
      <alignment horizontal="center" vertical="center"/>
    </xf>
    <xf numFmtId="171" fontId="13" fillId="3" borderId="1" xfId="29" applyNumberFormat="1" applyFont="1" applyFill="1" applyBorder="1" applyAlignment="1">
      <alignment horizontal="center" vertical="center"/>
    </xf>
    <xf numFmtId="171" fontId="13" fillId="3" borderId="1" xfId="0" applyNumberFormat="1" applyFont="1" applyFill="1" applyBorder="1" applyAlignment="1">
      <alignment horizontal="center" vertical="center"/>
    </xf>
    <xf numFmtId="168" fontId="13" fillId="3" borderId="1" xfId="1" applyNumberFormat="1" applyFont="1" applyFill="1" applyBorder="1" applyAlignment="1">
      <alignment horizontal="center" vertical="center"/>
    </xf>
    <xf numFmtId="1" fontId="13" fillId="0" borderId="1" xfId="12" applyNumberFormat="1" applyFont="1" applyFill="1" applyBorder="1" applyAlignment="1">
      <alignment vertical="center"/>
    </xf>
    <xf numFmtId="9" fontId="13" fillId="4" borderId="1" xfId="14" applyFont="1" applyFill="1" applyBorder="1" applyAlignment="1">
      <alignment vertical="center"/>
    </xf>
    <xf numFmtId="165" fontId="13" fillId="4" borderId="1" xfId="0" applyNumberFormat="1" applyFont="1" applyFill="1" applyBorder="1" applyAlignment="1">
      <alignment horizontal="center" vertical="center"/>
    </xf>
    <xf numFmtId="1" fontId="13" fillId="4" borderId="1" xfId="11" applyNumberFormat="1" applyFont="1" applyFill="1" applyBorder="1" applyAlignment="1">
      <alignment vertical="center"/>
    </xf>
    <xf numFmtId="1" fontId="13" fillId="4" borderId="1" xfId="12" applyNumberFormat="1" applyFont="1" applyFill="1" applyBorder="1" applyAlignment="1">
      <alignment vertical="center"/>
    </xf>
    <xf numFmtId="171" fontId="13" fillId="0" borderId="1" xfId="12" applyNumberFormat="1" applyFont="1" applyBorder="1" applyAlignment="1">
      <alignment vertical="center"/>
    </xf>
    <xf numFmtId="9" fontId="13" fillId="0" borderId="1" xfId="14" applyFont="1" applyBorder="1" applyAlignment="1">
      <alignment vertical="center"/>
    </xf>
    <xf numFmtId="165" fontId="13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13" fillId="0" borderId="1" xfId="11" applyNumberFormat="1" applyFont="1" applyBorder="1" applyAlignment="1">
      <alignment horizontal="center" vertical="center"/>
    </xf>
    <xf numFmtId="0" fontId="13" fillId="0" borderId="1" xfId="11" applyFont="1" applyBorder="1" applyAlignment="1">
      <alignment vertical="center"/>
    </xf>
    <xf numFmtId="9" fontId="13" fillId="4" borderId="1" xfId="11" applyNumberFormat="1" applyFont="1" applyFill="1" applyBorder="1" applyAlignment="1">
      <alignment horizontal="center" vertical="center"/>
    </xf>
    <xf numFmtId="0" fontId="13" fillId="4" borderId="1" xfId="11" applyFont="1" applyFill="1" applyBorder="1" applyAlignment="1">
      <alignment vertical="center"/>
    </xf>
    <xf numFmtId="9" fontId="13" fillId="4" borderId="1" xfId="0" applyNumberFormat="1" applyFont="1" applyFill="1" applyBorder="1" applyAlignment="1">
      <alignment horizontal="center" vertical="center"/>
    </xf>
    <xf numFmtId="171" fontId="13" fillId="0" borderId="1" xfId="12" applyNumberFormat="1" applyFont="1" applyFill="1" applyBorder="1" applyAlignment="1">
      <alignment vertical="center"/>
    </xf>
    <xf numFmtId="9" fontId="13" fillId="0" borderId="1" xfId="14" applyFont="1" applyFill="1" applyBorder="1" applyAlignment="1">
      <alignment vertical="center"/>
    </xf>
    <xf numFmtId="1" fontId="13" fillId="0" borderId="1" xfId="13" applyNumberFormat="1" applyFont="1" applyFill="1" applyBorder="1" applyAlignment="1">
      <alignment vertical="center"/>
    </xf>
    <xf numFmtId="1" fontId="13" fillId="0" borderId="1" xfId="11" applyNumberFormat="1" applyFont="1" applyBorder="1" applyAlignment="1">
      <alignment vertical="center"/>
    </xf>
    <xf numFmtId="171" fontId="13" fillId="0" borderId="1" xfId="11" applyNumberFormat="1" applyFont="1" applyBorder="1" applyAlignment="1">
      <alignment vertical="center"/>
    </xf>
    <xf numFmtId="171" fontId="13" fillId="4" borderId="1" xfId="29" applyNumberFormat="1" applyFont="1" applyFill="1" applyBorder="1" applyAlignment="1">
      <alignment vertical="center"/>
    </xf>
    <xf numFmtId="168" fontId="13" fillId="0" borderId="1" xfId="0" applyNumberFormat="1" applyFont="1" applyBorder="1" applyAlignment="1">
      <alignment vertical="center"/>
    </xf>
    <xf numFmtId="168" fontId="13" fillId="0" borderId="1" xfId="1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1" fontId="33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168" fontId="83" fillId="0" borderId="1" xfId="0" applyNumberFormat="1" applyFont="1" applyBorder="1" applyAlignment="1">
      <alignment horizontal="center" vertical="center"/>
    </xf>
    <xf numFmtId="168" fontId="83" fillId="0" borderId="1" xfId="0" applyNumberFormat="1" applyFont="1" applyBorder="1" applyAlignment="1">
      <alignment vertical="center" wrapText="1"/>
    </xf>
    <xf numFmtId="171" fontId="21" fillId="0" borderId="1" xfId="29" applyNumberFormat="1" applyFont="1" applyFill="1" applyBorder="1" applyAlignment="1">
      <alignment horizontal="center" vertical="center"/>
    </xf>
    <xf numFmtId="171" fontId="21" fillId="0" borderId="1" xfId="12" applyNumberFormat="1" applyFont="1" applyFill="1" applyBorder="1" applyAlignment="1">
      <alignment vertical="center"/>
    </xf>
    <xf numFmtId="9" fontId="26" fillId="0" borderId="1" xfId="11" applyNumberFormat="1" applyFont="1" applyBorder="1" applyAlignment="1">
      <alignment horizontal="center" vertical="center"/>
    </xf>
    <xf numFmtId="9" fontId="21" fillId="0" borderId="1" xfId="14" applyFont="1" applyFill="1" applyBorder="1" applyAlignment="1">
      <alignment vertical="center"/>
    </xf>
    <xf numFmtId="9" fontId="21" fillId="0" borderId="1" xfId="0" applyNumberFormat="1" applyFont="1" applyBorder="1" applyAlignment="1">
      <alignment horizontal="center" vertical="center"/>
    </xf>
    <xf numFmtId="1" fontId="21" fillId="0" borderId="1" xfId="11" applyNumberFormat="1" applyFont="1" applyBorder="1" applyAlignment="1">
      <alignment vertical="center"/>
    </xf>
    <xf numFmtId="1" fontId="21" fillId="0" borderId="1" xfId="12" applyNumberFormat="1" applyFont="1" applyFill="1" applyBorder="1" applyAlignment="1">
      <alignment vertical="center"/>
    </xf>
    <xf numFmtId="168" fontId="83" fillId="0" borderId="1" xfId="1" applyNumberFormat="1" applyFont="1" applyFill="1" applyBorder="1" applyAlignment="1">
      <alignment horizontal="center" vertical="center"/>
    </xf>
    <xf numFmtId="171" fontId="21" fillId="0" borderId="1" xfId="29" applyNumberFormat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9" fontId="21" fillId="0" borderId="1" xfId="11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" fontId="21" fillId="0" borderId="1" xfId="13" applyNumberFormat="1" applyFont="1" applyFill="1" applyBorder="1" applyAlignment="1">
      <alignment vertical="center"/>
    </xf>
    <xf numFmtId="171" fontId="83" fillId="0" borderId="1" xfId="29" applyNumberFormat="1" applyFont="1" applyFill="1" applyBorder="1" applyAlignment="1">
      <alignment horizontal="center" vertical="center"/>
    </xf>
    <xf numFmtId="171" fontId="83" fillId="0" borderId="1" xfId="1" applyNumberFormat="1" applyFont="1" applyFill="1" applyBorder="1" applyAlignment="1">
      <alignment horizontal="center" vertical="center"/>
    </xf>
    <xf numFmtId="169" fontId="83" fillId="0" borderId="1" xfId="1" applyNumberFormat="1" applyFont="1" applyFill="1" applyBorder="1" applyAlignment="1">
      <alignment horizontal="center" vertical="center"/>
    </xf>
    <xf numFmtId="1" fontId="21" fillId="0" borderId="0" xfId="5" applyNumberFormat="1" applyFont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171" fontId="77" fillId="4" borderId="1" xfId="12" applyNumberFormat="1" applyFont="1" applyFill="1" applyBorder="1" applyAlignment="1">
      <alignment horizontal="center" vertical="center"/>
    </xf>
    <xf numFmtId="171" fontId="13" fillId="0" borderId="1" xfId="12" applyNumberFormat="1" applyFont="1" applyBorder="1" applyAlignment="1">
      <alignment horizontal="center" vertical="center"/>
    </xf>
    <xf numFmtId="168" fontId="78" fillId="0" borderId="1" xfId="0" applyNumberFormat="1" applyFont="1" applyBorder="1" applyAlignment="1">
      <alignment horizontal="center" vertical="center" wrapText="1"/>
    </xf>
    <xf numFmtId="168" fontId="79" fillId="0" borderId="1" xfId="0" applyNumberFormat="1" applyFont="1" applyBorder="1" applyAlignment="1">
      <alignment horizontal="center" vertical="center" wrapText="1"/>
    </xf>
    <xf numFmtId="171" fontId="21" fillId="0" borderId="1" xfId="12" applyNumberFormat="1" applyFont="1" applyFill="1" applyBorder="1" applyAlignment="1">
      <alignment horizontal="center" vertical="center"/>
    </xf>
    <xf numFmtId="168" fontId="83" fillId="0" borderId="1" xfId="0" applyNumberFormat="1" applyFont="1" applyBorder="1" applyAlignment="1">
      <alignment horizontal="center" vertical="center" wrapText="1"/>
    </xf>
    <xf numFmtId="171" fontId="77" fillId="0" borderId="1" xfId="12" applyNumberFormat="1" applyFont="1" applyFill="1" applyBorder="1" applyAlignment="1">
      <alignment horizontal="center" vertical="center"/>
    </xf>
    <xf numFmtId="171" fontId="77" fillId="0" borderId="1" xfId="12" applyNumberFormat="1" applyFont="1" applyBorder="1" applyAlignment="1">
      <alignment horizontal="center" vertical="center"/>
    </xf>
    <xf numFmtId="171" fontId="7" fillId="0" borderId="1" xfId="12" applyNumberFormat="1" applyFont="1" applyBorder="1" applyAlignment="1">
      <alignment horizontal="center" vertical="center"/>
    </xf>
    <xf numFmtId="164" fontId="13" fillId="0" borderId="1" xfId="12" applyNumberFormat="1" applyFont="1" applyBorder="1" applyAlignment="1">
      <alignment vertical="center"/>
    </xf>
    <xf numFmtId="164" fontId="13" fillId="0" borderId="1" xfId="29" applyNumberFormat="1" applyFont="1" applyFill="1" applyBorder="1" applyAlignment="1">
      <alignment horizontal="center" vertical="center"/>
    </xf>
    <xf numFmtId="1" fontId="7" fillId="21" borderId="1" xfId="11" applyNumberFormat="1" applyFont="1" applyFill="1" applyBorder="1" applyAlignment="1">
      <alignment vertical="center"/>
    </xf>
    <xf numFmtId="1" fontId="77" fillId="0" borderId="4" xfId="0" applyNumberFormat="1" applyFont="1" applyBorder="1" applyAlignment="1">
      <alignment horizontal="center" vertical="center"/>
    </xf>
    <xf numFmtId="1" fontId="84" fillId="0" borderId="4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right" vertical="center" wrapText="1"/>
    </xf>
    <xf numFmtId="1" fontId="85" fillId="22" borderId="20" xfId="29" applyNumberFormat="1" applyFont="1" applyFill="1" applyBorder="1" applyAlignment="1">
      <alignment horizontal="center" vertical="center" wrapText="1"/>
    </xf>
    <xf numFmtId="1" fontId="86" fillId="0" borderId="20" xfId="11" applyNumberFormat="1" applyFont="1" applyBorder="1" applyAlignment="1">
      <alignment horizontal="center" vertical="center" wrapText="1"/>
    </xf>
    <xf numFmtId="1" fontId="8" fillId="0" borderId="21" xfId="11" applyNumberFormat="1" applyBorder="1" applyAlignment="1">
      <alignment horizontal="center" vertical="center"/>
    </xf>
    <xf numFmtId="1" fontId="6" fillId="0" borderId="23" xfId="11" applyNumberFormat="1" applyFont="1" applyBorder="1" applyAlignment="1">
      <alignment vertical="center" wrapText="1"/>
    </xf>
    <xf numFmtId="1" fontId="87" fillId="0" borderId="21" xfId="11" applyNumberFormat="1" applyFont="1" applyBorder="1" applyAlignment="1">
      <alignment horizontal="center" vertical="center"/>
    </xf>
    <xf numFmtId="1" fontId="8" fillId="0" borderId="21" xfId="11" applyNumberFormat="1" applyBorder="1" applyAlignment="1">
      <alignment vertical="center"/>
    </xf>
    <xf numFmtId="1" fontId="77" fillId="0" borderId="0" xfId="0" applyNumberFormat="1" applyFont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4" fillId="0" borderId="24" xfId="0" applyFont="1" applyBorder="1" applyAlignment="1">
      <alignment horizontal="center" vertical="center"/>
    </xf>
    <xf numFmtId="168" fontId="74" fillId="0" borderId="24" xfId="0" applyNumberFormat="1" applyFont="1" applyBorder="1" applyAlignment="1">
      <alignment horizontal="center" vertical="center"/>
    </xf>
    <xf numFmtId="164" fontId="88" fillId="23" borderId="24" xfId="2246" applyFont="1" applyFill="1" applyBorder="1" applyAlignment="1">
      <alignment horizontal="center" vertical="center" wrapText="1"/>
    </xf>
    <xf numFmtId="164" fontId="88" fillId="24" borderId="24" xfId="11" applyNumberFormat="1" applyFont="1" applyFill="1" applyBorder="1" applyAlignment="1">
      <alignment horizontal="center" vertical="center" wrapText="1"/>
    </xf>
    <xf numFmtId="43" fontId="88" fillId="23" borderId="24" xfId="29" applyFont="1" applyFill="1" applyBorder="1" applyAlignment="1">
      <alignment horizontal="center" vertical="center" wrapText="1"/>
    </xf>
    <xf numFmtId="9" fontId="6" fillId="0" borderId="24" xfId="11" applyNumberFormat="1" applyFont="1" applyBorder="1" applyAlignment="1">
      <alignment horizontal="center" vertical="center" wrapText="1"/>
    </xf>
    <xf numFmtId="9" fontId="8" fillId="0" borderId="24" xfId="11" applyNumberFormat="1" applyBorder="1" applyAlignment="1">
      <alignment horizontal="center" vertical="center"/>
    </xf>
    <xf numFmtId="9" fontId="88" fillId="25" borderId="24" xfId="11" applyNumberFormat="1" applyFont="1" applyFill="1" applyBorder="1" applyAlignment="1">
      <alignment horizontal="center" vertical="center" wrapText="1"/>
    </xf>
    <xf numFmtId="171" fontId="89" fillId="26" borderId="24" xfId="29" applyNumberFormat="1" applyFont="1" applyFill="1" applyBorder="1" applyAlignment="1">
      <alignment horizontal="center" textRotation="90" wrapText="1"/>
    </xf>
    <xf numFmtId="9" fontId="87" fillId="0" borderId="24" xfId="11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4" fillId="0" borderId="25" xfId="0" applyFont="1" applyBorder="1" applyAlignment="1">
      <alignment horizontal="center" vertical="center"/>
    </xf>
    <xf numFmtId="168" fontId="74" fillId="0" borderId="25" xfId="0" applyNumberFormat="1" applyFont="1" applyBorder="1" applyAlignment="1">
      <alignment horizontal="center" vertical="center"/>
    </xf>
    <xf numFmtId="164" fontId="88" fillId="0" borderId="25" xfId="2246" applyFont="1" applyFill="1" applyBorder="1" applyAlignment="1">
      <alignment horizontal="center" vertical="center" wrapText="1"/>
    </xf>
    <xf numFmtId="164" fontId="88" fillId="0" borderId="25" xfId="11" applyNumberFormat="1" applyFont="1" applyBorder="1" applyAlignment="1">
      <alignment horizontal="center" vertical="center" wrapText="1"/>
    </xf>
    <xf numFmtId="43" fontId="88" fillId="0" borderId="25" xfId="29" applyFont="1" applyFill="1" applyBorder="1" applyAlignment="1">
      <alignment horizontal="left" vertical="center" wrapText="1"/>
    </xf>
    <xf numFmtId="43" fontId="88" fillId="0" borderId="25" xfId="29" applyFont="1" applyFill="1" applyBorder="1" applyAlignment="1">
      <alignment horizontal="center" vertical="center" wrapText="1"/>
    </xf>
    <xf numFmtId="9" fontId="6" fillId="0" borderId="25" xfId="11" applyNumberFormat="1" applyFont="1" applyBorder="1" applyAlignment="1">
      <alignment horizontal="center" vertical="center" wrapText="1"/>
    </xf>
    <xf numFmtId="9" fontId="8" fillId="0" borderId="25" xfId="11" applyNumberFormat="1" applyBorder="1" applyAlignment="1">
      <alignment horizontal="center" vertical="center"/>
    </xf>
    <xf numFmtId="9" fontId="88" fillId="0" borderId="25" xfId="11" applyNumberFormat="1" applyFont="1" applyBorder="1" applyAlignment="1">
      <alignment horizontal="left" vertical="center" wrapText="1"/>
    </xf>
    <xf numFmtId="9" fontId="88" fillId="0" borderId="25" xfId="11" applyNumberFormat="1" applyFont="1" applyBorder="1" applyAlignment="1">
      <alignment horizontal="center" vertical="center" wrapText="1"/>
    </xf>
    <xf numFmtId="171" fontId="89" fillId="0" borderId="25" xfId="29" applyNumberFormat="1" applyFont="1" applyFill="1" applyBorder="1" applyAlignment="1">
      <alignment horizontal="center" textRotation="90" wrapText="1"/>
    </xf>
    <xf numFmtId="0" fontId="7" fillId="0" borderId="6" xfId="0" applyFont="1" applyBorder="1" applyAlignment="1">
      <alignment horizontal="center" vertical="center"/>
    </xf>
    <xf numFmtId="43" fontId="6" fillId="0" borderId="27" xfId="29" applyFont="1" applyBorder="1" applyAlignment="1">
      <alignment vertical="center" wrapText="1"/>
    </xf>
    <xf numFmtId="43" fontId="6" fillId="0" borderId="28" xfId="29" applyFont="1" applyBorder="1" applyAlignment="1">
      <alignment vertical="center" wrapText="1"/>
    </xf>
    <xf numFmtId="43" fontId="6" fillId="0" borderId="6" xfId="29" applyFont="1" applyBorder="1" applyAlignment="1">
      <alignment horizontal="center" vertical="center" wrapText="1"/>
    </xf>
    <xf numFmtId="43" fontId="6" fillId="0" borderId="6" xfId="29" applyFont="1" applyBorder="1" applyAlignment="1">
      <alignment vertical="center" wrapText="1"/>
    </xf>
    <xf numFmtId="168" fontId="74" fillId="0" borderId="1" xfId="0" applyNumberFormat="1" applyFont="1" applyBorder="1" applyAlignment="1">
      <alignment vertical="center"/>
    </xf>
    <xf numFmtId="171" fontId="77" fillId="0" borderId="1" xfId="11" applyNumberFormat="1" applyFont="1" applyBorder="1" applyAlignment="1">
      <alignment horizontal="center" vertical="center"/>
    </xf>
    <xf numFmtId="171" fontId="72" fillId="0" borderId="1" xfId="11" applyNumberFormat="1" applyFont="1" applyBorder="1" applyAlignment="1">
      <alignment horizontal="center" vertical="center"/>
    </xf>
    <xf numFmtId="168" fontId="7" fillId="0" borderId="1" xfId="1" applyNumberFormat="1" applyFont="1" applyFill="1" applyBorder="1" applyAlignment="1">
      <alignment horizontal="center" vertical="center"/>
    </xf>
    <xf numFmtId="1" fontId="7" fillId="21" borderId="1" xfId="11" applyNumberFormat="1" applyFont="1" applyFill="1" applyBorder="1" applyAlignment="1">
      <alignment vertical="center" wrapText="1"/>
    </xf>
    <xf numFmtId="171" fontId="7" fillId="3" borderId="1" xfId="29" applyNumberFormat="1" applyFont="1" applyFill="1" applyBorder="1" applyAlignment="1">
      <alignment horizontal="center" vertical="center"/>
    </xf>
    <xf numFmtId="171" fontId="0" fillId="3" borderId="1" xfId="29" applyNumberFormat="1" applyFont="1" applyFill="1" applyBorder="1" applyAlignment="1">
      <alignment horizontal="center" vertical="center"/>
    </xf>
    <xf numFmtId="168" fontId="74" fillId="3" borderId="1" xfId="0" applyNumberFormat="1" applyFont="1" applyFill="1" applyBorder="1" applyAlignment="1">
      <alignment vertical="center"/>
    </xf>
    <xf numFmtId="168" fontId="7" fillId="3" borderId="1" xfId="1" applyNumberFormat="1" applyFont="1" applyFill="1" applyBorder="1" applyAlignment="1">
      <alignment horizontal="center" vertical="center"/>
    </xf>
    <xf numFmtId="171" fontId="72" fillId="0" borderId="1" xfId="29" applyNumberFormat="1" applyFont="1" applyFill="1" applyBorder="1" applyAlignment="1">
      <alignment vertical="center"/>
    </xf>
    <xf numFmtId="1" fontId="7" fillId="21" borderId="1" xfId="12" applyNumberFormat="1" applyFont="1" applyFill="1" applyBorder="1" applyAlignment="1">
      <alignment vertical="center"/>
    </xf>
    <xf numFmtId="43" fontId="13" fillId="0" borderId="1" xfId="29" applyFont="1" applyFill="1" applyBorder="1" applyAlignment="1">
      <alignment vertical="center"/>
    </xf>
    <xf numFmtId="43" fontId="13" fillId="0" borderId="1" xfId="29" applyFont="1" applyFill="1" applyBorder="1" applyAlignment="1">
      <alignment horizontal="center" vertical="center"/>
    </xf>
    <xf numFmtId="43" fontId="13" fillId="0" borderId="1" xfId="29" applyFont="1" applyBorder="1" applyAlignment="1">
      <alignment vertical="center"/>
    </xf>
    <xf numFmtId="43" fontId="21" fillId="0" borderId="1" xfId="29" applyFont="1" applyFill="1" applyBorder="1" applyAlignment="1">
      <alignment vertical="center"/>
    </xf>
    <xf numFmtId="43" fontId="21" fillId="0" borderId="1" xfId="29" applyFont="1" applyFill="1" applyBorder="1" applyAlignment="1">
      <alignment horizontal="center" vertical="center"/>
    </xf>
    <xf numFmtId="43" fontId="77" fillId="0" borderId="1" xfId="29" applyFont="1" applyFill="1" applyBorder="1" applyAlignment="1">
      <alignment horizontal="center" vertical="center"/>
    </xf>
    <xf numFmtId="164" fontId="77" fillId="4" borderId="1" xfId="2245" applyNumberFormat="1" applyFont="1" applyFill="1" applyBorder="1" applyAlignment="1">
      <alignment horizontal="center" vertical="center"/>
    </xf>
    <xf numFmtId="164" fontId="77" fillId="4" borderId="1" xfId="2245" applyNumberFormat="1" applyFont="1" applyFill="1" applyBorder="1" applyAlignment="1">
      <alignment vertical="center"/>
    </xf>
    <xf numFmtId="164" fontId="13" fillId="0" borderId="1" xfId="29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91" fillId="0" borderId="6" xfId="0" applyFont="1" applyBorder="1" applyAlignment="1">
      <alignment horizontal="center" vertical="center"/>
    </xf>
    <xf numFmtId="168" fontId="91" fillId="0" borderId="6" xfId="0" applyNumberFormat="1" applyFont="1" applyBorder="1" applyAlignment="1">
      <alignment horizontal="center" vertical="center"/>
    </xf>
    <xf numFmtId="43" fontId="92" fillId="2" borderId="6" xfId="29" applyFont="1" applyFill="1" applyBorder="1" applyAlignment="1">
      <alignment horizontal="center" vertical="center"/>
    </xf>
    <xf numFmtId="164" fontId="92" fillId="2" borderId="6" xfId="29" applyNumberFormat="1" applyFont="1" applyFill="1" applyBorder="1" applyAlignment="1">
      <alignment horizontal="center" vertical="center"/>
    </xf>
    <xf numFmtId="43" fontId="92" fillId="2" borderId="0" xfId="29" applyFont="1" applyFill="1" applyBorder="1" applyAlignment="1">
      <alignment horizontal="center" vertical="center"/>
    </xf>
    <xf numFmtId="43" fontId="6" fillId="0" borderId="26" xfId="29" applyFont="1" applyBorder="1" applyAlignment="1">
      <alignment horizontal="center" vertical="center"/>
    </xf>
    <xf numFmtId="164" fontId="93" fillId="2" borderId="6" xfId="29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 wrapText="1"/>
    </xf>
    <xf numFmtId="43" fontId="88" fillId="25" borderId="24" xfId="29" applyFont="1" applyFill="1" applyBorder="1" applyAlignment="1">
      <alignment horizontal="center" vertical="center" wrapText="1"/>
    </xf>
    <xf numFmtId="43" fontId="88" fillId="24" borderId="24" xfId="29" applyFont="1" applyFill="1" applyBorder="1" applyAlignment="1">
      <alignment horizontal="center" vertical="center" wrapText="1"/>
    </xf>
    <xf numFmtId="9" fontId="88" fillId="24" borderId="24" xfId="11" applyNumberFormat="1" applyFont="1" applyFill="1" applyBorder="1" applyAlignment="1">
      <alignment horizontal="center" vertical="center" wrapText="1"/>
    </xf>
    <xf numFmtId="0" fontId="8" fillId="0" borderId="24" xfId="11" applyBorder="1" applyAlignment="1">
      <alignment horizontal="center" vertical="center"/>
    </xf>
    <xf numFmtId="171" fontId="72" fillId="0" borderId="1" xfId="11" applyNumberFormat="1" applyFont="1" applyBorder="1" applyAlignment="1">
      <alignment horizontal="center" vertical="center" wrapText="1"/>
    </xf>
    <xf numFmtId="0" fontId="31" fillId="0" borderId="1" xfId="23" applyFont="1" applyBorder="1" applyAlignment="1">
      <alignment horizontal="left"/>
    </xf>
    <xf numFmtId="171" fontId="72" fillId="0" borderId="1" xfId="0" applyNumberFormat="1" applyFont="1" applyBorder="1" applyAlignment="1">
      <alignment horizontal="center" vertical="center"/>
    </xf>
    <xf numFmtId="1" fontId="16" fillId="0" borderId="19" xfId="5" applyNumberFormat="1" applyFont="1" applyBorder="1" applyAlignment="1">
      <alignment horizontal="left" vertical="center"/>
    </xf>
    <xf numFmtId="43" fontId="7" fillId="0" borderId="1" xfId="11" applyNumberFormat="1" applyFont="1" applyBorder="1" applyAlignment="1">
      <alignment horizontal="center" vertical="center"/>
    </xf>
    <xf numFmtId="43" fontId="7" fillId="3" borderId="1" xfId="0" applyNumberFormat="1" applyFont="1" applyFill="1" applyBorder="1" applyAlignment="1">
      <alignment horizontal="center" vertical="center"/>
    </xf>
    <xf numFmtId="43" fontId="72" fillId="0" borderId="1" xfId="12" applyFont="1" applyFill="1" applyBorder="1" applyAlignment="1">
      <alignment vertical="center"/>
    </xf>
    <xf numFmtId="43" fontId="77" fillId="0" borderId="1" xfId="29" applyFont="1" applyBorder="1" applyAlignment="1">
      <alignment horizontal="center" vertical="center"/>
    </xf>
    <xf numFmtId="43" fontId="77" fillId="0" borderId="1" xfId="12" applyFont="1" applyFill="1" applyBorder="1" applyAlignment="1">
      <alignment vertical="center"/>
    </xf>
    <xf numFmtId="43" fontId="77" fillId="4" borderId="1" xfId="12" applyFont="1" applyFill="1" applyBorder="1" applyAlignment="1">
      <alignment vertical="center"/>
    </xf>
    <xf numFmtId="43" fontId="13" fillId="0" borderId="1" xfId="12" applyFont="1" applyBorder="1" applyAlignment="1">
      <alignment vertical="center"/>
    </xf>
    <xf numFmtId="43" fontId="21" fillId="0" borderId="1" xfId="12" applyFont="1" applyFill="1" applyBorder="1" applyAlignment="1">
      <alignment vertical="center"/>
    </xf>
    <xf numFmtId="43" fontId="13" fillId="0" borderId="1" xfId="11" applyNumberFormat="1" applyFont="1" applyBorder="1" applyAlignment="1">
      <alignment vertical="center"/>
    </xf>
    <xf numFmtId="43" fontId="74" fillId="3" borderId="1" xfId="0" applyNumberFormat="1" applyFont="1" applyFill="1" applyBorder="1" applyAlignment="1">
      <alignment horizontal="left" vertical="center"/>
    </xf>
    <xf numFmtId="43" fontId="7" fillId="0" borderId="1" xfId="11" applyNumberFormat="1" applyFont="1" applyBorder="1" applyAlignment="1">
      <alignment vertical="center"/>
    </xf>
    <xf numFmtId="171" fontId="72" fillId="0" borderId="1" xfId="29" applyNumberFormat="1" applyFont="1" applyBorder="1" applyAlignment="1">
      <alignment horizontal="center" vertical="center" wrapText="1"/>
    </xf>
    <xf numFmtId="49" fontId="19" fillId="20" borderId="19" xfId="5" applyNumberFormat="1" applyFont="1" applyFill="1" applyBorder="1" applyAlignment="1">
      <alignment horizontal="center" vertical="center"/>
    </xf>
    <xf numFmtId="49" fontId="21" fillId="20" borderId="19" xfId="5" applyNumberFormat="1" applyFont="1" applyFill="1" applyBorder="1" applyAlignment="1">
      <alignment horizontal="center" vertical="center"/>
    </xf>
    <xf numFmtId="0" fontId="19" fillId="20" borderId="19" xfId="5" applyFont="1" applyFill="1" applyBorder="1" applyAlignment="1">
      <alignment horizontal="left" vertical="center"/>
    </xf>
    <xf numFmtId="0" fontId="19" fillId="20" borderId="19" xfId="5" applyFont="1" applyFill="1" applyBorder="1" applyAlignment="1">
      <alignment vertical="center"/>
    </xf>
    <xf numFmtId="0" fontId="23" fillId="20" borderId="19" xfId="5" applyFont="1" applyFill="1" applyBorder="1" applyAlignment="1">
      <alignment horizontal="center" vertical="center"/>
    </xf>
    <xf numFmtId="0" fontId="26" fillId="20" borderId="19" xfId="5" applyFont="1" applyFill="1" applyBorder="1" applyAlignment="1">
      <alignment horizontal="center" vertical="center"/>
    </xf>
    <xf numFmtId="0" fontId="23" fillId="20" borderId="19" xfId="5" applyFont="1" applyFill="1" applyBorder="1" applyAlignment="1">
      <alignment vertical="center"/>
    </xf>
    <xf numFmtId="0" fontId="94" fillId="0" borderId="19" xfId="5" applyFont="1" applyBorder="1" applyAlignment="1">
      <alignment vertical="center"/>
    </xf>
    <xf numFmtId="0" fontId="95" fillId="6" borderId="1" xfId="23" applyFont="1" applyFill="1" applyBorder="1" applyAlignment="1">
      <alignment horizontal="left"/>
    </xf>
    <xf numFmtId="0" fontId="95" fillId="0" borderId="1" xfId="23" applyFont="1" applyBorder="1" applyAlignment="1">
      <alignment horizontal="left"/>
    </xf>
    <xf numFmtId="164" fontId="77" fillId="4" borderId="1" xfId="29" applyNumberFormat="1" applyFont="1" applyFill="1" applyBorder="1" applyAlignment="1">
      <alignment horizontal="center" vertical="center"/>
    </xf>
    <xf numFmtId="164" fontId="21" fillId="0" borderId="1" xfId="29" applyNumberFormat="1" applyFont="1" applyFill="1" applyBorder="1" applyAlignment="1">
      <alignment horizontal="center" vertical="center"/>
    </xf>
    <xf numFmtId="177" fontId="13" fillId="0" borderId="1" xfId="29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0" fillId="27" borderId="21" xfId="128" applyFont="1" applyFill="1" applyBorder="1" applyAlignment="1">
      <alignment horizontal="center" vertical="center" wrapText="1"/>
    </xf>
    <xf numFmtId="0" fontId="90" fillId="27" borderId="29" xfId="128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9" fontId="87" fillId="0" borderId="21" xfId="11" applyNumberFormat="1" applyFont="1" applyBorder="1" applyAlignment="1">
      <alignment horizontal="center" vertical="center"/>
    </xf>
    <xf numFmtId="9" fontId="87" fillId="0" borderId="26" xfId="11" applyNumberFormat="1" applyFont="1" applyBorder="1" applyAlignment="1">
      <alignment horizontal="center" vertical="center"/>
    </xf>
    <xf numFmtId="0" fontId="74" fillId="5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1" fontId="85" fillId="22" borderId="30" xfId="29" applyNumberFormat="1" applyFont="1" applyFill="1" applyBorder="1" applyAlignment="1">
      <alignment horizontal="center" vertical="center" wrapText="1"/>
    </xf>
    <xf numFmtId="1" fontId="85" fillId="22" borderId="31" xfId="29" applyNumberFormat="1" applyFont="1" applyFill="1" applyBorder="1" applyAlignment="1">
      <alignment horizontal="center" vertical="center" wrapText="1"/>
    </xf>
    <xf numFmtId="1" fontId="85" fillId="22" borderId="32" xfId="29" applyNumberFormat="1" applyFont="1" applyFill="1" applyBorder="1" applyAlignment="1">
      <alignment horizontal="center" vertical="center" wrapText="1"/>
    </xf>
    <xf numFmtId="1" fontId="87" fillId="0" borderId="22" xfId="11" applyNumberFormat="1" applyFont="1" applyBorder="1" applyAlignment="1">
      <alignment horizontal="center" vertical="center" wrapText="1"/>
    </xf>
    <xf numFmtId="1" fontId="87" fillId="0" borderId="23" xfId="11" applyNumberFormat="1" applyFont="1" applyBorder="1" applyAlignment="1">
      <alignment horizontal="center" vertical="center" wrapText="1"/>
    </xf>
    <xf numFmtId="1" fontId="87" fillId="0" borderId="20" xfId="11" applyNumberFormat="1" applyFont="1" applyBorder="1" applyAlignment="1">
      <alignment horizontal="center" vertical="center" wrapText="1"/>
    </xf>
    <xf numFmtId="168" fontId="14" fillId="3" borderId="1" xfId="0" applyNumberFormat="1" applyFont="1" applyFill="1" applyBorder="1" applyAlignment="1">
      <alignment horizontal="center" vertical="center"/>
    </xf>
    <xf numFmtId="1" fontId="12" fillId="0" borderId="19" xfId="10" applyNumberFormat="1" applyFont="1" applyBorder="1" applyAlignment="1">
      <alignment horizontal="center" vertical="center" wrapText="1"/>
    </xf>
    <xf numFmtId="0" fontId="12" fillId="0" borderId="19" xfId="5" applyFont="1" applyBorder="1" applyAlignment="1">
      <alignment horizontal="center" vertical="center"/>
    </xf>
    <xf numFmtId="166" fontId="12" fillId="0" borderId="19" xfId="5" applyNumberFormat="1" applyFont="1" applyBorder="1" applyAlignment="1">
      <alignment horizontal="center" vertical="center"/>
    </xf>
    <xf numFmtId="1" fontId="12" fillId="0" borderId="3" xfId="10" applyNumberFormat="1" applyFont="1" applyBorder="1" applyAlignment="1">
      <alignment horizontal="center" vertical="center" wrapText="1"/>
    </xf>
    <xf numFmtId="1" fontId="12" fillId="0" borderId="0" xfId="10" applyNumberFormat="1" applyFont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1" fontId="12" fillId="0" borderId="0" xfId="5" applyNumberFormat="1" applyFont="1" applyAlignment="1">
      <alignment horizontal="center" vertical="center"/>
    </xf>
    <xf numFmtId="1" fontId="12" fillId="0" borderId="1" xfId="10" applyNumberFormat="1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/>
    </xf>
    <xf numFmtId="1" fontId="12" fillId="0" borderId="1" xfId="5" applyNumberFormat="1" applyFont="1" applyBorder="1" applyAlignment="1">
      <alignment horizontal="center" vertical="center"/>
    </xf>
    <xf numFmtId="1" fontId="12" fillId="0" borderId="4" xfId="10" applyNumberFormat="1" applyFont="1" applyBorder="1" applyAlignment="1">
      <alignment horizontal="center" vertical="center" wrapText="1"/>
    </xf>
    <xf numFmtId="1" fontId="12" fillId="0" borderId="5" xfId="10" applyNumberFormat="1" applyFont="1" applyBorder="1" applyAlignment="1">
      <alignment horizontal="center" vertical="center" wrapText="1"/>
    </xf>
    <xf numFmtId="1" fontId="12" fillId="0" borderId="6" xfId="10" applyNumberFormat="1" applyFont="1" applyBorder="1" applyAlignment="1">
      <alignment horizontal="center" vertical="center" wrapText="1"/>
    </xf>
  </cellXfs>
  <cellStyles count="2247">
    <cellStyle name="20% - Accent1 2" xfId="131" xr:uid="{E77A7B7E-39D2-4476-9E60-D8DD2C13B60E}"/>
    <cellStyle name="20% - Accent2 2" xfId="132" xr:uid="{C161A772-72C2-472E-8B34-FAC54B7F3D26}"/>
    <cellStyle name="20% - Accent3 2" xfId="133" xr:uid="{9E0A95A9-3E0A-4C69-81D3-1D08C5E8E1A6}"/>
    <cellStyle name="20% - Accent4 2" xfId="134" xr:uid="{5DD951BA-B70E-4D7A-BAD5-FF09BBC62562}"/>
    <cellStyle name="20% - Accent5 2" xfId="135" xr:uid="{13263A0C-8354-42CD-BD79-DD301C05BB39}"/>
    <cellStyle name="20% - Accent6 2" xfId="136" xr:uid="{5B6C8BC0-B6EF-4587-BCC7-3FBEE616F819}"/>
    <cellStyle name="40% - Accent1 2" xfId="137" xr:uid="{F141C727-F453-4EC2-BCB1-681696ECE973}"/>
    <cellStyle name="40% - Accent2 2" xfId="138" xr:uid="{9D2BFE45-4D68-4566-805C-311C22AC4960}"/>
    <cellStyle name="40% - Accent3 2" xfId="139" xr:uid="{91C370CB-B8DE-4658-931C-22D346B38E30}"/>
    <cellStyle name="40% - Accent4 2" xfId="140" xr:uid="{4312BC49-A7E2-4FC0-B4C7-83B4CBE07740}"/>
    <cellStyle name="40% - Accent5 2" xfId="141" xr:uid="{4625833C-AB81-45FD-93B3-24E7C2B2FC72}"/>
    <cellStyle name="40% - Accent6 2" xfId="142" xr:uid="{F26A6A1E-3A84-4D6B-94F6-4BA6AEBB3CA4}"/>
    <cellStyle name="60% - Accent1 2" xfId="143" xr:uid="{F9A127BB-18DC-4AC1-A81B-F4AF415006D5}"/>
    <cellStyle name="60% - Accent2 2" xfId="144" xr:uid="{81904FE3-3BA4-4D6D-8137-EDA537B253DB}"/>
    <cellStyle name="60% - Accent3 2" xfId="145" xr:uid="{D25FA6C7-4A03-4BCD-BB9C-389CC0E8D485}"/>
    <cellStyle name="60% - Accent4 2" xfId="146" xr:uid="{98D7E992-4CE1-43E4-96CD-7AA13D33D59F}"/>
    <cellStyle name="60% - Accent5 2" xfId="147" xr:uid="{41592914-01BD-4B47-BFF5-8A5055D396AA}"/>
    <cellStyle name="60% - Accent6 2" xfId="148" xr:uid="{D234BB9B-603F-4BEF-AAE9-15EEB2495C8A}"/>
    <cellStyle name="Accent1 2" xfId="149" xr:uid="{EA463E6D-381F-4FD6-A91A-4C7DA6794957}"/>
    <cellStyle name="Accent2 2" xfId="150" xr:uid="{941336BC-608A-465B-8EFD-36D0359440CB}"/>
    <cellStyle name="Accent3 2" xfId="151" xr:uid="{0796E57A-DCBD-4339-B10C-D42591E287B6}"/>
    <cellStyle name="Accent4 2" xfId="152" xr:uid="{C7783DDD-0129-470C-8371-FA23A33C76E5}"/>
    <cellStyle name="Accent5 2" xfId="153" xr:uid="{0F9EA247-1C6E-4DC8-B08C-9729A4D34E73}"/>
    <cellStyle name="Accent6 2" xfId="154" xr:uid="{4237D69E-8CED-4375-9ECA-15D0B64BCAE2}"/>
    <cellStyle name="Bad 2" xfId="155" xr:uid="{2607D9F8-0FC8-4775-8B5A-CA9D892866E6}"/>
    <cellStyle name="Body" xfId="7" xr:uid="{8BD00F65-BC2F-4259-B2DD-E432B0FE8C46}"/>
    <cellStyle name="Calculation 2" xfId="156" xr:uid="{C2284A10-643F-43A8-B01F-981D0F64CED8}"/>
    <cellStyle name="Check Cell 2" xfId="157" xr:uid="{0EFA1450-C0D6-44BF-A546-5801DEFCD087}"/>
    <cellStyle name="Comma" xfId="29" builtinId="3"/>
    <cellStyle name="Comma 10" xfId="12" xr:uid="{F392FF67-752B-43D9-80FF-80174D1F479D}"/>
    <cellStyle name="Comma 10 10" xfId="109" xr:uid="{07631A8F-3289-476B-ADF4-CD7493418B75}"/>
    <cellStyle name="Comma 10 16" xfId="34" xr:uid="{4EE8D8EC-EA1B-4323-890A-8F14EA0C3E4B}"/>
    <cellStyle name="Comma 10 2" xfId="2236" xr:uid="{C81EC633-0E31-40EE-A304-4E564046E2AA}"/>
    <cellStyle name="Comma 10 3" xfId="48" xr:uid="{FAB4B9C6-DC97-4107-A20D-1FBDE93CC0BB}"/>
    <cellStyle name="Comma 11" xfId="158" xr:uid="{90CB2B2D-C1DF-40FB-91EE-304009BF431B}"/>
    <cellStyle name="Comma 12 2" xfId="38" xr:uid="{74E3F105-378E-487C-B859-F91A4D801A39}"/>
    <cellStyle name="Comma 12 2 2 2" xfId="111" xr:uid="{08BD7E0F-47F4-463C-B6D6-DE2AF6EEA5F8}"/>
    <cellStyle name="Comma 13" xfId="47" xr:uid="{E03395E7-CB8B-4557-BF16-D9515DD56823}"/>
    <cellStyle name="Comma 14 2" xfId="51" xr:uid="{9146EAA9-0002-4871-A9EE-277119F70A4B}"/>
    <cellStyle name="Comma 14 4" xfId="53" xr:uid="{0CB22737-99A6-492C-B466-BEBD19B74832}"/>
    <cellStyle name="Comma 18 3" xfId="18" xr:uid="{00463C69-B77B-4AEA-B642-AB5895641A1C}"/>
    <cellStyle name="Comma 18 3 2" xfId="39" xr:uid="{62BBFE00-4CEC-4D41-847B-85A575E99CD8}"/>
    <cellStyle name="Comma 2" xfId="106" xr:uid="{4E407059-092F-4576-8F91-22FAEDCD4D14}"/>
    <cellStyle name="Comma 2 10" xfId="13" xr:uid="{A4304C71-594A-440B-8867-719272430082}"/>
    <cellStyle name="Comma 2 10 2" xfId="2237" xr:uid="{8F716994-5FA6-42E4-9CCE-B62F24D5EE50}"/>
    <cellStyle name="Comma 2 12" xfId="124" xr:uid="{CA9A01EE-94EA-485B-A68E-17FB7B7EC46F}"/>
    <cellStyle name="Comma 2 2" xfId="117" xr:uid="{776EEB82-7CC3-4F20-987D-4CB34141300E}"/>
    <cellStyle name="Comma 2 2 2" xfId="45" xr:uid="{C76986C0-CAA6-4F9E-A41E-AADADB2EBDC9}"/>
    <cellStyle name="Comma 2 2 2 2" xfId="161" xr:uid="{393435D1-1F4A-43F5-8E65-2F7AD87C9FD1}"/>
    <cellStyle name="Comma 2 2 2 3" xfId="64" xr:uid="{FED10D7D-2216-4FB3-8357-483592326C7D}"/>
    <cellStyle name="Comma 2 2 3" xfId="162" xr:uid="{CD002794-B56E-44E2-9852-F6599EBFAD38}"/>
    <cellStyle name="Comma 2 2 4" xfId="163" xr:uid="{C67E11B6-7C5F-42BA-BDFD-53B344937417}"/>
    <cellStyle name="Comma 2 2 5" xfId="160" xr:uid="{C28B3E66-8A61-4F92-8F14-E9BCF5B81AA4}"/>
    <cellStyle name="Comma 2 2 5 3" xfId="69" xr:uid="{5A3DC33B-58BD-46A6-B25C-96EEA6C4F018}"/>
    <cellStyle name="Comma 2 3" xfId="159" xr:uid="{97567CB7-5D4E-4A3E-8429-A902F1EAA355}"/>
    <cellStyle name="Comma 2 57" xfId="43" xr:uid="{F32C2D97-576E-4453-BA3F-A5D08D0A9B2E}"/>
    <cellStyle name="Comma 2 59" xfId="105" xr:uid="{E51E1487-CA71-4788-A5B9-EDBD537C0365}"/>
    <cellStyle name="Comma 2 8 2" xfId="72" xr:uid="{3DB08D2B-9866-41FA-A7C2-0B658ACE167D}"/>
    <cellStyle name="Comma 24 3" xfId="83" xr:uid="{9B5D8728-6139-4EAD-ABF0-C61AFD389DA7}"/>
    <cellStyle name="Comma 3" xfId="122" xr:uid="{140AD0CF-20FE-48D2-ADCF-1EA569DD9E0F}"/>
    <cellStyle name="Comma 3 2" xfId="164" xr:uid="{616BD9D7-6493-47DD-A1DE-DA4F60FF79BC}"/>
    <cellStyle name="Comma 31" xfId="110" xr:uid="{10DC9D30-8557-48F8-9A24-6DC0B856FCF7}"/>
    <cellStyle name="Comma 4" xfId="118" xr:uid="{B8BA09B1-49C6-46AB-9630-257583E890FF}"/>
    <cellStyle name="Comma 4 2" xfId="165" xr:uid="{A0CB31AB-4F68-4D65-8FEE-9CA74A8ABF0E}"/>
    <cellStyle name="Comma 42 4" xfId="103" xr:uid="{1850D50B-85B4-4BC6-BE9B-9F1BDBFDBFE9}"/>
    <cellStyle name="Comma 43 3" xfId="102" xr:uid="{2614A69B-65D6-4D8D-B4FA-7FB373952017}"/>
    <cellStyle name="Comma 45" xfId="36" xr:uid="{084DC5D9-7DFF-46C5-80F3-DB9FD6D4A74F}"/>
    <cellStyle name="Comma 46 2 2" xfId="54" xr:uid="{AFD18A35-D2ED-4296-A56D-A85C18AFB131}"/>
    <cellStyle name="Comma 46 2 2 2" xfId="58" xr:uid="{16423785-DBAB-48D8-9330-E845DDA70090}"/>
    <cellStyle name="Comma 47" xfId="2246" xr:uid="{65E218D1-348D-4FCA-967E-C17C6AE95ED8}"/>
    <cellStyle name="Comma 47 2 2 2 2 2 2 2 2 2 2 2 2" xfId="42" xr:uid="{3E5FE762-146F-46E4-83D6-54BF0C27FA96}"/>
    <cellStyle name="Comma 48 3" xfId="101" xr:uid="{7E1A12B9-9987-4676-A62F-04132905F519}"/>
    <cellStyle name="Comma 5" xfId="126" xr:uid="{EDC0FF31-0B02-4D78-9929-2B4AFBF58FDD}"/>
    <cellStyle name="Comma 5 2" xfId="166" xr:uid="{9257D5B2-328E-4FD7-BC81-F8665133FBCD}"/>
    <cellStyle name="Comma 50" xfId="104" xr:uid="{4D1B3E3A-59C8-4C81-A1A1-101B1ECCFA96}"/>
    <cellStyle name="Comma 53 2" xfId="100" xr:uid="{C0BCCE83-3804-4D48-9D34-B89C9E89B613}"/>
    <cellStyle name="Comma 6" xfId="167" xr:uid="{E9327A31-580D-4F17-939E-AEF787DE5986}"/>
    <cellStyle name="Comma 68" xfId="98" xr:uid="{B4A9E309-70D7-4FCD-BA35-65D1BF95AE19}"/>
    <cellStyle name="Comma 7" xfId="2232" xr:uid="{8BACFDC8-BBF4-466F-8EE8-5079479943FF}"/>
    <cellStyle name="Comma 79" xfId="2228" xr:uid="{F5753261-50B0-41E9-83AC-88C665246208}"/>
    <cellStyle name="Comma 8" xfId="31" xr:uid="{AAC1D0F1-D7BC-4D34-BF45-831143E7E9D3}"/>
    <cellStyle name="Comma 8 3 4" xfId="80" xr:uid="{0136E7E7-0E24-4869-B43B-4FA4B940FCCE}"/>
    <cellStyle name="Comma 83" xfId="114" xr:uid="{B55FE22D-D6D3-4459-B076-67BBDBEC90FB}"/>
    <cellStyle name="Comma 9" xfId="2245" xr:uid="{0AC70EBF-7219-4150-BCB5-A919EDB781DD}"/>
    <cellStyle name="Excel Built-in Normal" xfId="8" xr:uid="{EBC68E2E-588D-4BC9-BD48-608313B44E7B}"/>
    <cellStyle name="Excel Built-in Normal 1" xfId="5" xr:uid="{8726DA9B-B15D-4903-83C9-B6D35CE4B326}"/>
    <cellStyle name="Excel Built-in Normal 1 2" xfId="169" xr:uid="{534D26C2-0089-4EC9-BD0D-FD81D93E48BE}"/>
    <cellStyle name="Excel Built-in Normal 1 5" xfId="65" xr:uid="{7CCA9E87-F6FA-4BE3-AE91-86B60B5BA0D5}"/>
    <cellStyle name="Excel Built-in Normal 10" xfId="75" xr:uid="{AA904709-8BAD-4858-83A7-2ABBB7E6A890}"/>
    <cellStyle name="Excel Built-in Normal 2" xfId="26" xr:uid="{29A60C3C-8826-45C2-AA9F-4A811F9C2416}"/>
    <cellStyle name="Excel Built-in Normal 2 2" xfId="171" xr:uid="{BEB6F621-DBD1-4149-A1A4-3748B33C816D}"/>
    <cellStyle name="Excel Built-in Normal 2 3" xfId="172" xr:uid="{465F4079-9EB8-40E7-85BC-2AEE3038F8E1}"/>
    <cellStyle name="Excel Built-in Normal 2 4" xfId="170" xr:uid="{78F53BC3-7AA3-45AC-9395-984801A0B704}"/>
    <cellStyle name="Excel Built-in Normal 3" xfId="130" xr:uid="{07AC68F4-7913-44B2-A18E-6F2C6D9E4ED0}"/>
    <cellStyle name="Excel Built-in Normal 3 2" xfId="173" xr:uid="{87C4B37E-4D46-40C4-B33B-421E1C5420B8}"/>
    <cellStyle name="Excel Built-in Normal 3 3" xfId="174" xr:uid="{1AFC3D80-2EEE-46E8-BDD3-FDB256B23D1C}"/>
    <cellStyle name="Excel Built-in Normal 3 4" xfId="84" xr:uid="{0DD38E02-40A1-44A2-BCE8-2742F7DF1BDB}"/>
    <cellStyle name="Excel Built-in Normal 3 5" xfId="79" xr:uid="{5C4BC00D-5F1F-44D3-BA17-59861875BAE3}"/>
    <cellStyle name="Excel Built-in Normal 3 6" xfId="87" xr:uid="{8492E178-EFDC-4777-97B6-1A3D053A1D6B}"/>
    <cellStyle name="Excel Built-in Normal 3 6 2" xfId="108" xr:uid="{2CEE7200-CCEF-4F19-9BC2-56BA2B444176}"/>
    <cellStyle name="Excel Built-in Normal 4" xfId="127" xr:uid="{B5CBEBD6-7621-419F-8256-78234A54F053}"/>
    <cellStyle name="Excel Built-in Normal 4 4" xfId="2233" xr:uid="{87941EF5-576B-4632-B94A-45D9882FEB39}"/>
    <cellStyle name="Excel Built-in Normal 5" xfId="175" xr:uid="{E0FE3CAF-EC75-401E-92BB-022428410209}"/>
    <cellStyle name="Excel Built-in Normal 6" xfId="176" xr:uid="{F212EBA7-174E-45F4-8728-35C2F36ED6EB}"/>
    <cellStyle name="Excel Built-in Normal 7" xfId="168" xr:uid="{323A4CA0-3CB7-48E7-A95C-376252103646}"/>
    <cellStyle name="Excel Built-in Normal_PnS" xfId="177" xr:uid="{59D09926-6EE3-4ACD-A08A-0E1E42FB5F61}"/>
    <cellStyle name="Explanatory Text 2" xfId="178" xr:uid="{FEA52A43-B162-45E3-9B4D-23D0D4BD4E93}"/>
    <cellStyle name="Good 2" xfId="179" xr:uid="{91A00DDD-85C7-445A-868C-72D3D23993AF}"/>
    <cellStyle name="Heading 1 2" xfId="180" xr:uid="{A3CA0D26-039F-4098-A577-E02D2C6E38A0}"/>
    <cellStyle name="Heading 2 2" xfId="181" xr:uid="{55A32EED-9068-44B5-8847-E7CA34B0495F}"/>
    <cellStyle name="Heading 3 2" xfId="182" xr:uid="{249CA158-CFA1-4E4C-A97E-70F56306EE61}"/>
    <cellStyle name="Heading 4 2" xfId="183" xr:uid="{0AF49E89-D87F-4D40-9420-4CB2B28349BA}"/>
    <cellStyle name="Input 2" xfId="184" xr:uid="{AF708F1D-C290-40FD-BF5D-83407AB4C93E}"/>
    <cellStyle name="Linked Cell 2" xfId="185" xr:uid="{E25BBB89-8B68-4A6A-8AFB-9D237243E7E8}"/>
    <cellStyle name="Neutral 2" xfId="186" xr:uid="{44F404B5-0963-4D8E-AC53-A5D65FC9B53B}"/>
    <cellStyle name="Normal" xfId="0" builtinId="0"/>
    <cellStyle name="Normal 1" xfId="37" xr:uid="{F9AC06E1-A9B1-46F7-87E9-35B9E03E09F8}"/>
    <cellStyle name="Normal 1 2" xfId="116" xr:uid="{C0790382-EA04-44CA-BFC5-DB3F340A8E07}"/>
    <cellStyle name="Normal 1 2 2" xfId="120" xr:uid="{5A1562CB-F18A-4A59-AB25-86FB061AB86A}"/>
    <cellStyle name="Normal 1 2 3" xfId="187" xr:uid="{647AAC59-DD96-425A-A99B-46F297F8A99E}"/>
    <cellStyle name="Normal 1 4" xfId="50" xr:uid="{D305D337-50F9-4F7D-B241-1B4D18835143}"/>
    <cellStyle name="Normal 10" xfId="119" xr:uid="{05D53FA4-D16F-488B-84AC-CA7160E54F1C}"/>
    <cellStyle name="Normal 10 2" xfId="189" xr:uid="{B4A34289-A14A-4013-87E4-6513AECE175D}"/>
    <cellStyle name="Normal 10 2 2" xfId="190" xr:uid="{E2CAA62E-6FA6-45B6-B249-585C67949E2A}"/>
    <cellStyle name="Normal 10 2 3" xfId="191" xr:uid="{5AE11F4D-8EAD-41BA-886C-6DF5C812179A}"/>
    <cellStyle name="Normal 10 2 4" xfId="192" xr:uid="{B67F38EB-B516-4B3F-9AE0-C1100F88AE17}"/>
    <cellStyle name="Normal 10 3" xfId="193" xr:uid="{7D05CBA7-A0A2-4D1A-A187-D77ACBB7787C}"/>
    <cellStyle name="Normal 10 3 2" xfId="194" xr:uid="{ABA3F1AA-7FE4-43F7-9D61-B6A19A76A0C3}"/>
    <cellStyle name="Normal 10 3 2 2" xfId="195" xr:uid="{75F6DAF1-0F14-458C-9F2C-47E2F21C8D3C}"/>
    <cellStyle name="Normal 10 3 2 3" xfId="196" xr:uid="{033B6559-8F4E-4635-8AEB-12F1AAA5B0C8}"/>
    <cellStyle name="Normal 10 3 2 4" xfId="197" xr:uid="{6F47C1C7-7AF5-4021-AA09-E50FDEAEFF20}"/>
    <cellStyle name="Normal 10 3 3" xfId="198" xr:uid="{8B98D39C-8ECC-433D-8E03-E86C34DB1F61}"/>
    <cellStyle name="Normal 10 3 4" xfId="199" xr:uid="{99E2BE37-2A73-4141-810F-609D16147F56}"/>
    <cellStyle name="Normal 10 3 5" xfId="200" xr:uid="{32D185AB-8470-4F04-B4BD-EE2D211C0117}"/>
    <cellStyle name="Normal 10 4" xfId="201" xr:uid="{0374EF90-F4CD-4634-A495-A65C7FB872B6}"/>
    <cellStyle name="Normal 10 5" xfId="202" xr:uid="{7E009C59-CB36-4269-816D-391662AE6A61}"/>
    <cellStyle name="Normal 10 6" xfId="203" xr:uid="{7A20CBF7-76A9-429E-8B2B-1EC640543412}"/>
    <cellStyle name="Normal 10 7" xfId="204" xr:uid="{B833E61B-F79A-4713-BB07-26A4E20F40B7}"/>
    <cellStyle name="Normal 10 8" xfId="188" xr:uid="{4574CC6D-A26C-4A68-A988-B687EE4E2C61}"/>
    <cellStyle name="Normal 11" xfId="205" xr:uid="{BB378882-8614-4191-B1D2-F557150B505B}"/>
    <cellStyle name="Normal 11 2" xfId="206" xr:uid="{16FBDC8B-210D-476C-81BC-75C196E80CAC}"/>
    <cellStyle name="Normal 11 2 2" xfId="207" xr:uid="{1A766960-494D-4E13-8A7B-526DE9065809}"/>
    <cellStyle name="Normal 11 2 3" xfId="208" xr:uid="{557B0C1C-85A5-4556-BF44-9D705809277C}"/>
    <cellStyle name="Normal 11 2 4" xfId="209" xr:uid="{C10EB532-4BDE-4D2E-A62F-0F056637A8AE}"/>
    <cellStyle name="Normal 11 3" xfId="210" xr:uid="{29B22400-0A4E-441A-B118-83234E5AA9DA}"/>
    <cellStyle name="Normal 11 3 2" xfId="211" xr:uid="{303D6012-F4BF-4985-A278-AE899CD2FE55}"/>
    <cellStyle name="Normal 11 3 2 2" xfId="212" xr:uid="{08B3ACC7-C172-4145-A1AE-5E9771E17C70}"/>
    <cellStyle name="Normal 11 3 2 3" xfId="213" xr:uid="{88BFD99B-FFDF-46AE-9969-3492BFD5C4F3}"/>
    <cellStyle name="Normal 11 3 2 4" xfId="214" xr:uid="{9FE9FBE6-BE70-49B8-91F1-6739D8EDDA9F}"/>
    <cellStyle name="Normal 11 3 3" xfId="215" xr:uid="{010CDC5E-8F9D-40CC-AC01-215E97848B29}"/>
    <cellStyle name="Normal 11 3 4" xfId="216" xr:uid="{31823C47-DEBF-4E83-8479-B93EE4C6C04F}"/>
    <cellStyle name="Normal 11 3 5" xfId="217" xr:uid="{BFB992A9-7E10-43E2-9A5E-5B671316EF84}"/>
    <cellStyle name="Normal 11 4" xfId="218" xr:uid="{72B83493-9D2C-41AC-8B5B-327286FA2DF3}"/>
    <cellStyle name="Normal 11 5" xfId="219" xr:uid="{4266E9EF-5476-4FC4-AFA4-D868B53DB30E}"/>
    <cellStyle name="Normal 11 6" xfId="220" xr:uid="{A6BC55E0-304A-49E0-95D7-05C3BE9B160E}"/>
    <cellStyle name="Normal 12" xfId="221" xr:uid="{09FD0CF7-844F-47CE-B915-BFC1C006C740}"/>
    <cellStyle name="Normal 12 2" xfId="17" xr:uid="{7194161D-5236-4E63-B425-0999737A008F}"/>
    <cellStyle name="Normal 12 2 2" xfId="71" xr:uid="{514BF8CB-7D48-4DBE-A483-392C08E3DAED}"/>
    <cellStyle name="Normal 13" xfId="222" xr:uid="{19E5E551-F531-4360-9306-86F39545520A}"/>
    <cellStyle name="Normal 13 2" xfId="223" xr:uid="{A23C82D2-53F6-4DCD-8AAA-433279EA8C8B}"/>
    <cellStyle name="Normal 13 2 2" xfId="224" xr:uid="{AD07F59E-84DE-40C6-A3D6-F9681F91637B}"/>
    <cellStyle name="Normal 13 2 3" xfId="225" xr:uid="{FBA9ED98-1BD4-421A-B377-CE956500D2E1}"/>
    <cellStyle name="Normal 13 2 4" xfId="226" xr:uid="{1974674D-7338-4CC7-91E9-5A5F62A95027}"/>
    <cellStyle name="Normal 13 3" xfId="227" xr:uid="{7EF22FF9-C678-4B79-888B-A2C7FBEF42BC}"/>
    <cellStyle name="Normal 13 3 2" xfId="228" xr:uid="{8FAEEAFD-5B03-4010-ADF1-09E63806F4B1}"/>
    <cellStyle name="Normal 13 3 2 2" xfId="229" xr:uid="{458D7CD5-E187-4A5E-8277-7B5E9728492E}"/>
    <cellStyle name="Normal 13 3 2 3" xfId="230" xr:uid="{E10B17D1-0ADC-4F49-A414-5A12B18B840C}"/>
    <cellStyle name="Normal 13 3 2 4" xfId="231" xr:uid="{2EB4A98A-BE4B-4D5A-ACF8-FE8CC1158720}"/>
    <cellStyle name="Normal 13 3 3" xfId="232" xr:uid="{4F96876A-FC94-4585-8F82-5F433C1845F5}"/>
    <cellStyle name="Normal 13 3 4" xfId="233" xr:uid="{031B1D46-D44D-42A4-A196-57DB4E761A09}"/>
    <cellStyle name="Normal 13 3 5" xfId="234" xr:uid="{4E23278E-C443-4032-97AE-6631412D9803}"/>
    <cellStyle name="Normal 13 4" xfId="235" xr:uid="{4E2CD023-E14F-411B-8518-3DB8FF2C857E}"/>
    <cellStyle name="Normal 13 5" xfId="236" xr:uid="{C701442D-85BD-4E77-9B02-6FDC4CCC46A2}"/>
    <cellStyle name="Normal 13 6" xfId="237" xr:uid="{C343B149-4F90-40AC-AC27-6CD08EDA53C1}"/>
    <cellStyle name="Normal 14" xfId="238" xr:uid="{6FF74179-DB81-428E-B974-170A0E376EE1}"/>
    <cellStyle name="Normal 14 2" xfId="239" xr:uid="{123B86C5-8D19-4987-8F7B-249B33B95B0C}"/>
    <cellStyle name="Normal 14 2 2" xfId="240" xr:uid="{6BC514D7-DAF9-4420-AB58-4A9E08305E0C}"/>
    <cellStyle name="Normal 14 2 3" xfId="241" xr:uid="{2052C23D-A1F6-4482-8BEF-CED626D1FAD5}"/>
    <cellStyle name="Normal 14 2 4" xfId="242" xr:uid="{C1CFF73B-CA51-400F-9C14-5393EF9F3B82}"/>
    <cellStyle name="Normal 14 3" xfId="243" xr:uid="{580433C0-0E3B-4557-809E-D2F411015116}"/>
    <cellStyle name="Normal 14 3 2" xfId="244" xr:uid="{99FCE12F-727C-4B92-87FF-B0B04648169C}"/>
    <cellStyle name="Normal 14 3 2 2" xfId="245" xr:uid="{D6458B2A-0B81-4E95-8A0C-97CDCA3F2B67}"/>
    <cellStyle name="Normal 14 3 2 3" xfId="246" xr:uid="{77CC8AF6-D776-4BAA-90F1-BF74AEE0D75B}"/>
    <cellStyle name="Normal 14 3 2 4" xfId="247" xr:uid="{816E78C0-CBFB-4721-B34A-D8DAE1B46745}"/>
    <cellStyle name="Normal 14 3 3" xfId="248" xr:uid="{BF313F98-8585-496E-BF6E-73ECF0ADAB29}"/>
    <cellStyle name="Normal 14 3 4" xfId="249" xr:uid="{C6BD8361-269D-43CC-B784-201E4504F02D}"/>
    <cellStyle name="Normal 14 3 5" xfId="250" xr:uid="{BEDA8C32-DE58-4E5A-A459-F6979969B9DF}"/>
    <cellStyle name="Normal 14 4" xfId="251" xr:uid="{D7001E2E-7FBD-4056-96A9-B03E08CE2013}"/>
    <cellStyle name="Normal 14 5" xfId="252" xr:uid="{D3E9E729-7663-4019-A2DC-F964FDD69DCF}"/>
    <cellStyle name="Normal 14 6" xfId="253" xr:uid="{07CCEB2B-4D6C-462B-85E0-670C95E35128}"/>
    <cellStyle name="Normal 15" xfId="254" xr:uid="{DF05B59F-B14E-4042-AB68-AA41A592EDE4}"/>
    <cellStyle name="Normal 15 2" xfId="255" xr:uid="{C920C6A1-89FE-4A4B-BC9B-0CB93D53ADBA}"/>
    <cellStyle name="Normal 15 2 2" xfId="256" xr:uid="{A083FEBF-9C29-4758-A482-123094D48AFA}"/>
    <cellStyle name="Normal 15 2 3" xfId="257" xr:uid="{381A09F2-ACDC-49F0-8FA4-7784BD13F222}"/>
    <cellStyle name="Normal 15 2 4" xfId="258" xr:uid="{206EC204-05DF-4294-8596-92E25FB5A2C9}"/>
    <cellStyle name="Normal 15 3" xfId="259" xr:uid="{C62DE315-4C29-45AC-86DD-CF6195FD058A}"/>
    <cellStyle name="Normal 15 3 2" xfId="260" xr:uid="{93144A14-6C56-4810-B946-615DFE8F5B12}"/>
    <cellStyle name="Normal 15 3 2 2" xfId="261" xr:uid="{A518D1EC-3B95-4FD5-9ACA-5F028061C280}"/>
    <cellStyle name="Normal 15 3 2 3" xfId="262" xr:uid="{74E6CD9C-6D82-4A82-B8DF-C225C20E10FB}"/>
    <cellStyle name="Normal 15 3 2 4" xfId="263" xr:uid="{373EC425-784C-4D41-9574-B6B2635CDDD7}"/>
    <cellStyle name="Normal 15 3 3" xfId="264" xr:uid="{E155F71D-1560-468F-A4FF-49F7D62B30FD}"/>
    <cellStyle name="Normal 15 3 4" xfId="265" xr:uid="{5DDE0FD9-8214-45EF-842C-B9D6A38F9E9E}"/>
    <cellStyle name="Normal 15 3 5" xfId="266" xr:uid="{3FB5D5D1-5F30-4B92-8B2C-2A41C0F46828}"/>
    <cellStyle name="Normal 15 4" xfId="267" xr:uid="{7D5CB2B9-9EDF-4BE8-AF91-B4679487299C}"/>
    <cellStyle name="Normal 15 5" xfId="268" xr:uid="{23C7170C-FC09-4E43-AB16-5F2F74B757A8}"/>
    <cellStyle name="Normal 15 6" xfId="269" xr:uid="{2497BE6F-2754-46BE-B70F-BE4060A0DA36}"/>
    <cellStyle name="Normal 15 7" xfId="270" xr:uid="{82B50BD6-6BF9-498E-956E-1FADA1F7286C}"/>
    <cellStyle name="Normal 159" xfId="44" xr:uid="{99FD0A18-42D6-4541-B9FB-18B8F93504D0}"/>
    <cellStyle name="Normal 16" xfId="271" xr:uid="{584ED542-7D91-427B-9D3C-5FB852CD49A3}"/>
    <cellStyle name="Normal 16 2" xfId="272" xr:uid="{2A546EE1-20F3-4784-8BA4-B0A231C04954}"/>
    <cellStyle name="Normal 162" xfId="95" xr:uid="{F31A07A6-9990-48DF-BD20-CE5C726CC75F}"/>
    <cellStyle name="Normal 163" xfId="89" xr:uid="{C7F1F16A-C74D-42D0-BB4A-4DBE6C4E8318}"/>
    <cellStyle name="Normal 164" xfId="90" xr:uid="{105A6196-D8AC-4441-B7A9-D4B73A881358}"/>
    <cellStyle name="Normal 165" xfId="91" xr:uid="{B2B23F3B-EB9D-4D91-AEDC-FCCADA8648FB}"/>
    <cellStyle name="Normal 166" xfId="88" xr:uid="{CFD7F98F-B4E9-48EC-A688-CE6085E39163}"/>
    <cellStyle name="Normal 167" xfId="93" xr:uid="{8ADC5F8E-483C-4416-9D02-62BA52B4D5AB}"/>
    <cellStyle name="Normal 168" xfId="94" xr:uid="{8601603F-45BD-4974-A7B1-A1EED88736F7}"/>
    <cellStyle name="Normal 17" xfId="273" xr:uid="{C8BA5DE2-9DB5-4C0B-AA18-B5F0D74C384D}"/>
    <cellStyle name="Normal 17 2" xfId="274" xr:uid="{50F43EBB-A1E8-43CE-8675-21084AE291E8}"/>
    <cellStyle name="Normal 17 2 2" xfId="275" xr:uid="{0AD1CE4C-BC82-463B-B26A-B5289EF337CF}"/>
    <cellStyle name="Normal 17 2 3" xfId="276" xr:uid="{A0899895-20DE-498B-9325-BCBBD1EEFB40}"/>
    <cellStyle name="Normal 17 2 4" xfId="277" xr:uid="{EA062902-0B87-4DA2-ACC6-5BFC23C7653A}"/>
    <cellStyle name="Normal 17 3" xfId="278" xr:uid="{DAB13EC0-2D13-4614-959A-ECEEA7F56E3E}"/>
    <cellStyle name="Normal 17 3 2" xfId="279" xr:uid="{B376BEAC-A533-49F8-89FA-FF3E9667CF06}"/>
    <cellStyle name="Normal 17 3 2 2" xfId="280" xr:uid="{4C408BE8-64C8-4F1A-AAD9-8F5E22250705}"/>
    <cellStyle name="Normal 17 3 2 3" xfId="281" xr:uid="{577B040D-F5C4-4E52-9C14-7A40F209FA7E}"/>
    <cellStyle name="Normal 17 3 2 4" xfId="282" xr:uid="{F611197B-A024-41A5-9B3A-E27300CC6553}"/>
    <cellStyle name="Normal 17 3 3" xfId="283" xr:uid="{705E5BF6-FDD0-48C0-B9CC-628EA3B1C54F}"/>
    <cellStyle name="Normal 17 3 4" xfId="284" xr:uid="{95727AB0-70A4-46F6-82B2-28C2276C7ED5}"/>
    <cellStyle name="Normal 17 3 5" xfId="285" xr:uid="{52758065-7C34-4ADD-82CA-F83139FE99DD}"/>
    <cellStyle name="Normal 17 4" xfId="286" xr:uid="{7DFBC277-3C73-4902-8E27-5708066E32C3}"/>
    <cellStyle name="Normal 17 5" xfId="287" xr:uid="{A550CE4E-381C-44CA-BA58-707E476A54A9}"/>
    <cellStyle name="Normal 17 6" xfId="288" xr:uid="{7E30B0E5-9A62-4883-97C0-5FE731C74877}"/>
    <cellStyle name="Normal 170" xfId="92" xr:uid="{3323153E-21A1-4BB1-95BB-4308CCB93FF7}"/>
    <cellStyle name="Normal 170 2 2" xfId="22" xr:uid="{23248842-2710-46DE-9499-FB558E7400DE}"/>
    <cellStyle name="Normal 175" xfId="96" xr:uid="{868900A2-B32D-4F3B-B76C-4D90AA74B5D0}"/>
    <cellStyle name="Normal 18" xfId="289" xr:uid="{16983344-41A1-4F87-8C5D-A9738AB6EEF5}"/>
    <cellStyle name="Normal 18 2" xfId="290" xr:uid="{DCE809DD-B02F-47C5-AF75-4B3126EAD427}"/>
    <cellStyle name="Normal 18 2 2" xfId="291" xr:uid="{2C5E0051-F256-4527-9880-46403004A1C0}"/>
    <cellStyle name="Normal 18 2 3" xfId="292" xr:uid="{F8A8B1B1-F1B4-4F33-A580-68D8C43970B8}"/>
    <cellStyle name="Normal 18 2 4" xfId="293" xr:uid="{6A1566D6-1E90-4DBE-A27C-ADAE10836718}"/>
    <cellStyle name="Normal 18 3" xfId="294" xr:uid="{2DBAC4D2-B2B1-42A4-97F4-28F71A418625}"/>
    <cellStyle name="Normal 18 3 2" xfId="295" xr:uid="{E8F6107B-5130-4371-B31C-CF1B9A8778B2}"/>
    <cellStyle name="Normal 18 3 2 2" xfId="296" xr:uid="{B0EC317A-B942-4668-9ED2-6C4CF420E214}"/>
    <cellStyle name="Normal 18 3 2 3" xfId="297" xr:uid="{FB2F20E3-A371-4490-98CB-B42DDAAAB65D}"/>
    <cellStyle name="Normal 18 3 2 4" xfId="298" xr:uid="{1F798A76-BE9F-46C4-9396-DA9232E156C4}"/>
    <cellStyle name="Normal 18 3 3" xfId="299" xr:uid="{23746ED4-3499-4BCC-9C35-EE556317EDC1}"/>
    <cellStyle name="Normal 18 3 4" xfId="300" xr:uid="{863DE3D6-7632-4389-9028-B653CE53A528}"/>
    <cellStyle name="Normal 18 3 5" xfId="301" xr:uid="{7B3F92EF-BDD5-40FC-940B-A3D29D761A24}"/>
    <cellStyle name="Normal 18 4" xfId="302" xr:uid="{04B5B59A-83AA-41E8-8E83-DAE3C0CE15C7}"/>
    <cellStyle name="Normal 18 5" xfId="303" xr:uid="{839A8D19-4222-4DC7-B983-1F2214747048}"/>
    <cellStyle name="Normal 18 6" xfId="304" xr:uid="{D5E1D93A-1CF1-4495-AAB9-E7285F401096}"/>
    <cellStyle name="Normal 188" xfId="2227" xr:uid="{CB5D4D1E-CF3B-4C12-AFCF-5B1E878F16E4}"/>
    <cellStyle name="Normal 19" xfId="305" xr:uid="{1EEFB830-7CEC-4360-98CB-BF0042A5B4AD}"/>
    <cellStyle name="Normal 192" xfId="113" xr:uid="{774D74EF-AB04-4FB6-897D-295E7CDB8D67}"/>
    <cellStyle name="Normal 193" xfId="2229" xr:uid="{FF9E6D89-611A-455E-A0E0-AC8A1DE8DB93}"/>
    <cellStyle name="Normal 2" xfId="3" xr:uid="{96E25A51-311B-40BB-9322-D96AD2912042}"/>
    <cellStyle name="Normal 2 10" xfId="307" xr:uid="{DFB620B7-D0AE-42D9-AA37-8F621CBBF8A0}"/>
    <cellStyle name="Normal 2 10 2" xfId="308" xr:uid="{5FB1B96E-8A8B-48F7-9DE7-D2B90E0AB1C2}"/>
    <cellStyle name="Normal 2 10 3" xfId="309" xr:uid="{64DB9A44-57FF-4659-8D2C-E765817A9605}"/>
    <cellStyle name="Normal 2 10 4" xfId="310" xr:uid="{7F6ED112-2749-449C-813C-3968915C6291}"/>
    <cellStyle name="Normal 2 11" xfId="311" xr:uid="{0C8127B3-4BE6-426E-AF88-0B8DEA86F4C1}"/>
    <cellStyle name="Normal 2 11 2" xfId="312" xr:uid="{76B86712-A72E-4E8E-B791-28332C3C272D}"/>
    <cellStyle name="Normal 2 11 3" xfId="313" xr:uid="{9B497F05-A0F4-4B2E-A7DE-70462F2135A2}"/>
    <cellStyle name="Normal 2 11 4" xfId="314" xr:uid="{7755837D-1DE2-4BC1-9C7A-25C81B476E40}"/>
    <cellStyle name="Normal 2 12" xfId="315" xr:uid="{CC458EB9-555D-4992-92EA-94CF36030633}"/>
    <cellStyle name="Normal 2 12 2" xfId="316" xr:uid="{9C9F51DA-CFA3-4CCB-8BD1-F17554901403}"/>
    <cellStyle name="Normal 2 12 3" xfId="317" xr:uid="{68CD10EC-C89F-4C29-89F0-713338875B40}"/>
    <cellStyle name="Normal 2 12 4" xfId="318" xr:uid="{F1693377-DBF0-425A-A8DF-B4663BEEE289}"/>
    <cellStyle name="Normal 2 13" xfId="319" xr:uid="{7CA97E92-7341-4ABB-BE12-E739E975E026}"/>
    <cellStyle name="Normal 2 13 2" xfId="320" xr:uid="{B306DC49-D0E6-4F11-A67F-0A1CA2098CF1}"/>
    <cellStyle name="Normal 2 13 3" xfId="321" xr:uid="{4A5949AB-4125-464A-B4F8-281DA2A6226E}"/>
    <cellStyle name="Normal 2 13 4" xfId="322" xr:uid="{2A624B4B-6BDC-426D-9FD9-02451A45F9AB}"/>
    <cellStyle name="Normal 2 139" xfId="62" xr:uid="{C8B00ED5-DDE9-4B96-9AF5-FDD67C59A0E3}"/>
    <cellStyle name="Normal 2 14" xfId="323" xr:uid="{B7D2907A-1458-4175-B6BB-53AD848FB2D4}"/>
    <cellStyle name="Normal 2 14 2" xfId="324" xr:uid="{2CA799BA-DEED-4559-A00A-9A53E8BA962A}"/>
    <cellStyle name="Normal 2 14 3" xfId="325" xr:uid="{2CC38382-DBBF-47F2-A125-EF2684E4BC2A}"/>
    <cellStyle name="Normal 2 14 4" xfId="326" xr:uid="{D6377054-9169-49CE-A4D6-500AB31F8106}"/>
    <cellStyle name="Normal 2 15" xfId="327" xr:uid="{B58FC9DC-6D10-42E7-8CEA-A6B562B8C561}"/>
    <cellStyle name="Normal 2 15 2" xfId="328" xr:uid="{823AEF19-55BB-4DF4-98A3-EE2BED66437E}"/>
    <cellStyle name="Normal 2 15 3" xfId="329" xr:uid="{60DB1B38-DF9F-4EBA-A6CB-2514E4399FEB}"/>
    <cellStyle name="Normal 2 15 4" xfId="330" xr:uid="{F2987B97-BC43-4E8F-96B9-ECCACDDD5757}"/>
    <cellStyle name="Normal 2 16" xfId="331" xr:uid="{23955220-D51B-4EF4-B7C9-07F742DC3D6F}"/>
    <cellStyle name="Normal 2 16 2" xfId="332" xr:uid="{0E785480-72D6-46A4-AE78-BD41D94F4712}"/>
    <cellStyle name="Normal 2 16 3" xfId="333" xr:uid="{F0BE2172-7079-4970-A83D-60D07BC5861B}"/>
    <cellStyle name="Normal 2 16 4" xfId="334" xr:uid="{1DED3F9B-AFFC-429D-98C7-2D8F308FCBBB}"/>
    <cellStyle name="Normal 2 17" xfId="335" xr:uid="{ADD2039C-2278-454A-A9E2-07B5AB321AC0}"/>
    <cellStyle name="Normal 2 17 2" xfId="336" xr:uid="{A05E4D7E-0F90-4F02-BFF4-362C576187FA}"/>
    <cellStyle name="Normal 2 17 3" xfId="337" xr:uid="{903C3D3F-5058-4B09-801C-B471D342A611}"/>
    <cellStyle name="Normal 2 17 4" xfId="338" xr:uid="{F242F439-0B92-4D52-94E0-0526EA883CA0}"/>
    <cellStyle name="Normal 2 18" xfId="339" xr:uid="{BE674E09-15BA-4357-8088-69DAE6DCAD9D}"/>
    <cellStyle name="Normal 2 18 2" xfId="340" xr:uid="{0562473F-545E-43F1-87DB-B2FC33392A9C}"/>
    <cellStyle name="Normal 2 18 3" xfId="341" xr:uid="{0FD3EE9B-2814-4C0E-899E-20B6107C37E2}"/>
    <cellStyle name="Normal 2 18 4" xfId="342" xr:uid="{EBE3907E-764F-4644-B889-0F01B4624121}"/>
    <cellStyle name="Normal 2 19" xfId="343" xr:uid="{1FF098BE-1BFA-43A5-96BF-31B09945257A}"/>
    <cellStyle name="Normal 2 19 2" xfId="344" xr:uid="{0E26AD1B-7775-4206-B35E-CDFA6459ED4F}"/>
    <cellStyle name="Normal 2 19 3" xfId="345" xr:uid="{6193E102-2F64-43B8-9009-88332CF1F0E9}"/>
    <cellStyle name="Normal 2 19 4" xfId="346" xr:uid="{404249BA-B3F3-42A6-A74B-75FFE67B4E9C}"/>
    <cellStyle name="Normal 2 2" xfId="41" xr:uid="{377F09A5-1FE6-4E99-AD12-11A856D12E2C}"/>
    <cellStyle name="Normal 2 2 10" xfId="347" xr:uid="{6FFFAB6D-613A-438E-8758-4EC258E0EA68}"/>
    <cellStyle name="Normal 2 2 10 2" xfId="348" xr:uid="{00341DE2-D31D-4FA8-92D4-E560712037F4}"/>
    <cellStyle name="Normal 2 2 10 3" xfId="349" xr:uid="{8726A0CD-CD7F-44C7-9902-8452055347FE}"/>
    <cellStyle name="Normal 2 2 10 4" xfId="350" xr:uid="{60802D92-A30A-4613-BCA4-ED1DF26E1AF6}"/>
    <cellStyle name="Normal 2 2 11" xfId="351" xr:uid="{32727035-D250-4DE1-850F-50320A7B7055}"/>
    <cellStyle name="Normal 2 2 11 2" xfId="352" xr:uid="{C8F6686A-5A52-4717-9DB5-C72B3866CB60}"/>
    <cellStyle name="Normal 2 2 11 3" xfId="353" xr:uid="{491D61E5-26A3-4534-AE25-4127189B9A61}"/>
    <cellStyle name="Normal 2 2 11 4" xfId="354" xr:uid="{97B131DE-2656-42C3-A9B5-687B6EA0E73F}"/>
    <cellStyle name="Normal 2 2 12" xfId="355" xr:uid="{36EA0426-13AC-44FA-94ED-2387D7619BD1}"/>
    <cellStyle name="Normal 2 2 12 2" xfId="356" xr:uid="{01118344-3927-4C18-BF84-8214E03EC8E2}"/>
    <cellStyle name="Normal 2 2 12 3" xfId="357" xr:uid="{B61A012A-EC15-4E9D-9F27-DDD3E452091B}"/>
    <cellStyle name="Normal 2 2 12 4" xfId="358" xr:uid="{D9D1A673-1E2D-45DA-A519-1C1F379683C7}"/>
    <cellStyle name="Normal 2 2 13" xfId="359" xr:uid="{E1AF2BA6-51FE-4838-BF97-E3205A99724E}"/>
    <cellStyle name="Normal 2 2 13 2" xfId="360" xr:uid="{5A7B9C17-D2D9-4085-9AA2-186C19C892BE}"/>
    <cellStyle name="Normal 2 2 13 3" xfId="361" xr:uid="{E0BC85D8-630B-4DE8-9365-CEE90DFAD841}"/>
    <cellStyle name="Normal 2 2 13 4" xfId="362" xr:uid="{3EB5260E-20CC-40A1-9F02-081AF5B5B2BA}"/>
    <cellStyle name="Normal 2 2 14" xfId="363" xr:uid="{FB75BD79-4FDA-4BC1-A170-7C76630167AB}"/>
    <cellStyle name="Normal 2 2 14 2" xfId="364" xr:uid="{D6BA1AF6-DB26-433B-B334-FBD6AEFF63FE}"/>
    <cellStyle name="Normal 2 2 14 3" xfId="365" xr:uid="{8CF34425-6088-4335-A674-64417CD48545}"/>
    <cellStyle name="Normal 2 2 14 4" xfId="366" xr:uid="{A306F421-E84E-484C-A5E6-C033AA5B5512}"/>
    <cellStyle name="Normal 2 2 15" xfId="367" xr:uid="{756C4C6B-CFC3-44AE-84B0-3866D0F489F2}"/>
    <cellStyle name="Normal 2 2 15 2" xfId="368" xr:uid="{B4E46FFC-14B7-48D7-BDBC-80E11CF2D083}"/>
    <cellStyle name="Normal 2 2 15 3" xfId="369" xr:uid="{4167F830-FEAE-49F0-AADA-9FECB564D769}"/>
    <cellStyle name="Normal 2 2 15 4" xfId="370" xr:uid="{BBAB64C3-7092-4032-89A7-A398AAE4A7BB}"/>
    <cellStyle name="Normal 2 2 16" xfId="371" xr:uid="{60098790-96B7-43EF-821D-61C43F7DEC61}"/>
    <cellStyle name="Normal 2 2 16 2" xfId="372" xr:uid="{89C24347-68FC-484E-B42E-E70A2B63DDC4}"/>
    <cellStyle name="Normal 2 2 16 3" xfId="373" xr:uid="{8413C4F9-06AF-4EBF-B68B-C866219F584E}"/>
    <cellStyle name="Normal 2 2 16 4" xfId="374" xr:uid="{3BAA1460-8483-4037-9EC9-B3D5A936C3F4}"/>
    <cellStyle name="Normal 2 2 17" xfId="375" xr:uid="{50A6A9AE-ACFB-4E29-91AF-720AA9F85FA6}"/>
    <cellStyle name="Normal 2 2 17 2" xfId="376" xr:uid="{DCD72015-17F5-4B77-86D6-95F04EFF0AA6}"/>
    <cellStyle name="Normal 2 2 17 3" xfId="377" xr:uid="{F4FC193C-3C97-41B6-A9B6-57B2A12DE728}"/>
    <cellStyle name="Normal 2 2 17 4" xfId="378" xr:uid="{73B1CCF5-EACF-4018-825D-76727DB3EFF5}"/>
    <cellStyle name="Normal 2 2 18" xfId="379" xr:uid="{93997FF8-D686-4452-B98C-F26D8ABBCD0F}"/>
    <cellStyle name="Normal 2 2 18 2" xfId="380" xr:uid="{83FA7A25-032F-49F3-875C-F2DDD44935F4}"/>
    <cellStyle name="Normal 2 2 18 3" xfId="381" xr:uid="{8FB17F70-F135-45B6-80D8-025DE27E2864}"/>
    <cellStyle name="Normal 2 2 18 4" xfId="382" xr:uid="{8EF738D7-5FDD-4D62-8B0B-DD433FC38EF5}"/>
    <cellStyle name="Normal 2 2 19" xfId="383" xr:uid="{AFD4F9F4-4C61-4C3F-93AD-7FE4193EBFB0}"/>
    <cellStyle name="Normal 2 2 19 2" xfId="384" xr:uid="{795A4FC1-1F73-4936-9DA0-12F2251F9FB1}"/>
    <cellStyle name="Normal 2 2 19 3" xfId="385" xr:uid="{1A552EB6-C4B7-4E72-AA9A-80B8A0283AFD}"/>
    <cellStyle name="Normal 2 2 19 4" xfId="386" xr:uid="{24807336-1EE3-4C9D-882D-4017C40A8262}"/>
    <cellStyle name="Normal 2 2 2" xfId="387" xr:uid="{483B20B8-E263-49C7-A701-CCA090C14BDD}"/>
    <cellStyle name="Normal 2 2 2 2" xfId="388" xr:uid="{C4250E13-0C05-4EF7-BAB9-DDF007A182E9}"/>
    <cellStyle name="Normal 2 2 2 3" xfId="389" xr:uid="{876C2263-E34A-41E5-837B-A5B52E00876B}"/>
    <cellStyle name="Normal 2 2 2 4" xfId="390" xr:uid="{6FC121B4-76B5-4E0D-8559-DE17F8A996B8}"/>
    <cellStyle name="Normal 2 2 20" xfId="391" xr:uid="{2ACE2A2F-7488-48D0-BEE3-257C12D263E2}"/>
    <cellStyle name="Normal 2 2 20 2" xfId="392" xr:uid="{DF978579-DF6F-4B9C-9ECA-55C93671B3DA}"/>
    <cellStyle name="Normal 2 2 20 3" xfId="393" xr:uid="{CFBB8431-C41C-4EFA-9C80-2756777811C4}"/>
    <cellStyle name="Normal 2 2 20 4" xfId="394" xr:uid="{32746ACE-2A07-4FB8-8F2A-E7974687AED6}"/>
    <cellStyle name="Normal 2 2 21" xfId="395" xr:uid="{28AD3FEC-D383-4FF4-8A66-D1380122FE17}"/>
    <cellStyle name="Normal 2 2 21 2" xfId="396" xr:uid="{8154AF91-B92D-4D7D-9BF4-86627E985D0A}"/>
    <cellStyle name="Normal 2 2 21 3" xfId="397" xr:uid="{11555764-62BB-451A-8142-446A7CA25A07}"/>
    <cellStyle name="Normal 2 2 21 4" xfId="398" xr:uid="{693CA0B4-F8F2-4AC5-9CA2-4C7F31DA22C4}"/>
    <cellStyle name="Normal 2 2 22" xfId="399" xr:uid="{0BBDA9C3-9A86-4F4C-8E78-806A3EAFFFCF}"/>
    <cellStyle name="Normal 2 2 22 2" xfId="400" xr:uid="{AF11373A-096D-4466-8204-C17E8D4E469B}"/>
    <cellStyle name="Normal 2 2 22 3" xfId="401" xr:uid="{B003DE39-6EA3-4370-A76A-45868A781855}"/>
    <cellStyle name="Normal 2 2 22 4" xfId="402" xr:uid="{3DC1E700-9797-4898-B826-5F0A96E8C810}"/>
    <cellStyle name="Normal 2 2 23" xfId="403" xr:uid="{22EAD96A-995F-4CFE-A586-7AEC584C6982}"/>
    <cellStyle name="Normal 2 2 23 2" xfId="404" xr:uid="{201EA2ED-B9F8-41B7-A629-5415951EDBCF}"/>
    <cellStyle name="Normal 2 2 23 3" xfId="405" xr:uid="{C7B56B09-666C-46CD-B22C-0F2D7AEBD39B}"/>
    <cellStyle name="Normal 2 2 23 4" xfId="406" xr:uid="{E27E8E2D-2E0D-4EF4-AB10-3EBE20B2F53F}"/>
    <cellStyle name="Normal 2 2 24" xfId="407" xr:uid="{B7B1417A-BF43-4165-9908-4DD20C61DC44}"/>
    <cellStyle name="Normal 2 2 24 2" xfId="408" xr:uid="{49B62903-DEC2-444E-AC6A-B3770A4D822A}"/>
    <cellStyle name="Normal 2 2 24 3" xfId="409" xr:uid="{CE45D335-FB1D-4587-BD58-7A8100451C84}"/>
    <cellStyle name="Normal 2 2 24 4" xfId="410" xr:uid="{24CF2D26-D834-4B55-ADA7-0D9A78518608}"/>
    <cellStyle name="Normal 2 2 25" xfId="411" xr:uid="{7F0E2D3B-4212-419F-A46B-ACD93B8164A7}"/>
    <cellStyle name="Normal 2 2 25 2" xfId="412" xr:uid="{91188845-D2CA-4243-8F96-7D71691EFC5A}"/>
    <cellStyle name="Normal 2 2 25 3" xfId="413" xr:uid="{05B01286-8F3A-4BA3-970A-92B4CD245789}"/>
    <cellStyle name="Normal 2 2 25 4" xfId="414" xr:uid="{C693CFCC-A5B1-496F-9A96-464ED708F9E4}"/>
    <cellStyle name="Normal 2 2 26" xfId="415" xr:uid="{31EDD6D3-0CD6-4DAD-A354-0D17BF27DEDA}"/>
    <cellStyle name="Normal 2 2 26 2" xfId="416" xr:uid="{E787C2D6-0FF1-49FA-B086-09AEEA9B983D}"/>
    <cellStyle name="Normal 2 2 26 3" xfId="417" xr:uid="{B7FD1E19-2309-4CFF-9F14-B1CCD922163A}"/>
    <cellStyle name="Normal 2 2 26 4" xfId="418" xr:uid="{C2293475-25BD-4C47-BBD3-C99BBD08652B}"/>
    <cellStyle name="Normal 2 2 27" xfId="419" xr:uid="{FB4387D9-572A-4A08-A0C1-B86529EEACB1}"/>
    <cellStyle name="Normal 2 2 27 2" xfId="420" xr:uid="{3E22A440-DA02-41D7-A292-BF7306A91BE9}"/>
    <cellStyle name="Normal 2 2 27 3" xfId="421" xr:uid="{3B445316-45E0-4A6D-96BC-ABD3C2153B9C}"/>
    <cellStyle name="Normal 2 2 27 4" xfId="422" xr:uid="{51D22B22-8713-4EEA-87AE-DDAC8C12580B}"/>
    <cellStyle name="Normal 2 2 28" xfId="423" xr:uid="{0BA6520A-1CC1-48F4-82D9-0543E0B0212B}"/>
    <cellStyle name="Normal 2 2 28 2" xfId="424" xr:uid="{99006FED-4324-4556-B1A7-45CD417BFBEB}"/>
    <cellStyle name="Normal 2 2 28 3" xfId="425" xr:uid="{F8A0CB9A-B5C5-45DF-BD46-A73E3C5035CF}"/>
    <cellStyle name="Normal 2 2 28 4" xfId="426" xr:uid="{52ACF3CC-3571-4BA6-98BE-57926C98E79C}"/>
    <cellStyle name="Normal 2 2 29" xfId="427" xr:uid="{BA594DBB-1DD2-47CE-B8E0-2773697CE391}"/>
    <cellStyle name="Normal 2 2 29 2" xfId="428" xr:uid="{5AF3A5FC-4251-4A1E-BF94-E03FA2A4404F}"/>
    <cellStyle name="Normal 2 2 29 3" xfId="429" xr:uid="{AFA50EEF-4031-47B9-9613-C4EEF03B5B61}"/>
    <cellStyle name="Normal 2 2 29 4" xfId="430" xr:uid="{9592E656-B3F1-4C72-BFF0-0DBB9A7A0045}"/>
    <cellStyle name="Normal 2 2 3" xfId="28" xr:uid="{E5EE4ADD-118D-4E74-BF8D-94D420FCF637}"/>
    <cellStyle name="Normal 2 2 3 2" xfId="432" xr:uid="{B158B22B-78E9-431D-BC68-28DBBC0CCF7D}"/>
    <cellStyle name="Normal 2 2 3 3" xfId="433" xr:uid="{A6492FF9-90D1-4B69-97D5-0531B0737AD0}"/>
    <cellStyle name="Normal 2 2 3 4" xfId="434" xr:uid="{B63A7E12-A54F-4206-BE92-CC62F08A03F4}"/>
    <cellStyle name="Normal 2 2 3 5" xfId="431" xr:uid="{82A9DD5D-3AD4-44A4-9EA1-6845F1481B3A}"/>
    <cellStyle name="Normal 2 2 30" xfId="435" xr:uid="{7587A4FC-6D6E-4EB1-A0D4-44604EC9FA6C}"/>
    <cellStyle name="Normal 2 2 30 2" xfId="436" xr:uid="{99075C4A-EA66-4F8B-96A7-D05C4E296E01}"/>
    <cellStyle name="Normal 2 2 30 3" xfId="437" xr:uid="{4B89BE0B-80F7-47F2-8E74-35933502E5B7}"/>
    <cellStyle name="Normal 2 2 30 4" xfId="438" xr:uid="{F77A1BC7-49A3-4484-ADBD-64E0E002BF03}"/>
    <cellStyle name="Normal 2 2 31" xfId="439" xr:uid="{7F654298-3A6C-472D-825E-AAF62DF6137C}"/>
    <cellStyle name="Normal 2 2 31 2" xfId="440" xr:uid="{176BA911-3019-4733-9FDF-963FD94384E9}"/>
    <cellStyle name="Normal 2 2 31 3" xfId="441" xr:uid="{C208143B-9AFC-44DD-965C-E827E5D89F16}"/>
    <cellStyle name="Normal 2 2 31 4" xfId="442" xr:uid="{8A9BA6C5-1972-44A9-9116-25CD91187AD5}"/>
    <cellStyle name="Normal 2 2 32" xfId="443" xr:uid="{C2EBEB76-3835-4FC1-B2EB-0B94AC5DAB23}"/>
    <cellStyle name="Normal 2 2 32 2" xfId="444" xr:uid="{9B63B24A-427A-4520-8ACD-E958046FFEC7}"/>
    <cellStyle name="Normal 2 2 32 3" xfId="445" xr:uid="{4928CE9B-8BD9-4D9E-853A-6291790F366F}"/>
    <cellStyle name="Normal 2 2 32 4" xfId="446" xr:uid="{EE75040D-7AA7-4006-ABEE-B6B196F233B3}"/>
    <cellStyle name="Normal 2 2 33" xfId="447" xr:uid="{C8933A61-B266-4DA5-BE37-5EA2BD8DD821}"/>
    <cellStyle name="Normal 2 2 33 2" xfId="448" xr:uid="{E9958316-157F-49F3-B87F-71D6F6DEACF1}"/>
    <cellStyle name="Normal 2 2 33 3" xfId="449" xr:uid="{1F8E62F0-B3BC-42D8-B6E5-56D66A67CCE8}"/>
    <cellStyle name="Normal 2 2 33 4" xfId="450" xr:uid="{6FC1C2C6-B991-486B-AA0F-2822AD85EBA6}"/>
    <cellStyle name="Normal 2 2 34" xfId="451" xr:uid="{55372710-BEBB-4E94-8A26-1F76C07AB1F8}"/>
    <cellStyle name="Normal 2 2 34 2" xfId="452" xr:uid="{F4DE0871-86E9-4CC4-92BB-D853E596D85E}"/>
    <cellStyle name="Normal 2 2 34 3" xfId="453" xr:uid="{B72003BF-07B5-4FC6-9D77-70F196CB0878}"/>
    <cellStyle name="Normal 2 2 34 4" xfId="454" xr:uid="{D450DB8C-2819-4C16-B90B-6D2B0DAEF612}"/>
    <cellStyle name="Normal 2 2 35" xfId="455" xr:uid="{6EE10C28-97C2-47BE-8AF0-F7B646F7B7C4}"/>
    <cellStyle name="Normal 2 2 35 2" xfId="456" xr:uid="{4F0C993B-36FD-4835-839B-060B8669DFA6}"/>
    <cellStyle name="Normal 2 2 35 3" xfId="457" xr:uid="{7073F14A-3009-4EC4-8D02-D58880DEE291}"/>
    <cellStyle name="Normal 2 2 35 4" xfId="458" xr:uid="{DF60E843-817C-4FA6-BE50-B58A164CADAA}"/>
    <cellStyle name="Normal 2 2 36" xfId="459" xr:uid="{6CE5E57E-802E-4B7D-843B-4218B5597C7D}"/>
    <cellStyle name="Normal 2 2 36 2" xfId="460" xr:uid="{1757CDF2-A573-452D-BEE0-3EE1C4C81264}"/>
    <cellStyle name="Normal 2 2 36 3" xfId="461" xr:uid="{34836E8B-B1D0-4718-93A5-6E1B0C62D473}"/>
    <cellStyle name="Normal 2 2 36 4" xfId="462" xr:uid="{135CB893-36AF-4355-9E3A-23D06C4AA42B}"/>
    <cellStyle name="Normal 2 2 37" xfId="463" xr:uid="{1A19FBFF-F252-4218-ABEE-B98BD0AAD092}"/>
    <cellStyle name="Normal 2 2 37 2" xfId="464" xr:uid="{CE44F263-2EF1-4887-93A5-DAFA83CE8FEF}"/>
    <cellStyle name="Normal 2 2 37 3" xfId="465" xr:uid="{0CF23970-1FEE-47E0-9EE6-E7AA29BE68E5}"/>
    <cellStyle name="Normal 2 2 37 4" xfId="466" xr:uid="{02B7F728-163D-48A3-A760-3B205EC3DE7E}"/>
    <cellStyle name="Normal 2 2 38" xfId="467" xr:uid="{19A355F3-852A-49FC-BF95-07446696A2F1}"/>
    <cellStyle name="Normal 2 2 38 2" xfId="468" xr:uid="{F5014672-B4D2-47F4-98A0-8B29270A40F0}"/>
    <cellStyle name="Normal 2 2 38 3" xfId="469" xr:uid="{E053A90A-33B8-45D9-A291-605FABFF61C4}"/>
    <cellStyle name="Normal 2 2 38 4" xfId="470" xr:uid="{D4559DFC-CF33-481F-9529-0F2A207DB792}"/>
    <cellStyle name="Normal 2 2 39" xfId="471" xr:uid="{0DDCC63C-CA97-46E6-B1D6-DDBAD3F339DE}"/>
    <cellStyle name="Normal 2 2 39 2" xfId="472" xr:uid="{7D417368-122A-4281-92EC-C13B4CDEF83A}"/>
    <cellStyle name="Normal 2 2 39 3" xfId="473" xr:uid="{A2794E15-7EAE-48C7-BA2E-6393B3A480DA}"/>
    <cellStyle name="Normal 2 2 39 4" xfId="474" xr:uid="{61326E8C-FDFA-4429-92B8-B479AF0540DF}"/>
    <cellStyle name="Normal 2 2 4" xfId="475" xr:uid="{9578CE11-49C9-4324-8DEA-2FC7CC4CB4BB}"/>
    <cellStyle name="Normal 2 2 4 2" xfId="476" xr:uid="{3A806337-D4BC-4EEC-B0FD-F1C10D8BEB71}"/>
    <cellStyle name="Normal 2 2 4 3" xfId="477" xr:uid="{44967434-533A-487C-90B2-08527806533C}"/>
    <cellStyle name="Normal 2 2 4 4" xfId="478" xr:uid="{02DAA325-7E53-4567-919E-F6942EB09E4F}"/>
    <cellStyle name="Normal 2 2 40" xfId="479" xr:uid="{DCCF53E2-B7E2-4887-A124-F4150E3478C2}"/>
    <cellStyle name="Normal 2 2 40 2" xfId="480" xr:uid="{7D7AFDFD-36A2-4933-BD2B-99C4D87F3B87}"/>
    <cellStyle name="Normal 2 2 40 3" xfId="481" xr:uid="{2943A802-2569-46C3-8AB0-30540286CA53}"/>
    <cellStyle name="Normal 2 2 40 4" xfId="482" xr:uid="{AEAD3BC0-748A-40DB-95A5-6C165B4BD6D2}"/>
    <cellStyle name="Normal 2 2 41" xfId="483" xr:uid="{B6D10027-E633-4965-921B-B6AECBE0D9A2}"/>
    <cellStyle name="Normal 2 2 41 2" xfId="484" xr:uid="{49CDB04F-DB4D-4493-B9F6-C9882CAA70BB}"/>
    <cellStyle name="Normal 2 2 41 3" xfId="485" xr:uid="{30DAFA6F-6573-4F2F-B9B3-64443EDD87B9}"/>
    <cellStyle name="Normal 2 2 41 4" xfId="486" xr:uid="{0211EC50-DF98-46B4-B472-8E7E45AC4FD9}"/>
    <cellStyle name="Normal 2 2 42" xfId="487" xr:uid="{D82C5ADD-CBEB-4378-AA59-64E2D531C422}"/>
    <cellStyle name="Normal 2 2 42 2" xfId="488" xr:uid="{EDAEAA73-FE56-4A82-BE0E-F5EB517F7B17}"/>
    <cellStyle name="Normal 2 2 42 3" xfId="489" xr:uid="{4E56593D-3214-4B16-A2C9-BA692D6E9DB4}"/>
    <cellStyle name="Normal 2 2 42 4" xfId="490" xr:uid="{F4B27376-DC3F-4130-B2FB-95A0DDBD40CD}"/>
    <cellStyle name="Normal 2 2 43" xfId="491" xr:uid="{4958B824-56A0-4C86-A04C-F6B11A116918}"/>
    <cellStyle name="Normal 2 2 43 2" xfId="492" xr:uid="{66E3F867-8D0B-44E9-95B4-0F47A494E189}"/>
    <cellStyle name="Normal 2 2 43 3" xfId="493" xr:uid="{FDEDF8F9-E69E-44BB-A4BA-8D30E85F2018}"/>
    <cellStyle name="Normal 2 2 43 4" xfId="494" xr:uid="{E8DE7853-0F9A-49D4-AC64-B168BA1495B5}"/>
    <cellStyle name="Normal 2 2 44" xfId="495" xr:uid="{F29742BE-0581-482C-96EF-2FE036B1CEC8}"/>
    <cellStyle name="Normal 2 2 44 2" xfId="496" xr:uid="{CDA4785F-3BA2-4AE8-8AC6-92DC1C11877E}"/>
    <cellStyle name="Normal 2 2 44 3" xfId="497" xr:uid="{7ACCE30E-0BF0-4885-BAF3-FEFC27E08DD2}"/>
    <cellStyle name="Normal 2 2 44 4" xfId="498" xr:uid="{70225FCE-1463-4FEB-807A-20485A2EFBFD}"/>
    <cellStyle name="Normal 2 2 45" xfId="499" xr:uid="{EBD2F053-9808-40B3-95A4-C690B08964F8}"/>
    <cellStyle name="Normal 2 2 45 2" xfId="500" xr:uid="{DDDFB6EE-1CD2-41A9-9360-B1F7EED7AB26}"/>
    <cellStyle name="Normal 2 2 45 3" xfId="501" xr:uid="{92CC7207-E572-4CA8-B456-5D4E44E81BED}"/>
    <cellStyle name="Normal 2 2 45 4" xfId="502" xr:uid="{C0936ADC-B897-4D03-9794-16BC389648A1}"/>
    <cellStyle name="Normal 2 2 46" xfId="503" xr:uid="{DAD69421-20FB-453E-954C-B711E63555F5}"/>
    <cellStyle name="Normal 2 2 46 2" xfId="504" xr:uid="{C2FFD945-6471-4B4E-88B1-7EA64ABF510B}"/>
    <cellStyle name="Normal 2 2 46 3" xfId="505" xr:uid="{E80FDFE4-4EBB-4D48-AEE8-2201E98B5DDA}"/>
    <cellStyle name="Normal 2 2 46 4" xfId="506" xr:uid="{41856332-6D6B-4C50-ACB4-7446A28E3393}"/>
    <cellStyle name="Normal 2 2 47" xfId="507" xr:uid="{203867C9-D60A-406A-B921-BC1C352ABB67}"/>
    <cellStyle name="Normal 2 2 47 2" xfId="508" xr:uid="{669D3234-5A76-4C91-8DA8-EA14E70A2441}"/>
    <cellStyle name="Normal 2 2 47 3" xfId="509" xr:uid="{61F3B6D9-671B-4381-A382-680BF0138BBC}"/>
    <cellStyle name="Normal 2 2 47 4" xfId="510" xr:uid="{FD23128F-0351-4E99-963D-6F2D5C3A7D21}"/>
    <cellStyle name="Normal 2 2 48" xfId="511" xr:uid="{D0A069CB-AB77-423B-9CF8-D40274BC593C}"/>
    <cellStyle name="Normal 2 2 48 2" xfId="512" xr:uid="{AC8FC52D-F6C2-4868-9B83-33B5A60E1353}"/>
    <cellStyle name="Normal 2 2 48 3" xfId="513" xr:uid="{9E73C0FA-0098-43A3-B180-9AFE4794107B}"/>
    <cellStyle name="Normal 2 2 48 3 3" xfId="85" xr:uid="{D0069F1A-7DB7-4667-B2F5-B5280AF50DBF}"/>
    <cellStyle name="Normal 2 2 48 5" xfId="2231" xr:uid="{54B762FC-1DA9-441A-A91E-4BA5A6405646}"/>
    <cellStyle name="Normal 2 2 49" xfId="514" xr:uid="{182D11DF-ACA4-4B3D-BBEB-AF91C4478DC6}"/>
    <cellStyle name="Normal 2 2 5" xfId="515" xr:uid="{92F0596B-41BC-43B1-9867-53DCFA42DA13}"/>
    <cellStyle name="Normal 2 2 5 2" xfId="516" xr:uid="{0EB8F89F-11A5-4B78-9C3F-3390B6D87C32}"/>
    <cellStyle name="Normal 2 2 5 3" xfId="517" xr:uid="{A0168BB3-24E8-4BC5-AAD3-FBB72D2A579D}"/>
    <cellStyle name="Normal 2 2 5 4" xfId="518" xr:uid="{D353D8E5-3ED7-4924-A316-EEAE47650FC5}"/>
    <cellStyle name="Normal 2 2 50" xfId="519" xr:uid="{7AAC45BC-2865-489C-AF2E-1845AC4DEA5E}"/>
    <cellStyle name="Normal 2 2 51" xfId="520" xr:uid="{269EED35-1B58-4C13-A4D6-67170EEFA682}"/>
    <cellStyle name="Normal 2 2 52" xfId="40" xr:uid="{AC066483-6E12-45C3-AFC4-AFE5387138A6}"/>
    <cellStyle name="Normal 2 2 52 3" xfId="81" xr:uid="{63A9BB8C-723C-437E-A9DC-CC734035D3A5}"/>
    <cellStyle name="Normal 2 2 6" xfId="521" xr:uid="{69E837F9-7110-4A49-B2BB-E427669264F0}"/>
    <cellStyle name="Normal 2 2 6 2" xfId="522" xr:uid="{5F2CC673-77ED-4F44-B3D0-BC8117148079}"/>
    <cellStyle name="Normal 2 2 6 3" xfId="523" xr:uid="{2E1E2D35-E8ED-4817-BA2A-E4CEAF7AEE2A}"/>
    <cellStyle name="Normal 2 2 6 4" xfId="524" xr:uid="{F481CCAD-E025-47A1-8DA3-E271205700DF}"/>
    <cellStyle name="Normal 2 2 7" xfId="525" xr:uid="{27C9C49E-173B-415F-840F-9B8177259F8D}"/>
    <cellStyle name="Normal 2 2 7 2" xfId="526" xr:uid="{79148313-B68B-411F-AF62-DEBF898F4848}"/>
    <cellStyle name="Normal 2 2 7 3" xfId="527" xr:uid="{099B2DAD-0E86-464E-BA73-ACCAD231AD1A}"/>
    <cellStyle name="Normal 2 2 7 4" xfId="528" xr:uid="{B6750239-602F-43AC-8FD8-9EE4686A2DE7}"/>
    <cellStyle name="Normal 2 2 8" xfId="529" xr:uid="{7B1C3E45-B618-43A1-877D-FAC7A08DC55D}"/>
    <cellStyle name="Normal 2 2 8 2" xfId="530" xr:uid="{5BC5DB55-B947-4F63-887B-B3C486D5F68A}"/>
    <cellStyle name="Normal 2 2 8 3" xfId="531" xr:uid="{D1DFE385-67A6-47EA-ADB9-7243EAB3613F}"/>
    <cellStyle name="Normal 2 2 8 4" xfId="532" xr:uid="{3E330AAE-97C6-47B0-9FDB-1B09E4E1A484}"/>
    <cellStyle name="Normal 2 2 9" xfId="533" xr:uid="{62CC4B05-F17A-4B50-986C-AAEF57066DE3}"/>
    <cellStyle name="Normal 2 2 9 2" xfId="534" xr:uid="{954014EB-329B-4E2C-A66D-1F578FC51DFA}"/>
    <cellStyle name="Normal 2 2 9 3" xfId="535" xr:uid="{A3930204-CD7E-49B9-8B90-88900F7BFCFD}"/>
    <cellStyle name="Normal 2 2 9 4" xfId="536" xr:uid="{86C7656D-F2AC-41CA-A5DB-5571822EF63C}"/>
    <cellStyle name="Normal 2 20" xfId="537" xr:uid="{4CD8E8E4-59D9-4EFE-8752-5F9E0EF618A2}"/>
    <cellStyle name="Normal 2 20 2" xfId="538" xr:uid="{FE2673B9-2BAE-43D3-98F7-B7DECB14131D}"/>
    <cellStyle name="Normal 2 20 3" xfId="539" xr:uid="{6CEF7EC7-72C8-4426-B285-A50154CDF288}"/>
    <cellStyle name="Normal 2 20 4" xfId="540" xr:uid="{191FF379-D6A3-4430-9FA8-AF89D4729321}"/>
    <cellStyle name="Normal 2 21" xfId="541" xr:uid="{6FE6C681-E758-478D-81A9-09FF9CD0BF66}"/>
    <cellStyle name="Normal 2 21 2" xfId="542" xr:uid="{7B40348A-249B-4C06-B919-D0B3D7DB193A}"/>
    <cellStyle name="Normal 2 21 3" xfId="543" xr:uid="{D82C6515-C2ED-44D0-A6AD-C2F528456272}"/>
    <cellStyle name="Normal 2 21 4" xfId="544" xr:uid="{2401F83D-7861-4525-962F-5132A4DEF04D}"/>
    <cellStyle name="Normal 2 22" xfId="545" xr:uid="{0E3DD043-DB24-4AD3-B3B6-DBA9CF87A91A}"/>
    <cellStyle name="Normal 2 22 2" xfId="546" xr:uid="{59EEBBF1-AFE9-41D1-B3F4-55C1DEB4B6F4}"/>
    <cellStyle name="Normal 2 22 3" xfId="547" xr:uid="{DE8002AC-97BA-4D6D-B1E3-1CD29C77FB77}"/>
    <cellStyle name="Normal 2 22 4" xfId="548" xr:uid="{D8D5D385-E968-4BF8-8946-5C26915867D9}"/>
    <cellStyle name="Normal 2 23" xfId="549" xr:uid="{F5C32CA2-9276-4373-9867-06AC552F4A85}"/>
    <cellStyle name="Normal 2 23 2" xfId="550" xr:uid="{A57B05DD-44D8-4CB9-AAB9-1327C66FC89C}"/>
    <cellStyle name="Normal 2 23 3" xfId="551" xr:uid="{33DF17D1-B77E-40A2-AC23-A77117C5D1DA}"/>
    <cellStyle name="Normal 2 23 4" xfId="552" xr:uid="{3ABAFA70-6593-435C-AF12-B5677A4DEC9A}"/>
    <cellStyle name="Normal 2 24" xfId="553" xr:uid="{564E62E6-2CB7-45BF-AE1F-7CBCCDDD7F8E}"/>
    <cellStyle name="Normal 2 24 2" xfId="554" xr:uid="{3F010753-9820-48F3-841A-C9B02C062CB5}"/>
    <cellStyle name="Normal 2 24 3" xfId="555" xr:uid="{7B4F6578-C7F3-445F-8639-56DB9F6056AA}"/>
    <cellStyle name="Normal 2 24 4" xfId="556" xr:uid="{19626730-69D1-4C4F-A87C-A193733B59D1}"/>
    <cellStyle name="Normal 2 25" xfId="557" xr:uid="{A7D4CB60-A21E-4A8B-A5D4-E7E318CA0C60}"/>
    <cellStyle name="Normal 2 25 2" xfId="558" xr:uid="{3611F5B0-9609-4C28-8DE4-2EAAEB9863D5}"/>
    <cellStyle name="Normal 2 25 3" xfId="559" xr:uid="{6B22DBD8-C2EC-40ED-8D74-7C8E074B0790}"/>
    <cellStyle name="Normal 2 25 4" xfId="560" xr:uid="{D280F851-869D-475F-8808-14597BDCAA8D}"/>
    <cellStyle name="Normal 2 26" xfId="561" xr:uid="{2F5BA227-1EFD-4FAB-BCB2-13940152DA99}"/>
    <cellStyle name="Normal 2 26 2" xfId="562" xr:uid="{AFF6FDB7-35D0-483F-9AFB-71AB034DC075}"/>
    <cellStyle name="Normal 2 26 3" xfId="563" xr:uid="{61C7C973-4197-44F8-974C-83394E2F50C8}"/>
    <cellStyle name="Normal 2 26 4" xfId="564" xr:uid="{825F0695-4A7B-4981-9914-2FBB7067953C}"/>
    <cellStyle name="Normal 2 27" xfId="565" xr:uid="{BD292837-C1D0-4C70-B864-A4EDAF00AA8F}"/>
    <cellStyle name="Normal 2 27 2" xfId="566" xr:uid="{870B1DDE-BAC1-4C6C-98DA-E39A2BE90727}"/>
    <cellStyle name="Normal 2 27 3" xfId="567" xr:uid="{3AB3CF67-10A4-4709-9C9D-CF84F8D17450}"/>
    <cellStyle name="Normal 2 27 4" xfId="568" xr:uid="{03CC962E-622F-4395-ABC7-ABFC258E2D60}"/>
    <cellStyle name="Normal 2 28" xfId="569" xr:uid="{0C22163C-EB81-4C57-B796-7E17A8465149}"/>
    <cellStyle name="Normal 2 28 2" xfId="570" xr:uid="{F6C40250-93D7-4D8B-ABD1-839CED6FAEB6}"/>
    <cellStyle name="Normal 2 28 3" xfId="571" xr:uid="{2D9D1B8B-3499-4293-8975-7C451E81E6E6}"/>
    <cellStyle name="Normal 2 28 4" xfId="572" xr:uid="{3673FB5F-483F-422D-BB4E-A4A77C148280}"/>
    <cellStyle name="Normal 2 29" xfId="573" xr:uid="{8AC261DC-48DA-4BFE-B9E5-03C17C4EE3DF}"/>
    <cellStyle name="Normal 2 29 2" xfId="574" xr:uid="{1DC32F56-B87E-4239-B520-545E2F6536C6}"/>
    <cellStyle name="Normal 2 29 3" xfId="575" xr:uid="{43B39B17-AE5F-4628-A5EB-B8CB7CC43A25}"/>
    <cellStyle name="Normal 2 29 4" xfId="576" xr:uid="{FD204035-8F15-4AB3-BC05-E5F670311B45}"/>
    <cellStyle name="Normal 2 3" xfId="577" xr:uid="{8647DFF0-0E45-4A00-A7B2-709E9EB60E18}"/>
    <cellStyle name="Normal 2 3 10" xfId="578" xr:uid="{EF563798-C8AB-4A39-9917-9027340385D9}"/>
    <cellStyle name="Normal 2 3 10 2" xfId="579" xr:uid="{645478A0-984D-443A-B311-827FD0C753F0}"/>
    <cellStyle name="Normal 2 3 10 3" xfId="580" xr:uid="{AD68E080-B27E-4145-90C7-A76081D2A52D}"/>
    <cellStyle name="Normal 2 3 10 4" xfId="581" xr:uid="{220EAC40-AB80-4482-BB8D-FDFFC842164E}"/>
    <cellStyle name="Normal 2 3 11" xfId="582" xr:uid="{F6BBFEF4-F906-467A-8FB2-6117ECA1771F}"/>
    <cellStyle name="Normal 2 3 11 2" xfId="583" xr:uid="{F1BD55D6-4F7D-4A50-A9B2-56BE302CF5C9}"/>
    <cellStyle name="Normal 2 3 11 3" xfId="584" xr:uid="{17EB48F8-D7F7-4010-9CB1-311C0664E7D7}"/>
    <cellStyle name="Normal 2 3 11 4" xfId="585" xr:uid="{CDD7D547-8CC8-47F7-BCD3-4FFD08631753}"/>
    <cellStyle name="Normal 2 3 12" xfId="586" xr:uid="{ECCF2228-087C-4029-B3F7-67105943A683}"/>
    <cellStyle name="Normal 2 3 12 2" xfId="587" xr:uid="{FA209A62-B65B-4C4E-B6CC-E7FFF7D31712}"/>
    <cellStyle name="Normal 2 3 12 3" xfId="588" xr:uid="{633D7236-530B-4E4A-B9AB-058AB8881B95}"/>
    <cellStyle name="Normal 2 3 12 4" xfId="589" xr:uid="{8A02B267-9201-4C19-8906-B05041C022FB}"/>
    <cellStyle name="Normal 2 3 13" xfId="590" xr:uid="{63DF73CB-19E4-4CBC-B072-27E6ED00B687}"/>
    <cellStyle name="Normal 2 3 13 2" xfId="591" xr:uid="{D55EAC3D-21B4-4873-92D4-8DC1E794149B}"/>
    <cellStyle name="Normal 2 3 13 3" xfId="592" xr:uid="{0BC343D0-0886-4AE9-8A54-EA767C54FB72}"/>
    <cellStyle name="Normal 2 3 13 4" xfId="593" xr:uid="{6DF61D21-25B3-4254-9DB7-BB7026DCEEED}"/>
    <cellStyle name="Normal 2 3 14" xfId="594" xr:uid="{C1F316AC-48C0-488A-A79F-74226F22CBC5}"/>
    <cellStyle name="Normal 2 3 14 2" xfId="595" xr:uid="{59B7EE26-FA81-4D30-B08D-5A59BE48C9E5}"/>
    <cellStyle name="Normal 2 3 14 3" xfId="596" xr:uid="{049831FB-0857-4446-9808-AAF4BE8BFA73}"/>
    <cellStyle name="Normal 2 3 14 4" xfId="597" xr:uid="{5C2E8AD5-3FA2-49D5-8C58-8A4C36ACC124}"/>
    <cellStyle name="Normal 2 3 15" xfId="598" xr:uid="{AA2B8D36-B1E4-454B-9142-BE71CA45D5E5}"/>
    <cellStyle name="Normal 2 3 15 2" xfId="599" xr:uid="{079059A7-2B5D-44A9-82EA-25397766D81A}"/>
    <cellStyle name="Normal 2 3 15 3" xfId="600" xr:uid="{84CCCB7E-2DF3-4BC6-85D6-364C3DA90A27}"/>
    <cellStyle name="Normal 2 3 15 4" xfId="601" xr:uid="{D68A9D2F-7F09-4B38-80D8-9CB757E9A4B9}"/>
    <cellStyle name="Normal 2 3 16" xfId="602" xr:uid="{2BF2B924-3039-4845-B274-B31DD9F3D589}"/>
    <cellStyle name="Normal 2 3 16 2" xfId="603" xr:uid="{7F1A789D-9405-411A-B1DB-80C86F99717B}"/>
    <cellStyle name="Normal 2 3 16 3" xfId="604" xr:uid="{993B8FB4-8CC4-4A52-A2BA-3C38D032E077}"/>
    <cellStyle name="Normal 2 3 16 4" xfId="605" xr:uid="{CEE0BB5A-DB41-48C8-821C-EF6C863BDED2}"/>
    <cellStyle name="Normal 2 3 17" xfId="606" xr:uid="{58AEA87D-A20D-4D31-9B4C-43C4430C4A7B}"/>
    <cellStyle name="Normal 2 3 17 2" xfId="607" xr:uid="{48D1E82B-4A99-4431-8877-0A97B6FA9B62}"/>
    <cellStyle name="Normal 2 3 17 3" xfId="608" xr:uid="{E2E00DB9-CE79-43F5-9561-ECDB67865479}"/>
    <cellStyle name="Normal 2 3 17 4" xfId="609" xr:uid="{EC8D0793-6449-4B76-A3ED-11751178A3F6}"/>
    <cellStyle name="Normal 2 3 18" xfId="610" xr:uid="{A92BF11D-64B4-4574-BEEF-CC9C74F54E2B}"/>
    <cellStyle name="Normal 2 3 18 2" xfId="611" xr:uid="{C474C914-6C28-4003-B7A8-80EE25787488}"/>
    <cellStyle name="Normal 2 3 18 3" xfId="612" xr:uid="{B6BFF536-F349-4902-8221-844BB5419B19}"/>
    <cellStyle name="Normal 2 3 18 4" xfId="613" xr:uid="{7E439F3E-CDBC-4454-979D-1C4FF41CA609}"/>
    <cellStyle name="Normal 2 3 19" xfId="614" xr:uid="{460222EF-3A21-4711-BBEF-0689A0061778}"/>
    <cellStyle name="Normal 2 3 19 2" xfId="615" xr:uid="{C92DC13B-1379-4AAF-97AA-EF1D176096CB}"/>
    <cellStyle name="Normal 2 3 19 3" xfId="616" xr:uid="{DBBF0EC0-3CCA-4940-B580-C0AA846EE6B2}"/>
    <cellStyle name="Normal 2 3 19 4" xfId="617" xr:uid="{3798CC4E-A493-4797-8A7B-343FE667A3E4}"/>
    <cellStyle name="Normal 2 3 2" xfId="618" xr:uid="{64D6CD68-264F-44EA-9B3C-555EA568378A}"/>
    <cellStyle name="Normal 2 3 2 2" xfId="619" xr:uid="{BEECF9C3-2FC5-4BC3-848A-FC111F839F58}"/>
    <cellStyle name="Normal 2 3 2 2 2" xfId="68" xr:uid="{C5A23944-CAA3-4FF6-A41C-7A1281C773C1}"/>
    <cellStyle name="Normal 2 3 2 3" xfId="620" xr:uid="{F7109407-A331-46F1-B556-30B8133EFECB}"/>
    <cellStyle name="Normal 2 3 2 4" xfId="621" xr:uid="{0A1AA03F-F669-4F3C-A58A-993EF9B2EC12}"/>
    <cellStyle name="Normal 2 3 20" xfId="622" xr:uid="{426A44AD-6F91-47B2-85DC-6732C09CA452}"/>
    <cellStyle name="Normal 2 3 20 2" xfId="623" xr:uid="{F248CC38-C3DD-42C8-8D3B-271203E96C13}"/>
    <cellStyle name="Normal 2 3 20 3" xfId="624" xr:uid="{B6AE8D23-8FF0-4A69-A34B-1449F6978CC1}"/>
    <cellStyle name="Normal 2 3 20 4" xfId="625" xr:uid="{4A7D1990-5BD8-4C1F-80A2-955907FA56E4}"/>
    <cellStyle name="Normal 2 3 21" xfId="626" xr:uid="{418AE5C8-9FD9-45C7-937F-FF2BDBF2227F}"/>
    <cellStyle name="Normal 2 3 21 2" xfId="627" xr:uid="{BB92F546-4D15-443D-BA44-20A27FB65FCC}"/>
    <cellStyle name="Normal 2 3 21 3" xfId="628" xr:uid="{1FE37DA2-30D1-4434-A3CA-77EC1F09DF64}"/>
    <cellStyle name="Normal 2 3 21 4" xfId="629" xr:uid="{18C88D5B-2971-42F4-AFAE-89CC62CE121F}"/>
    <cellStyle name="Normal 2 3 22" xfId="630" xr:uid="{A1C7C8C5-8815-4DDD-8388-5656F7CB27A8}"/>
    <cellStyle name="Normal 2 3 22 2" xfId="631" xr:uid="{E2CF9344-96EC-4D84-923A-35E797B4D228}"/>
    <cellStyle name="Normal 2 3 22 3" xfId="632" xr:uid="{C6CD0B32-C964-435B-9D43-A1366714831E}"/>
    <cellStyle name="Normal 2 3 22 4" xfId="633" xr:uid="{DEEB78D5-AEFF-4630-9A82-7F6CD9192998}"/>
    <cellStyle name="Normal 2 3 23" xfId="634" xr:uid="{F754F779-EF9D-4D25-A5FF-2AAEC11FA644}"/>
    <cellStyle name="Normal 2 3 23 2" xfId="635" xr:uid="{C672DF24-4B27-496B-ACB4-AC1A518A07CF}"/>
    <cellStyle name="Normal 2 3 23 3" xfId="636" xr:uid="{08B5D66A-A949-4EE4-8F8E-457E5EC677B9}"/>
    <cellStyle name="Normal 2 3 23 4" xfId="637" xr:uid="{38096A55-71C4-4A3D-BB4E-56BE0A0C9FE3}"/>
    <cellStyle name="Normal 2 3 24" xfId="638" xr:uid="{AF9438CA-E709-4958-8DAE-47A227147B71}"/>
    <cellStyle name="Normal 2 3 24 2" xfId="639" xr:uid="{3B46ADA9-1EB9-4FDF-AE2F-4B27626302B8}"/>
    <cellStyle name="Normal 2 3 24 3" xfId="640" xr:uid="{0580A2DA-35EF-4ECE-89B8-14F199056961}"/>
    <cellStyle name="Normal 2 3 24 4" xfId="641" xr:uid="{ED16AE89-EDEC-4BDB-83E6-0D1ADCDF13A5}"/>
    <cellStyle name="Normal 2 3 25" xfId="642" xr:uid="{D7F5B750-E2BE-4DF7-A3E8-59855851193B}"/>
    <cellStyle name="Normal 2 3 25 2" xfId="643" xr:uid="{18505F6D-2AA4-449A-9A9D-E1E82773A26A}"/>
    <cellStyle name="Normal 2 3 25 3" xfId="644" xr:uid="{0CC32895-B067-4C6F-A5F3-506D0CC344AC}"/>
    <cellStyle name="Normal 2 3 25 4" xfId="645" xr:uid="{6BCEF9FB-E91A-4119-AEE9-AB4328AD2906}"/>
    <cellStyle name="Normal 2 3 26" xfId="646" xr:uid="{D8D1AF48-850F-4730-AB15-C74D1636642E}"/>
    <cellStyle name="Normal 2 3 26 2" xfId="647" xr:uid="{10EC7B38-A12C-4410-8740-097F30DC653C}"/>
    <cellStyle name="Normal 2 3 26 3" xfId="648" xr:uid="{B59EE49D-CC7E-4A5A-A00B-D7C804C6B07A}"/>
    <cellStyle name="Normal 2 3 26 4" xfId="649" xr:uid="{3C78D587-1E9B-4554-BD50-9FC55DC274A7}"/>
    <cellStyle name="Normal 2 3 27" xfId="650" xr:uid="{DC81BCF6-E9A6-42C0-9A0A-7AE15A2E3921}"/>
    <cellStyle name="Normal 2 3 27 2" xfId="651" xr:uid="{1D6899C1-9319-49CA-880C-E2385006C967}"/>
    <cellStyle name="Normal 2 3 27 3" xfId="652" xr:uid="{560BBEA4-BCFD-4647-8BA2-A553DC6ABE60}"/>
    <cellStyle name="Normal 2 3 27 4" xfId="653" xr:uid="{8C3E2751-05EF-40E1-8554-8DEEEA0DF496}"/>
    <cellStyle name="Normal 2 3 28" xfId="654" xr:uid="{3185DC11-BDFB-4122-BD0E-F65A2A067EB9}"/>
    <cellStyle name="Normal 2 3 28 2" xfId="655" xr:uid="{B2672BD6-603B-411D-9309-314B7D50F54C}"/>
    <cellStyle name="Normal 2 3 28 3" xfId="656" xr:uid="{811D1207-AEE9-41E3-98E5-CEAC065EFC66}"/>
    <cellStyle name="Normal 2 3 28 4" xfId="657" xr:uid="{98157CE6-4EF1-44F8-B432-76972C2E0002}"/>
    <cellStyle name="Normal 2 3 29" xfId="658" xr:uid="{68DC5568-102E-4801-8EE2-C0B4FDA78444}"/>
    <cellStyle name="Normal 2 3 29 2" xfId="659" xr:uid="{5976AA70-79DD-424C-BA12-1504093C888C}"/>
    <cellStyle name="Normal 2 3 29 3" xfId="660" xr:uid="{6386FDE8-3CE5-4B2A-B468-08A6F663844A}"/>
    <cellStyle name="Normal 2 3 29 4" xfId="661" xr:uid="{6378C7AD-B279-4EFF-BF21-1CB29113CA4D}"/>
    <cellStyle name="Normal 2 3 3" xfId="662" xr:uid="{ED922C0C-A2BE-4B29-8DE4-6C3394B47B85}"/>
    <cellStyle name="Normal 2 3 3 2" xfId="663" xr:uid="{DB58491A-539D-4DAC-94B9-B8A84C34792D}"/>
    <cellStyle name="Normal 2 3 3 3" xfId="664" xr:uid="{140A5716-C482-452A-A295-7847F71625E8}"/>
    <cellStyle name="Normal 2 3 3 4" xfId="665" xr:uid="{7D857F59-1ACA-426F-B352-FD91D1854505}"/>
    <cellStyle name="Normal 2 3 30" xfId="666" xr:uid="{A0C23627-E2F8-45D3-9AF8-E5DE3ACD9130}"/>
    <cellStyle name="Normal 2 3 30 2" xfId="667" xr:uid="{864E58B0-08F2-4D03-89A9-5447EF051D4B}"/>
    <cellStyle name="Normal 2 3 30 3" xfId="668" xr:uid="{59BEC3F4-5363-4F98-B921-CC6991382309}"/>
    <cellStyle name="Normal 2 3 30 4" xfId="669" xr:uid="{8D3EBC94-9D2E-41D0-8322-340EB9C7ADB0}"/>
    <cellStyle name="Normal 2 3 31" xfId="670" xr:uid="{1D346531-DE1D-42D5-81C3-13257DF96923}"/>
    <cellStyle name="Normal 2 3 31 2" xfId="671" xr:uid="{A14446B2-8790-4330-A265-01A719932A7A}"/>
    <cellStyle name="Normal 2 3 31 3" xfId="672" xr:uid="{7436F64A-6BA1-431A-BE15-632EB6EE79CE}"/>
    <cellStyle name="Normal 2 3 31 4" xfId="673" xr:uid="{CF5558AF-E625-4AE4-993A-4D01902E407C}"/>
    <cellStyle name="Normal 2 3 32" xfId="674" xr:uid="{801FBC76-DF90-41D6-9899-D3AB548CD51B}"/>
    <cellStyle name="Normal 2 3 32 2" xfId="675" xr:uid="{209819C2-A12E-42B2-8ABE-FE68E073494D}"/>
    <cellStyle name="Normal 2 3 32 3" xfId="676" xr:uid="{8EA0ED89-B77E-455C-B12D-DC00E0F62F3A}"/>
    <cellStyle name="Normal 2 3 32 4" xfId="677" xr:uid="{682EC0F1-477D-40D0-B25E-41BFBC109B4E}"/>
    <cellStyle name="Normal 2 3 33" xfId="678" xr:uid="{BAC38958-8D2C-4C71-B151-70B5C12A4B20}"/>
    <cellStyle name="Normal 2 3 33 2" xfId="679" xr:uid="{BC28A4BA-853C-4028-A289-C9BA5B18FFDB}"/>
    <cellStyle name="Normal 2 3 33 3" xfId="680" xr:uid="{DECF41FB-7255-4819-9645-0DCBDF78EC39}"/>
    <cellStyle name="Normal 2 3 33 4" xfId="681" xr:uid="{49C634A0-1A02-4DA1-9242-BE274E3C88A0}"/>
    <cellStyle name="Normal 2 3 34" xfId="682" xr:uid="{172006DF-1609-4364-A3E6-3CBA294C90CD}"/>
    <cellStyle name="Normal 2 3 34 2" xfId="683" xr:uid="{C6C821E1-FD23-4864-9FC6-1E7091D415C2}"/>
    <cellStyle name="Normal 2 3 34 3" xfId="684" xr:uid="{4FC47870-E913-455C-8AB6-CF830CB2E986}"/>
    <cellStyle name="Normal 2 3 34 4" xfId="685" xr:uid="{A1BC8D4A-1CB8-4E69-BB25-D08FFEBA7FEC}"/>
    <cellStyle name="Normal 2 3 35" xfId="686" xr:uid="{72723425-A2BA-45E8-A628-A6AAD547C119}"/>
    <cellStyle name="Normal 2 3 35 2" xfId="687" xr:uid="{606911D1-F4F5-4578-8076-DF31CC4404BB}"/>
    <cellStyle name="Normal 2 3 35 3" xfId="688" xr:uid="{F292E712-ACA2-4FAF-A313-09A977635055}"/>
    <cellStyle name="Normal 2 3 35 4" xfId="689" xr:uid="{AB29F31C-E3B7-426A-9C66-C293936A5D44}"/>
    <cellStyle name="Normal 2 3 36" xfId="690" xr:uid="{FE660278-F5E8-476A-A8BC-6F72F2B5AE5F}"/>
    <cellStyle name="Normal 2 3 36 2" xfId="691" xr:uid="{912A397B-CC3C-4DF9-B220-0961C0E293C7}"/>
    <cellStyle name="Normal 2 3 36 3" xfId="692" xr:uid="{DB91A37B-C4D0-4CAD-BD10-702F2E9261BC}"/>
    <cellStyle name="Normal 2 3 36 4" xfId="693" xr:uid="{E18527C1-F600-400B-A08F-40AF5A56F728}"/>
    <cellStyle name="Normal 2 3 37" xfId="694" xr:uid="{0F96DBFB-C308-4DF3-9E26-B27D5FE4F2F7}"/>
    <cellStyle name="Normal 2 3 37 2" xfId="695" xr:uid="{954A17E3-1903-4B8D-9F53-540308E6956F}"/>
    <cellStyle name="Normal 2 3 37 3" xfId="696" xr:uid="{EC0409DB-DC2C-4D70-911D-2B4ADE18BF39}"/>
    <cellStyle name="Normal 2 3 37 4" xfId="697" xr:uid="{7F833D6E-9D34-4641-81D1-86CCA3B43DAA}"/>
    <cellStyle name="Normal 2 3 38" xfId="698" xr:uid="{B0756252-D8FB-4F13-9C89-CF29F3BDB2BD}"/>
    <cellStyle name="Normal 2 3 38 2" xfId="699" xr:uid="{42E8D29C-ABCD-4FFB-9B58-78177097BF19}"/>
    <cellStyle name="Normal 2 3 38 3" xfId="700" xr:uid="{8342A9A8-29F5-4BE9-B068-5DA3934F23F5}"/>
    <cellStyle name="Normal 2 3 38 4" xfId="701" xr:uid="{6A1C1481-7DAE-417D-B81A-442238326D7A}"/>
    <cellStyle name="Normal 2 3 39" xfId="702" xr:uid="{8E6C422A-B00D-4DBD-94FB-26C74C7E1EF0}"/>
    <cellStyle name="Normal 2 3 39 2" xfId="703" xr:uid="{5CF24E62-0657-4FAD-9480-FCAC6AD93110}"/>
    <cellStyle name="Normal 2 3 39 3" xfId="704" xr:uid="{7EF9760C-44BE-4D61-8B58-2B53C8FE0279}"/>
    <cellStyle name="Normal 2 3 39 4" xfId="705" xr:uid="{C28B1E1D-2F8D-4149-9033-7B594E52C67D}"/>
    <cellStyle name="Normal 2 3 4" xfId="706" xr:uid="{48546DC2-33AF-4EFF-A4E6-9E595D6E5153}"/>
    <cellStyle name="Normal 2 3 4 2" xfId="707" xr:uid="{04B5D695-24C2-477C-839C-C5CBCA7EDF07}"/>
    <cellStyle name="Normal 2 3 4 3" xfId="708" xr:uid="{14B3B110-4738-44D0-8F7B-F255D4D1DF28}"/>
    <cellStyle name="Normal 2 3 4 4" xfId="709" xr:uid="{D60D5522-42B0-4764-BC08-873F04F01441}"/>
    <cellStyle name="Normal 2 3 40" xfId="710" xr:uid="{AD0B0AEE-6D4C-40E6-9563-462F19030E6A}"/>
    <cellStyle name="Normal 2 3 40 2" xfId="711" xr:uid="{19BE3B93-E280-498C-AC0B-670061D0FF12}"/>
    <cellStyle name="Normal 2 3 40 3" xfId="712" xr:uid="{F6582FED-6342-44A7-AB71-390E88B094E8}"/>
    <cellStyle name="Normal 2 3 40 4" xfId="713" xr:uid="{F95D896C-5795-48FA-A019-561CFAEE11CE}"/>
    <cellStyle name="Normal 2 3 41" xfId="714" xr:uid="{934CD1E4-4745-492A-AE39-D0B03ABCA916}"/>
    <cellStyle name="Normal 2 3 41 2" xfId="715" xr:uid="{B82A3841-1F4D-4B97-A14C-EDF99DAC7198}"/>
    <cellStyle name="Normal 2 3 41 3" xfId="716" xr:uid="{E2E20DA3-13F3-4D37-860D-9C2B44EDDA1F}"/>
    <cellStyle name="Normal 2 3 41 4" xfId="717" xr:uid="{C12310E7-F98B-456A-9C7A-7B24DE643FE9}"/>
    <cellStyle name="Normal 2 3 42" xfId="718" xr:uid="{118C5BC3-C1D2-4937-AC6E-47A790485CAC}"/>
    <cellStyle name="Normal 2 3 42 2" xfId="719" xr:uid="{10F29EFF-6C58-4552-934F-9DE2330BD5A4}"/>
    <cellStyle name="Normal 2 3 42 3" xfId="720" xr:uid="{1B03069F-FB85-41DD-9A28-45F46667B3C7}"/>
    <cellStyle name="Normal 2 3 42 4" xfId="721" xr:uid="{06565728-C580-47FF-8A15-A636C5F21FDB}"/>
    <cellStyle name="Normal 2 3 43" xfId="722" xr:uid="{18479564-8638-4F1E-A10F-352D9E7428E1}"/>
    <cellStyle name="Normal 2 3 43 2" xfId="723" xr:uid="{3A7D5E3A-04D9-4D71-A66F-7EC267C11865}"/>
    <cellStyle name="Normal 2 3 43 3" xfId="724" xr:uid="{73BD1D4A-D1EB-4BF0-91FE-DDF49592421E}"/>
    <cellStyle name="Normal 2 3 43 4" xfId="725" xr:uid="{F6DDBD15-C1CE-4DFB-BE3A-420B82499B51}"/>
    <cellStyle name="Normal 2 3 44" xfId="726" xr:uid="{B52003C2-07E1-4AEE-9F1E-0624D4CD5280}"/>
    <cellStyle name="Normal 2 3 44 2" xfId="727" xr:uid="{83176947-C127-4E7E-B278-A5E728CFEB1B}"/>
    <cellStyle name="Normal 2 3 44 3" xfId="728" xr:uid="{9DDD5AAD-F8F8-46D9-9E6A-B61F551240B1}"/>
    <cellStyle name="Normal 2 3 44 4" xfId="729" xr:uid="{36EE5EE8-C724-4351-82E5-B7558D51CB3E}"/>
    <cellStyle name="Normal 2 3 45" xfId="730" xr:uid="{63A84A81-0DBA-4A42-9E94-71FA3B8E26C3}"/>
    <cellStyle name="Normal 2 3 45 2" xfId="731" xr:uid="{771DA61D-7DC5-40E0-B47B-D9DD2FC6D927}"/>
    <cellStyle name="Normal 2 3 45 3" xfId="732" xr:uid="{0AE71966-0438-4354-AA87-DE029E9E944E}"/>
    <cellStyle name="Normal 2 3 45 4" xfId="733" xr:uid="{CDE4C51D-4A90-4802-818A-15DE6EB51264}"/>
    <cellStyle name="Normal 2 3 46" xfId="734" xr:uid="{4507176D-D87D-4A14-8158-56D071F095CA}"/>
    <cellStyle name="Normal 2 3 46 2" xfId="735" xr:uid="{4D2F8F7D-F330-4C06-8AAE-1536AA7ABEFE}"/>
    <cellStyle name="Normal 2 3 46 3" xfId="736" xr:uid="{4FB46860-D091-4887-B258-EA6E586D0A67}"/>
    <cellStyle name="Normal 2 3 46 4" xfId="737" xr:uid="{5AA6A510-FC71-46F7-A252-10F3CB128B96}"/>
    <cellStyle name="Normal 2 3 47" xfId="738" xr:uid="{011E8172-0150-4D6C-80C0-2D76D21539C0}"/>
    <cellStyle name="Normal 2 3 47 2" xfId="739" xr:uid="{BE065F12-DE78-4FF7-8C84-B4708B27704F}"/>
    <cellStyle name="Normal 2 3 47 3" xfId="740" xr:uid="{54011998-BDED-4DB6-85A2-8C1BEEDCD440}"/>
    <cellStyle name="Normal 2 3 47 4" xfId="741" xr:uid="{DFC71FFE-4F88-4651-942A-53DBA10D172D}"/>
    <cellStyle name="Normal 2 3 48" xfId="742" xr:uid="{28DC86F9-867D-413A-B171-F2A7D4F7E3BE}"/>
    <cellStyle name="Normal 2 3 48 8" xfId="70" xr:uid="{445458B8-1DE7-4CF5-A4B9-BFC3BEEEC22B}"/>
    <cellStyle name="Normal 2 3 49" xfId="743" xr:uid="{0892EDF9-8C42-4BC7-8294-528F2394B776}"/>
    <cellStyle name="Normal 2 3 5" xfId="744" xr:uid="{80E1228B-810F-4ED1-833D-C50270E3E6C3}"/>
    <cellStyle name="Normal 2 3 5 2" xfId="745" xr:uid="{0CC58FCC-BB8E-4D3F-A795-C07F1242C782}"/>
    <cellStyle name="Normal 2 3 5 3" xfId="746" xr:uid="{4B339B10-CFE6-4205-8FCC-7FDBF9B11AD6}"/>
    <cellStyle name="Normal 2 3 5 4" xfId="747" xr:uid="{3E8C4B72-FCA1-46CA-B77B-66E8D7E2CE2B}"/>
    <cellStyle name="Normal 2 3 6" xfId="748" xr:uid="{94A09E86-916C-4CF3-B9E8-49FB68BF7251}"/>
    <cellStyle name="Normal 2 3 6 2" xfId="749" xr:uid="{2DCD6578-C37A-4095-9A52-5E0352B05853}"/>
    <cellStyle name="Normal 2 3 6 3" xfId="750" xr:uid="{E8CE13AC-75E2-4104-A62E-1D808420BAD9}"/>
    <cellStyle name="Normal 2 3 6 4" xfId="751" xr:uid="{739BEF8A-A7BB-4928-B75C-303540072AF7}"/>
    <cellStyle name="Normal 2 3 7" xfId="752" xr:uid="{CD7BF568-A376-47CD-86D1-B5437A73B958}"/>
    <cellStyle name="Normal 2 3 7 2" xfId="753" xr:uid="{9871CFC4-02E9-4C8E-BEA4-DFF1580BA031}"/>
    <cellStyle name="Normal 2 3 7 3" xfId="754" xr:uid="{C5B83EA3-2F3E-49A0-B1DD-DB780B5123C2}"/>
    <cellStyle name="Normal 2 3 7 4" xfId="755" xr:uid="{8EB380AE-EC63-49F8-9426-0F6CEE82FB08}"/>
    <cellStyle name="Normal 2 3 8" xfId="756" xr:uid="{486D02EA-9762-4CD9-B04B-CA79526FC781}"/>
    <cellStyle name="Normal 2 3 8 2" xfId="757" xr:uid="{066D61DF-5064-4A7D-80C7-CBFD2FC10B9E}"/>
    <cellStyle name="Normal 2 3 8 3" xfId="758" xr:uid="{49118AAE-E461-4CEF-870F-AB1F86A43470}"/>
    <cellStyle name="Normal 2 3 8 4" xfId="759" xr:uid="{EA5405C1-7B32-4679-BD5D-CF8040E15913}"/>
    <cellStyle name="Normal 2 3 9" xfId="760" xr:uid="{E3425262-FBAE-4C90-9964-5A71FEA1FF78}"/>
    <cellStyle name="Normal 2 3 9 2" xfId="761" xr:uid="{13FB54C1-CC95-4926-984A-2B9C6EDBFBFB}"/>
    <cellStyle name="Normal 2 3 9 3" xfId="762" xr:uid="{DD9B8BC2-7B44-46FD-96A5-B6FE43B2B141}"/>
    <cellStyle name="Normal 2 3 9 4" xfId="763" xr:uid="{C5F43E93-459A-4CC7-A6A7-DC43AFD1602B}"/>
    <cellStyle name="Normal 2 30" xfId="764" xr:uid="{F52CFD7B-E36F-4445-8A42-9C06E241916B}"/>
    <cellStyle name="Normal 2 30 2" xfId="765" xr:uid="{78F56F92-2484-41C1-87A8-8B857B6D723C}"/>
    <cellStyle name="Normal 2 30 3" xfId="766" xr:uid="{CB52FF45-BADC-4F13-9A4C-CB7CDF7391C1}"/>
    <cellStyle name="Normal 2 30 4" xfId="767" xr:uid="{8C33312D-DACA-4C38-BE87-5FA861B92592}"/>
    <cellStyle name="Normal 2 31" xfId="768" xr:uid="{06B7D288-C5F4-4594-9820-8D86C47B5A53}"/>
    <cellStyle name="Normal 2 31 2" xfId="769" xr:uid="{988E9983-812E-4F40-925D-97534199E09F}"/>
    <cellStyle name="Normal 2 31 3" xfId="770" xr:uid="{5DACD6F5-EC58-47E0-AE1E-CD438C2D65B1}"/>
    <cellStyle name="Normal 2 31 4" xfId="771" xr:uid="{BDE83E76-86BB-4918-BF35-D22DF6C822F0}"/>
    <cellStyle name="Normal 2 32" xfId="772" xr:uid="{ACFD397E-48CF-4847-825C-526E1BC8A83B}"/>
    <cellStyle name="Normal 2 32 2" xfId="773" xr:uid="{C870067D-9C75-4E1B-ABA6-DCB38971208F}"/>
    <cellStyle name="Normal 2 32 3" xfId="774" xr:uid="{6EF76F4F-F763-45C4-ABD2-CAB50BCABBB8}"/>
    <cellStyle name="Normal 2 32 4" xfId="775" xr:uid="{D120FCBD-A2A0-451A-A389-03D04FBEF3B3}"/>
    <cellStyle name="Normal 2 33" xfId="776" xr:uid="{148AA8D8-51BE-496C-98E8-110EF86D4484}"/>
    <cellStyle name="Normal 2 33 2" xfId="777" xr:uid="{B03912AE-0D80-4BDF-94A7-70D3F8074638}"/>
    <cellStyle name="Normal 2 33 3" xfId="778" xr:uid="{E0EE8CDB-E44F-4C9A-A4B1-222CC8378CE7}"/>
    <cellStyle name="Normal 2 33 4" xfId="779" xr:uid="{4F2535BE-0A69-4CC1-BEA9-B1954B303554}"/>
    <cellStyle name="Normal 2 34" xfId="780" xr:uid="{23A3CD29-4670-4C81-84CC-A589734574B0}"/>
    <cellStyle name="Normal 2 34 2" xfId="781" xr:uid="{D5096351-5E35-4D66-A460-3D859F9A7A7E}"/>
    <cellStyle name="Normal 2 34 3" xfId="782" xr:uid="{8F6E1CA8-DE2D-4989-9010-422CFA9D98A0}"/>
    <cellStyle name="Normal 2 34 4" xfId="783" xr:uid="{5C8600B8-621E-4D43-9F5D-3A5AE7F00842}"/>
    <cellStyle name="Normal 2 35" xfId="784" xr:uid="{410BF958-D135-4DD4-AC4E-DEF12EBD2239}"/>
    <cellStyle name="Normal 2 35 2" xfId="785" xr:uid="{7E951628-8932-41A2-AE0D-D107E7F0F349}"/>
    <cellStyle name="Normal 2 35 3" xfId="786" xr:uid="{CEC203F4-A5A4-46E4-A576-26B72F313F48}"/>
    <cellStyle name="Normal 2 35 4" xfId="787" xr:uid="{71C3F7D0-5A17-4C68-BC9D-109E2A8BF786}"/>
    <cellStyle name="Normal 2 36" xfId="788" xr:uid="{40E8DFCC-548C-4C83-9A5F-411FD427F96D}"/>
    <cellStyle name="Normal 2 36 2" xfId="789" xr:uid="{5F11E11C-7F49-4796-98C0-0FA4E5AE3BB1}"/>
    <cellStyle name="Normal 2 36 3" xfId="790" xr:uid="{2A1702F1-6B9E-4996-858B-F1066FBB0D6D}"/>
    <cellStyle name="Normal 2 36 4" xfId="791" xr:uid="{04AD65E0-B1DB-4C07-9B42-241309B5D186}"/>
    <cellStyle name="Normal 2 37" xfId="792" xr:uid="{B05F68AC-8380-4794-852D-830B70288EEE}"/>
    <cellStyle name="Normal 2 37 2" xfId="793" xr:uid="{E4F0EE1D-506F-4923-A02F-8FAE760E11CB}"/>
    <cellStyle name="Normal 2 37 3" xfId="794" xr:uid="{13C93521-D972-43AC-AFD3-A3028891EC46}"/>
    <cellStyle name="Normal 2 37 4" xfId="795" xr:uid="{91781010-5C46-4DF7-8AD4-6B3BA5EA4422}"/>
    <cellStyle name="Normal 2 38" xfId="796" xr:uid="{63C2C171-3F15-46CD-A55B-850910614D6D}"/>
    <cellStyle name="Normal 2 38 2" xfId="797" xr:uid="{E51D09C6-6F4C-4205-BCDD-5FD2FC9E7AA7}"/>
    <cellStyle name="Normal 2 38 3" xfId="798" xr:uid="{7F3688FB-AF8E-4DB6-A13A-81202C8D8D69}"/>
    <cellStyle name="Normal 2 38 4" xfId="799" xr:uid="{831821CF-4715-4929-A51B-FF4D70330A30}"/>
    <cellStyle name="Normal 2 39" xfId="800" xr:uid="{A42D19D4-3A05-4C61-961B-1DDAFEDF3774}"/>
    <cellStyle name="Normal 2 39 2" xfId="801" xr:uid="{B588FF2F-00EE-4701-B400-937F25CC1341}"/>
    <cellStyle name="Normal 2 39 3" xfId="802" xr:uid="{9480D949-B07A-42EB-BBB6-0693FC54176E}"/>
    <cellStyle name="Normal 2 39 4" xfId="803" xr:uid="{BBD075B9-31FF-45F4-A013-B031B8E07D71}"/>
    <cellStyle name="Normal 2 4" xfId="27" xr:uid="{DE2B22E4-E9E1-4CEB-99A2-F0F5C1A1CDCC}"/>
    <cellStyle name="Normal 2 4 2" xfId="805" xr:uid="{D6C2491A-18E6-413D-A39C-7D1CE455657B}"/>
    <cellStyle name="Normal 2 4 2 2" xfId="806" xr:uid="{08FA326A-DD90-4954-B56C-6795D3BFAD48}"/>
    <cellStyle name="Normal 2 4 2 3" xfId="807" xr:uid="{B9975B4A-41BD-4384-AE3D-5440ABA2D3F8}"/>
    <cellStyle name="Normal 2 4 2 4" xfId="808" xr:uid="{87909B50-061E-4660-9CEB-A3B1B314A80E}"/>
    <cellStyle name="Normal 2 4 3" xfId="809" xr:uid="{E98DAA05-06AE-415D-A263-45AE767B2175}"/>
    <cellStyle name="Normal 2 4 4" xfId="810" xr:uid="{6AB1CD7B-4D2A-460C-B200-465A342AE4E6}"/>
    <cellStyle name="Normal 2 4 5" xfId="811" xr:uid="{92AB9ED0-4490-43B5-9D68-F844DB8B7934}"/>
    <cellStyle name="Normal 2 4 6" xfId="804" xr:uid="{46023858-1BBB-4882-BDE2-BF5AACF8A5AF}"/>
    <cellStyle name="Normal 2 40" xfId="812" xr:uid="{CB7A1804-FFD2-4A59-B795-FE75F0ECBE88}"/>
    <cellStyle name="Normal 2 40 2" xfId="813" xr:uid="{55838CCA-13EF-401F-891D-45CF8D243F94}"/>
    <cellStyle name="Normal 2 40 3" xfId="814" xr:uid="{EB323141-7806-4196-B1F0-933B88B05F6F}"/>
    <cellStyle name="Normal 2 40 4" xfId="815" xr:uid="{D530B487-0C4E-4AF7-A621-DFBD891CD2F6}"/>
    <cellStyle name="Normal 2 41" xfId="816" xr:uid="{802723D7-DC61-49C2-88B7-9A9FC72D0579}"/>
    <cellStyle name="Normal 2 41 2" xfId="817" xr:uid="{98575D05-5F16-4E67-9013-973FD13F16FD}"/>
    <cellStyle name="Normal 2 41 3" xfId="818" xr:uid="{0A5A985A-F3F7-43D1-94D3-769852B4153C}"/>
    <cellStyle name="Normal 2 41 4" xfId="819" xr:uid="{5C166044-1E32-4242-9F15-EAF49124F17F}"/>
    <cellStyle name="Normal 2 42" xfId="820" xr:uid="{7CF80F56-8D48-4106-AE2A-3BCC5796BDAF}"/>
    <cellStyle name="Normal 2 42 2" xfId="821" xr:uid="{70BF5556-0E9F-480C-A928-8BB6739565CC}"/>
    <cellStyle name="Normal 2 42 3" xfId="822" xr:uid="{D2663185-7A05-4277-8315-EF3B36B32A2B}"/>
    <cellStyle name="Normal 2 42 4" xfId="823" xr:uid="{B7728F25-5775-4B7D-BB22-E93A1197558D}"/>
    <cellStyle name="Normal 2 43" xfId="824" xr:uid="{BF045C4F-B65A-456A-9459-14812ED66B08}"/>
    <cellStyle name="Normal 2 43 2" xfId="825" xr:uid="{87EB7A1F-512D-4F8A-AA81-CF04C2E5BAAB}"/>
    <cellStyle name="Normal 2 43 3" xfId="826" xr:uid="{67FD232E-8492-4E0F-BF82-654E9267C3FC}"/>
    <cellStyle name="Normal 2 43 4" xfId="827" xr:uid="{ED1EFA91-CD37-43DC-AE61-B6241A644B6C}"/>
    <cellStyle name="Normal 2 44" xfId="828" xr:uid="{7E5856A2-EECE-488F-95EE-6B4EC4176BD6}"/>
    <cellStyle name="Normal 2 44 2" xfId="829" xr:uid="{A72015A9-E9AD-4285-83D6-BC134A3FE272}"/>
    <cellStyle name="Normal 2 44 3" xfId="830" xr:uid="{E63B8992-7864-4640-8488-FCE503244826}"/>
    <cellStyle name="Normal 2 44 4" xfId="831" xr:uid="{D714B860-1620-4025-963C-4429C2B18296}"/>
    <cellStyle name="Normal 2 45" xfId="832" xr:uid="{6453C229-20EC-4C35-A589-45D6C8058234}"/>
    <cellStyle name="Normal 2 45 2" xfId="833" xr:uid="{A69B07A5-4F5B-4CA8-BDD9-BAE3306C8DFA}"/>
    <cellStyle name="Normal 2 45 3" xfId="834" xr:uid="{9D664FBE-8EB6-4BBE-ACCC-E1277402BECF}"/>
    <cellStyle name="Normal 2 45 4" xfId="835" xr:uid="{AC4E0A1A-DF25-4BEA-97A9-4A32FC20850D}"/>
    <cellStyle name="Normal 2 46" xfId="836" xr:uid="{734774D2-46C7-439B-8355-49870A42B1E9}"/>
    <cellStyle name="Normal 2 46 2" xfId="837" xr:uid="{3419B0DA-C4BB-42EA-AE38-B74AEE61DE0F}"/>
    <cellStyle name="Normal 2 46 3" xfId="838" xr:uid="{139B4A02-899D-428B-B674-6B20718C724D}"/>
    <cellStyle name="Normal 2 46 4" xfId="839" xr:uid="{C4A24F2A-6AEB-42DC-8C82-C3360AD14F0B}"/>
    <cellStyle name="Normal 2 47" xfId="840" xr:uid="{3836EC18-B514-4CB5-BF18-961164CAF5A4}"/>
    <cellStyle name="Normal 2 47 2" xfId="841" xr:uid="{B05999A7-F980-4A52-AA5E-C444B6662E05}"/>
    <cellStyle name="Normal 2 47 3" xfId="842" xr:uid="{FAC27243-EF82-43B0-8CFD-91D34323D2DA}"/>
    <cellStyle name="Normal 2 47 4" xfId="843" xr:uid="{471568FF-8DBB-4434-8BD4-96E2B72D418B}"/>
    <cellStyle name="Normal 2 48" xfId="844" xr:uid="{81C949EC-80DF-48BE-A703-754E2E2BA0F1}"/>
    <cellStyle name="Normal 2 48 2" xfId="845" xr:uid="{4AF80ED2-3E69-4C57-AFB4-6EA3F469A2DF}"/>
    <cellStyle name="Normal 2 48 3" xfId="846" xr:uid="{DD44E323-181C-4757-AB2F-BC6A50B6A76A}"/>
    <cellStyle name="Normal 2 48 4" xfId="847" xr:uid="{6B5D8474-9921-4E1F-890A-F77CE17E1378}"/>
    <cellStyle name="Normal 2 49" xfId="848" xr:uid="{44460CE4-0C6D-46F9-9126-5733BF8713F2}"/>
    <cellStyle name="Normal 2 49 2" xfId="849" xr:uid="{EAA7E90F-2F60-46E9-BF54-90C0108CB1B8}"/>
    <cellStyle name="Normal 2 49 3" xfId="850" xr:uid="{B7120D9F-0865-49BD-BE2A-EDDF4298DB6D}"/>
    <cellStyle name="Normal 2 49 4" xfId="851" xr:uid="{93FDA25C-04EA-4407-B0B0-3CEFDD6AEFE8}"/>
    <cellStyle name="Normal 2 5" xfId="852" xr:uid="{0060262D-753C-458C-83C0-25AE2F9FD5CB}"/>
    <cellStyle name="Normal 2 5 2" xfId="853" xr:uid="{D6BC5897-0C12-41E8-9D51-18DFFA539C4A}"/>
    <cellStyle name="Normal 2 5 3" xfId="854" xr:uid="{8FE5C7AE-7B42-43F9-9F99-F830B11AA8CD}"/>
    <cellStyle name="Normal 2 5 4" xfId="855" xr:uid="{BEE36350-4383-4DFE-BD6B-81A37D45E13E}"/>
    <cellStyle name="Normal 2 50" xfId="856" xr:uid="{2E513AC6-2517-4196-9796-98B7794F5FA8}"/>
    <cellStyle name="Normal 2 50 2" xfId="857" xr:uid="{59381BD0-8BCA-4C0B-A7BF-E3FA3D49613D}"/>
    <cellStyle name="Normal 2 50 2 2" xfId="858" xr:uid="{0D0D6336-0944-44F6-9C57-A764CCCC3A80}"/>
    <cellStyle name="Normal 2 50 2 3" xfId="859" xr:uid="{E59D9C25-BE08-4A18-83DC-D9CC5F4F5FA4}"/>
    <cellStyle name="Normal 2 50 3" xfId="860" xr:uid="{B73E263F-77AF-487D-BF9E-377446AA03B7}"/>
    <cellStyle name="Normal 2 50 4" xfId="861" xr:uid="{291AE0F5-867C-4A0B-A109-6E527C030118}"/>
    <cellStyle name="Normal 2 50 5" xfId="862" xr:uid="{0EB580E0-86BD-48CF-8B8C-6C3A32F2E348}"/>
    <cellStyle name="Normal 2 51" xfId="863" xr:uid="{C0CCDE5B-AE8D-4591-8678-95DC99D89E91}"/>
    <cellStyle name="Normal 2 51 2" xfId="864" xr:uid="{DECBA5CF-4121-4221-90B9-5E6198072E09}"/>
    <cellStyle name="Normal 2 51 2 2" xfId="865" xr:uid="{18BE1E36-443C-4F0B-BC68-0FEFF198DF38}"/>
    <cellStyle name="Normal 2 51 3" xfId="866" xr:uid="{2B71FBC0-165D-405F-B909-D1DA8F7BFF43}"/>
    <cellStyle name="Normal 2 51 4" xfId="867" xr:uid="{389D1844-9629-46B3-BF34-7EDBE1AE2BB7}"/>
    <cellStyle name="Normal 2 51 5" xfId="868" xr:uid="{C4ED3D91-826A-4B33-BF41-75D53024FD51}"/>
    <cellStyle name="Normal 2 52" xfId="869" xr:uid="{59E1E283-CAF2-4E66-B9F4-BC6CAA4255F0}"/>
    <cellStyle name="Normal 2 53" xfId="870" xr:uid="{47CD2C64-1505-447F-A5F0-056230587752}"/>
    <cellStyle name="Normal 2 54" xfId="871" xr:uid="{E8E7E9AB-9997-44DD-A1F2-621508058437}"/>
    <cellStyle name="Normal 2 55" xfId="306" xr:uid="{95AFAD6A-4EB5-4CCB-B2B5-0516DD3567A8}"/>
    <cellStyle name="Normal 2 56" xfId="125" xr:uid="{5659768E-B9A6-4CF1-9386-0535D65700BB}"/>
    <cellStyle name="Normal 2 6" xfId="872" xr:uid="{4C5DAB3D-45B1-4AFA-B056-053CBA5089E4}"/>
    <cellStyle name="Normal 2 6 2" xfId="873" xr:uid="{C0711F17-3B47-42D9-9845-FC49496A5C74}"/>
    <cellStyle name="Normal 2 6 3" xfId="874" xr:uid="{2ED4BB83-44F9-4018-90F7-5250AE636E3D}"/>
    <cellStyle name="Normal 2 6 4" xfId="875" xr:uid="{56737211-C4AF-47DB-84AA-CD5D1E851ACB}"/>
    <cellStyle name="Normal 2 7" xfId="876" xr:uid="{3BEB7A12-B78A-4CAA-A529-C3D8D9FDAAE7}"/>
    <cellStyle name="Normal 2 7 2" xfId="877" xr:uid="{52B035D1-B568-4212-A4B8-E7CAD9104CA1}"/>
    <cellStyle name="Normal 2 7 3" xfId="878" xr:uid="{81C080FD-9692-4F9F-9F5D-17417C3AF00D}"/>
    <cellStyle name="Normal 2 7 4" xfId="879" xr:uid="{17561B01-965B-4CFD-8AFA-E7E70866154D}"/>
    <cellStyle name="Normal 2 78" xfId="33" xr:uid="{F1925623-9D16-4CD2-AF68-DE8B3B816252}"/>
    <cellStyle name="Normal 2 8" xfId="880" xr:uid="{293BCEB3-4944-4341-9784-3A2FA864CFC5}"/>
    <cellStyle name="Normal 2 8 2" xfId="881" xr:uid="{ABC98AA7-E7F9-4533-B134-02DAE3774955}"/>
    <cellStyle name="Normal 2 8 3" xfId="882" xr:uid="{DB73567A-2FCB-4F08-B608-9E6793DA0355}"/>
    <cellStyle name="Normal 2 8 4" xfId="883" xr:uid="{97ADD7B6-439E-433E-A00E-73F764155F53}"/>
    <cellStyle name="Normal 2 9" xfId="884" xr:uid="{0A19A0D0-DFF6-4312-8B21-D87D19CFE6C3}"/>
    <cellStyle name="Normal 2 9 2" xfId="885" xr:uid="{28EA9681-7908-4750-81EF-A2686335BCCD}"/>
    <cellStyle name="Normal 2 9 3" xfId="886" xr:uid="{E208A8BE-8199-4AD1-ACE4-81EB4E8E3B34}"/>
    <cellStyle name="Normal 2 9 4" xfId="887" xr:uid="{2D4DDB85-F00A-4C6A-BB0E-FDFD2FEB0DEC}"/>
    <cellStyle name="Normal 20" xfId="888" xr:uid="{3519CF74-3C35-411B-AA64-E560976A87BB}"/>
    <cellStyle name="Normal 21" xfId="889" xr:uid="{A87F41E9-103B-4349-A204-6D72C535911D}"/>
    <cellStyle name="Normal 21 2" xfId="890" xr:uid="{F7E47F9E-38CE-411E-A207-019DB7D4D551}"/>
    <cellStyle name="Normal 21 2 2" xfId="891" xr:uid="{B29E76D9-9844-4E59-973D-246268E9A07D}"/>
    <cellStyle name="Normal 21 2 3" xfId="892" xr:uid="{4E02CF59-AFBF-4D51-8B2B-A4A9E9682F0E}"/>
    <cellStyle name="Normal 21 2 4" xfId="893" xr:uid="{E1611F16-469A-4800-9847-0C8FA4A3A888}"/>
    <cellStyle name="Normal 21 3" xfId="894" xr:uid="{8E4A3587-C9C6-409C-988B-EF4C3F3424AA}"/>
    <cellStyle name="Normal 21 3 2" xfId="895" xr:uid="{375F5679-9BC8-40B7-8285-A0AEE70FA6E7}"/>
    <cellStyle name="Normal 21 3 2 2" xfId="896" xr:uid="{B995321B-3751-415E-BEAA-B11A983E7775}"/>
    <cellStyle name="Normal 21 3 2 3" xfId="897" xr:uid="{71D4BB08-166C-4F35-BB34-AC7E1CE9716F}"/>
    <cellStyle name="Normal 21 3 2 4" xfId="898" xr:uid="{BAD9B20A-58D9-404B-A553-3F6B20A4F34E}"/>
    <cellStyle name="Normal 21 3 3" xfId="899" xr:uid="{E8E7D35F-D751-4037-927E-C5BA80223080}"/>
    <cellStyle name="Normal 21 3 4" xfId="900" xr:uid="{B0426875-FA65-46C5-BCCD-F18579DE57A5}"/>
    <cellStyle name="Normal 21 3 5" xfId="901" xr:uid="{7585EFE4-081F-4FBC-92E6-B905DDFEDCDB}"/>
    <cellStyle name="Normal 21 4" xfId="902" xr:uid="{61A3E51D-35AE-41CE-867B-F54F52F5D6F6}"/>
    <cellStyle name="Normal 21 5" xfId="903" xr:uid="{9DCD8B8B-4528-4B25-8575-5EF4957D3142}"/>
    <cellStyle name="Normal 21 6" xfId="904" xr:uid="{AB8536A4-766A-41EF-A8C9-1BCEDD20D81A}"/>
    <cellStyle name="Normal 22" xfId="30" xr:uid="{EB482CD0-C36D-4429-9EE7-C2BEC488D9EF}"/>
    <cellStyle name="Normal 23" xfId="905" xr:uid="{209BB1FD-3F56-4AC8-BB93-BE649ADDBE23}"/>
    <cellStyle name="Normal 23 2" xfId="906" xr:uid="{4DACB353-3205-4607-9627-115344E94936}"/>
    <cellStyle name="Normal 23 3" xfId="907" xr:uid="{F99EDC13-4ED1-4826-A6FD-86C38362B1F3}"/>
    <cellStyle name="Normal 23 4" xfId="908" xr:uid="{31650B4C-9BE3-4134-A9B2-D29FB91DD315}"/>
    <cellStyle name="Normal 23 5" xfId="909" xr:uid="{B570AE66-CF52-46F3-AF86-A01F31BB175F}"/>
    <cellStyle name="Normal 24" xfId="910" xr:uid="{0E4A7695-E63D-42F3-9F2E-670EC29A63C3}"/>
    <cellStyle name="Normal 24 2" xfId="911" xr:uid="{994BD4F2-D740-42CC-A813-55F99CAAAADE}"/>
    <cellStyle name="Normal 24 2 2" xfId="912" xr:uid="{BF35745F-2014-4D09-8150-EF55C55687DF}"/>
    <cellStyle name="Normal 24 2 3" xfId="913" xr:uid="{D80D2087-38D1-4797-99CE-DCD829070C97}"/>
    <cellStyle name="Normal 24 2 4" xfId="914" xr:uid="{5DBBD2A3-AAA5-483A-AE80-20A072C93D73}"/>
    <cellStyle name="Normal 24 3" xfId="915" xr:uid="{FB1208A0-1330-41B1-B213-A9F383CD6DFB}"/>
    <cellStyle name="Normal 24 3 2" xfId="916" xr:uid="{B1B03E01-4663-406F-9107-E93F8C48D16D}"/>
    <cellStyle name="Normal 24 3 2 2" xfId="917" xr:uid="{419E92B5-B672-4C47-97FE-687D6C71FD9E}"/>
    <cellStyle name="Normal 24 3 2 3" xfId="918" xr:uid="{69E742DB-9F90-447F-AF54-575F8E462BFC}"/>
    <cellStyle name="Normal 24 3 2 4" xfId="919" xr:uid="{2C939929-4F7A-407C-B86D-B2AE51DC66FE}"/>
    <cellStyle name="Normal 24 3 3" xfId="920" xr:uid="{75AC3A67-C745-452C-A489-5ABDF70525BF}"/>
    <cellStyle name="Normal 24 3 4" xfId="921" xr:uid="{C062B580-4E23-4429-B575-4DBF9BF41F61}"/>
    <cellStyle name="Normal 24 3 5" xfId="922" xr:uid="{D14666D8-E56B-4741-951A-42DAD041B7E2}"/>
    <cellStyle name="Normal 24 4" xfId="923" xr:uid="{90532502-BE0A-4486-8DAB-4AC07AA80E79}"/>
    <cellStyle name="Normal 24 5" xfId="924" xr:uid="{8963627D-E91E-4F1F-8FDD-DC16DABA03C3}"/>
    <cellStyle name="Normal 24 6" xfId="925" xr:uid="{8447B0ED-0483-49D2-BE6D-27E606F773DA}"/>
    <cellStyle name="Normal 25" xfId="926" xr:uid="{6A095F08-5679-43DB-A9A3-96D222722B03}"/>
    <cellStyle name="Normal 25 2" xfId="927" xr:uid="{F56CA5C3-5370-4180-8DCE-9EB9C7DC18F7}"/>
    <cellStyle name="Normal 25 2 2" xfId="928" xr:uid="{E9D41F5C-547D-4C79-9539-38B6317E1378}"/>
    <cellStyle name="Normal 25 2 3" xfId="929" xr:uid="{7ADA6CBC-A9C7-4293-B6E0-32CC6C67C771}"/>
    <cellStyle name="Normal 25 2 4" xfId="930" xr:uid="{EEDF7ECD-165A-45E7-9065-0F83C75C4C76}"/>
    <cellStyle name="Normal 25 3" xfId="931" xr:uid="{5AD44D8A-882B-4801-A536-A592F3EF0ABE}"/>
    <cellStyle name="Normal 25 3 2" xfId="932" xr:uid="{DC651ED4-471E-44B3-9092-8CB63FDF62B4}"/>
    <cellStyle name="Normal 25 3 2 2" xfId="933" xr:uid="{0D23B17A-1ABB-4123-BE4C-8901096E1944}"/>
    <cellStyle name="Normal 25 3 2 3" xfId="934" xr:uid="{933AF475-E931-49BE-9E79-121E73A4EB22}"/>
    <cellStyle name="Normal 25 3 2 4" xfId="935" xr:uid="{2FB04EFC-B26E-4485-84AE-35097C21D237}"/>
    <cellStyle name="Normal 25 3 3" xfId="936" xr:uid="{8592E67A-C95B-482F-8482-E455997483A8}"/>
    <cellStyle name="Normal 25 3 4" xfId="937" xr:uid="{00826794-48D6-4F3E-A645-E167D88BE269}"/>
    <cellStyle name="Normal 25 3 5" xfId="938" xr:uid="{DECE9CE9-CB32-4BBC-B4DF-E241BDB2301F}"/>
    <cellStyle name="Normal 25 4" xfId="939" xr:uid="{DF602B7F-CD3B-4F05-B0E3-D9B902694FF7}"/>
    <cellStyle name="Normal 25 5" xfId="940" xr:uid="{1DD73658-AA84-4EBD-B009-6571AEC96E6C}"/>
    <cellStyle name="Normal 25 6" xfId="941" xr:uid="{9FD25C82-B7AB-40EB-94F9-3CE411A87785}"/>
    <cellStyle name="Normal 25 6 2" xfId="56" xr:uid="{84568818-0BC7-4B12-A657-90340925A943}"/>
    <cellStyle name="Normal 25 6 2 2" xfId="57" xr:uid="{792CDC5A-D3BD-46AD-B1AC-5DB511A5F5B8}"/>
    <cellStyle name="Normal 26" xfId="942" xr:uid="{F3E2DB6B-5D97-4D2A-B930-05EEFF7E7D8F}"/>
    <cellStyle name="Normal 26 2" xfId="943" xr:uid="{D8976F0D-0AB6-4637-88DF-AEF8F6A5653D}"/>
    <cellStyle name="Normal 26 2 2" xfId="944" xr:uid="{58741E98-1D08-439A-8159-9A55E115BF3C}"/>
    <cellStyle name="Normal 26 3" xfId="945" xr:uid="{BAC44D98-C260-4B79-BD17-D6BE0E8A8F3E}"/>
    <cellStyle name="Normal 26 4" xfId="946" xr:uid="{ABEF59B8-6E1C-4C10-972E-B042C2AC4DD6}"/>
    <cellStyle name="Normal 26 5" xfId="947" xr:uid="{C8AD8C93-151E-45AF-B6E0-0B1BE1BD7BE7}"/>
    <cellStyle name="Normal 27" xfId="948" xr:uid="{8EAB7347-6EA6-46B0-82FC-988B283E1F32}"/>
    <cellStyle name="Normal 27 2" xfId="949" xr:uid="{75C48DB7-2070-45F9-97FE-28CECF7A0C65}"/>
    <cellStyle name="Normal 27 2 2" xfId="950" xr:uid="{3386E7E4-56F5-4DFA-9DDF-3BEC7296B155}"/>
    <cellStyle name="Normal 27 2 3" xfId="951" xr:uid="{DFB47B60-0F1E-4872-B80F-67A82E17416A}"/>
    <cellStyle name="Normal 27 2 4" xfId="952" xr:uid="{BD6EF248-0122-4BB7-B5D2-38D7A317C4BD}"/>
    <cellStyle name="Normal 27 3" xfId="953" xr:uid="{7A82E749-6D6E-4043-952C-042D9FFBB4A9}"/>
    <cellStyle name="Normal 27 3 2" xfId="954" xr:uid="{FE59FA4C-FF57-435D-BAAA-42B10EB9F255}"/>
    <cellStyle name="Normal 27 3 2 2" xfId="955" xr:uid="{DED11119-4DB4-4A36-8F78-A927C77027B7}"/>
    <cellStyle name="Normal 27 3 2 3" xfId="956" xr:uid="{D9686EFD-F467-470D-A854-9C8125A133C1}"/>
    <cellStyle name="Normal 27 3 2 4" xfId="957" xr:uid="{A6193852-75F7-4554-AD57-50AD114B2958}"/>
    <cellStyle name="Normal 27 3 3" xfId="958" xr:uid="{3065C894-9879-4287-BD3C-B6E2EB22B9FC}"/>
    <cellStyle name="Normal 27 3 4" xfId="959" xr:uid="{617E936D-49E5-4494-AA75-47C043EA1DFB}"/>
    <cellStyle name="Normal 27 3 5" xfId="960" xr:uid="{0E32C5BE-17D5-48E6-8E12-89681B37D347}"/>
    <cellStyle name="Normal 27 4" xfId="961" xr:uid="{30FA11EF-EDC0-4735-B646-8639983E33F7}"/>
    <cellStyle name="Normal 27 5" xfId="962" xr:uid="{2393D04A-B57C-48AE-9AAE-4908676D1259}"/>
    <cellStyle name="Normal 27 6" xfId="963" xr:uid="{ED7B260C-6182-4D84-A40A-398DFD6FF8E7}"/>
    <cellStyle name="Normal 29" xfId="964" xr:uid="{1A3524F5-4375-4C20-8FC3-015FCDBFAA75}"/>
    <cellStyle name="Normal 29 2" xfId="965" xr:uid="{69650849-7194-4A25-BA1B-0586BF53DA3A}"/>
    <cellStyle name="Normal 29 2 2" xfId="966" xr:uid="{58C41CD1-36E6-476B-9BC0-89BABD8923FA}"/>
    <cellStyle name="Normal 29 2 3" xfId="967" xr:uid="{AAD04B48-8E78-44F3-8AE8-E425319FB3FF}"/>
    <cellStyle name="Normal 29 2 4" xfId="968" xr:uid="{F8B673DE-1651-496B-9529-80F37744AA4B}"/>
    <cellStyle name="Normal 29 3" xfId="969" xr:uid="{29D0FB41-113D-4F97-AB53-29B4438497F8}"/>
    <cellStyle name="Normal 29 3 2" xfId="970" xr:uid="{0546D7AB-4AE2-41E8-BD9D-171A2A131215}"/>
    <cellStyle name="Normal 29 3 2 2" xfId="971" xr:uid="{F0DC1846-079C-497B-8179-1A631077AC46}"/>
    <cellStyle name="Normal 29 3 2 3" xfId="972" xr:uid="{A52DAECC-D6AA-45CB-8108-75C7F06E6522}"/>
    <cellStyle name="Normal 29 3 2 4" xfId="973" xr:uid="{0DCD44F7-5774-42D9-A7AC-9038DBED4071}"/>
    <cellStyle name="Normal 29 3 3" xfId="974" xr:uid="{F9DC4DDC-39BD-41F5-A542-71D9019D4A61}"/>
    <cellStyle name="Normal 29 3 4" xfId="975" xr:uid="{65B0DEF3-E9BE-4CAF-A665-CF1F697DF759}"/>
    <cellStyle name="Normal 29 3 5" xfId="976" xr:uid="{EFE5BE8A-26A6-4ED3-B726-0FCE52B577B8}"/>
    <cellStyle name="Normal 29 4" xfId="977" xr:uid="{2A8A6D75-6E62-4B18-A5EC-BC49AF1CBF8C}"/>
    <cellStyle name="Normal 29 5" xfId="978" xr:uid="{5170A318-6CFD-46CE-9EA7-6BD26CA621BA}"/>
    <cellStyle name="Normal 29 6" xfId="979" xr:uid="{F9BC31FC-AB00-4BB6-A16E-AB91132F877B}"/>
    <cellStyle name="Normal 3" xfId="2" xr:uid="{2DFF8984-1463-4BCC-913B-9C5D2F34E7E5}"/>
    <cellStyle name="Normal 3 10" xfId="980" xr:uid="{5D8C0AA4-D64B-400D-99DD-1C5B20986F38}"/>
    <cellStyle name="Normal 3 10 2" xfId="981" xr:uid="{002177F4-916D-4F7F-82EC-B13CEFFB1C48}"/>
    <cellStyle name="Normal 3 10 3" xfId="982" xr:uid="{D84D26F7-58E5-47A4-80D0-76522FF5C611}"/>
    <cellStyle name="Normal 3 10 4" xfId="983" xr:uid="{BA83E5A4-E8B8-4D3B-9CAD-D58C81F8B2E5}"/>
    <cellStyle name="Normal 3 11" xfId="984" xr:uid="{42D0D0C5-4395-4979-B74C-F34BA474AF38}"/>
    <cellStyle name="Normal 3 11 2" xfId="985" xr:uid="{040FAF1C-92A4-44D9-AC4B-E5FA2DE8A18B}"/>
    <cellStyle name="Normal 3 11 3" xfId="986" xr:uid="{7339F443-0E3B-4E57-A6D7-2736938124BE}"/>
    <cellStyle name="Normal 3 11 4" xfId="987" xr:uid="{50F77AA5-2B8C-40CC-B391-CB3BAF16C3E8}"/>
    <cellStyle name="Normal 3 12" xfId="988" xr:uid="{C7B4B1CE-7EA7-4867-A601-CE7E6520D16B}"/>
    <cellStyle name="Normal 3 12 2" xfId="989" xr:uid="{3EBEF302-F4E2-4505-BAB5-CA48A3C1B7DC}"/>
    <cellStyle name="Normal 3 12 3" xfId="990" xr:uid="{B52CECF5-7E52-4244-B190-BAAF17BBDD06}"/>
    <cellStyle name="Normal 3 12 4" xfId="991" xr:uid="{2BC8FAD4-F3F5-4FE3-A021-8982DD585421}"/>
    <cellStyle name="Normal 3 13" xfId="992" xr:uid="{3C25AE34-7F35-4F54-8282-13BA50CEBF68}"/>
    <cellStyle name="Normal 3 13 2" xfId="993" xr:uid="{D92A19D2-5C7E-4DF0-9026-23479B7FC8E7}"/>
    <cellStyle name="Normal 3 13 3" xfId="994" xr:uid="{843EABCF-48A9-46F4-AB59-D6ADA3F3CB9B}"/>
    <cellStyle name="Normal 3 13 4" xfId="995" xr:uid="{D22A08BE-0F21-4B03-A94E-95BEE26F640E}"/>
    <cellStyle name="Normal 3 14" xfId="996" xr:uid="{050FD061-1BFF-4F4E-8430-239EDA8E2299}"/>
    <cellStyle name="Normal 3 14 2" xfId="997" xr:uid="{2AAEB83A-C504-4BE1-B863-86C7B6DFAC29}"/>
    <cellStyle name="Normal 3 14 3" xfId="998" xr:uid="{CDBD585D-EA07-489D-9ECB-0C63B7FD2C8D}"/>
    <cellStyle name="Normal 3 14 4" xfId="999" xr:uid="{4DFE8990-D8EE-47DD-9677-95BD9FCF74D2}"/>
    <cellStyle name="Normal 3 15" xfId="1000" xr:uid="{2951637E-D226-4602-8B0E-340D8A95747E}"/>
    <cellStyle name="Normal 3 15 2" xfId="1001" xr:uid="{262FB924-0C31-4CC5-92B2-3C9DD167536C}"/>
    <cellStyle name="Normal 3 15 3" xfId="1002" xr:uid="{07B02C6A-A5CE-41E0-8BBE-5ED42F70380B}"/>
    <cellStyle name="Normal 3 15 4" xfId="1003" xr:uid="{E591BF29-83F4-4D0F-85FD-B36851D2122F}"/>
    <cellStyle name="Normal 3 16" xfId="1004" xr:uid="{D34C26A2-3C4C-43B3-8A52-0DF6D87AD09A}"/>
    <cellStyle name="Normal 3 16 2" xfId="1005" xr:uid="{E2FC660F-9A76-4D16-8874-D1B4493D6322}"/>
    <cellStyle name="Normal 3 16 3" xfId="1006" xr:uid="{64E8F015-6CD2-417A-BED1-0332BD5D78B2}"/>
    <cellStyle name="Normal 3 16 4" xfId="1007" xr:uid="{80077414-2B5A-494F-9665-E48A45A5FE09}"/>
    <cellStyle name="Normal 3 17" xfId="1008" xr:uid="{F93A4A57-0567-41B6-8D1F-BF6C1AE86ADA}"/>
    <cellStyle name="Normal 3 17 2" xfId="1009" xr:uid="{842827D2-B7E9-46AF-9BC7-7A89F19599A2}"/>
    <cellStyle name="Normal 3 17 3" xfId="1010" xr:uid="{801040F9-FCA6-4738-8CB7-03D8335D625F}"/>
    <cellStyle name="Normal 3 17 4" xfId="1011" xr:uid="{87C007A1-4C57-4962-982C-2B265E50F047}"/>
    <cellStyle name="Normal 3 18" xfId="1012" xr:uid="{B17E4BCD-06DB-43A4-920B-D8B318FC6B7A}"/>
    <cellStyle name="Normal 3 18 2" xfId="1013" xr:uid="{62C1EE9B-7322-4635-925E-F586F00B6763}"/>
    <cellStyle name="Normal 3 18 3" xfId="1014" xr:uid="{80EAA515-B7B4-4D82-B343-3E455B7161C3}"/>
    <cellStyle name="Normal 3 18 4" xfId="1015" xr:uid="{3BF67907-201B-48C4-8369-BDB3B63DCCBC}"/>
    <cellStyle name="Normal 3 19" xfId="1016" xr:uid="{B13FA4F1-069A-49EB-A53A-68EF0143EAFC}"/>
    <cellStyle name="Normal 3 19 2" xfId="1017" xr:uid="{A1835B24-5FAD-4599-A972-0B9526D3C426}"/>
    <cellStyle name="Normal 3 19 3" xfId="1018" xr:uid="{78702D60-6182-462A-98BC-19FFC66D93D5}"/>
    <cellStyle name="Normal 3 19 4" xfId="1019" xr:uid="{33B91982-36BE-405B-AA09-AD28886F1B10}"/>
    <cellStyle name="Normal 3 2" xfId="128" xr:uid="{77DD441A-00AD-4FE5-BA27-ADB556AD442F}"/>
    <cellStyle name="Normal 3 2 10" xfId="1021" xr:uid="{1A14AACB-7C0B-4312-9A1C-36B294C12179}"/>
    <cellStyle name="Normal 3 2 10 2" xfId="1022" xr:uid="{EF19E99A-B4F2-485A-A97E-76D56D9414AC}"/>
    <cellStyle name="Normal 3 2 10 3" xfId="1023" xr:uid="{813FF272-6FD9-4932-8091-CB383B3FC09E}"/>
    <cellStyle name="Normal 3 2 11" xfId="1024" xr:uid="{E321291A-F964-4665-9485-D337A36FCA50}"/>
    <cellStyle name="Normal 3 2 11 2" xfId="1025" xr:uid="{B3449129-9C65-4180-857C-020CDAF27191}"/>
    <cellStyle name="Normal 3 2 11 3" xfId="1026" xr:uid="{C75CF062-C0AC-4D67-BB73-4D0C84A2BBCB}"/>
    <cellStyle name="Normal 3 2 12" xfId="1027" xr:uid="{2BD4D83A-9908-455F-BCA1-DDCC3FB51451}"/>
    <cellStyle name="Normal 3 2 12 2" xfId="1028" xr:uid="{3EF9B855-2D9E-4760-8D62-A30D78ED42BB}"/>
    <cellStyle name="Normal 3 2 12 3" xfId="1029" xr:uid="{E58E48A0-FEA1-4189-A8E7-CF301420200A}"/>
    <cellStyle name="Normal 3 2 13" xfId="1030" xr:uid="{87534D76-5BD1-475A-80B5-091BCC80CEC8}"/>
    <cellStyle name="Normal 3 2 13 2" xfId="1031" xr:uid="{3CCC64CB-045E-4612-ACA4-3D79AC41A39E}"/>
    <cellStyle name="Normal 3 2 13 3" xfId="1032" xr:uid="{59859DCF-5D51-4959-A3F8-3FC595BE1FB4}"/>
    <cellStyle name="Normal 3 2 14" xfId="1033" xr:uid="{7E5D8E14-0F03-4BDD-8C5D-902C60EE70CE}"/>
    <cellStyle name="Normal 3 2 14 2" xfId="1034" xr:uid="{BF1E02FA-1BFE-4B31-86FD-9E96C4FFD1D9}"/>
    <cellStyle name="Normal 3 2 14 3" xfId="1035" xr:uid="{AC0A2FB3-6F7B-40EA-AE1D-3030350A0B8F}"/>
    <cellStyle name="Normal 3 2 15" xfId="1036" xr:uid="{ACE82C1E-FDEF-4051-BA4B-3430D245EC22}"/>
    <cellStyle name="Normal 3 2 15 2" xfId="1037" xr:uid="{0D44B352-07C8-45D4-9504-67DF5ACF0A02}"/>
    <cellStyle name="Normal 3 2 15 3" xfId="1038" xr:uid="{C92760CE-CEE9-4CDF-92EF-C4EF26D21F69}"/>
    <cellStyle name="Normal 3 2 16" xfId="1039" xr:uid="{76A414B1-27E7-4612-B4AD-954B901B4F58}"/>
    <cellStyle name="Normal 3 2 16 2" xfId="1040" xr:uid="{51E8E3B2-C59B-49A4-9B36-AC9E99AB5DEF}"/>
    <cellStyle name="Normal 3 2 16 3" xfId="1041" xr:uid="{4F301EEF-E28E-4FE1-AB53-4AC83788419B}"/>
    <cellStyle name="Normal 3 2 17" xfId="1042" xr:uid="{8E4CD33B-0B7C-4228-9396-32D75D1ADBE3}"/>
    <cellStyle name="Normal 3 2 17 2" xfId="1043" xr:uid="{5EB60CCF-F1B1-49DE-B419-F6593330EFFB}"/>
    <cellStyle name="Normal 3 2 17 3" xfId="1044" xr:uid="{2A57D13F-33E9-45A3-A0C8-3E680D2CD5FD}"/>
    <cellStyle name="Normal 3 2 18" xfId="1045" xr:uid="{125D93B0-F28A-481F-8AE1-6E95E8A39465}"/>
    <cellStyle name="Normal 3 2 18 2" xfId="1046" xr:uid="{1D260C1B-569F-4B70-9EB3-92EBF5C902DD}"/>
    <cellStyle name="Normal 3 2 18 3" xfId="1047" xr:uid="{CB1F70A0-2261-4A31-A499-1FF6C6F4BF80}"/>
    <cellStyle name="Normal 3 2 19" xfId="1048" xr:uid="{8E89B09E-204C-4AA1-BA86-BFA8D7E665F8}"/>
    <cellStyle name="Normal 3 2 19 2" xfId="1049" xr:uid="{354F6594-9F78-4008-B33A-7496E8ADB1AC}"/>
    <cellStyle name="Normal 3 2 19 3" xfId="1050" xr:uid="{0819AF29-1D7D-44C9-8B13-BCE822EDC343}"/>
    <cellStyle name="Normal 3 2 2" xfId="10" xr:uid="{1E84F218-6A38-4F2D-85B9-26FF2A19DE04}"/>
    <cellStyle name="Normal 3 2 2 10" xfId="1052" xr:uid="{6CCEB8E6-B074-416A-85AF-22E5EFEF6D73}"/>
    <cellStyle name="Normal 3 2 2 10 2" xfId="1053" xr:uid="{5B5986F4-A058-4E24-983D-C7D42E26B37F}"/>
    <cellStyle name="Normal 3 2 2 10 3" xfId="1054" xr:uid="{311D7B3D-3300-4598-8CD5-1D91A0298FBB}"/>
    <cellStyle name="Normal 3 2 2 10 4" xfId="1055" xr:uid="{6026EFCD-1FB8-4AE0-83C2-280615194F60}"/>
    <cellStyle name="Normal 3 2 2 11" xfId="1056" xr:uid="{3E17EBA6-A56A-44BF-9188-BE2EAC27DD0E}"/>
    <cellStyle name="Normal 3 2 2 11 2" xfId="1057" xr:uid="{B2E88544-1163-459C-883B-14278295E1F9}"/>
    <cellStyle name="Normal 3 2 2 11 3" xfId="1058" xr:uid="{2E0D7F34-1791-47E4-B491-EEBD6BE6F0BA}"/>
    <cellStyle name="Normal 3 2 2 11 4" xfId="1059" xr:uid="{87BDEEF5-5CD5-497D-83D7-828AD0382601}"/>
    <cellStyle name="Normal 3 2 2 12" xfId="1060" xr:uid="{3CED5DC0-1EE5-45C5-871E-F59193A1FE17}"/>
    <cellStyle name="Normal 3 2 2 12 2" xfId="1061" xr:uid="{20844C55-76C6-41F0-8480-9671FDC979D7}"/>
    <cellStyle name="Normal 3 2 2 12 3" xfId="1062" xr:uid="{EF10C650-D28A-4662-AC05-823CD64A502A}"/>
    <cellStyle name="Normal 3 2 2 12 4" xfId="1063" xr:uid="{B4DFFB7B-7678-4605-98F4-DF5557ACA35D}"/>
    <cellStyle name="Normal 3 2 2 13" xfId="1064" xr:uid="{10E7FA4B-3199-4179-BD3B-C3137DC8352D}"/>
    <cellStyle name="Normal 3 2 2 13 2" xfId="1065" xr:uid="{C16CFF78-6382-43E7-AAAE-6AC891DC4FF1}"/>
    <cellStyle name="Normal 3 2 2 13 3" xfId="1066" xr:uid="{DEFF5F4C-40DD-4E93-9B3E-51D57042F50B}"/>
    <cellStyle name="Normal 3 2 2 13 4" xfId="1067" xr:uid="{57F6978E-3625-4504-87F6-3E0AAA9A03C4}"/>
    <cellStyle name="Normal 3 2 2 14" xfId="1068" xr:uid="{DFCAD2EA-35FF-47FD-9275-A8814A18667C}"/>
    <cellStyle name="Normal 3 2 2 14 2" xfId="1069" xr:uid="{AED6F1E8-A3E6-4055-92BA-898CB4BA9CA5}"/>
    <cellStyle name="Normal 3 2 2 14 3" xfId="1070" xr:uid="{14BD50D5-40D2-4941-BEF2-DCAEF8A2279E}"/>
    <cellStyle name="Normal 3 2 2 14 4" xfId="1071" xr:uid="{EDC7D60E-D4BD-4FEE-85DA-3D6DC59524F3}"/>
    <cellStyle name="Normal 3 2 2 15" xfId="1072" xr:uid="{ADC3B507-8C4E-4951-ACEB-4BAD30F9B7A4}"/>
    <cellStyle name="Normal 3 2 2 15 2" xfId="1073" xr:uid="{886FA727-7A50-4D0F-A7BB-762DA2CD7570}"/>
    <cellStyle name="Normal 3 2 2 15 3" xfId="1074" xr:uid="{79006F51-458B-48A1-9057-0B5EC10EADA5}"/>
    <cellStyle name="Normal 3 2 2 15 4" xfId="1075" xr:uid="{AE3052CA-DB5D-487B-B218-77502288CD06}"/>
    <cellStyle name="Normal 3 2 2 16" xfId="1076" xr:uid="{2FB5EA4C-CA2D-4586-A64D-498D8A69CA88}"/>
    <cellStyle name="Normal 3 2 2 16 2" xfId="1077" xr:uid="{1B4AA6B8-02A0-488E-BB54-D6B2945EDB27}"/>
    <cellStyle name="Normal 3 2 2 16 3" xfId="1078" xr:uid="{DBE109A0-2C20-479E-BA77-E0D1E91AA537}"/>
    <cellStyle name="Normal 3 2 2 16 4" xfId="1079" xr:uid="{5534A350-C151-4591-876C-884E3FD0E043}"/>
    <cellStyle name="Normal 3 2 2 17" xfId="1080" xr:uid="{32A48106-644B-4AED-BA65-54C057978030}"/>
    <cellStyle name="Normal 3 2 2 17 2" xfId="1081" xr:uid="{5DA65FCE-5ECF-4E21-B1D6-0CC862F54251}"/>
    <cellStyle name="Normal 3 2 2 17 3" xfId="1082" xr:uid="{FC6D15ED-18E2-43D4-8889-32E7134645B7}"/>
    <cellStyle name="Normal 3 2 2 17 4" xfId="1083" xr:uid="{5A695BAF-102C-4BED-B31C-D1C2B751DF81}"/>
    <cellStyle name="Normal 3 2 2 18" xfId="1084" xr:uid="{1E1FEC86-CBC2-4AD9-9555-8ED04BD232C3}"/>
    <cellStyle name="Normal 3 2 2 18 2" xfId="1085" xr:uid="{EFC874A2-9E27-42EA-8520-729D46BCAF86}"/>
    <cellStyle name="Normal 3 2 2 18 3" xfId="1086" xr:uid="{61A6C626-2C9F-4F44-AFCE-E8DCDC3AE450}"/>
    <cellStyle name="Normal 3 2 2 18 4" xfId="1087" xr:uid="{8F4FF87D-CCEC-4D32-A0E4-4D3927E459FD}"/>
    <cellStyle name="Normal 3 2 2 19" xfId="1088" xr:uid="{548CBCE6-5951-417C-B30C-72860C6C0B64}"/>
    <cellStyle name="Normal 3 2 2 19 2" xfId="1089" xr:uid="{DDA7F1CF-9A02-482D-BBBE-8A067FD0E84A}"/>
    <cellStyle name="Normal 3 2 2 19 3" xfId="1090" xr:uid="{9F8B3EAC-0946-4155-9208-E7B77A930ECB}"/>
    <cellStyle name="Normal 3 2 2 19 4" xfId="1091" xr:uid="{2B292430-8C36-4FD3-9F06-45B2F7947887}"/>
    <cellStyle name="Normal 3 2 2 2" xfId="21" xr:uid="{88520D55-6E84-4A6D-963C-C770D3798059}"/>
    <cellStyle name="Normal 3 2 2 2 2" xfId="1093" xr:uid="{211E2652-D51E-4D30-8614-610F77EF23DB}"/>
    <cellStyle name="Normal 3 2 2 2 3" xfId="1094" xr:uid="{62498942-6DE4-44DB-A971-F7988FF9E610}"/>
    <cellStyle name="Normal 3 2 2 2 4" xfId="1095" xr:uid="{DA499935-E442-4708-A29E-0A42314DB997}"/>
    <cellStyle name="Normal 3 2 2 2 5" xfId="1092" xr:uid="{95994E21-0A8A-419A-BF78-97F4252B5380}"/>
    <cellStyle name="Normal 3 2 2 2 6" xfId="2241" xr:uid="{9B63B0B8-2A13-4F97-BFE6-C06DF6ED24B9}"/>
    <cellStyle name="Normal 3 2 2 20" xfId="1096" xr:uid="{034EF84D-C92C-4D17-B706-88709BA55EAD}"/>
    <cellStyle name="Normal 3 2 2 20 2" xfId="1097" xr:uid="{B75C5867-58DE-4FA5-847B-AE5C49C2E501}"/>
    <cellStyle name="Normal 3 2 2 20 3" xfId="1098" xr:uid="{D4A04CD3-DA45-4363-B613-FE526ABF7172}"/>
    <cellStyle name="Normal 3 2 2 20 4" xfId="1099" xr:uid="{3C97F5F7-385C-448E-BF0D-780D02F66332}"/>
    <cellStyle name="Normal 3 2 2 21" xfId="1100" xr:uid="{38BA1269-C1B5-48B3-85C6-639D7791EA14}"/>
    <cellStyle name="Normal 3 2 2 21 2" xfId="1101" xr:uid="{2D19A153-A4E2-483B-8234-0A049BC1153C}"/>
    <cellStyle name="Normal 3 2 2 21 3" xfId="1102" xr:uid="{AFE3E8EC-4B25-4870-8165-8ADA636CEEF3}"/>
    <cellStyle name="Normal 3 2 2 21 4" xfId="1103" xr:uid="{8F2AE07E-AE87-473B-808C-4F865A961DC1}"/>
    <cellStyle name="Normal 3 2 2 22" xfId="1104" xr:uid="{0CED7EE9-8B67-4397-94FC-C3399813B662}"/>
    <cellStyle name="Normal 3 2 2 22 2" xfId="1105" xr:uid="{BBFFAEA0-9BC7-4FBA-A806-1BCF73D56B7F}"/>
    <cellStyle name="Normal 3 2 2 22 3" xfId="1106" xr:uid="{8451E374-D6D7-4C80-9F37-9CDFE980B334}"/>
    <cellStyle name="Normal 3 2 2 22 4" xfId="1107" xr:uid="{B4FAEC47-43D7-465E-BD20-0CD3A8F70C88}"/>
    <cellStyle name="Normal 3 2 2 23" xfId="1108" xr:uid="{AFB73989-FC5B-49E1-9571-5486575FD5AC}"/>
    <cellStyle name="Normal 3 2 2 23 2" xfId="1109" xr:uid="{B24B8D4A-A888-4879-9432-77156A8F05FA}"/>
    <cellStyle name="Normal 3 2 2 23 3" xfId="1110" xr:uid="{A1764E59-6D80-41CE-95DF-2D07952085CC}"/>
    <cellStyle name="Normal 3 2 2 23 4" xfId="1111" xr:uid="{DAA7A3AC-BAA4-444F-B141-BD1481F6AA06}"/>
    <cellStyle name="Normal 3 2 2 24" xfId="1112" xr:uid="{24E7DC7E-1BB9-4D75-BE0C-C5070A4CEF2F}"/>
    <cellStyle name="Normal 3 2 2 24 2" xfId="1113" xr:uid="{4128A20C-CBAA-4328-8149-822CD165FCDE}"/>
    <cellStyle name="Normal 3 2 2 24 3" xfId="1114" xr:uid="{DDCBC3D5-EDE8-4B82-BC7A-0BFDEF027261}"/>
    <cellStyle name="Normal 3 2 2 24 4" xfId="1115" xr:uid="{1A406070-D0CA-4885-8DD3-8A1B6CB97625}"/>
    <cellStyle name="Normal 3 2 2 25" xfId="1116" xr:uid="{7A3A688B-7D59-46C4-BDA0-4C2F9B9945A4}"/>
    <cellStyle name="Normal 3 2 2 25 2" xfId="1117" xr:uid="{4867B2D8-9D2E-4DC3-8686-3A96246E69F0}"/>
    <cellStyle name="Normal 3 2 2 25 3" xfId="1118" xr:uid="{F5DCDF2B-60FE-4612-8317-81E822EFC68F}"/>
    <cellStyle name="Normal 3 2 2 25 4" xfId="1119" xr:uid="{D671B2CE-E615-4496-A031-B472C3B0CFDF}"/>
    <cellStyle name="Normal 3 2 2 26" xfId="1120" xr:uid="{065BBE4C-1CC7-4962-BB1A-BA654ADAF9BF}"/>
    <cellStyle name="Normal 3 2 2 26 2" xfId="1121" xr:uid="{E01B8B2C-5AE5-4A30-9CF1-C1795F5600E1}"/>
    <cellStyle name="Normal 3 2 2 26 3" xfId="1122" xr:uid="{94BD2ECC-C483-4B77-A7C7-681CEF9023A5}"/>
    <cellStyle name="Normal 3 2 2 26 4" xfId="1123" xr:uid="{3E587A04-A574-4983-9EA3-A50CFB1DA229}"/>
    <cellStyle name="Normal 3 2 2 27" xfId="1124" xr:uid="{B2384386-0257-4F0B-90FF-69CFCB2D96F5}"/>
    <cellStyle name="Normal 3 2 2 27 2" xfId="1125" xr:uid="{87777798-B537-4D26-8678-434B6C78E3C0}"/>
    <cellStyle name="Normal 3 2 2 27 3" xfId="1126" xr:uid="{DA77AB90-C9A7-4D4F-BD62-60EF4CEE1E77}"/>
    <cellStyle name="Normal 3 2 2 27 4" xfId="1127" xr:uid="{8BD2E47A-5EB0-4EC5-8792-6AAB41D45655}"/>
    <cellStyle name="Normal 3 2 2 28" xfId="1128" xr:uid="{00778E42-0DAB-412F-B4EF-0F0E506E871B}"/>
    <cellStyle name="Normal 3 2 2 28 2" xfId="1129" xr:uid="{D5D5956B-0BF6-4F65-A78F-695DFD98AF0D}"/>
    <cellStyle name="Normal 3 2 2 28 3" xfId="1130" xr:uid="{2BB67083-58A2-4880-BF91-DDB2135C96A5}"/>
    <cellStyle name="Normal 3 2 2 28 4" xfId="1131" xr:uid="{95938E3E-5126-4C09-B0F1-9B2CD5B524FA}"/>
    <cellStyle name="Normal 3 2 2 29" xfId="1132" xr:uid="{DB04D124-784C-4B0C-8557-69A726B11250}"/>
    <cellStyle name="Normal 3 2 2 29 2" xfId="1133" xr:uid="{6EBE5AE7-800C-4302-982C-9ECC69CE3471}"/>
    <cellStyle name="Normal 3 2 2 29 3" xfId="1134" xr:uid="{73DA5E59-9CEC-4CCD-91E3-1BB3F7A25505}"/>
    <cellStyle name="Normal 3 2 2 29 4" xfId="1135" xr:uid="{D4DDECB8-CCAA-4E98-A1C7-94E721A28D67}"/>
    <cellStyle name="Normal 3 2 2 3" xfId="24" xr:uid="{D5F39ED5-70E4-4FBB-B261-50F286506580}"/>
    <cellStyle name="Normal 3 2 2 3 2" xfId="1137" xr:uid="{E6D173B0-1B71-47AE-9411-1BF320F52D56}"/>
    <cellStyle name="Normal 3 2 2 3 3" xfId="1138" xr:uid="{A64169F6-62A1-4C88-8F13-B5481B8B0AE3}"/>
    <cellStyle name="Normal 3 2 2 3 4" xfId="1139" xr:uid="{0A4D4492-9CC0-4F0B-9FD0-2E923AAA1E34}"/>
    <cellStyle name="Normal 3 2 2 3 5" xfId="1136" xr:uid="{708E1FC5-C6A2-4168-9649-C2F23696553E}"/>
    <cellStyle name="Normal 3 2 2 3 6" xfId="2243" xr:uid="{8431E1A7-006B-497B-BF01-006F7CF99F2E}"/>
    <cellStyle name="Normal 3 2 2 30" xfId="1140" xr:uid="{F9F8F3A5-C94B-49DD-AF5B-C871C6CE440A}"/>
    <cellStyle name="Normal 3 2 2 30 2" xfId="1141" xr:uid="{4C484E8B-4ABC-43A8-94B8-BAE1C6F4F487}"/>
    <cellStyle name="Normal 3 2 2 30 3" xfId="1142" xr:uid="{B9961720-A42C-404B-A212-0BFAFF74B162}"/>
    <cellStyle name="Normal 3 2 2 30 4" xfId="1143" xr:uid="{405FF497-64FF-4739-92D3-9F85E605CB2F}"/>
    <cellStyle name="Normal 3 2 2 31" xfId="1144" xr:uid="{59071CD2-5D82-409F-B281-307339B3D44E}"/>
    <cellStyle name="Normal 3 2 2 31 2" xfId="1145" xr:uid="{9A90F3AD-D9EA-4534-9FE7-2CDE65CCD1B9}"/>
    <cellStyle name="Normal 3 2 2 31 3" xfId="1146" xr:uid="{BF360025-42A1-43CF-8293-F4DBE07ABB37}"/>
    <cellStyle name="Normal 3 2 2 31 4" xfId="1147" xr:uid="{CB225798-0CE7-424B-9048-7AF070C30707}"/>
    <cellStyle name="Normal 3 2 2 32" xfId="1148" xr:uid="{15C75A2A-51D1-4726-BA69-14B6200C4A46}"/>
    <cellStyle name="Normal 3 2 2 32 2" xfId="1149" xr:uid="{16C784AF-4FD2-4AD3-9FBD-070C90143F52}"/>
    <cellStyle name="Normal 3 2 2 32 3" xfId="1150" xr:uid="{E7E40192-90D8-42BF-95B6-3C7D6BEAE475}"/>
    <cellStyle name="Normal 3 2 2 32 4" xfId="1151" xr:uid="{18F8A584-7351-452F-97E3-36A536CD004F}"/>
    <cellStyle name="Normal 3 2 2 33" xfId="1152" xr:uid="{70EC1BEF-B74C-41D9-8A27-66D0DB4BF76E}"/>
    <cellStyle name="Normal 3 2 2 33 2" xfId="1153" xr:uid="{71A9330C-64DC-43E9-932B-5F852A27E13D}"/>
    <cellStyle name="Normal 3 2 2 33 3" xfId="1154" xr:uid="{9821777F-5C1B-4EC6-8ADE-DD7D10EC0F13}"/>
    <cellStyle name="Normal 3 2 2 33 4" xfId="1155" xr:uid="{154DCA2D-1D34-44F0-ACE4-EFC1923EF638}"/>
    <cellStyle name="Normal 3 2 2 34" xfId="1156" xr:uid="{3B0DCF05-48C9-47C1-B76B-1859A93F970C}"/>
    <cellStyle name="Normal 3 2 2 34 2" xfId="1157" xr:uid="{0EE200D6-FD3A-4CE3-9EFE-B178A94F9682}"/>
    <cellStyle name="Normal 3 2 2 34 3" xfId="1158" xr:uid="{424D0708-2787-43EF-BBE0-20B853763809}"/>
    <cellStyle name="Normal 3 2 2 34 4" xfId="1159" xr:uid="{461510E0-7B86-4A97-ACE5-1C34F0C77054}"/>
    <cellStyle name="Normal 3 2 2 35" xfId="1160" xr:uid="{7F6DDB78-2EB7-477E-91DE-2E4BA4251455}"/>
    <cellStyle name="Normal 3 2 2 35 2" xfId="1161" xr:uid="{604E9D2A-509D-445A-8013-80C8E122D9DF}"/>
    <cellStyle name="Normal 3 2 2 35 3" xfId="1162" xr:uid="{4512F1BB-4FD5-4304-9067-C4DFE85863DF}"/>
    <cellStyle name="Normal 3 2 2 35 4" xfId="1163" xr:uid="{7D7BFC68-AA75-4D18-AEF2-0755855A5DD6}"/>
    <cellStyle name="Normal 3 2 2 36" xfId="1164" xr:uid="{4E4DA36A-EDC4-4BBA-A3E2-71A27CEDDA4A}"/>
    <cellStyle name="Normal 3 2 2 36 2" xfId="1165" xr:uid="{658FF89F-9A82-44B0-8DE1-1D5FD9965E11}"/>
    <cellStyle name="Normal 3 2 2 36 3" xfId="1166" xr:uid="{459BE645-D80C-47D9-843D-386A4DA4CE05}"/>
    <cellStyle name="Normal 3 2 2 36 4" xfId="1167" xr:uid="{846ED390-A995-4E91-9237-710FF63FDC15}"/>
    <cellStyle name="Normal 3 2 2 37" xfId="1168" xr:uid="{0CD420BF-E728-4CE6-A43C-EF34FEECA5A5}"/>
    <cellStyle name="Normal 3 2 2 37 2" xfId="1169" xr:uid="{DA8FA5BE-7FF1-415B-96FB-A4D6DB312562}"/>
    <cellStyle name="Normal 3 2 2 37 3" xfId="1170" xr:uid="{20B73AE9-A4D0-4338-B09C-097B81A69598}"/>
    <cellStyle name="Normal 3 2 2 37 4" xfId="1171" xr:uid="{2B731B7E-19AA-483A-A64C-21F044C496BA}"/>
    <cellStyle name="Normal 3 2 2 38" xfId="1172" xr:uid="{8C58B4E6-B018-41C8-B5F8-4E343A1214E9}"/>
    <cellStyle name="Normal 3 2 2 38 2" xfId="1173" xr:uid="{407F5401-C0EC-4A64-BF23-33F8577150DC}"/>
    <cellStyle name="Normal 3 2 2 38 3" xfId="1174" xr:uid="{B9788150-CEE5-4C70-9D5E-EB55E7117DB9}"/>
    <cellStyle name="Normal 3 2 2 38 4" xfId="1175" xr:uid="{C5A91FC2-6D1C-4F39-AEA8-6263C0811186}"/>
    <cellStyle name="Normal 3 2 2 39" xfId="1176" xr:uid="{5F3352D5-2EF3-485C-9710-FA1DAF35F5EA}"/>
    <cellStyle name="Normal 3 2 2 39 2" xfId="1177" xr:uid="{42BAB022-997A-4B87-AEA7-0EAF8339FB8B}"/>
    <cellStyle name="Normal 3 2 2 39 3" xfId="1178" xr:uid="{FCA35386-4CFE-44AE-A2F7-BA2F493CE2E4}"/>
    <cellStyle name="Normal 3 2 2 39 4" xfId="1179" xr:uid="{00322BF0-ED9D-4FCD-BC21-2354CCA7FF43}"/>
    <cellStyle name="Normal 3 2 2 4" xfId="1180" xr:uid="{FFB640B5-5F36-4D77-8856-2C2B2300CC23}"/>
    <cellStyle name="Normal 3 2 2 4 2" xfId="1181" xr:uid="{8DD0F0C7-DFBB-47F1-9459-93B94CE75ADD}"/>
    <cellStyle name="Normal 3 2 2 4 3" xfId="1182" xr:uid="{4070B3E7-C458-4E9E-A76A-C73F900F0848}"/>
    <cellStyle name="Normal 3 2 2 4 4" xfId="1183" xr:uid="{8D69A803-1A00-4933-A38F-C2FBF19DADB1}"/>
    <cellStyle name="Normal 3 2 2 40" xfId="1184" xr:uid="{4500F8B8-D24A-49D7-A6D0-0FD50573B473}"/>
    <cellStyle name="Normal 3 2 2 40 2" xfId="1185" xr:uid="{3CCB0E6D-70F9-4172-977B-C019500AD289}"/>
    <cellStyle name="Normal 3 2 2 40 3" xfId="1186" xr:uid="{D81635E2-A858-4B3F-9496-C84BCEDF0767}"/>
    <cellStyle name="Normal 3 2 2 40 4" xfId="1187" xr:uid="{D5E265E3-99BF-4808-B22B-6B4026E46727}"/>
    <cellStyle name="Normal 3 2 2 41" xfId="1188" xr:uid="{E7CF1A63-3572-436A-B572-98AB0E940A19}"/>
    <cellStyle name="Normal 3 2 2 41 2" xfId="1189" xr:uid="{5EB10ED8-D563-4EB6-B15A-5F1D0C32DA10}"/>
    <cellStyle name="Normal 3 2 2 41 3" xfId="1190" xr:uid="{10FAB95D-1476-4BB3-96F2-D889FC6DC00E}"/>
    <cellStyle name="Normal 3 2 2 41 4" xfId="1191" xr:uid="{AB909FEF-501F-4A69-B270-5E7D0FA54CD9}"/>
    <cellStyle name="Normal 3 2 2 42" xfId="1192" xr:uid="{2762CE07-A6BE-4F77-9060-9D8137C5C625}"/>
    <cellStyle name="Normal 3 2 2 42 2" xfId="1193" xr:uid="{583BF958-5E79-4AA6-BCA1-373E8281AC5B}"/>
    <cellStyle name="Normal 3 2 2 42 3" xfId="1194" xr:uid="{36B529F2-2AA1-42AB-B4D5-F6EA430339BB}"/>
    <cellStyle name="Normal 3 2 2 42 4" xfId="1195" xr:uid="{EAA8C752-6A34-4EAA-B3EB-756AD62B82FC}"/>
    <cellStyle name="Normal 3 2 2 43" xfId="1196" xr:uid="{52BEDD7D-01E2-44A7-83DE-CC9D247260D6}"/>
    <cellStyle name="Normal 3 2 2 43 2" xfId="1197" xr:uid="{E9EF972D-EB59-4F3D-A2A8-6B4FAA22FB29}"/>
    <cellStyle name="Normal 3 2 2 43 3" xfId="1198" xr:uid="{E82BE0D1-72E0-465E-9E6C-8FBABA334DCF}"/>
    <cellStyle name="Normal 3 2 2 43 4" xfId="1199" xr:uid="{B9EFECFB-982E-458C-9B46-8DE440A7F0E8}"/>
    <cellStyle name="Normal 3 2 2 44" xfId="1200" xr:uid="{C5FA6A22-44A9-4F05-A167-B2B670BE86F5}"/>
    <cellStyle name="Normal 3 2 2 44 2" xfId="1201" xr:uid="{0518CA30-2801-4308-B8AB-5AC7D6E90EAE}"/>
    <cellStyle name="Normal 3 2 2 44 3" xfId="1202" xr:uid="{10C538F7-C4E3-431C-88B5-67CBB485A6A0}"/>
    <cellStyle name="Normal 3 2 2 44 4" xfId="1203" xr:uid="{BC48103C-A2D0-4B6F-901E-1694770BC83B}"/>
    <cellStyle name="Normal 3 2 2 45" xfId="1204" xr:uid="{A231F188-2DE0-40AF-AB9B-0F6F5997DFE9}"/>
    <cellStyle name="Normal 3 2 2 45 2" xfId="1205" xr:uid="{12EFF505-64E3-4E1C-A815-2C00DC68BC48}"/>
    <cellStyle name="Normal 3 2 2 45 3" xfId="1206" xr:uid="{BA9B89D1-45A5-4911-89DE-2D651AE97986}"/>
    <cellStyle name="Normal 3 2 2 45 4" xfId="1207" xr:uid="{CFD4F4F0-A839-40F8-B3FA-C6E1455B2753}"/>
    <cellStyle name="Normal 3 2 2 46" xfId="1208" xr:uid="{3F8C49AD-BEFA-4C89-922A-693CF6FE0CCC}"/>
    <cellStyle name="Normal 3 2 2 46 2" xfId="1209" xr:uid="{687E9BB6-1DA6-4BE9-8374-5A1F6CCDDE26}"/>
    <cellStyle name="Normal 3 2 2 46 3" xfId="1210" xr:uid="{525543EC-BE6F-46C0-BD3E-EE0FE2136C34}"/>
    <cellStyle name="Normal 3 2 2 46 4" xfId="1211" xr:uid="{07920171-AC58-460E-A323-9D3555C81326}"/>
    <cellStyle name="Normal 3 2 2 47" xfId="1212" xr:uid="{FEFBF207-4A0E-485D-8277-EBF31E35EC3F}"/>
    <cellStyle name="Normal 3 2 2 47 2" xfId="1213" xr:uid="{CDACB4CC-D705-42D3-8767-C4B51E30E5E7}"/>
    <cellStyle name="Normal 3 2 2 47 3" xfId="1214" xr:uid="{21EAA29C-4322-47A6-8618-8D3D7280A941}"/>
    <cellStyle name="Normal 3 2 2 47 4" xfId="1215" xr:uid="{C1A1C4A7-29F5-44B1-83CE-85A43F021A57}"/>
    <cellStyle name="Normal 3 2 2 48" xfId="1216" xr:uid="{93A71506-6527-4212-A929-87B75AA01AB0}"/>
    <cellStyle name="Normal 3 2 2 49" xfId="1217" xr:uid="{2486522F-E4AA-45F4-A346-B25B834303BF}"/>
    <cellStyle name="Normal 3 2 2 5" xfId="1218" xr:uid="{DF8DA294-9085-4701-89EC-5FC45CDDE01F}"/>
    <cellStyle name="Normal 3 2 2 5 2" xfId="1219" xr:uid="{B8598A30-03EB-4B79-A27A-7453B2F6AA25}"/>
    <cellStyle name="Normal 3 2 2 5 3" xfId="1220" xr:uid="{6754FA24-4C65-48CD-BCE8-01B5BB611828}"/>
    <cellStyle name="Normal 3 2 2 5 4" xfId="1221" xr:uid="{D70E708C-9D8F-4BDF-AACB-90DFD90D3606}"/>
    <cellStyle name="Normal 3 2 2 50" xfId="1051" xr:uid="{A0F2F936-C24E-42EF-8DFD-0590761678AB}"/>
    <cellStyle name="Normal 3 2 2 51" xfId="2235" xr:uid="{674C956C-899F-4FB5-A3C9-1C4982953C38}"/>
    <cellStyle name="Normal 3 2 2 6" xfId="1222" xr:uid="{355673A9-AB68-4BE8-A5E0-50E7566E82A9}"/>
    <cellStyle name="Normal 3 2 2 6 2" xfId="1223" xr:uid="{A380506F-C67C-4831-A4E2-96F7FD40F9EB}"/>
    <cellStyle name="Normal 3 2 2 6 3" xfId="1224" xr:uid="{7C6AAF04-E1C8-4F3D-B150-DCB49F7C0E51}"/>
    <cellStyle name="Normal 3 2 2 6 4" xfId="1225" xr:uid="{02586601-B854-4E4C-BD12-F705D243D17D}"/>
    <cellStyle name="Normal 3 2 2 7" xfId="1226" xr:uid="{F32D2ABF-CEE8-4FF6-9851-5142D82ED8E7}"/>
    <cellStyle name="Normal 3 2 2 7 2" xfId="1227" xr:uid="{7AFC2FE4-6EE6-4A5A-9B26-46FC0605AFEC}"/>
    <cellStyle name="Normal 3 2 2 7 3" xfId="1228" xr:uid="{C7DCCFFA-12E5-411B-980C-7DDB6EC28C32}"/>
    <cellStyle name="Normal 3 2 2 7 4" xfId="1229" xr:uid="{3931471D-05D3-4A43-9AFD-09738B9D2D40}"/>
    <cellStyle name="Normal 3 2 2 8" xfId="1230" xr:uid="{669E7D5C-DF46-4954-8B85-91DD7F12F6FD}"/>
    <cellStyle name="Normal 3 2 2 8 2" xfId="1231" xr:uid="{810AB964-04FD-4AED-A40F-C9569134CF54}"/>
    <cellStyle name="Normal 3 2 2 8 3" xfId="1232" xr:uid="{FA7F9ADB-FF30-4A09-A6DD-82E3BD5087E6}"/>
    <cellStyle name="Normal 3 2 2 8 4" xfId="1233" xr:uid="{41671C5B-9EB7-4F1D-930E-269CF0277FBE}"/>
    <cellStyle name="Normal 3 2 2 9" xfId="1234" xr:uid="{F09C9730-083E-4AA0-A53E-46B8C2E0A03A}"/>
    <cellStyle name="Normal 3 2 2 9 2" xfId="1235" xr:uid="{41598AE4-0AD2-4C42-BE73-EB1711A77271}"/>
    <cellStyle name="Normal 3 2 2 9 3" xfId="1236" xr:uid="{AC625F1C-54D8-43DC-B0A9-70FB977C91A3}"/>
    <cellStyle name="Normal 3 2 2 9 4" xfId="1237" xr:uid="{6199CCFB-6D58-4969-99AE-1BA8A7C61749}"/>
    <cellStyle name="Normal 3 2 20" xfId="1238" xr:uid="{6F478B0D-8302-4673-B47F-FD6D07BE7E1F}"/>
    <cellStyle name="Normal 3 2 20 2" xfId="1239" xr:uid="{18C16F92-59F2-4013-9144-20B25277E6EF}"/>
    <cellStyle name="Normal 3 2 20 3" xfId="1240" xr:uid="{22FBD4D8-5D44-430B-83A5-BCB51DEC9F7C}"/>
    <cellStyle name="Normal 3 2 21" xfId="1241" xr:uid="{EF8B227D-FD0C-4063-9111-76942EF7FDE7}"/>
    <cellStyle name="Normal 3 2 21 2" xfId="1242" xr:uid="{8437E616-DA5A-4E1E-A726-E8DABDEBAB10}"/>
    <cellStyle name="Normal 3 2 21 3" xfId="1243" xr:uid="{E43E6A8C-BDFE-4648-981C-D630D3750139}"/>
    <cellStyle name="Normal 3 2 22" xfId="1244" xr:uid="{0B15CBCF-8DD1-4EE6-8872-005B841429CD}"/>
    <cellStyle name="Normal 3 2 22 2" xfId="1245" xr:uid="{5A3A51AD-8941-42E4-9404-F385B528AA6A}"/>
    <cellStyle name="Normal 3 2 22 3" xfId="1246" xr:uid="{3941D184-6E34-4697-AA4C-FD9AAC8653F0}"/>
    <cellStyle name="Normal 3 2 23" xfId="1247" xr:uid="{B9C077A3-1A78-4EEB-A85D-6E48783A8A87}"/>
    <cellStyle name="Normal 3 2 23 2" xfId="1248" xr:uid="{C34E6A2A-B138-403F-9B03-257C67430C21}"/>
    <cellStyle name="Normal 3 2 23 3" xfId="1249" xr:uid="{5AD2E333-1B33-4F8E-925D-326913E180D3}"/>
    <cellStyle name="Normal 3 2 24" xfId="1250" xr:uid="{82049867-EA49-4818-A674-0D80714C68E8}"/>
    <cellStyle name="Normal 3 2 24 2" xfId="1251" xr:uid="{B5AE004E-14FF-40C7-AAB5-1E1159B0EEF2}"/>
    <cellStyle name="Normal 3 2 24 3" xfId="1252" xr:uid="{05C6379C-4D46-4273-A90C-EAB3506401A6}"/>
    <cellStyle name="Normal 3 2 25" xfId="1253" xr:uid="{4BE33445-7548-4994-BC26-937EE2F861CF}"/>
    <cellStyle name="Normal 3 2 25 2" xfId="1254" xr:uid="{892CCAEB-F414-4B6B-AAD0-70C9E9B21860}"/>
    <cellStyle name="Normal 3 2 25 3" xfId="1255" xr:uid="{C2AEC91E-4B41-471D-97B9-7531692D9784}"/>
    <cellStyle name="Normal 3 2 26" xfId="1256" xr:uid="{08995E5C-DDAC-4088-9EF0-D195716581AA}"/>
    <cellStyle name="Normal 3 2 26 2" xfId="1257" xr:uid="{3DA661A0-949E-4C2B-B811-839C6ABC6693}"/>
    <cellStyle name="Normal 3 2 26 3" xfId="1258" xr:uid="{1ADD902A-0926-4466-A4A5-03D56FDDC48F}"/>
    <cellStyle name="Normal 3 2 27" xfId="1259" xr:uid="{4056533D-A951-4F1E-A5C3-F08DFE4BB2D9}"/>
    <cellStyle name="Normal 3 2 27 2" xfId="1260" xr:uid="{D999DFC5-AFC5-4D69-9EBC-F5037937AC6F}"/>
    <cellStyle name="Normal 3 2 27 3" xfId="1261" xr:uid="{D0A557B0-58CA-48AF-8CCF-CBF932D4578A}"/>
    <cellStyle name="Normal 3 2 28" xfId="1262" xr:uid="{A4957921-38D6-4D34-8BF5-37D3321E688B}"/>
    <cellStyle name="Normal 3 2 28 2" xfId="1263" xr:uid="{1A046DB0-B104-4901-A6A5-1A909E7701BB}"/>
    <cellStyle name="Normal 3 2 28 3" xfId="1264" xr:uid="{2B286DBE-FE4E-4EE8-95A0-27E1F8FE2135}"/>
    <cellStyle name="Normal 3 2 29" xfId="1265" xr:uid="{8BF650B6-BF88-416B-A0F7-4F5D4E81A7D3}"/>
    <cellStyle name="Normal 3 2 29 2" xfId="1266" xr:uid="{F1EEDF56-6BFC-4567-88BD-0CBDFEC7BDBF}"/>
    <cellStyle name="Normal 3 2 29 3" xfId="1267" xr:uid="{9EE1594E-AADE-4CCF-8D3D-2D2AD9ACA233}"/>
    <cellStyle name="Normal 3 2 3" xfId="1268" xr:uid="{ED57D70E-D245-4625-AD66-9BBADD1E12BB}"/>
    <cellStyle name="Normal 3 2 3 2" xfId="1269" xr:uid="{4ED09A6A-60A0-4C25-BF18-7D25E5D90B82}"/>
    <cellStyle name="Normal 3 2 3 3" xfId="1270" xr:uid="{922035F7-C00D-4731-B421-F0015D31E576}"/>
    <cellStyle name="Normal 3 2 30" xfId="1271" xr:uid="{6B8E6CDC-5215-4EEF-BDA0-8C80A226DF75}"/>
    <cellStyle name="Normal 3 2 30 2" xfId="1272" xr:uid="{6A5B5A95-A956-437D-9F51-0ED6D478F012}"/>
    <cellStyle name="Normal 3 2 30 3" xfId="1273" xr:uid="{CE03561D-6A1F-463B-A1C3-FB6FF8CFE14F}"/>
    <cellStyle name="Normal 3 2 31" xfId="1274" xr:uid="{9A25471A-1B10-4187-9849-DFE3B5579FAE}"/>
    <cellStyle name="Normal 3 2 31 2" xfId="1275" xr:uid="{B4095AAA-A37E-4FAA-BB79-2BD9FF1E1D40}"/>
    <cellStyle name="Normal 3 2 31 3" xfId="1276" xr:uid="{DA2CFB66-150C-4DA4-8233-FA24EC537BC7}"/>
    <cellStyle name="Normal 3 2 32" xfId="1277" xr:uid="{300469EA-F8D6-42E0-9184-0226D26F2398}"/>
    <cellStyle name="Normal 3 2 32 2" xfId="1278" xr:uid="{B1406686-5381-4410-990D-C6F317952ED0}"/>
    <cellStyle name="Normal 3 2 32 3" xfId="1279" xr:uid="{6AB4CC00-CB04-42CC-8623-607DD3608F68}"/>
    <cellStyle name="Normal 3 2 33" xfId="1280" xr:uid="{A306C34F-B0B4-45F9-AF44-65AEDE9190AA}"/>
    <cellStyle name="Normal 3 2 33 2" xfId="1281" xr:uid="{F9224DBB-E2D3-4609-A00D-E4B554CFD298}"/>
    <cellStyle name="Normal 3 2 33 3" xfId="1282" xr:uid="{77B103D7-8BDB-495F-94B4-4B7054AEE760}"/>
    <cellStyle name="Normal 3 2 34" xfId="1283" xr:uid="{76B34311-D381-4F42-9B08-CFA7AC87BD90}"/>
    <cellStyle name="Normal 3 2 34 2" xfId="1284" xr:uid="{18797658-8679-4E5B-8117-5A9C4748841F}"/>
    <cellStyle name="Normal 3 2 34 3" xfId="1285" xr:uid="{5B9E1B3D-1B85-4EB3-BAED-71AD95FE8843}"/>
    <cellStyle name="Normal 3 2 35" xfId="1286" xr:uid="{9A18C0D0-758D-468C-931D-1EA597E76F0A}"/>
    <cellStyle name="Normal 3 2 35 2" xfId="1287" xr:uid="{CDAA5BB1-D58E-46EA-991B-6D961B7D382C}"/>
    <cellStyle name="Normal 3 2 35 3" xfId="1288" xr:uid="{00F8AB6C-EF21-4375-B016-0232C9E8F8C8}"/>
    <cellStyle name="Normal 3 2 36" xfId="1289" xr:uid="{5C52A191-43FB-4A3F-B565-ACFFF59401D4}"/>
    <cellStyle name="Normal 3 2 36 2" xfId="1290" xr:uid="{1B9654F6-32E6-4B82-ABED-249C52BBD6C3}"/>
    <cellStyle name="Normal 3 2 36 3" xfId="1291" xr:uid="{A2251567-4224-425C-8543-3C21D335ACAA}"/>
    <cellStyle name="Normal 3 2 37" xfId="1292" xr:uid="{84E08087-5738-470E-8B78-91DDC7E79C24}"/>
    <cellStyle name="Normal 3 2 37 2" xfId="1293" xr:uid="{52F9D8DC-5223-4F8E-A106-B9DD004D4624}"/>
    <cellStyle name="Normal 3 2 37 3" xfId="1294" xr:uid="{3D391276-80F7-404A-A06D-A52CC153C92E}"/>
    <cellStyle name="Normal 3 2 38" xfId="1295" xr:uid="{B7D5ED91-FA31-4BAD-B430-1FB748F1C867}"/>
    <cellStyle name="Normal 3 2 38 2" xfId="1296" xr:uid="{BC7D9E4E-0099-428F-8553-15225CB3B22C}"/>
    <cellStyle name="Normal 3 2 38 3" xfId="1297" xr:uid="{65C534F9-FEB5-43C6-89A9-F774F0472FF1}"/>
    <cellStyle name="Normal 3 2 39" xfId="1298" xr:uid="{5D2EB4E6-7AA5-4839-A390-6023AE0954F4}"/>
    <cellStyle name="Normal 3 2 39 2" xfId="1299" xr:uid="{B0D47C45-1F94-4E14-82CD-967C9E2DF3C5}"/>
    <cellStyle name="Normal 3 2 39 3" xfId="1300" xr:uid="{48C3A183-95FB-44A1-829A-8A9CEBDDFF80}"/>
    <cellStyle name="Normal 3 2 4" xfId="1301" xr:uid="{79B38EC1-5708-4697-A4BF-2BBC61F0D69B}"/>
    <cellStyle name="Normal 3 2 4 2" xfId="1302" xr:uid="{8E628D2D-67CB-40F4-88CA-5B2D74855E83}"/>
    <cellStyle name="Normal 3 2 4 3" xfId="1303" xr:uid="{67E01A69-4F83-43DB-BCF1-908059658565}"/>
    <cellStyle name="Normal 3 2 40" xfId="1304" xr:uid="{E0BC2445-8081-411A-AFAB-1698C14ECD2D}"/>
    <cellStyle name="Normal 3 2 40 2" xfId="1305" xr:uid="{25A67241-F160-423C-8FE5-BF4F6FBCC232}"/>
    <cellStyle name="Normal 3 2 40 3" xfId="1306" xr:uid="{CE958A81-A53E-4CC0-8370-71727FB6E69C}"/>
    <cellStyle name="Normal 3 2 41" xfId="1307" xr:uid="{161FF723-1DAF-4C5B-ABDA-DE4445D58FCA}"/>
    <cellStyle name="Normal 3 2 41 2" xfId="1308" xr:uid="{6986F72C-8ADC-4D5B-8C1B-18360CCE1A16}"/>
    <cellStyle name="Normal 3 2 41 3" xfId="1309" xr:uid="{84A995B0-8B96-47D9-8209-1D5A3EB7F3E7}"/>
    <cellStyle name="Normal 3 2 42" xfId="1310" xr:uid="{4B219E93-FE57-4EDD-A073-36FE2BF64CF6}"/>
    <cellStyle name="Normal 3 2 42 2" xfId="1311" xr:uid="{FCF78A53-8382-407B-94CB-7C96B725B822}"/>
    <cellStyle name="Normal 3 2 42 3" xfId="1312" xr:uid="{3A924397-D85C-4280-809C-FD10C771BF5A}"/>
    <cellStyle name="Normal 3 2 43" xfId="1313" xr:uid="{AAEAB1D3-DA5E-4093-889D-B909A0B96DC5}"/>
    <cellStyle name="Normal 3 2 43 2" xfId="1314" xr:uid="{2E048064-2306-4605-95CA-5B6833B6DD81}"/>
    <cellStyle name="Normal 3 2 43 3" xfId="1315" xr:uid="{44CED30C-9B95-400C-8AEA-E88697058B17}"/>
    <cellStyle name="Normal 3 2 44" xfId="1316" xr:uid="{13A7756F-77A3-459B-99E2-7AE9663B590B}"/>
    <cellStyle name="Normal 3 2 44 2" xfId="1317" xr:uid="{11647908-520A-40FA-8879-139575F72E02}"/>
    <cellStyle name="Normal 3 2 44 3" xfId="1318" xr:uid="{BE69ABCA-6763-4F36-9B53-F5587331DEA2}"/>
    <cellStyle name="Normal 3 2 45" xfId="1319" xr:uid="{28D61A0F-3620-4DC2-A15F-1308B28DEEE6}"/>
    <cellStyle name="Normal 3 2 45 2" xfId="1320" xr:uid="{79B3D341-BF35-4558-94CB-B7F25819F95E}"/>
    <cellStyle name="Normal 3 2 45 3" xfId="1321" xr:uid="{11ACFA2A-A78D-4962-84D9-57387E8B736A}"/>
    <cellStyle name="Normal 3 2 46" xfId="1322" xr:uid="{F589CC34-C173-4109-974F-0858E7A67983}"/>
    <cellStyle name="Normal 3 2 46 2" xfId="1323" xr:uid="{5F24999E-04F8-47AE-BB7F-81DEF2A4EE50}"/>
    <cellStyle name="Normal 3 2 46 3" xfId="1324" xr:uid="{A8848D95-AA91-4218-B07A-FEB2605A2B03}"/>
    <cellStyle name="Normal 3 2 47" xfId="1325" xr:uid="{530A3E2F-B674-4ED0-B3BB-D7842B6C6977}"/>
    <cellStyle name="Normal 3 2 47 2" xfId="1326" xr:uid="{0C0831C4-2941-4AD1-BBA2-28A82A5B5025}"/>
    <cellStyle name="Normal 3 2 47 3" xfId="1327" xr:uid="{F61D23F6-47E4-4797-BDFE-E04C5D46FBD0}"/>
    <cellStyle name="Normal 3 2 48" xfId="1328" xr:uid="{643B0E96-0CFB-4BB1-A331-851E1EF94712}"/>
    <cellStyle name="Normal 3 2 48 3 4" xfId="97" xr:uid="{000F5FD6-B97B-46CF-860F-FEAFBB172350}"/>
    <cellStyle name="Normal 3 2 49" xfId="1329" xr:uid="{B1445DB3-4F99-439C-BE70-3811222E7343}"/>
    <cellStyle name="Normal 3 2 5" xfId="1330" xr:uid="{853C871A-BE2D-4972-B4E7-3A8C29C55FCD}"/>
    <cellStyle name="Normal 3 2 5 2" xfId="1331" xr:uid="{613BC2D4-DA90-4583-94D7-163787C2F7C9}"/>
    <cellStyle name="Normal 3 2 5 3" xfId="1332" xr:uid="{436D69EA-6726-4C15-AFB3-FEA085B8E16F}"/>
    <cellStyle name="Normal 3 2 50" xfId="1333" xr:uid="{881590B2-9D81-40B6-90DC-0E47334E3FB9}"/>
    <cellStyle name="Normal 3 2 51" xfId="1020" xr:uid="{4BD5F049-F6D0-4392-A851-009F78F2A03A}"/>
    <cellStyle name="Normal 3 2 51 4" xfId="99" xr:uid="{BE65B30B-824B-4F83-990A-81A45FE0B014}"/>
    <cellStyle name="Normal 3 2 6" xfId="1334" xr:uid="{D5440474-398D-48DD-9989-CAC0E71593B8}"/>
    <cellStyle name="Normal 3 2 6 2" xfId="1335" xr:uid="{2A684348-29BB-4075-9FCA-E1EFB49F518C}"/>
    <cellStyle name="Normal 3 2 6 3" xfId="1336" xr:uid="{06536141-6401-470E-8765-65E44F83CEDC}"/>
    <cellStyle name="Normal 3 2 7" xfId="1337" xr:uid="{ED9A5FCA-37F3-4638-9109-1C0FA867C62F}"/>
    <cellStyle name="Normal 3 2 7 2" xfId="1338" xr:uid="{3BA1757D-AF32-48A4-98E8-E2FBE2A963B9}"/>
    <cellStyle name="Normal 3 2 7 3" xfId="1339" xr:uid="{279BF652-1698-49DB-A665-140A4A3E98EC}"/>
    <cellStyle name="Normal 3 2 8" xfId="1340" xr:uid="{4E43992F-9B7A-404B-8332-F52A4B68130A}"/>
    <cellStyle name="Normal 3 2 8 2" xfId="1341" xr:uid="{4FD67C12-86B5-406E-A388-3F3D68D7A1A7}"/>
    <cellStyle name="Normal 3 2 8 3" xfId="1342" xr:uid="{80EC1B6C-F11A-47AB-A4AA-65E26D233AB8}"/>
    <cellStyle name="Normal 3 2 9" xfId="1343" xr:uid="{F2AA8D23-C1D2-479F-8D79-352D90279FAE}"/>
    <cellStyle name="Normal 3 2 9 2" xfId="1344" xr:uid="{40B7D024-A8A6-4376-96D5-8364678A754F}"/>
    <cellStyle name="Normal 3 2 9 3" xfId="1345" xr:uid="{DEBF93CC-3EED-4BEE-A32E-C22DB12FBD1C}"/>
    <cellStyle name="Normal 3 20" xfId="1346" xr:uid="{FF276C50-8CED-44A5-90B5-539B20B5272B}"/>
    <cellStyle name="Normal 3 20 2" xfId="1347" xr:uid="{7E843DE6-097B-4186-A6F1-08ED09DF4700}"/>
    <cellStyle name="Normal 3 20 3" xfId="1348" xr:uid="{3A441D33-4638-4AD1-A409-5B27AB3CC483}"/>
    <cellStyle name="Normal 3 20 4" xfId="1349" xr:uid="{A5394EB1-8B85-47C0-91B0-30940A4FB99E}"/>
    <cellStyle name="Normal 3 21" xfId="1350" xr:uid="{7EB861DA-A0A0-46B4-85D2-1C014264C71A}"/>
    <cellStyle name="Normal 3 21 2" xfId="1351" xr:uid="{2F5BB35A-954E-4E29-B946-D545D582B08E}"/>
    <cellStyle name="Normal 3 21 3" xfId="1352" xr:uid="{E67AFDF4-1A98-4DC7-8787-EA32E571A37B}"/>
    <cellStyle name="Normal 3 21 4" xfId="1353" xr:uid="{68FCCCCE-A3F4-4C44-80DD-CB8AAA475AC6}"/>
    <cellStyle name="Normal 3 22" xfId="1354" xr:uid="{85161999-683C-4445-B2EF-7C7CDC69D102}"/>
    <cellStyle name="Normal 3 22 2" xfId="1355" xr:uid="{91051EC8-8196-4CF1-AF93-4D1E01F11752}"/>
    <cellStyle name="Normal 3 22 3" xfId="1356" xr:uid="{DCCD5AB2-39AE-4DC7-A70F-8F606FB7DB0B}"/>
    <cellStyle name="Normal 3 22 4" xfId="1357" xr:uid="{52BD2501-3ED8-4952-98D5-969448F7AF84}"/>
    <cellStyle name="Normal 3 23" xfId="1358" xr:uid="{DA47E122-3031-4A9A-9081-E53704119ECE}"/>
    <cellStyle name="Normal 3 23 2" xfId="1359" xr:uid="{00B966D7-58F5-4F2A-B5B8-668AFA68C67E}"/>
    <cellStyle name="Normal 3 23 3" xfId="1360" xr:uid="{5CA202B2-FDED-493D-96E2-C720F65C998C}"/>
    <cellStyle name="Normal 3 23 4" xfId="1361" xr:uid="{7D15398A-5894-4895-AF30-E7BC1D435176}"/>
    <cellStyle name="Normal 3 24" xfId="1362" xr:uid="{BE43CEB6-6AF8-4EE1-AE05-E8CF201B4066}"/>
    <cellStyle name="Normal 3 24 2" xfId="1363" xr:uid="{FA4E617F-7B08-41A1-89BF-B9607E89BFEB}"/>
    <cellStyle name="Normal 3 24 3" xfId="1364" xr:uid="{E63E82DF-2F0C-4D4D-9E55-C898A0C5CB13}"/>
    <cellStyle name="Normal 3 24 4" xfId="1365" xr:uid="{C405B8ED-FB4F-414A-8616-DEA9AF4E72AF}"/>
    <cellStyle name="Normal 3 25" xfId="1366" xr:uid="{6C5B0033-BDA5-40AD-A76A-425A8425A55A}"/>
    <cellStyle name="Normal 3 25 2" xfId="1367" xr:uid="{F6D82059-6CEA-4E3C-B4B1-FFAA112CC64B}"/>
    <cellStyle name="Normal 3 25 3" xfId="1368" xr:uid="{F4E28BB5-F3F9-4E29-9A7B-7238A0E850A6}"/>
    <cellStyle name="Normal 3 25 4" xfId="1369" xr:uid="{2688A424-B42E-44C6-81E7-68BDEBCC71FC}"/>
    <cellStyle name="Normal 3 26" xfId="1370" xr:uid="{DF040D99-6643-4017-BB26-33AC84B782FF}"/>
    <cellStyle name="Normal 3 26 2" xfId="1371" xr:uid="{08E6DF16-7B16-44E5-A922-05E1A4DFDDEA}"/>
    <cellStyle name="Normal 3 26 3" xfId="1372" xr:uid="{08A1151D-9A05-4045-AE99-414E24F002FD}"/>
    <cellStyle name="Normal 3 26 4" xfId="1373" xr:uid="{5CC6EF1A-8815-4F01-BF18-9F98F5816A3A}"/>
    <cellStyle name="Normal 3 27" xfId="1374" xr:uid="{8ED1EE07-AFC4-4C59-A734-52788F516479}"/>
    <cellStyle name="Normal 3 27 2" xfId="1375" xr:uid="{60020E3D-51CC-4BB1-A74C-A90A8686EEE7}"/>
    <cellStyle name="Normal 3 27 3" xfId="1376" xr:uid="{13F3929A-6B61-4BF6-8681-4960B5B8A84E}"/>
    <cellStyle name="Normal 3 27 4" xfId="1377" xr:uid="{6B425C1D-BEA0-4BA3-892D-81CE0260DA1F}"/>
    <cellStyle name="Normal 3 28" xfId="1378" xr:uid="{511769F5-896E-4DA6-94B7-7EBA0A29E462}"/>
    <cellStyle name="Normal 3 28 2" xfId="1379" xr:uid="{F5A25FB9-216E-46F7-9199-BB069679FBBC}"/>
    <cellStyle name="Normal 3 28 3" xfId="1380" xr:uid="{3352437F-B99F-4FE9-A3DC-41A1FE50C53F}"/>
    <cellStyle name="Normal 3 28 4" xfId="1381" xr:uid="{095682AD-C799-428F-8D98-B992706833ED}"/>
    <cellStyle name="Normal 3 29" xfId="1382" xr:uid="{DA3EE9FD-A1CD-43CB-9891-97E9013F3E39}"/>
    <cellStyle name="Normal 3 29 2" xfId="1383" xr:uid="{8D73D67E-AE6A-4E27-8E88-7A5F97C56FF3}"/>
    <cellStyle name="Normal 3 29 3" xfId="1384" xr:uid="{0B065C20-436E-4925-902D-7C0FDA0C48EA}"/>
    <cellStyle name="Normal 3 29 4" xfId="1385" xr:uid="{92DAB90B-F7D5-4E85-BC47-CD7C45B5F891}"/>
    <cellStyle name="Normal 3 3" xfId="1386" xr:uid="{1A24BE20-6176-48D7-9CE3-5AD69CEF34E0}"/>
    <cellStyle name="Normal 3 3 2" xfId="1387" xr:uid="{5E3E1203-3100-4618-852B-E3E73055EFD8}"/>
    <cellStyle name="Normal 3 3 3" xfId="1388" xr:uid="{1BC6ED0B-4647-407A-AC82-7D140CA5DFFA}"/>
    <cellStyle name="Normal 3 3 4" xfId="1389" xr:uid="{ED70A245-8A41-4592-9B01-C61AC2A8A22F}"/>
    <cellStyle name="Normal 3 30" xfId="1390" xr:uid="{258D3907-5EF5-44CF-8C59-A5BBCE4E124B}"/>
    <cellStyle name="Normal 3 30 2" xfId="1391" xr:uid="{BF7D88D1-B29F-414F-B17F-9CB13AFEF7AC}"/>
    <cellStyle name="Normal 3 30 3" xfId="1392" xr:uid="{DA486C67-7875-4F57-B93E-4AEC1A9713DC}"/>
    <cellStyle name="Normal 3 30 4" xfId="1393" xr:uid="{10268B9E-E5B3-4B08-91DA-79AB44C48DA1}"/>
    <cellStyle name="Normal 3 31" xfId="1394" xr:uid="{5A58BF24-E718-4D80-AC19-A8F61D5B1506}"/>
    <cellStyle name="Normal 3 31 2" xfId="1395" xr:uid="{93FCDB24-D6AF-4E71-A870-7385D589F936}"/>
    <cellStyle name="Normal 3 31 3" xfId="1396" xr:uid="{B09C19F1-C328-4467-BD5D-36F1C7476496}"/>
    <cellStyle name="Normal 3 31 4" xfId="1397" xr:uid="{559F61D6-D9D0-4026-92D5-C41922495FDE}"/>
    <cellStyle name="Normal 3 32" xfId="1398" xr:uid="{80F887EF-BCF7-4B41-946C-7407156D2176}"/>
    <cellStyle name="Normal 3 32 2" xfId="1399" xr:uid="{1FFED6B8-7586-438D-A60A-2C50EEB4C624}"/>
    <cellStyle name="Normal 3 32 3" xfId="1400" xr:uid="{B3E0A28A-9CF2-485B-A517-DB1253396CF3}"/>
    <cellStyle name="Normal 3 32 4" xfId="1401" xr:uid="{19AB5B88-302A-4EAE-8C8D-12C63C19EF75}"/>
    <cellStyle name="Normal 3 33" xfId="1402" xr:uid="{2EA8F8D5-88F8-43F1-8B33-41F9C58509BC}"/>
    <cellStyle name="Normal 3 33 2" xfId="1403" xr:uid="{F46056A0-21EA-4B40-8D9A-62760F039B22}"/>
    <cellStyle name="Normal 3 33 3" xfId="1404" xr:uid="{D08C6BD5-5C82-4F81-B4BF-9FA5C60CC1DA}"/>
    <cellStyle name="Normal 3 33 4" xfId="1405" xr:uid="{F644DE5D-A560-497B-A360-D7802EE4553E}"/>
    <cellStyle name="Normal 3 34" xfId="1406" xr:uid="{DFFD95EB-FE80-4E74-B472-CEEB96E5CAE1}"/>
    <cellStyle name="Normal 3 34 2" xfId="1407" xr:uid="{92A1E6A2-FC32-4CDA-95E5-81BED14AB011}"/>
    <cellStyle name="Normal 3 34 3" xfId="1408" xr:uid="{CCE03ED3-DB15-4B5C-8C3E-D4F3FDF66684}"/>
    <cellStyle name="Normal 3 34 4" xfId="1409" xr:uid="{13F5C117-8194-41CB-8EF3-1FABCAD165DD}"/>
    <cellStyle name="Normal 3 35" xfId="11" xr:uid="{F79E1617-8788-4DD7-B906-B625A9B9533D}"/>
    <cellStyle name="Normal 3 35 2" xfId="1411" xr:uid="{F59359CA-41D9-4F90-90C3-872EC4EC92CC}"/>
    <cellStyle name="Normal 3 35 3" xfId="1412" xr:uid="{1FD8D386-97EF-4C59-8746-D83FA3A59D9C}"/>
    <cellStyle name="Normal 3 35 4" xfId="1413" xr:uid="{6C5CD503-366E-47D9-8713-C458CF8A61FA}"/>
    <cellStyle name="Normal 3 35 5" xfId="1410" xr:uid="{8C7544C7-EEE0-4869-B9C8-B4701DD3899A}"/>
    <cellStyle name="Normal 3 36" xfId="1414" xr:uid="{07F7B7B2-E38F-4350-944F-8877515B15FC}"/>
    <cellStyle name="Normal 3 36 2" xfId="1415" xr:uid="{F8EBEF9A-B96C-4B52-BEC3-EB106669F4F7}"/>
    <cellStyle name="Normal 3 36 3" xfId="1416" xr:uid="{7F4767FA-44AB-4851-A5ED-942D737397EA}"/>
    <cellStyle name="Normal 3 36 4" xfId="1417" xr:uid="{86BBE707-432D-4577-A13C-EB0645AE586A}"/>
    <cellStyle name="Normal 3 37" xfId="1418" xr:uid="{0EA922A9-E59D-4F79-8F00-9CC48D4FFE89}"/>
    <cellStyle name="Normal 3 37 2" xfId="1419" xr:uid="{83E8508C-6B47-4796-B239-AD810A5DAA16}"/>
    <cellStyle name="Normal 3 37 3" xfId="1420" xr:uid="{EAF273F5-9D71-4CB9-BA05-B7108505400D}"/>
    <cellStyle name="Normal 3 37 4" xfId="1421" xr:uid="{83363925-CF03-42D1-AA35-FDAA9372D7F7}"/>
    <cellStyle name="Normal 3 38" xfId="1422" xr:uid="{D18FC359-0AC1-4075-925B-FAB0E87BF723}"/>
    <cellStyle name="Normal 3 38 2" xfId="1423" xr:uid="{B29254E9-D371-42EF-9322-C064092316DC}"/>
    <cellStyle name="Normal 3 38 3" xfId="1424" xr:uid="{665AB007-5059-41D4-9A66-FFD4D0C49E63}"/>
    <cellStyle name="Normal 3 38 4" xfId="1425" xr:uid="{83EE9662-73D4-4240-8324-8E5754E7E811}"/>
    <cellStyle name="Normal 3 39" xfId="1426" xr:uid="{79767259-5DED-42CD-B41A-CF442AF8BFEA}"/>
    <cellStyle name="Normal 3 39 2" xfId="1427" xr:uid="{E5889F96-A7E1-49EF-8B7B-8CE55B8AC385}"/>
    <cellStyle name="Normal 3 39 3" xfId="1428" xr:uid="{C387920C-487C-4E40-B3D2-680E51356122}"/>
    <cellStyle name="Normal 3 39 4" xfId="1429" xr:uid="{EEB470C0-5459-4D69-AEC4-1C23880F2609}"/>
    <cellStyle name="Normal 3 4" xfId="1430" xr:uid="{48E6532C-D850-433C-AC8B-6729C312D477}"/>
    <cellStyle name="Normal 3 4 2" xfId="1431" xr:uid="{B7661711-3CC8-4856-B725-EEED39DE8D5B}"/>
    <cellStyle name="Normal 3 4 3" xfId="1432" xr:uid="{B4BCAAD5-ACBD-4CAB-A629-A67366B1B9E1}"/>
    <cellStyle name="Normal 3 4 4" xfId="1433" xr:uid="{F949B37E-98B7-4BBB-BD33-74DE8AF262CA}"/>
    <cellStyle name="Normal 3 40" xfId="1434" xr:uid="{347140FE-1454-43F9-87AB-F4E0C71950B4}"/>
    <cellStyle name="Normal 3 40 2" xfId="1435" xr:uid="{F925E8D9-DD58-4F88-8967-FE713C1A117B}"/>
    <cellStyle name="Normal 3 40 3" xfId="1436" xr:uid="{AA30637E-20E3-4AE3-8C29-50A42D8DEB40}"/>
    <cellStyle name="Normal 3 40 4" xfId="1437" xr:uid="{2179347B-DA9B-49E9-A70F-23AB39B0E4C7}"/>
    <cellStyle name="Normal 3 41" xfId="1438" xr:uid="{B7228F12-8F30-42C8-8CD9-53CB6E11573E}"/>
    <cellStyle name="Normal 3 41 2" xfId="1439" xr:uid="{31B52C1B-6516-4236-AE27-4097380C802F}"/>
    <cellStyle name="Normal 3 41 3" xfId="1440" xr:uid="{4DB24DC0-2C4D-48AB-AD1D-31C5EE7FBC1F}"/>
    <cellStyle name="Normal 3 41 4" xfId="1441" xr:uid="{8B16B175-F54A-46DF-BA3F-3C6073F8955E}"/>
    <cellStyle name="Normal 3 42" xfId="1442" xr:uid="{FC94383D-6F7C-42F5-B486-119A8B8624F2}"/>
    <cellStyle name="Normal 3 42 2" xfId="1443" xr:uid="{3BF46A55-432F-4F80-9B0F-E29F8074C7C3}"/>
    <cellStyle name="Normal 3 42 3" xfId="1444" xr:uid="{73B45779-AB3E-4AA1-B8D8-9B03D8920E52}"/>
    <cellStyle name="Normal 3 42 4" xfId="1445" xr:uid="{072D667C-8C7E-4BCC-AC58-7ED5ED5886E6}"/>
    <cellStyle name="Normal 3 43" xfId="1446" xr:uid="{8C8CA970-8BC7-4930-B6EF-F078D42010CA}"/>
    <cellStyle name="Normal 3 43 2" xfId="1447" xr:uid="{17549DB9-C521-4ACC-B4B2-94F27C4696DB}"/>
    <cellStyle name="Normal 3 43 3" xfId="1448" xr:uid="{A879F893-1916-4062-B0B3-829F7146A2D5}"/>
    <cellStyle name="Normal 3 43 4" xfId="1449" xr:uid="{714A52BF-0B12-4C85-BDCB-6D0A729A5DB8}"/>
    <cellStyle name="Normal 3 44" xfId="1450" xr:uid="{601D796E-8066-4A00-A347-7DA4AD099578}"/>
    <cellStyle name="Normal 3 44 2" xfId="1451" xr:uid="{757E5E08-511B-49E8-9B5B-6DC644FFBB58}"/>
    <cellStyle name="Normal 3 44 3" xfId="1452" xr:uid="{629844EB-01BF-4256-9D8F-EBB6795463CE}"/>
    <cellStyle name="Normal 3 44 4" xfId="1453" xr:uid="{01CDF258-2DC4-4B3A-B8D8-160B704D7B21}"/>
    <cellStyle name="Normal 3 45" xfId="1454" xr:uid="{E6C55715-0283-4D76-BD5B-48EC09F4FA42}"/>
    <cellStyle name="Normal 3 45 2" xfId="1455" xr:uid="{B977B19C-E75B-433E-880A-8FA25883B8B3}"/>
    <cellStyle name="Normal 3 45 3" xfId="1456" xr:uid="{5D1F0B09-4586-4B08-948B-6BDD9F9FD231}"/>
    <cellStyle name="Normal 3 45 4" xfId="1457" xr:uid="{CEB13549-201B-4F56-BBA4-CDE6615E5EF8}"/>
    <cellStyle name="Normal 3 46" xfId="1458" xr:uid="{95C039DD-B781-4107-9BEE-0FCC8B590698}"/>
    <cellStyle name="Normal 3 46 2" xfId="1459" xr:uid="{B6042687-98DC-4C1B-AF62-F95BFFB92C55}"/>
    <cellStyle name="Normal 3 46 3" xfId="1460" xr:uid="{E224C298-2F81-4192-B909-98C14266A447}"/>
    <cellStyle name="Normal 3 46 4" xfId="1461" xr:uid="{EB0CAB62-1715-49C7-A160-98355AD1FAD8}"/>
    <cellStyle name="Normal 3 47" xfId="1462" xr:uid="{94239495-44F8-48D5-96F0-86E98C49A7DF}"/>
    <cellStyle name="Normal 3 47 2" xfId="1463" xr:uid="{6EF108C1-A89D-4071-AB15-A450BA7A4ED8}"/>
    <cellStyle name="Normal 3 47 3" xfId="1464" xr:uid="{AD819E3A-16F4-4700-BFB2-BFB1A2BF7EBB}"/>
    <cellStyle name="Normal 3 47 4" xfId="1465" xr:uid="{7CF85EBD-A403-4BA3-97CF-6CA2AD88FAFB}"/>
    <cellStyle name="Normal 3 48" xfId="1466" xr:uid="{57C7E0A8-947A-40B0-A99F-C5416FBC785F}"/>
    <cellStyle name="Normal 3 48 2" xfId="1467" xr:uid="{F5E97FA8-11DC-4C64-A345-3AD93052B971}"/>
    <cellStyle name="Normal 3 48 2 2" xfId="2234" xr:uid="{E9A90842-1064-45AF-97C0-0D98C705324A}"/>
    <cellStyle name="Normal 3 48 3" xfId="1468" xr:uid="{A9375164-3684-4D96-8336-C7A05B8A3788}"/>
    <cellStyle name="Normal 3 48 4" xfId="1469" xr:uid="{FA659E95-CA63-4903-8A11-96E2EA724338}"/>
    <cellStyle name="Normal 3 48 5" xfId="74" xr:uid="{106E49E9-0007-46CB-8117-B3DE484F02A2}"/>
    <cellStyle name="Normal 3 49" xfId="1470" xr:uid="{BAC5FBD9-8C9F-4BC8-B7D2-22CFA18ECAF8}"/>
    <cellStyle name="Normal 3 5" xfId="1471" xr:uid="{FA156322-4E05-44AB-8DB6-8D2E260FE761}"/>
    <cellStyle name="Normal 3 5 2" xfId="1472" xr:uid="{F31DD51B-3F68-47D1-9374-764B317B2D71}"/>
    <cellStyle name="Normal 3 5 2 2" xfId="82" xr:uid="{AD157090-A3B9-477B-8B6A-AC64A9881F7E}"/>
    <cellStyle name="Normal 3 5 3" xfId="1473" xr:uid="{EFE7A1D1-A605-4343-8591-AAD9D7122F2D}"/>
    <cellStyle name="Normal 3 5 4" xfId="1474" xr:uid="{044FB9E0-6AFD-4669-9F7E-E295AEAA8FEF}"/>
    <cellStyle name="Normal 3 50" xfId="1475" xr:uid="{92D6433F-8E9A-461E-A54D-5A17EEC4D96F}"/>
    <cellStyle name="Normal 3 51" xfId="1476" xr:uid="{56575457-D2C4-4EAF-8483-A2D152ED832B}"/>
    <cellStyle name="Normal 3 52" xfId="1477" xr:uid="{A0EB6825-34E9-482C-A185-1FA12E63F68F}"/>
    <cellStyle name="Normal 3 53" xfId="107" xr:uid="{F3B4642F-F258-4711-8199-5CAA20013014}"/>
    <cellStyle name="Normal 3 56" xfId="123" xr:uid="{994BDFC2-E607-4A9F-9992-F644D29971E3}"/>
    <cellStyle name="Normal 3 6" xfId="1478" xr:uid="{6C45C063-EE4E-4A73-BA20-359894A836C4}"/>
    <cellStyle name="Normal 3 6 2" xfId="1479" xr:uid="{E255A734-2EAF-44BF-93E2-9513777548EB}"/>
    <cellStyle name="Normal 3 6 3" xfId="1480" xr:uid="{382472C7-24D6-465B-8C60-EC9DD7EC6643}"/>
    <cellStyle name="Normal 3 6 4" xfId="1481" xr:uid="{09B97E75-8A7B-455D-BC0B-AB6AC699EDB4}"/>
    <cellStyle name="Normal 3 7" xfId="1482" xr:uid="{854475F0-4B4C-4CC5-ADB3-7D8A3DB01250}"/>
    <cellStyle name="Normal 3 7 2" xfId="1483" xr:uid="{5BA682F3-6BE0-4617-A269-38706177BB09}"/>
    <cellStyle name="Normal 3 7 3" xfId="1484" xr:uid="{01AE816A-BD6D-4156-8D8B-8AFF3315C037}"/>
    <cellStyle name="Normal 3 7 4" xfId="1485" xr:uid="{31E2B245-14CE-483C-B0F9-9157F395AC4F}"/>
    <cellStyle name="Normal 3 8" xfId="1486" xr:uid="{CB9F487A-1D34-4CDC-AC26-57D6A1CB8B4E}"/>
    <cellStyle name="Normal 3 8 2" xfId="1487" xr:uid="{34E67ACE-A682-4EF5-A6C8-2BFA3DDB21F5}"/>
    <cellStyle name="Normal 3 8 3" xfId="1488" xr:uid="{A319ABD0-12F2-458D-9DAE-8266F8CCC2B3}"/>
    <cellStyle name="Normal 3 8 4" xfId="1489" xr:uid="{85594AFD-C05C-4D29-BC12-F5ED78CF0428}"/>
    <cellStyle name="Normal 3 9" xfId="1490" xr:uid="{A0C31F11-D9EE-492D-AE2F-ACA11C2AEEE9}"/>
    <cellStyle name="Normal 3 9 2" xfId="1491" xr:uid="{5DE497DB-84FA-4372-89EC-B218F8E520C6}"/>
    <cellStyle name="Normal 3 9 3" xfId="1492" xr:uid="{022FC027-1FF6-4C13-A1A6-6ACAE6373223}"/>
    <cellStyle name="Normal 3 9 4" xfId="1493" xr:uid="{F55B35C0-1736-47EF-AAFF-2DE1F3EE5D7B}"/>
    <cellStyle name="Normal 31" xfId="1494" xr:uid="{7FDD63AE-3227-4766-8CE3-71A2D5B6F6CC}"/>
    <cellStyle name="Normal 31 2" xfId="1495" xr:uid="{1B7F65D6-C5B5-4E11-8B09-40323E65D1D3}"/>
    <cellStyle name="Normal 31 2 2" xfId="1496" xr:uid="{5EA66479-33F7-44B1-AA79-90D6E0931FFE}"/>
    <cellStyle name="Normal 31 2 3" xfId="1497" xr:uid="{0074CC54-07A6-4110-8F1C-F8D38E33D3BF}"/>
    <cellStyle name="Normal 31 2 4" xfId="1498" xr:uid="{82A3AD14-D906-49BC-9F9D-CFC4BA9A6EF2}"/>
    <cellStyle name="Normal 31 3" xfId="1499" xr:uid="{47189B73-CFBE-40E6-BF8A-FAF389C22B63}"/>
    <cellStyle name="Normal 31 3 2" xfId="1500" xr:uid="{1AB12C2A-26B6-4A98-B5F5-924E6659A4DA}"/>
    <cellStyle name="Normal 31 3 2 2" xfId="1501" xr:uid="{19CB1195-C7F6-4C13-8D6F-A0D2DBFBB3B9}"/>
    <cellStyle name="Normal 31 3 2 3" xfId="1502" xr:uid="{04886774-72D6-49C8-8B52-805C45A1F6BA}"/>
    <cellStyle name="Normal 31 3 2 4" xfId="1503" xr:uid="{3F0290B7-D38A-4E4A-818A-DD7D50F4654F}"/>
    <cellStyle name="Normal 31 3 3" xfId="1504" xr:uid="{FBDAE2FB-EDA3-43F5-B99F-1612CA619276}"/>
    <cellStyle name="Normal 31 3 4" xfId="1505" xr:uid="{5408733B-C6C8-4375-812B-B3522F3EFF80}"/>
    <cellStyle name="Normal 31 3 5" xfId="1506" xr:uid="{90508178-E407-408C-AB9F-EFAF133E63C0}"/>
    <cellStyle name="Normal 31 4" xfId="1507" xr:uid="{FF45DEE1-DF30-4B70-95BA-5B39C5A675D3}"/>
    <cellStyle name="Normal 31 5" xfId="1508" xr:uid="{B3FF75E6-EDCD-4BE4-BDF4-057D5F4D539C}"/>
    <cellStyle name="Normal 31 6" xfId="1509" xr:uid="{00AACA3B-F692-4A8C-8DE2-DD08F1EAF5EB}"/>
    <cellStyle name="Normal 33" xfId="1510" xr:uid="{DD458952-1D04-480C-AA67-FBD868C793F1}"/>
    <cellStyle name="Normal 33 2" xfId="1511" xr:uid="{6413E2BC-4688-482D-BA71-48717B2C5048}"/>
    <cellStyle name="Normal 33 2 2" xfId="1512" xr:uid="{775A087D-2520-4EA7-8671-C7924B0173CD}"/>
    <cellStyle name="Normal 33 2 3" xfId="1513" xr:uid="{656EA47C-C633-49BC-9346-4B57DA7D064D}"/>
    <cellStyle name="Normal 33 2 4" xfId="1514" xr:uid="{34995764-BDD5-45C8-A8DB-1DD27E8AF41D}"/>
    <cellStyle name="Normal 33 3" xfId="1515" xr:uid="{95F18A6F-5F10-4E9C-A734-F5EE87686B5B}"/>
    <cellStyle name="Normal 33 3 2" xfId="1516" xr:uid="{3659DBA7-9E10-452E-A5C6-0DEB1692B48B}"/>
    <cellStyle name="Normal 33 3 2 2" xfId="1517" xr:uid="{194FDB1E-ECED-48F3-8323-0E5C0A094239}"/>
    <cellStyle name="Normal 33 3 2 3" xfId="1518" xr:uid="{BC0D7D7B-F1B2-4E14-9CC0-4EB176B5B323}"/>
    <cellStyle name="Normal 33 3 2 4" xfId="1519" xr:uid="{7CB1EAC0-70B0-4FD0-9E2D-BB435B3B3C59}"/>
    <cellStyle name="Normal 33 3 3" xfId="1520" xr:uid="{4E14EB3D-9401-4A17-87C8-B4AFDD6071CD}"/>
    <cellStyle name="Normal 33 3 4" xfId="1521" xr:uid="{987423CB-6BEF-4B71-9545-4F1B5D435FD4}"/>
    <cellStyle name="Normal 33 3 5" xfId="1522" xr:uid="{BD78A12A-C110-4F5E-8C2F-C06D8E1D815A}"/>
    <cellStyle name="Normal 33 4" xfId="1523" xr:uid="{DEC67375-5ED2-4515-B416-A3242DC40976}"/>
    <cellStyle name="Normal 33 5" xfId="1524" xr:uid="{2C1C62E2-0DDB-473B-BD62-FC001919172C}"/>
    <cellStyle name="Normal 33 6" xfId="1525" xr:uid="{EEE454C7-3D08-4604-A0F9-2AFFFF05CF0A}"/>
    <cellStyle name="Normal 35" xfId="1526" xr:uid="{17C46298-A48C-4279-8664-77C27753A8D2}"/>
    <cellStyle name="Normal 35 2" xfId="1527" xr:uid="{B65C0F2D-11A5-4C51-AFD3-EF4EE98EAEB0}"/>
    <cellStyle name="Normal 35 2 2" xfId="1528" xr:uid="{DEB85338-D1D2-4AB4-B4CF-359F6A79D59A}"/>
    <cellStyle name="Normal 35 2 3" xfId="1529" xr:uid="{E0614282-62D2-498F-9E22-C7B3BBEDE510}"/>
    <cellStyle name="Normal 35 2 4" xfId="1530" xr:uid="{6F95FA5D-1E1F-4FA4-B5A1-4348156ABF58}"/>
    <cellStyle name="Normal 35 3" xfId="1531" xr:uid="{4D0B02D8-48C1-45CC-8772-48FBE68E041E}"/>
    <cellStyle name="Normal 35 3 2" xfId="1532" xr:uid="{F49E55F7-99C0-4426-ACCA-41528BE83735}"/>
    <cellStyle name="Normal 35 3 2 2" xfId="1533" xr:uid="{8555CD26-C943-46E1-B479-48C1A365A8C5}"/>
    <cellStyle name="Normal 35 3 2 3" xfId="1534" xr:uid="{2AC7827F-C49D-4D5B-9828-5EE33255FD24}"/>
    <cellStyle name="Normal 35 3 2 4" xfId="1535" xr:uid="{796A71C4-654D-476B-BF56-9C025C3DBD1E}"/>
    <cellStyle name="Normal 35 3 3" xfId="1536" xr:uid="{96B1D1A1-1CFC-427F-B119-B8E1BA781D23}"/>
    <cellStyle name="Normal 35 3 4" xfId="1537" xr:uid="{D3AA976F-379C-490D-A8CA-44732ADB009A}"/>
    <cellStyle name="Normal 35 3 5" xfId="1538" xr:uid="{8583BEC0-971D-4165-89B2-95B70BC92AF5}"/>
    <cellStyle name="Normal 35 4" xfId="1539" xr:uid="{0461FCEA-AE17-493D-8428-E5C5D717FA4F}"/>
    <cellStyle name="Normal 35 5" xfId="1540" xr:uid="{8CE58965-4F95-4598-82FA-84649FC7F192}"/>
    <cellStyle name="Normal 35 6" xfId="1541" xr:uid="{D4E1D3DA-C95B-4D89-BAF8-BA59B015EC61}"/>
    <cellStyle name="Normal 36" xfId="1542" xr:uid="{3AFC2459-8B65-4F1B-AD78-120AC917484B}"/>
    <cellStyle name="Normal 36 2" xfId="1543" xr:uid="{99EA4C4F-AB09-4E57-A18F-C7F33BD4ACB9}"/>
    <cellStyle name="Normal 36 2 2" xfId="1544" xr:uid="{626B3FBB-25D9-4D80-9E2C-5D7AAA294A01}"/>
    <cellStyle name="Normal 36 2 3" xfId="1545" xr:uid="{AC9FB00A-0A55-48AE-BAC5-ECDC7D499C87}"/>
    <cellStyle name="Normal 36 2 4" xfId="1546" xr:uid="{E7AABC3F-0FD9-4E70-B22A-E50B215B889D}"/>
    <cellStyle name="Normal 36 3" xfId="1547" xr:uid="{8780A737-256B-4E71-B3CD-E6C90FF17189}"/>
    <cellStyle name="Normal 36 3 2" xfId="1548" xr:uid="{1F2D2D21-6185-4BBE-BDD2-1E8184A1EF31}"/>
    <cellStyle name="Normal 36 3 2 2" xfId="1549" xr:uid="{61621A10-9DDE-4E64-AAE8-1FEA53F445B1}"/>
    <cellStyle name="Normal 36 3 2 3" xfId="1550" xr:uid="{165144C8-E2FB-4077-9904-55AB36A65C10}"/>
    <cellStyle name="Normal 36 3 2 4" xfId="1551" xr:uid="{EB4DA38E-BA22-4070-B730-272FD31C4128}"/>
    <cellStyle name="Normal 36 3 3" xfId="1552" xr:uid="{C0A3C7B8-A443-4D72-833C-CF88C9324367}"/>
    <cellStyle name="Normal 36 3 4" xfId="1553" xr:uid="{99329C37-7B5B-4298-9544-CFBCFFEEC598}"/>
    <cellStyle name="Normal 36 3 5" xfId="1554" xr:uid="{2193DF65-2F95-4DE1-A2ED-0CDCC5E3781E}"/>
    <cellStyle name="Normal 36 4" xfId="1555" xr:uid="{F7E781E8-9207-4E3B-8F31-DF5BF7F6471D}"/>
    <cellStyle name="Normal 36 5" xfId="1556" xr:uid="{8F6F9872-3435-4D68-BF41-292F1C79B833}"/>
    <cellStyle name="Normal 36 6" xfId="1557" xr:uid="{E17C7C2A-482B-492C-BD7F-EBBA456577DA}"/>
    <cellStyle name="Normal 38" xfId="1558" xr:uid="{7545E295-9F60-454C-A468-170C9667E87A}"/>
    <cellStyle name="Normal 38 2" xfId="1559" xr:uid="{9EB52128-709C-4B1D-8B1A-120AC4FE0565}"/>
    <cellStyle name="Normal 38 2 2" xfId="1560" xr:uid="{4633691F-6112-40C0-8417-943F4326C9CE}"/>
    <cellStyle name="Normal 38 2 3" xfId="1561" xr:uid="{1B02442F-6135-4315-ADFC-58CA26E871B5}"/>
    <cellStyle name="Normal 38 2 4" xfId="1562" xr:uid="{FF986B4A-D0E7-4EB6-A145-BB14941A517F}"/>
    <cellStyle name="Normal 38 3" xfId="1563" xr:uid="{FA8756A9-23B3-4C36-B927-F0F945D083CC}"/>
    <cellStyle name="Normal 38 3 2" xfId="1564" xr:uid="{A254286E-57AB-429B-83E5-CA9281CC3000}"/>
    <cellStyle name="Normal 38 3 2 2" xfId="1565" xr:uid="{A82C03CD-31B7-4FBE-81D2-E9FD8EE66432}"/>
    <cellStyle name="Normal 38 3 2 3" xfId="1566" xr:uid="{8E0531AC-E83D-4398-AE68-28A811876961}"/>
    <cellStyle name="Normal 38 3 2 4" xfId="1567" xr:uid="{2D672407-0E8F-4A14-8747-428B1A2E06F7}"/>
    <cellStyle name="Normal 38 3 3" xfId="1568" xr:uid="{19ABED21-A2A1-4B40-B909-C3B3DD957305}"/>
    <cellStyle name="Normal 38 3 4" xfId="1569" xr:uid="{7F494CC8-7098-435E-8FD2-4DB48698B75B}"/>
    <cellStyle name="Normal 38 3 5" xfId="1570" xr:uid="{D9ABBAA4-0E40-4A93-A11E-5701EEA0B6F2}"/>
    <cellStyle name="Normal 38 4" xfId="1571" xr:uid="{B6CC239F-9D9D-4881-B7C9-9C992A8EABAD}"/>
    <cellStyle name="Normal 38 5" xfId="1572" xr:uid="{6AF9D019-27A6-47E6-921E-0DC899845662}"/>
    <cellStyle name="Normal 38 6" xfId="1573" xr:uid="{441F73D3-9E07-4149-8456-3ED29C96B79C}"/>
    <cellStyle name="Normal 4" xfId="4" xr:uid="{06F82E82-DC1C-4857-8ABC-2200EA80F5F1}"/>
    <cellStyle name="Normal 4 10" xfId="1575" xr:uid="{37AB9A8B-8C69-47F7-87EC-147EFD40D318}"/>
    <cellStyle name="Normal 4 10 2" xfId="1576" xr:uid="{BFDD04FC-FF4E-4749-AE26-63218C349379}"/>
    <cellStyle name="Normal 4 10 3" xfId="1577" xr:uid="{53C8A7D5-49A1-4FED-A692-D34F48E2BCE9}"/>
    <cellStyle name="Normal 4 10 4" xfId="1578" xr:uid="{8393F2BA-35E5-41C3-BB68-C887D5D5FD42}"/>
    <cellStyle name="Normal 4 11" xfId="1579" xr:uid="{CF792B25-CD6D-4F5F-A477-BF5ABC47EA75}"/>
    <cellStyle name="Normal 4 11 2" xfId="1580" xr:uid="{A7A02285-3FFA-448D-9341-E5FF6AED6D07}"/>
    <cellStyle name="Normal 4 11 3" xfId="1581" xr:uid="{C063880A-1331-4F46-B7B1-A7BFF2E5B519}"/>
    <cellStyle name="Normal 4 11 4" xfId="1582" xr:uid="{603D0233-9FF6-433C-B430-0AA07898998C}"/>
    <cellStyle name="Normal 4 12" xfId="1583" xr:uid="{8AC645E5-6D7A-4242-8AC8-7C585B465685}"/>
    <cellStyle name="Normal 4 12 2" xfId="1584" xr:uid="{1038F36B-CB18-4925-AAE8-B058E60FF9E2}"/>
    <cellStyle name="Normal 4 12 3" xfId="1585" xr:uid="{45CFD9C7-81A2-4C16-AB31-C5572CF6E431}"/>
    <cellStyle name="Normal 4 12 4" xfId="1586" xr:uid="{3044FB29-209A-44B5-BD71-5CD230AA490D}"/>
    <cellStyle name="Normal 4 13" xfId="1587" xr:uid="{E2A0C8C3-651C-487D-9E64-6719EE35DFE4}"/>
    <cellStyle name="Normal 4 13 2" xfId="1588" xr:uid="{2F068F45-77D7-4016-95CE-B24DB316BE69}"/>
    <cellStyle name="Normal 4 13 3" xfId="1589" xr:uid="{F71DF614-3EBB-474E-BD7F-5F906BACD426}"/>
    <cellStyle name="Normal 4 13 4" xfId="1590" xr:uid="{C0E64DB7-08FB-4937-8F36-D7125A942244}"/>
    <cellStyle name="Normal 4 14" xfId="1591" xr:uid="{775B025A-9761-4A71-A172-11ECFE8E11EF}"/>
    <cellStyle name="Normal 4 14 2" xfId="1592" xr:uid="{AB1CE234-AB32-4EEF-A5C6-F2C43E168A5A}"/>
    <cellStyle name="Normal 4 14 3" xfId="1593" xr:uid="{B7C21282-242C-4AD9-9D6F-4891F5DDB916}"/>
    <cellStyle name="Normal 4 14 4" xfId="1594" xr:uid="{F0C0F7D3-C13C-4A65-8C7F-7B0C1D64DE06}"/>
    <cellStyle name="Normal 4 15" xfId="1595" xr:uid="{ABB75086-59E5-4CCC-8258-897C845C99EA}"/>
    <cellStyle name="Normal 4 15 2" xfId="1596" xr:uid="{958ECB59-646F-4F1B-A396-FCD304FBE24E}"/>
    <cellStyle name="Normal 4 15 3" xfId="1597" xr:uid="{2C491CFD-2C93-4BB2-A8DF-11E07B3E6A6E}"/>
    <cellStyle name="Normal 4 15 4" xfId="1598" xr:uid="{5CC3E386-E295-4BF4-8223-10187B39D5A0}"/>
    <cellStyle name="Normal 4 16" xfId="1599" xr:uid="{15EAB9E6-0A17-41F8-B28C-680B019862DC}"/>
    <cellStyle name="Normal 4 16 2" xfId="1600" xr:uid="{06FFD682-443B-4774-8CC1-8E612A43C791}"/>
    <cellStyle name="Normal 4 16 3" xfId="1601" xr:uid="{8FC6BFAD-98ED-4258-A85B-8214E0DD934B}"/>
    <cellStyle name="Normal 4 16 4" xfId="1602" xr:uid="{B9CBADAF-4713-4B79-875D-E412D6F81629}"/>
    <cellStyle name="Normal 4 17" xfId="1603" xr:uid="{9015823F-1D65-4A81-8C63-5A6C099B420B}"/>
    <cellStyle name="Normal 4 17 2" xfId="1604" xr:uid="{E06EE139-5E42-4A5D-ADD8-9175F0CADB6A}"/>
    <cellStyle name="Normal 4 17 3" xfId="1605" xr:uid="{61B66FE1-0965-4D94-90CA-913C5B67F245}"/>
    <cellStyle name="Normal 4 17 4" xfId="1606" xr:uid="{96FB3664-6984-48D6-BA6E-3FCB38B3FF6B}"/>
    <cellStyle name="Normal 4 18" xfId="1607" xr:uid="{CE1BD7EB-4A38-4296-947E-0A1AFBD6DF7F}"/>
    <cellStyle name="Normal 4 18 2" xfId="1608" xr:uid="{5491ACF9-ED3C-41DE-8822-8D60DA7EACE9}"/>
    <cellStyle name="Normal 4 18 3" xfId="1609" xr:uid="{EDF3107B-0EF1-46A5-81C8-07CF6E2F7C96}"/>
    <cellStyle name="Normal 4 18 4" xfId="1610" xr:uid="{D1629A55-B1DB-4AF4-BC42-477F8E5F48D2}"/>
    <cellStyle name="Normal 4 19" xfId="1611" xr:uid="{BAD45DE9-EDF6-455F-825B-BFC7E6040C0F}"/>
    <cellStyle name="Normal 4 19 2" xfId="1612" xr:uid="{E02376AA-FAA9-43E9-A407-6BD83A491731}"/>
    <cellStyle name="Normal 4 19 3" xfId="1613" xr:uid="{EF34AD8C-BEE4-4B84-89D4-1F82A5A40102}"/>
    <cellStyle name="Normal 4 19 4" xfId="1614" xr:uid="{E7C8182E-057F-48AC-B754-6ACDCC3C5E4B}"/>
    <cellStyle name="Normal 4 2" xfId="1615" xr:uid="{7C0B9AD5-DBE9-4140-9C59-A187D9352641}"/>
    <cellStyle name="Normal 4 2 2" xfId="1616" xr:uid="{99048B33-DC0D-4328-AEDE-EEA61B7B2AFD}"/>
    <cellStyle name="Normal 4 2 3" xfId="1617" xr:uid="{A21C2DBA-4C0A-427E-A7A9-FD2D464D3416}"/>
    <cellStyle name="Normal 4 2 4" xfId="1618" xr:uid="{736CA7D0-B222-4E8A-8833-20F3D6A81304}"/>
    <cellStyle name="Normal 4 20" xfId="1619" xr:uid="{408A4682-93FA-4D36-93E9-79143070C1FA}"/>
    <cellStyle name="Normal 4 20 2" xfId="1620" xr:uid="{0807F6F0-991A-4C62-B9ED-7DA33555950F}"/>
    <cellStyle name="Normal 4 20 3" xfId="1621" xr:uid="{FD7B7C71-FA87-4880-84C1-3617199D33E4}"/>
    <cellStyle name="Normal 4 20 4" xfId="1622" xr:uid="{B19CB6F7-772E-43C6-A2AE-742EA7D20E40}"/>
    <cellStyle name="Normal 4 21" xfId="1623" xr:uid="{78705269-7727-4BCB-9198-3F9402B52B5D}"/>
    <cellStyle name="Normal 4 21 2" xfId="1624" xr:uid="{2A9F602F-746E-4267-A35B-7DC2029059BB}"/>
    <cellStyle name="Normal 4 21 3" xfId="1625" xr:uid="{EF51DDFB-A77F-4D14-9FBE-1A732C959F6B}"/>
    <cellStyle name="Normal 4 21 4" xfId="1626" xr:uid="{CE3D602B-607A-401F-BE85-23AD0B7F7999}"/>
    <cellStyle name="Normal 4 22" xfId="1627" xr:uid="{A2EB42AE-0164-432F-88D7-828CB951E4BA}"/>
    <cellStyle name="Normal 4 22 2" xfId="1628" xr:uid="{F5427F22-365B-48EE-AFDC-821B67E22356}"/>
    <cellStyle name="Normal 4 22 3" xfId="1629" xr:uid="{40C8821C-5CCC-4300-80D1-F3F4FF19A978}"/>
    <cellStyle name="Normal 4 22 4" xfId="1630" xr:uid="{659BBBA2-C4CC-4E8E-A347-555400F44514}"/>
    <cellStyle name="Normal 4 23" xfId="1631" xr:uid="{3CEF719A-1B5B-4169-9B0D-1617DF68552D}"/>
    <cellStyle name="Normal 4 23 2" xfId="1632" xr:uid="{9B75F5D6-4903-4A31-A2F8-6D0630B8EBF4}"/>
    <cellStyle name="Normal 4 23 3" xfId="1633" xr:uid="{A9FA4C97-9D7C-44EA-ACF2-1B3D1B5FDDBA}"/>
    <cellStyle name="Normal 4 23 4" xfId="1634" xr:uid="{F951CEBC-F6BB-4B67-9F3D-F03AD90D1559}"/>
    <cellStyle name="Normal 4 24" xfId="1635" xr:uid="{BD944CF7-ECF6-4909-9CB5-EE338279D07F}"/>
    <cellStyle name="Normal 4 24 2" xfId="1636" xr:uid="{69A8092F-ACD5-40C3-BFCF-8B7778932883}"/>
    <cellStyle name="Normal 4 24 3" xfId="1637" xr:uid="{163D50D6-2D76-45C8-8EFF-4FCA947925AF}"/>
    <cellStyle name="Normal 4 24 4" xfId="1638" xr:uid="{AEBD1904-F8AA-4A94-A3FB-164B0B91D99B}"/>
    <cellStyle name="Normal 4 25" xfId="1639" xr:uid="{A2EAFD17-4EA5-48F7-BDD9-551F027E7B0C}"/>
    <cellStyle name="Normal 4 25 2" xfId="1640" xr:uid="{8C8C88FF-0B6B-45C1-B4FC-ABAC621E1A2B}"/>
    <cellStyle name="Normal 4 25 3" xfId="1641" xr:uid="{A843BD90-2B21-4336-BCD6-49A308BACBA9}"/>
    <cellStyle name="Normal 4 25 4" xfId="1642" xr:uid="{F1CF202D-0D2A-44AB-888F-7BC186D82DC5}"/>
    <cellStyle name="Normal 4 26" xfId="1643" xr:uid="{22953E9A-FD8B-4423-B38A-F9A7E1C9FCA0}"/>
    <cellStyle name="Normal 4 26 2" xfId="1644" xr:uid="{1D46548D-13C7-400B-93D8-CD395E44612D}"/>
    <cellStyle name="Normal 4 26 3" xfId="1645" xr:uid="{9796F913-53C3-4D4E-9899-3E8DD685E770}"/>
    <cellStyle name="Normal 4 26 4" xfId="1646" xr:uid="{4D6E2A34-0AFE-41FA-A3D4-B8E9CFA027B2}"/>
    <cellStyle name="Normal 4 27" xfId="1647" xr:uid="{23E495BF-7F9C-4EAF-9C1E-64AFECD2D1A3}"/>
    <cellStyle name="Normal 4 27 2" xfId="1648" xr:uid="{51CE6C99-5767-4929-8123-2596331ADC8C}"/>
    <cellStyle name="Normal 4 27 3" xfId="1649" xr:uid="{EC32E5CC-E63B-4E69-8A07-D318C7239A2F}"/>
    <cellStyle name="Normal 4 27 4" xfId="1650" xr:uid="{932C7B43-0A7B-41CF-8D64-E795FCE69B93}"/>
    <cellStyle name="Normal 4 28" xfId="1651" xr:uid="{50584030-403A-4829-AE2F-AB840E2AEEEA}"/>
    <cellStyle name="Normal 4 28 2" xfId="1652" xr:uid="{73C78624-3A67-463D-A36D-8B4B5B30736A}"/>
    <cellStyle name="Normal 4 28 3" xfId="1653" xr:uid="{BB39E696-3305-4D58-82A6-096FFE036F57}"/>
    <cellStyle name="Normal 4 28 4" xfId="1654" xr:uid="{264D6D74-CA09-4011-9598-5EC392952D24}"/>
    <cellStyle name="Normal 4 29" xfId="1655" xr:uid="{C3CD1A1B-F40F-46B4-9C1C-373588E0CFFE}"/>
    <cellStyle name="Normal 4 29 2" xfId="1656" xr:uid="{677FB50B-2FEA-4609-A954-76828635C832}"/>
    <cellStyle name="Normal 4 29 3" xfId="1657" xr:uid="{AE3AE1CB-0AAE-4A4E-AEC3-524A851C6E52}"/>
    <cellStyle name="Normal 4 29 4" xfId="1658" xr:uid="{097B1C8C-7F34-4E53-9918-AF7FE271A7FA}"/>
    <cellStyle name="Normal 4 3" xfId="1659" xr:uid="{9E268D13-57CC-42FD-89DC-9BE0504EF345}"/>
    <cellStyle name="Normal 4 3 2" xfId="1660" xr:uid="{1AD0AEFE-564A-4F34-A6D5-A09D9F895C50}"/>
    <cellStyle name="Normal 4 3 3" xfId="1661" xr:uid="{EAABCD36-AB83-4BB0-83BD-E1F2E5118085}"/>
    <cellStyle name="Normal 4 3 4" xfId="1662" xr:uid="{505EC795-F2C1-4D2B-9A3D-79826FE7FD70}"/>
    <cellStyle name="Normal 4 30" xfId="1663" xr:uid="{B890C2B5-8C61-4D97-BD03-DBA2C56601DC}"/>
    <cellStyle name="Normal 4 30 2" xfId="1664" xr:uid="{B799DD98-A9CC-4DFB-AB6D-5D32B7135E95}"/>
    <cellStyle name="Normal 4 30 3" xfId="1665" xr:uid="{7E6A76AB-F37F-4AE9-9773-60FC5939EB93}"/>
    <cellStyle name="Normal 4 30 4" xfId="1666" xr:uid="{856AE131-3321-4E85-A8A2-CE19612C4703}"/>
    <cellStyle name="Normal 4 31" xfId="1667" xr:uid="{36C62D16-9CC4-4EDF-8BEE-216C1418DA91}"/>
    <cellStyle name="Normal 4 31 2" xfId="1668" xr:uid="{224F190A-32D0-438C-AFD1-C0F829ECC653}"/>
    <cellStyle name="Normal 4 31 3" xfId="1669" xr:uid="{1030EAC4-2646-41DC-9103-753569DE3315}"/>
    <cellStyle name="Normal 4 31 4" xfId="1670" xr:uid="{8FE2CE91-06E0-460F-BAE4-3065E4EA023C}"/>
    <cellStyle name="Normal 4 32" xfId="1671" xr:uid="{34CC6BA0-67AF-435F-A7FA-9B190F9E400D}"/>
    <cellStyle name="Normal 4 32 2" xfId="1672" xr:uid="{C04F16C1-0F11-461B-83E1-05C820E429B2}"/>
    <cellStyle name="Normal 4 32 3" xfId="1673" xr:uid="{62C6D89E-3F63-48DE-8032-3D3F42DB417C}"/>
    <cellStyle name="Normal 4 32 4" xfId="1674" xr:uid="{9DAEFF42-8664-411E-ACEE-7F76A4B40F65}"/>
    <cellStyle name="Normal 4 33" xfId="1675" xr:uid="{3EAAD6B2-5C19-4719-9994-D1FDB604BB10}"/>
    <cellStyle name="Normal 4 33 2" xfId="1676" xr:uid="{E2301AF3-0546-49F1-8CF8-6CE0E7A170EB}"/>
    <cellStyle name="Normal 4 33 3" xfId="1677" xr:uid="{A58A99F0-53C0-42F1-8BE9-B5300CFCE3EF}"/>
    <cellStyle name="Normal 4 33 4" xfId="1678" xr:uid="{4D687FA7-FB8A-487E-A85B-2FE2C2AC9F24}"/>
    <cellStyle name="Normal 4 34" xfId="1679" xr:uid="{A3CEAC77-D137-473A-A444-B6337848389C}"/>
    <cellStyle name="Normal 4 34 2" xfId="1680" xr:uid="{AE2DB4D0-9E4D-4F1A-A030-E0E818FCDCCA}"/>
    <cellStyle name="Normal 4 34 3" xfId="1681" xr:uid="{E4CF47C8-F655-41B1-9E51-71DB59DAF8DF}"/>
    <cellStyle name="Normal 4 34 4" xfId="1682" xr:uid="{1506A603-26FC-46B2-9816-185D66E73762}"/>
    <cellStyle name="Normal 4 35" xfId="1683" xr:uid="{B348B184-15AB-4EE6-BF94-9EAE727A8942}"/>
    <cellStyle name="Normal 4 35 2" xfId="1684" xr:uid="{1EB94EFB-A5D2-49BE-8223-9F22F0A52A2E}"/>
    <cellStyle name="Normal 4 35 3" xfId="1685" xr:uid="{16353B9A-EEC9-4A50-B629-1153EA7065A7}"/>
    <cellStyle name="Normal 4 35 4" xfId="1686" xr:uid="{6F7BAAC1-AD69-46F0-AECC-50262CFC6D87}"/>
    <cellStyle name="Normal 4 36" xfId="1687" xr:uid="{3E0640A3-DE6A-49B0-BACF-F1B8C384D7C2}"/>
    <cellStyle name="Normal 4 36 2" xfId="1688" xr:uid="{DF2C713D-B7C7-4541-8E13-274AE34ACFCF}"/>
    <cellStyle name="Normal 4 36 3" xfId="1689" xr:uid="{859E82FD-2160-41A8-9C69-7D9BC90C66D8}"/>
    <cellStyle name="Normal 4 36 4" xfId="1690" xr:uid="{429C5698-3AD1-412B-8C38-EFD5EE2569E6}"/>
    <cellStyle name="Normal 4 37" xfId="1691" xr:uid="{43224E9A-DD6F-47E8-8603-23460FF9604B}"/>
    <cellStyle name="Normal 4 37 2" xfId="1692" xr:uid="{995A4D3F-1031-485D-8B58-864293DA4D15}"/>
    <cellStyle name="Normal 4 37 3" xfId="1693" xr:uid="{C9777227-502B-48E9-B34D-F12148BF008A}"/>
    <cellStyle name="Normal 4 37 4" xfId="1694" xr:uid="{C19C5896-959B-4007-83A3-051CA9EDDC28}"/>
    <cellStyle name="Normal 4 38" xfId="1695" xr:uid="{86F09C82-558C-4AB1-B93B-24A8A8313C7F}"/>
    <cellStyle name="Normal 4 38 2" xfId="1696" xr:uid="{F4EE8396-8943-41D7-A1BB-1B408DC529E0}"/>
    <cellStyle name="Normal 4 38 3" xfId="1697" xr:uid="{7D5DD43F-103A-4C7A-8B55-0C88F46A8B94}"/>
    <cellStyle name="Normal 4 38 4" xfId="1698" xr:uid="{B3E2F6C0-13DA-4ED3-A7CC-31BA8B1846C3}"/>
    <cellStyle name="Normal 4 39" xfId="1699" xr:uid="{E9411DD8-ABD8-4A3C-B408-23A9D97FEF96}"/>
    <cellStyle name="Normal 4 39 2" xfId="1700" xr:uid="{E01A8994-65DA-4814-AC82-9E3B4F5FA4FD}"/>
    <cellStyle name="Normal 4 39 3" xfId="1701" xr:uid="{B29B1C0E-A27A-4205-A086-C0138E9A0999}"/>
    <cellStyle name="Normal 4 39 4" xfId="1702" xr:uid="{802531FC-464D-4F73-A28F-EA5E7B10D84E}"/>
    <cellStyle name="Normal 4 4" xfId="1703" xr:uid="{66DF12BB-DAC5-4F76-9B33-FC887E845072}"/>
    <cellStyle name="Normal 4 4 2" xfId="1704" xr:uid="{E17E1143-B0E4-4946-AB24-9F9223148A72}"/>
    <cellStyle name="Normal 4 4 3" xfId="1705" xr:uid="{4A230842-1F13-4619-B3E5-4764F95A3960}"/>
    <cellStyle name="Normal 4 4 4" xfId="1706" xr:uid="{68735E00-A086-47EF-B6FE-4F46A299902C}"/>
    <cellStyle name="Normal 4 40" xfId="1707" xr:uid="{00792F35-7E73-49C7-9C2D-972C54441E91}"/>
    <cellStyle name="Normal 4 40 2" xfId="1708" xr:uid="{2EAE180B-A28F-41AD-8060-1225938FD6CB}"/>
    <cellStyle name="Normal 4 40 3" xfId="1709" xr:uid="{B7B3EE24-9FED-44FE-840C-3DF3B776F5DB}"/>
    <cellStyle name="Normal 4 40 4" xfId="1710" xr:uid="{BFA4D541-0F5B-4C0B-BD7D-8F23EE454D64}"/>
    <cellStyle name="Normal 4 41" xfId="1711" xr:uid="{051EBFDC-73BB-4393-BB60-EF1E08DF7124}"/>
    <cellStyle name="Normal 4 41 2" xfId="1712" xr:uid="{87326DA5-DC63-4EC0-95C9-606582FD424F}"/>
    <cellStyle name="Normal 4 41 3" xfId="1713" xr:uid="{468FF392-DEC6-4933-A8F2-ECAA166967E9}"/>
    <cellStyle name="Normal 4 41 4" xfId="1714" xr:uid="{442F6112-A521-4C32-812A-4EB36C334D9E}"/>
    <cellStyle name="Normal 4 42" xfId="1715" xr:uid="{3311D329-32E1-4F69-95C5-F6EA4377532E}"/>
    <cellStyle name="Normal 4 42 2" xfId="1716" xr:uid="{4FFFF3AD-5855-4F7B-9F77-7B0B8427745F}"/>
    <cellStyle name="Normal 4 42 3" xfId="1717" xr:uid="{49A2F887-65C4-40FB-8962-732429ABD219}"/>
    <cellStyle name="Normal 4 42 4" xfId="1718" xr:uid="{191D5142-79F2-4C31-95AC-73F77442C9C4}"/>
    <cellStyle name="Normal 4 43" xfId="1719" xr:uid="{6DF2C394-F6BA-4F67-9962-633920072CCE}"/>
    <cellStyle name="Normal 4 43 2" xfId="1720" xr:uid="{76AEDE64-699F-4201-AC7A-47C54786A11B}"/>
    <cellStyle name="Normal 4 43 3" xfId="1721" xr:uid="{D29C43CB-F2C8-401C-8D26-4E8013AEBD1D}"/>
    <cellStyle name="Normal 4 43 4" xfId="1722" xr:uid="{C2AE1F3E-D173-475D-83C2-C2A181CE9E15}"/>
    <cellStyle name="Normal 4 44" xfId="1723" xr:uid="{455A5D25-2621-4C93-AF88-5AB210845507}"/>
    <cellStyle name="Normal 4 44 2" xfId="1724" xr:uid="{D189C338-5B71-4A54-B0B9-5546EF666681}"/>
    <cellStyle name="Normal 4 44 3" xfId="1725" xr:uid="{028D2B58-20DC-48DA-8880-875131B2E56A}"/>
    <cellStyle name="Normal 4 44 4" xfId="1726" xr:uid="{3507EF19-6C87-441C-8EA3-A00529C680F9}"/>
    <cellStyle name="Normal 4 45" xfId="1727" xr:uid="{EE9F36E2-16CC-4720-8060-F4E674275BB0}"/>
    <cellStyle name="Normal 4 45 2" xfId="1728" xr:uid="{4EBFEF78-43D0-4C18-B909-D2F109CEDB50}"/>
    <cellStyle name="Normal 4 45 3" xfId="1729" xr:uid="{F0A432EA-A1B9-41DA-9754-E55F60ABFE56}"/>
    <cellStyle name="Normal 4 45 4" xfId="1730" xr:uid="{FB26E20E-5D59-4755-9A99-4AA6EF234725}"/>
    <cellStyle name="Normal 4 46" xfId="1731" xr:uid="{E5BDA411-871F-4333-B019-AEAD03218DF4}"/>
    <cellStyle name="Normal 4 46 2" xfId="1732" xr:uid="{095B3913-FC2B-40A4-AC13-63B3D6FEE406}"/>
    <cellStyle name="Normal 4 46 3" xfId="1733" xr:uid="{E9304BFD-C778-46E4-ADE1-1C10784D5B23}"/>
    <cellStyle name="Normal 4 46 4" xfId="1734" xr:uid="{DAFA980E-D603-44B9-8B44-31E9D3D6D575}"/>
    <cellStyle name="Normal 4 47" xfId="1735" xr:uid="{CB7439C8-AD29-4E6E-AD76-2AA67B7A3D66}"/>
    <cellStyle name="Normal 4 47 2" xfId="1736" xr:uid="{F8EBF10F-DB08-491A-9C77-E336249A7CB5}"/>
    <cellStyle name="Normal 4 47 3" xfId="1737" xr:uid="{3A4D5EEC-848A-4698-972A-9AD8ADC0DB97}"/>
    <cellStyle name="Normal 4 47 4" xfId="1738" xr:uid="{B410A87E-25AE-4071-9A88-9E471AA85DEB}"/>
    <cellStyle name="Normal 4 48" xfId="1739" xr:uid="{AA3DA8A9-511E-4DFC-9C6F-BFD18500A8BA}"/>
    <cellStyle name="Normal 4 49" xfId="1740" xr:uid="{7233733F-789B-4B4D-9450-A83B1D03950D}"/>
    <cellStyle name="Normal 4 5" xfId="1741" xr:uid="{26BEA749-07D9-4319-837D-5029EF596A47}"/>
    <cellStyle name="Normal 4 5 2" xfId="1742" xr:uid="{81DCA5F3-4485-41A7-AB30-0D50C9DD11A8}"/>
    <cellStyle name="Normal 4 5 3" xfId="1743" xr:uid="{84DD970F-CA52-40FD-86BA-62EE790A0C97}"/>
    <cellStyle name="Normal 4 5 4" xfId="1744" xr:uid="{EFC0EBFA-9F0E-47AC-9D32-DD65D4FF222D}"/>
    <cellStyle name="Normal 4 50" xfId="1745" xr:uid="{FB610E31-186E-4AA0-8FFD-D81279CEBB0E}"/>
    <cellStyle name="Normal 4 51" xfId="1746" xr:uid="{8F42AA7F-9A7D-4819-9493-1006A0BDC999}"/>
    <cellStyle name="Normal 4 52" xfId="1574" xr:uid="{85571A17-D4E6-4774-ACFD-501F306F70D0}"/>
    <cellStyle name="Normal 4 6" xfId="1747" xr:uid="{2F1698E2-1603-4C88-BC88-2439990B876E}"/>
    <cellStyle name="Normal 4 6 2" xfId="1748" xr:uid="{BF87F94B-4ED3-4D53-B9A8-2EB172F2EE2F}"/>
    <cellStyle name="Normal 4 6 3" xfId="1749" xr:uid="{5BA79A8D-7AC8-48DB-97E4-E90EBC74E088}"/>
    <cellStyle name="Normal 4 6 4" xfId="1750" xr:uid="{AFC17379-D24B-43BB-878D-C382523C630F}"/>
    <cellStyle name="Normal 4 7" xfId="1751" xr:uid="{5E1B9213-1364-4AFD-9E52-32088C7D098F}"/>
    <cellStyle name="Normal 4 7 2" xfId="1752" xr:uid="{4AC8860D-631B-45BB-9503-51C7B8196990}"/>
    <cellStyle name="Normal 4 7 3" xfId="1753" xr:uid="{99115228-A072-4B38-AAF7-1E9C88AF99D2}"/>
    <cellStyle name="Normal 4 7 4" xfId="1754" xr:uid="{F45A7F04-2489-4FED-98CC-5859D3F874B9}"/>
    <cellStyle name="Normal 4 8" xfId="1755" xr:uid="{01B069A0-8CC6-425A-A0FF-B8AEB3A6EF12}"/>
    <cellStyle name="Normal 4 8 2" xfId="1756" xr:uid="{5C7A876F-B537-41DA-A264-C3C6794E8BE4}"/>
    <cellStyle name="Normal 4 8 3" xfId="1757" xr:uid="{0B313130-0FA0-4250-9D73-17D802B1903E}"/>
    <cellStyle name="Normal 4 8 4" xfId="1758" xr:uid="{8CD623B9-C78D-4BD3-8D87-AAB90A6DD2FE}"/>
    <cellStyle name="Normal 4 9" xfId="1759" xr:uid="{3F856012-31B8-49A3-843E-DDE700AAA5D7}"/>
    <cellStyle name="Normal 4 9 2" xfId="1760" xr:uid="{50D32C2D-38DC-4115-A952-6A68BD4242B9}"/>
    <cellStyle name="Normal 4 9 3" xfId="1761" xr:uid="{BD958701-F0C7-4A69-85E7-19CE7FD75908}"/>
    <cellStyle name="Normal 4 9 4" xfId="1762" xr:uid="{69412B84-3419-4371-94AF-6E98A2C484F9}"/>
    <cellStyle name="Normal 40" xfId="1763" xr:uid="{3B93B624-2445-4305-A4B6-E1B3042A28A2}"/>
    <cellStyle name="Normal 40 2" xfId="1764" xr:uid="{3AB01F57-B238-4F25-BF00-EA5133270AE5}"/>
    <cellStyle name="Normal 40 2 2" xfId="1765" xr:uid="{6A4519CF-DAD5-47B7-9AB5-AF388B931EDE}"/>
    <cellStyle name="Normal 40 2 3" xfId="1766" xr:uid="{61375C96-888C-4C46-A2F1-5ABB747A80F2}"/>
    <cellStyle name="Normal 40 2 4" xfId="1767" xr:uid="{BABCA9CF-7609-4EBD-9DAF-C42B1C448FF4}"/>
    <cellStyle name="Normal 40 3" xfId="1768" xr:uid="{FE9455B8-7A94-419F-AC18-A8D6B70CBE20}"/>
    <cellStyle name="Normal 40 3 2" xfId="1769" xr:uid="{0BFC083C-0498-4179-9263-550B266456E2}"/>
    <cellStyle name="Normal 40 3 2 2" xfId="1770" xr:uid="{40F43EB2-58F6-4B47-B8FC-E9DC17F2D3BD}"/>
    <cellStyle name="Normal 40 3 2 3" xfId="1771" xr:uid="{2597CE93-3D18-4FC6-824B-EFE7F8113243}"/>
    <cellStyle name="Normal 40 3 2 4" xfId="1772" xr:uid="{7E14363A-4D43-4492-973C-28AD2FD4766E}"/>
    <cellStyle name="Normal 40 3 3" xfId="1773" xr:uid="{7FB93E08-369D-4C5A-891A-49E82B92B7EF}"/>
    <cellStyle name="Normal 40 3 4" xfId="1774" xr:uid="{E71C7CAD-B541-4F5A-A597-BCB1A657859F}"/>
    <cellStyle name="Normal 40 3 5" xfId="1775" xr:uid="{9B8DA4D6-EB0B-489E-B48C-D3973E9B198D}"/>
    <cellStyle name="Normal 40 4" xfId="1776" xr:uid="{3DE0564A-0B0C-420F-AE96-F581986C3B12}"/>
    <cellStyle name="Normal 40 5" xfId="1777" xr:uid="{B0AFDC02-004B-4B63-A72D-1A7334F2F469}"/>
    <cellStyle name="Normal 40 6" xfId="1778" xr:uid="{B6C9E749-B3C1-463F-8304-AAE01D102ECD}"/>
    <cellStyle name="Normal 42" xfId="1779" xr:uid="{463BAC12-6DA1-4924-9C82-5A1E197E1A34}"/>
    <cellStyle name="Normal 42 2" xfId="1780" xr:uid="{0DAEAE3B-D4DD-49F1-A760-6D35D54B4CC3}"/>
    <cellStyle name="Normal 42 2 2" xfId="1781" xr:uid="{3349A671-AD7C-4BC6-927A-31BDB704F7D1}"/>
    <cellStyle name="Normal 42 2 3" xfId="1782" xr:uid="{1CF69BDC-D4F5-4936-8356-6BD463EBEF43}"/>
    <cellStyle name="Normal 42 2 4" xfId="1783" xr:uid="{E9C9DC79-55D0-48B9-B1BC-A5D51E08E19A}"/>
    <cellStyle name="Normal 42 3" xfId="1784" xr:uid="{C78DD4C1-EE00-4754-8C92-1C007D8AA4EB}"/>
    <cellStyle name="Normal 42 3 2" xfId="1785" xr:uid="{531EE447-9156-4D4B-A90B-B5A1072C4AD2}"/>
    <cellStyle name="Normal 42 3 2 2" xfId="1786" xr:uid="{AF790EE8-CEFF-49B8-8C47-21257403C852}"/>
    <cellStyle name="Normal 42 3 2 3" xfId="1787" xr:uid="{0E233527-8168-42AE-89C1-B236A4F825B5}"/>
    <cellStyle name="Normal 42 3 2 4" xfId="1788" xr:uid="{EAB37875-FF7F-4790-8985-FE761DC8900F}"/>
    <cellStyle name="Normal 42 3 3" xfId="1789" xr:uid="{6DA2398F-E100-4A5C-A1D2-0DEA06E9982E}"/>
    <cellStyle name="Normal 42 3 4" xfId="1790" xr:uid="{B873CDE9-F531-489F-8827-32269BC8ABAF}"/>
    <cellStyle name="Normal 42 3 5" xfId="1791" xr:uid="{F286733B-81EF-4B9A-8A28-4DE223A054ED}"/>
    <cellStyle name="Normal 42 4" xfId="1792" xr:uid="{160B6F14-8396-446E-9C1C-60BBF39D62AF}"/>
    <cellStyle name="Normal 42 5" xfId="1793" xr:uid="{E5A1191A-E430-47A9-8A1A-26F3297EDD5F}"/>
    <cellStyle name="Normal 42 6" xfId="1794" xr:uid="{FAA2EE3F-7EAD-46BE-8B68-2FD04954BC7B}"/>
    <cellStyle name="Normal 43" xfId="1795" xr:uid="{0154C527-187A-408F-9F1A-A2307A7ABF54}"/>
    <cellStyle name="Normal 43 2" xfId="1796" xr:uid="{1094D732-6284-4AD4-AA01-AA7602D8F2E2}"/>
    <cellStyle name="Normal 43 2 2" xfId="1797" xr:uid="{FA0C5623-32A3-48FE-BAEA-86FF5E02120D}"/>
    <cellStyle name="Normal 43 2 3" xfId="1798" xr:uid="{ADB57ABA-04F9-4BEF-817F-BAED30462294}"/>
    <cellStyle name="Normal 43 2 4" xfId="1799" xr:uid="{697161B2-0BD3-4462-86DE-7B36A9BE8C51}"/>
    <cellStyle name="Normal 43 3" xfId="1800" xr:uid="{09A807F7-75EF-4572-B992-0BFD137262A2}"/>
    <cellStyle name="Normal 43 3 2" xfId="1801" xr:uid="{791670C5-74E4-4407-A5ED-F0F4C062F99B}"/>
    <cellStyle name="Normal 43 3 2 2" xfId="1802" xr:uid="{3324B85D-0B51-40F3-AF75-579260C34436}"/>
    <cellStyle name="Normal 43 3 2 3" xfId="1803" xr:uid="{2B7069DA-1D73-4DE1-BA9E-5B99845E1B21}"/>
    <cellStyle name="Normal 43 3 2 4" xfId="1804" xr:uid="{8C76B8C7-1BA0-4789-9185-416767C0A8BD}"/>
    <cellStyle name="Normal 43 3 3" xfId="1805" xr:uid="{A920FE73-8FB5-494B-9A6D-53105D30C121}"/>
    <cellStyle name="Normal 43 3 4" xfId="1806" xr:uid="{E50624E8-8AC2-436B-BEAA-E59FBE0C73DB}"/>
    <cellStyle name="Normal 43 3 5" xfId="1807" xr:uid="{667589DA-65BC-45A2-AEB6-F162E8E2C838}"/>
    <cellStyle name="Normal 43 4" xfId="1808" xr:uid="{0B0A472F-0D37-48D0-ACA7-4DD8A87FE8E4}"/>
    <cellStyle name="Normal 43 5" xfId="1809" xr:uid="{05ACDCBE-AB36-41CA-AF59-856D15B2147B}"/>
    <cellStyle name="Normal 43 6" xfId="1810" xr:uid="{E7CCE58D-D994-4211-AE91-5385A34D9E27}"/>
    <cellStyle name="Normal 45" xfId="1811" xr:uid="{AD2D5F3B-5D6F-42EF-8F9F-7AE167FE05BA}"/>
    <cellStyle name="Normal 45 2" xfId="1812" xr:uid="{48CA38F3-2413-4817-8BFB-482F2C2A593F}"/>
    <cellStyle name="Normal 45 3" xfId="1813" xr:uid="{829949D7-CE82-4331-8D69-FE24E10A385D}"/>
    <cellStyle name="Normal 45 4" xfId="1814" xr:uid="{040D02DB-4C74-4DE6-A04B-FECD5E4687E2}"/>
    <cellStyle name="Normal 47" xfId="1815" xr:uid="{AD534CA2-682C-4834-8195-63AFF03089B5}"/>
    <cellStyle name="Normal 47 2" xfId="1816" xr:uid="{B58B58A2-BA7E-4C22-85AC-D240B3A90CAB}"/>
    <cellStyle name="Normal 47 3" xfId="1817" xr:uid="{29897C07-AF7C-402D-8A7D-D896D4B997BE}"/>
    <cellStyle name="Normal 47 4" xfId="1818" xr:uid="{B9025959-6081-4652-B613-CEB547337471}"/>
    <cellStyle name="Normal 49" xfId="1819" xr:uid="{B469BFCF-1ABD-403E-8AD7-6D5570BA3AE0}"/>
    <cellStyle name="Normal 49 2" xfId="1820" xr:uid="{4C0A327F-BE01-41E7-B61E-E5C7B9F617A6}"/>
    <cellStyle name="Normal 49 3" xfId="1821" xr:uid="{CC98706C-460D-4214-A95F-BE93316F07A0}"/>
    <cellStyle name="Normal 49 4" xfId="1822" xr:uid="{8E42B72E-9DA3-4DDA-BFF8-79432B717CE8}"/>
    <cellStyle name="Normal 5" xfId="15" xr:uid="{6A3E487E-4C0A-4261-B3B6-AE5DADC9C8F7}"/>
    <cellStyle name="Normal 5 2" xfId="9" xr:uid="{8453E32C-F30C-4F60-A2C6-FB628620683C}"/>
    <cellStyle name="Normal 5 2 13" xfId="112" xr:uid="{D89CC9B8-A90F-407A-A6D3-612952692934}"/>
    <cellStyle name="Normal 5 2 2" xfId="46" xr:uid="{5295CAAA-C846-4746-BD88-3F6ECFC531EB}"/>
    <cellStyle name="Normal 5 2 2 2" xfId="121" xr:uid="{77DA4EAE-58E3-4CFF-ACA6-82AA0398DFFA}"/>
    <cellStyle name="Normal 5 2 3" xfId="115" xr:uid="{32FF3D8A-EA43-4861-81B3-C4158AFBE49C}"/>
    <cellStyle name="Normal 5 2 4" xfId="49" xr:uid="{74E2FEFF-3224-4364-94A7-A7CDD088665B}"/>
    <cellStyle name="Normal 5 2 5" xfId="1824" xr:uid="{A18E478B-9133-4C83-A15A-753A2982FDF7}"/>
    <cellStyle name="Normal 5 3" xfId="20" xr:uid="{38EA3891-301A-4CF0-A256-34060CE36744}"/>
    <cellStyle name="Normal 5 3 2" xfId="1825" xr:uid="{D76BAB5B-BC57-41CE-B841-B231D7B1B4F4}"/>
    <cellStyle name="Normal 5 3 3" xfId="2240" xr:uid="{C917E52D-29DA-428D-B628-A5CBCBA52B9C}"/>
    <cellStyle name="Normal 5 4" xfId="25" xr:uid="{BFC6394A-6F12-467C-B6A4-AE7808FEB991}"/>
    <cellStyle name="Normal 5 4 2" xfId="1826" xr:uid="{5C414E56-9C2E-43F7-A3F8-57FED3FC1625}"/>
    <cellStyle name="Normal 5 4 3" xfId="2244" xr:uid="{7AA77739-2675-48D6-BDDD-9FD08CEC17D0}"/>
    <cellStyle name="Normal 5 5" xfId="1827" xr:uid="{5E11279C-E47B-4D19-A59E-423D72A04F06}"/>
    <cellStyle name="Normal 5 6" xfId="1823" xr:uid="{BC11A06B-CF02-4593-A9C1-E5ED799E2EBB}"/>
    <cellStyle name="Normal 5 7" xfId="2238" xr:uid="{2B07063B-B454-4E8E-9F23-6F6F96BE1AAB}"/>
    <cellStyle name="Normal 6" xfId="19" xr:uid="{51DF592E-18B5-4392-B0FC-86292BC9575E}"/>
    <cellStyle name="Normal 6 10" xfId="1829" xr:uid="{610A764B-5289-4B54-96DA-87ACDA2E8FE9}"/>
    <cellStyle name="Normal 6 10 2" xfId="1830" xr:uid="{21C23E7E-A1F4-4BB8-A8DA-CE26F9490C2A}"/>
    <cellStyle name="Normal 6 10 3" xfId="1831" xr:uid="{309C369D-9C54-4A35-8D13-005FF6466664}"/>
    <cellStyle name="Normal 6 10 4" xfId="1832" xr:uid="{4A3CBEF3-AC67-4179-848D-34870AF39A92}"/>
    <cellStyle name="Normal 6 11" xfId="1833" xr:uid="{932B2DF4-0F73-428F-AC99-F047A94CE0E0}"/>
    <cellStyle name="Normal 6 11 2" xfId="1834" xr:uid="{A2D125C2-A9E0-4FD8-A6BF-682BB15CAB8F}"/>
    <cellStyle name="Normal 6 11 3" xfId="1835" xr:uid="{3EF171F9-35B3-46B7-8A8F-244BC7C02099}"/>
    <cellStyle name="Normal 6 11 4" xfId="1836" xr:uid="{B00107D4-5FC2-4808-902A-822AD2B8F1F3}"/>
    <cellStyle name="Normal 6 12" xfId="1837" xr:uid="{FAB27B3C-B29C-416C-9C88-924D6D50668A}"/>
    <cellStyle name="Normal 6 12 2" xfId="1838" xr:uid="{5E83EBA2-E81C-47C3-922A-6B50CAF65C6D}"/>
    <cellStyle name="Normal 6 12 3" xfId="1839" xr:uid="{EEE9A764-3443-434D-BEE6-FF0D5256A188}"/>
    <cellStyle name="Normal 6 12 4" xfId="1840" xr:uid="{14112903-AD95-48F2-9D3B-B5ABDCAE8F43}"/>
    <cellStyle name="Normal 6 13" xfId="1841" xr:uid="{7B0B415C-93A1-49CF-A016-4D4CFB53DFF5}"/>
    <cellStyle name="Normal 6 13 2" xfId="1842" xr:uid="{8510A785-092C-4122-96D2-EEDEA754E83E}"/>
    <cellStyle name="Normal 6 13 3" xfId="1843" xr:uid="{9ABAA1D8-9E57-4676-A5D4-8DFD23249503}"/>
    <cellStyle name="Normal 6 13 4" xfId="1844" xr:uid="{35153EBA-49C4-47E6-9F52-EB7845E30F41}"/>
    <cellStyle name="Normal 6 14" xfId="1845" xr:uid="{39E177B7-7538-432E-8D59-11197DC82F3C}"/>
    <cellStyle name="Normal 6 14 2" xfId="1846" xr:uid="{8D395CB2-D9E5-49A8-9DC7-9EBDF20DE9C6}"/>
    <cellStyle name="Normal 6 14 3" xfId="1847" xr:uid="{8F67BF5A-32CB-40DF-B207-F37E002FBC13}"/>
    <cellStyle name="Normal 6 14 4" xfId="1848" xr:uid="{E8F07B0B-9EC8-4CF5-88FB-A1AF43AA23AD}"/>
    <cellStyle name="Normal 6 15" xfId="1849" xr:uid="{638DFBCE-C12C-4246-B20D-9FF904D4DAF5}"/>
    <cellStyle name="Normal 6 15 2" xfId="1850" xr:uid="{24B6E86E-5105-4BEC-BF29-E1D7ABB93076}"/>
    <cellStyle name="Normal 6 15 3" xfId="1851" xr:uid="{3B52BB8C-CB74-4542-9D21-A0E754858294}"/>
    <cellStyle name="Normal 6 15 4" xfId="1852" xr:uid="{17482FDF-FFBE-4BB4-8F97-0A13EB0DB592}"/>
    <cellStyle name="Normal 6 16" xfId="1853" xr:uid="{427C6A31-6827-4137-8145-BE1964C531C9}"/>
    <cellStyle name="Normal 6 16 2" xfId="1854" xr:uid="{AFC84F91-49CA-42BB-8D49-151D9F06878D}"/>
    <cellStyle name="Normal 6 16 3" xfId="1855" xr:uid="{8D85A2DF-6559-4561-A2E3-57A6DE1439B7}"/>
    <cellStyle name="Normal 6 16 4" xfId="1856" xr:uid="{1DCB8EA0-362E-4E29-A18E-4006B38B6903}"/>
    <cellStyle name="Normal 6 17" xfId="1857" xr:uid="{E01910EC-0612-40AA-8997-8109ECB08592}"/>
    <cellStyle name="Normal 6 17 2" xfId="1858" xr:uid="{FA625A8F-71F6-49BA-AC36-6D36EA5DA079}"/>
    <cellStyle name="Normal 6 17 3" xfId="1859" xr:uid="{253A5369-C26C-4B23-A4D3-2A40540BC07C}"/>
    <cellStyle name="Normal 6 17 4" xfId="1860" xr:uid="{37F2B6A9-94BB-4EE3-B3BF-90D70197FEDD}"/>
    <cellStyle name="Normal 6 18" xfId="1861" xr:uid="{D7A757F3-5372-45F1-B8B8-EC9EACCE89FF}"/>
    <cellStyle name="Normal 6 18 2" xfId="1862" xr:uid="{8670E2AF-3D78-4A86-A3B2-34DED265B26D}"/>
    <cellStyle name="Normal 6 18 3" xfId="1863" xr:uid="{FFC4372B-1914-4E21-A060-15DEA1FE6148}"/>
    <cellStyle name="Normal 6 18 4" xfId="1864" xr:uid="{FF4BBF49-4C60-4695-B4BF-9E8EB1DE5537}"/>
    <cellStyle name="Normal 6 19" xfId="1865" xr:uid="{D5A745D7-8E77-43BA-BDB1-3BAA9E366C13}"/>
    <cellStyle name="Normal 6 19 2" xfId="1866" xr:uid="{B73FC1F9-ACB7-4B9E-B737-3F466363EDC8}"/>
    <cellStyle name="Normal 6 19 3" xfId="1867" xr:uid="{B652E69B-251E-4AEE-AB5C-557F0EBC33A1}"/>
    <cellStyle name="Normal 6 19 4" xfId="1868" xr:uid="{9468E593-671E-40E9-95E9-464F537B82F5}"/>
    <cellStyle name="Normal 6 2" xfId="1869" xr:uid="{9A4CC8F5-E40C-42D5-BCCE-0D32014FF244}"/>
    <cellStyle name="Normal 6 2 2" xfId="1870" xr:uid="{1621B4C6-BC33-4101-8CE5-B5CF0963598C}"/>
    <cellStyle name="Normal 6 2 3" xfId="1871" xr:uid="{95420296-8AF7-40E8-9DE1-81767B3FD2D8}"/>
    <cellStyle name="Normal 6 2 4" xfId="1872" xr:uid="{23BABD26-08E0-413A-8522-4C40DB0E1081}"/>
    <cellStyle name="Normal 6 2 5" xfId="1873" xr:uid="{D7EBF303-56DB-4360-82B1-22AA5AD70FF1}"/>
    <cellStyle name="Normal 6 20" xfId="1874" xr:uid="{ABB8C61E-BDE8-458A-8D86-8B0DD00D2349}"/>
    <cellStyle name="Normal 6 20 2" xfId="1875" xr:uid="{5E7D8915-8D51-4285-B084-78951A377AC4}"/>
    <cellStyle name="Normal 6 20 3" xfId="1876" xr:uid="{50B14DD6-97D6-45F3-A34B-ACB1C0BC3754}"/>
    <cellStyle name="Normal 6 20 4" xfId="1877" xr:uid="{685ED7A3-0984-4BC2-BD5E-36C352ABD2B1}"/>
    <cellStyle name="Normal 6 21" xfId="1878" xr:uid="{3A5F2C55-ACEE-49D6-8C13-5144390A68AE}"/>
    <cellStyle name="Normal 6 21 2" xfId="1879" xr:uid="{72E851B6-EE60-4FEA-868D-154BD09985C3}"/>
    <cellStyle name="Normal 6 21 3" xfId="1880" xr:uid="{D2D12A5A-2143-46D6-8227-4F59C6B90D01}"/>
    <cellStyle name="Normal 6 21 4" xfId="1881" xr:uid="{9B1D2E7C-5687-43AF-82AD-7D6DF5D1E49C}"/>
    <cellStyle name="Normal 6 22" xfId="1882" xr:uid="{29405C63-9E79-4F6F-AF1B-15AD11ECA656}"/>
    <cellStyle name="Normal 6 22 2" xfId="1883" xr:uid="{0D10EE48-DB73-414A-91A3-D785CC1325E8}"/>
    <cellStyle name="Normal 6 22 3" xfId="1884" xr:uid="{D18E8CA2-A5F6-4B18-9FF3-EE06630DC436}"/>
    <cellStyle name="Normal 6 22 4" xfId="1885" xr:uid="{392D6B44-FD61-4D29-87B4-1060A2826955}"/>
    <cellStyle name="Normal 6 23" xfId="1886" xr:uid="{30750D9E-D472-4EB2-ADA7-9238CD8529AB}"/>
    <cellStyle name="Normal 6 23 2" xfId="1887" xr:uid="{917CD64C-D03E-414B-80FA-85FBD6A7245F}"/>
    <cellStyle name="Normal 6 23 3" xfId="1888" xr:uid="{C323853D-3920-4CA1-80E1-7B4A2AC6D1AE}"/>
    <cellStyle name="Normal 6 23 4" xfId="1889" xr:uid="{E5A1DE18-D838-4606-BD1C-21CA31E63E7A}"/>
    <cellStyle name="Normal 6 24" xfId="1890" xr:uid="{A848DEF8-99AA-4C5E-A83E-99CA2EAF539C}"/>
    <cellStyle name="Normal 6 24 2" xfId="1891" xr:uid="{DA46EFCB-CD3F-4EA3-8D15-28D28A6460E6}"/>
    <cellStyle name="Normal 6 24 3" xfId="1892" xr:uid="{7CAC9D2D-CADA-4D78-9B34-4704DBF8F65F}"/>
    <cellStyle name="Normal 6 24 4" xfId="1893" xr:uid="{A98F91B5-7123-448A-BDAB-D8661DB1FF74}"/>
    <cellStyle name="Normal 6 25" xfId="1894" xr:uid="{6C81D58E-E260-40F5-8D58-FE94FBD46247}"/>
    <cellStyle name="Normal 6 25 2" xfId="1895" xr:uid="{F5445F32-84CC-407E-8404-3494D4746D17}"/>
    <cellStyle name="Normal 6 25 3" xfId="1896" xr:uid="{C8F1DAA1-7887-430F-91A3-B69E024CD1F9}"/>
    <cellStyle name="Normal 6 25 4" xfId="1897" xr:uid="{A4DCAE78-CA91-41B2-8FE1-7ACA6E089D51}"/>
    <cellStyle name="Normal 6 26" xfId="1898" xr:uid="{32A4F6E2-AF66-41F3-9542-248B0F087388}"/>
    <cellStyle name="Normal 6 26 2" xfId="1899" xr:uid="{262463C5-1EB4-47FA-950A-807784B59ABE}"/>
    <cellStyle name="Normal 6 26 3" xfId="1900" xr:uid="{5CA32819-9835-45E8-A129-AE1FE9754BF2}"/>
    <cellStyle name="Normal 6 26 4" xfId="1901" xr:uid="{F9AAB5DA-DDBF-4191-B150-87F3B10F95F5}"/>
    <cellStyle name="Normal 6 27" xfId="1902" xr:uid="{1ABB488A-0574-4BDD-A70E-44B002C00B16}"/>
    <cellStyle name="Normal 6 27 2" xfId="1903" xr:uid="{7489F011-CED7-46B6-882D-F25A70824646}"/>
    <cellStyle name="Normal 6 27 3" xfId="1904" xr:uid="{C4A54014-4B1C-45D2-82D8-D6F7BDF64131}"/>
    <cellStyle name="Normal 6 27 4" xfId="1905" xr:uid="{7A59C8FF-716D-497D-8815-D0F9D9B0305E}"/>
    <cellStyle name="Normal 6 28" xfId="1906" xr:uid="{31B794AE-B130-414E-9E40-BDE4C42C9895}"/>
    <cellStyle name="Normal 6 28 2" xfId="1907" xr:uid="{C1127044-EED3-4A19-B9C1-E65251F27F3B}"/>
    <cellStyle name="Normal 6 28 3" xfId="1908" xr:uid="{FB290358-E521-457A-B7B8-52CCE8F91B17}"/>
    <cellStyle name="Normal 6 28 4" xfId="1909" xr:uid="{29DD9A5C-0226-4EC7-93E4-FDC6225FC001}"/>
    <cellStyle name="Normal 6 29" xfId="1910" xr:uid="{FACCD055-4880-4AE3-84C4-CF9E4EE9F1A4}"/>
    <cellStyle name="Normal 6 29 2" xfId="1911" xr:uid="{1D379EAF-426B-4C59-BCC7-183DA19991C1}"/>
    <cellStyle name="Normal 6 29 3" xfId="1912" xr:uid="{43F797B0-CF15-4762-BCCF-131BC1340D0A}"/>
    <cellStyle name="Normal 6 29 4" xfId="1913" xr:uid="{F7F24949-597A-44FA-B2F2-AE27B275D31D}"/>
    <cellStyle name="Normal 6 3" xfId="1914" xr:uid="{AFE17821-B4D7-448F-B033-1AA961D6FED9}"/>
    <cellStyle name="Normal 6 3 2" xfId="1915" xr:uid="{B9C8569A-C5E7-46DC-95A7-6E4096414A7C}"/>
    <cellStyle name="Normal 6 3 3" xfId="1916" xr:uid="{E1F7F5A3-8AB2-4C3D-8FB0-AC2348D2DD37}"/>
    <cellStyle name="Normal 6 3 4" xfId="1917" xr:uid="{ACB83168-CFC5-4285-B622-6DE5D065A2DF}"/>
    <cellStyle name="Normal 6 30" xfId="1918" xr:uid="{D6FB7E35-AAC6-45B9-B1E2-CE77E980A4B8}"/>
    <cellStyle name="Normal 6 30 2" xfId="1919" xr:uid="{86D48F0F-C6D6-4590-90B3-BE363FCB07FB}"/>
    <cellStyle name="Normal 6 30 3" xfId="1920" xr:uid="{19313B73-8248-4D28-A4F7-AFC62FD41BD7}"/>
    <cellStyle name="Normal 6 30 4" xfId="1921" xr:uid="{AA1375D8-154F-4FD8-9F92-6A850870BFAF}"/>
    <cellStyle name="Normal 6 31" xfId="1922" xr:uid="{3B67ED2C-FFB2-418C-8EBF-5980786AF0A7}"/>
    <cellStyle name="Normal 6 31 2" xfId="1923" xr:uid="{9CD0024D-BD82-493A-B621-3A11562A9925}"/>
    <cellStyle name="Normal 6 31 3" xfId="1924" xr:uid="{C64E48F9-9974-413F-A7F8-1AF2FCD9903A}"/>
    <cellStyle name="Normal 6 31 4" xfId="1925" xr:uid="{99EF784B-4D24-4F23-889C-39A224F5F2F1}"/>
    <cellStyle name="Normal 6 32" xfId="1926" xr:uid="{B7DFF76F-630B-43ED-B124-D5B11F0B3671}"/>
    <cellStyle name="Normal 6 32 2" xfId="1927" xr:uid="{68834E9D-D454-495D-B436-A7CC55931618}"/>
    <cellStyle name="Normal 6 32 3" xfId="1928" xr:uid="{65B7A333-3648-45F6-BE83-C0A75FEEDF2A}"/>
    <cellStyle name="Normal 6 32 4" xfId="1929" xr:uid="{03B84D24-466C-4A45-A5B1-42DC973AB01B}"/>
    <cellStyle name="Normal 6 33" xfId="1930" xr:uid="{9FA5F0E7-0AA0-43CD-B467-8E4308FECB7A}"/>
    <cellStyle name="Normal 6 33 2" xfId="1931" xr:uid="{1DEE1FA4-A5A8-4CFF-9610-507A80DB593E}"/>
    <cellStyle name="Normal 6 33 3" xfId="1932" xr:uid="{AF233AD8-86E4-4283-94C9-598C25C3A807}"/>
    <cellStyle name="Normal 6 33 4" xfId="1933" xr:uid="{9E895A8A-FF35-4CB9-89AA-B5C826B56023}"/>
    <cellStyle name="Normal 6 34" xfId="1934" xr:uid="{E70FD6C4-D953-4D99-B59A-E570BD29B93A}"/>
    <cellStyle name="Normal 6 34 2" xfId="1935" xr:uid="{0B06E55A-4BA0-46C8-9FBC-D7ADC22B0D64}"/>
    <cellStyle name="Normal 6 34 3" xfId="1936" xr:uid="{FEC4AE2D-3A5D-4F93-9319-DA99C2188FB4}"/>
    <cellStyle name="Normal 6 34 4" xfId="1937" xr:uid="{3AD40F11-9EAF-4211-8AEC-24E5E77BF94E}"/>
    <cellStyle name="Normal 6 35" xfId="1938" xr:uid="{2C430B6B-4ECB-4708-A2D8-4D1919CE8CC1}"/>
    <cellStyle name="Normal 6 35 2" xfId="1939" xr:uid="{97D5C026-5855-439C-8019-54FB3E6F7CC4}"/>
    <cellStyle name="Normal 6 35 3" xfId="1940" xr:uid="{D6A5DA0D-5E59-4F24-B8A1-A0A8AC27C556}"/>
    <cellStyle name="Normal 6 35 4" xfId="1941" xr:uid="{EB7137CD-BD1C-4E89-8774-147F908873D3}"/>
    <cellStyle name="Normal 6 36" xfId="1942" xr:uid="{983614F0-6F10-4209-B984-DC6071690542}"/>
    <cellStyle name="Normal 6 36 2" xfId="1943" xr:uid="{48775528-B653-4172-813C-5FDEF79CDC24}"/>
    <cellStyle name="Normal 6 36 3" xfId="1944" xr:uid="{0A397437-C8F8-4919-84B2-AC8C427D47EF}"/>
    <cellStyle name="Normal 6 36 4" xfId="1945" xr:uid="{B5394FB7-B8A1-4F96-B7E8-25567FFC7258}"/>
    <cellStyle name="Normal 6 37" xfId="1946" xr:uid="{865DE3F7-95E1-4DF6-9C1E-AC150DD493F9}"/>
    <cellStyle name="Normal 6 37 2" xfId="1947" xr:uid="{85C6BD37-7134-44A3-98C6-FF50F1D52A9E}"/>
    <cellStyle name="Normal 6 37 3" xfId="1948" xr:uid="{5B107C98-0D41-4D92-BA7C-4062C2CD57ED}"/>
    <cellStyle name="Normal 6 37 4" xfId="1949" xr:uid="{D738B4CF-669B-4DEB-BBED-A1EB0D0FC63C}"/>
    <cellStyle name="Normal 6 38" xfId="1950" xr:uid="{15C1DEB4-133C-4B32-B8FA-113DA57F1226}"/>
    <cellStyle name="Normal 6 38 2" xfId="1951" xr:uid="{CF312862-2A4F-427A-A149-C134FF37FEE0}"/>
    <cellStyle name="Normal 6 38 3" xfId="1952" xr:uid="{7DAD2EE4-865F-4A74-8F29-7EE2FB4D29BE}"/>
    <cellStyle name="Normal 6 38 4" xfId="1953" xr:uid="{7C2E9DA8-5BF6-48AA-9C43-0E0758A2628A}"/>
    <cellStyle name="Normal 6 39" xfId="1954" xr:uid="{B4ED0034-A392-4F81-8172-6AAFDE00DE2E}"/>
    <cellStyle name="Normal 6 39 2" xfId="1955" xr:uid="{2C8F028E-C2D4-47A4-8858-393BFDF7BB2D}"/>
    <cellStyle name="Normal 6 39 3" xfId="1956" xr:uid="{4170AA11-CF80-4F0B-91FD-0CB2B776A6BD}"/>
    <cellStyle name="Normal 6 39 4" xfId="1957" xr:uid="{61159269-346D-4306-8885-FE6B53EE2402}"/>
    <cellStyle name="Normal 6 4" xfId="1958" xr:uid="{29A3E0BF-7902-4366-9940-A099DDBE4713}"/>
    <cellStyle name="Normal 6 4 2" xfId="1959" xr:uid="{3B6DE461-D2EC-4D4C-848C-BB94E86A5E32}"/>
    <cellStyle name="Normal 6 4 3" xfId="1960" xr:uid="{669D6012-38B4-43B0-8758-3FC0C0FAA6F3}"/>
    <cellStyle name="Normal 6 4 4" xfId="1961" xr:uid="{F7A316E6-80EB-4342-8038-D2973743EABD}"/>
    <cellStyle name="Normal 6 4 5" xfId="1962" xr:uid="{CA2A81BE-D8DF-497D-BB0A-CF4533599C4A}"/>
    <cellStyle name="Normal 6 40" xfId="1963" xr:uid="{DDD5EFB6-F4C4-4AE6-B6B3-1DB399521344}"/>
    <cellStyle name="Normal 6 40 2" xfId="1964" xr:uid="{DAD84DF9-4C42-486E-A824-384D3A1C227E}"/>
    <cellStyle name="Normal 6 40 3" xfId="1965" xr:uid="{FE8089B5-1242-4AF9-AC2C-A67C55DEC2A6}"/>
    <cellStyle name="Normal 6 40 4" xfId="1966" xr:uid="{DF3107AE-3A85-41E5-ABA9-0A816A7E097E}"/>
    <cellStyle name="Normal 6 41" xfId="1967" xr:uid="{5D0B8BB5-F8F1-46D7-93AD-3BDEEC7BC2C2}"/>
    <cellStyle name="Normal 6 41 2" xfId="1968" xr:uid="{C87DB997-3D30-4DDE-B546-EF1F7E369FF4}"/>
    <cellStyle name="Normal 6 41 3" xfId="1969" xr:uid="{5424EC47-DD89-47F3-B607-6C75527843CD}"/>
    <cellStyle name="Normal 6 41 4" xfId="1970" xr:uid="{A09332D1-2D9E-4069-8FFB-D59EAB33E4FC}"/>
    <cellStyle name="Normal 6 42" xfId="1971" xr:uid="{CAF6FDCE-1A8A-4EA1-B9C1-E6DABB8C8B5E}"/>
    <cellStyle name="Normal 6 42 2" xfId="1972" xr:uid="{04ED6077-40DE-448B-8C42-829E520C0C86}"/>
    <cellStyle name="Normal 6 42 3" xfId="1973" xr:uid="{AF0B4158-5D34-438E-AE33-62D6FEF2CD1E}"/>
    <cellStyle name="Normal 6 42 4" xfId="1974" xr:uid="{97CCE0F9-62C2-47BB-AD68-A8A097A1050D}"/>
    <cellStyle name="Normal 6 43" xfId="1975" xr:uid="{A5C97012-8C94-428B-9C3C-EC1EE909E403}"/>
    <cellStyle name="Normal 6 43 2" xfId="1976" xr:uid="{0274ED7C-E06F-42F0-9FF7-76C3AEB478E7}"/>
    <cellStyle name="Normal 6 43 3" xfId="1977" xr:uid="{64ECB4CA-FA94-4F67-9518-7ACA7C5AD070}"/>
    <cellStyle name="Normal 6 43 4" xfId="1978" xr:uid="{5E76330C-16E8-4A18-B835-1AEA8F279AC0}"/>
    <cellStyle name="Normal 6 44" xfId="1979" xr:uid="{2BA79576-02CE-441F-922C-98856393B418}"/>
    <cellStyle name="Normal 6 44 2" xfId="1980" xr:uid="{4229449F-EA98-4C84-BEA1-F134846D9364}"/>
    <cellStyle name="Normal 6 44 3" xfId="1981" xr:uid="{17A46A0A-E466-4CBC-93FF-049591C07B40}"/>
    <cellStyle name="Normal 6 44 4" xfId="1982" xr:uid="{7ADC0455-9C1F-41E2-A378-9318F3D41435}"/>
    <cellStyle name="Normal 6 45" xfId="1983" xr:uid="{3B1F9A63-BF52-42CD-AC70-D8BEF104C3D3}"/>
    <cellStyle name="Normal 6 45 2" xfId="1984" xr:uid="{9EBF69C6-7DCF-456B-BC53-0F764CC0EC73}"/>
    <cellStyle name="Normal 6 45 3" xfId="1985" xr:uid="{220A826D-E88A-4E55-9F85-90E47A3BAD19}"/>
    <cellStyle name="Normal 6 45 4" xfId="1986" xr:uid="{6C93264B-8B24-423B-BAB8-189544CEF921}"/>
    <cellStyle name="Normal 6 46" xfId="1828" xr:uid="{81B05649-68FC-45BD-AEC8-F1AEE48B947B}"/>
    <cellStyle name="Normal 6 47" xfId="2239" xr:uid="{D8DB8EFC-47D2-4F2E-8390-2F6E2134BFDD}"/>
    <cellStyle name="Normal 6 5" xfId="1987" xr:uid="{21401A32-A8D7-4BA2-99C5-1696B2EAF1C4}"/>
    <cellStyle name="Normal 6 5 2" xfId="1988" xr:uid="{5455D263-273C-434F-8A81-593039E59F22}"/>
    <cellStyle name="Normal 6 5 3" xfId="1989" xr:uid="{23E3690C-CB89-410D-A5C8-9FE4D68100D3}"/>
    <cellStyle name="Normal 6 5 4" xfId="1990" xr:uid="{1B419586-E76A-4D2A-B7F5-6BC44049C9B5}"/>
    <cellStyle name="Normal 6 50 2" xfId="76" xr:uid="{706A8DEE-CF98-4E8F-9A82-768DB7469E69}"/>
    <cellStyle name="Normal 6 6" xfId="1991" xr:uid="{09261540-7925-4621-87F1-465D4C946678}"/>
    <cellStyle name="Normal 6 6 2" xfId="1992" xr:uid="{2716584B-DA44-4243-ACC9-29C823821013}"/>
    <cellStyle name="Normal 6 6 3" xfId="1993" xr:uid="{7B7C48CB-D1C7-466A-8537-102D0E985669}"/>
    <cellStyle name="Normal 6 6 4" xfId="1994" xr:uid="{B7D9A005-DB46-489A-98D1-329DE0D2516F}"/>
    <cellStyle name="Normal 6 7" xfId="1995" xr:uid="{46CBD290-6861-4F1F-8E62-BB34694AF9C7}"/>
    <cellStyle name="Normal 6 7 2" xfId="1996" xr:uid="{1FC5A917-3160-402B-9880-1E90703E04DA}"/>
    <cellStyle name="Normal 6 7 3" xfId="1997" xr:uid="{99549484-4F96-4D4E-8F26-12D39BA01F0F}"/>
    <cellStyle name="Normal 6 7 4" xfId="1998" xr:uid="{ECCAEF95-186F-4159-9B31-336E8C8C11FF}"/>
    <cellStyle name="Normal 6 8" xfId="1999" xr:uid="{2850946A-D97F-411F-BFD9-F36504CA89B3}"/>
    <cellStyle name="Normal 6 8 2" xfId="2000" xr:uid="{FD01E0A8-D219-4611-A356-ACAD67406305}"/>
    <cellStyle name="Normal 6 8 3" xfId="2001" xr:uid="{34D4A7E8-96F4-48CB-ADAA-81AB3A98023B}"/>
    <cellStyle name="Normal 6 8 4" xfId="2002" xr:uid="{6E6E67C4-41F4-49A2-8CFC-44E38D3F6547}"/>
    <cellStyle name="Normal 6 9" xfId="2003" xr:uid="{CBD4F256-C09B-4AAC-89E0-A5844FD2037B}"/>
    <cellStyle name="Normal 6 9 2" xfId="2004" xr:uid="{A6FB6E02-7905-4F18-B0B6-8B87EC5EE027}"/>
    <cellStyle name="Normal 6 9 3" xfId="2005" xr:uid="{878F868C-F5C7-4055-9CB7-BC2D428B5385}"/>
    <cellStyle name="Normal 6 9 4" xfId="2006" xr:uid="{33C8D6E6-B4A0-40B1-BCCD-D79F67B8CFC4}"/>
    <cellStyle name="Normal 60 2" xfId="67" xr:uid="{23DCFB56-F65F-49DC-BB34-57F16808F334}"/>
    <cellStyle name="Normal 62" xfId="63" xr:uid="{75EB9072-14AC-4EB6-82AE-494EE9E2C034}"/>
    <cellStyle name="Normal 62 2" xfId="61" xr:uid="{08D683A8-82F9-412B-A272-1B6D544D0EBF}"/>
    <cellStyle name="Normal 7" xfId="23" xr:uid="{EABBBD87-1D3F-4379-8250-1D356687CE6B}"/>
    <cellStyle name="Normal 7 10" xfId="2008" xr:uid="{288DB5C7-AB1C-4FC0-8A9A-EF9CA66B7D98}"/>
    <cellStyle name="Normal 7 10 2" xfId="2009" xr:uid="{3F30A5A2-4152-43F0-8041-797BBF1CE35F}"/>
    <cellStyle name="Normal 7 10 3" xfId="2010" xr:uid="{B82816C0-ED09-4CEC-8A45-95F51DB57757}"/>
    <cellStyle name="Normal 7 10 4" xfId="2011" xr:uid="{68D10360-92B4-45FC-AB98-1FFA8580D149}"/>
    <cellStyle name="Normal 7 11" xfId="2012" xr:uid="{14659999-75D7-4DA8-B0F2-9B32C279B551}"/>
    <cellStyle name="Normal 7 11 2" xfId="2013" xr:uid="{1A2443CC-D07B-4E2B-8086-34DE681DB140}"/>
    <cellStyle name="Normal 7 11 3" xfId="2014" xr:uid="{17643DC7-F5E1-499C-A94A-D3AA1F0A3785}"/>
    <cellStyle name="Normal 7 11 4" xfId="2015" xr:uid="{5589370F-7151-49C1-9156-946F16904C41}"/>
    <cellStyle name="Normal 7 12" xfId="2016" xr:uid="{2D462F5A-41B2-43B8-B668-F4DF6D16A29C}"/>
    <cellStyle name="Normal 7 12 2" xfId="2017" xr:uid="{C94F1F14-0E00-46B7-90A5-5FEAE742BE2D}"/>
    <cellStyle name="Normal 7 12 3" xfId="2018" xr:uid="{96D31697-52BD-4A16-AF58-A16DBD286BA9}"/>
    <cellStyle name="Normal 7 12 4" xfId="2019" xr:uid="{8C30055A-1762-47CD-ACED-5992A7344814}"/>
    <cellStyle name="Normal 7 13" xfId="2020" xr:uid="{A5F7B34C-27DE-4366-B67C-39F78C3E7047}"/>
    <cellStyle name="Normal 7 13 2" xfId="2021" xr:uid="{CA1F23AE-70B4-48F3-B723-1719029C8F69}"/>
    <cellStyle name="Normal 7 13 3" xfId="2022" xr:uid="{B30925C3-892E-4846-B98F-DB873BFA74C7}"/>
    <cellStyle name="Normal 7 13 4" xfId="2023" xr:uid="{4E32583B-B191-4A49-AB06-B2137AD78834}"/>
    <cellStyle name="Normal 7 14" xfId="2024" xr:uid="{FDB56D0B-0340-4C92-93A9-B1FAB04310FF}"/>
    <cellStyle name="Normal 7 14 2" xfId="2025" xr:uid="{93E61179-09A9-4844-BD12-F0E4F4F1216A}"/>
    <cellStyle name="Normal 7 14 3" xfId="2026" xr:uid="{FB6D7965-BFE6-4D6C-B018-FDF7A6D107E8}"/>
    <cellStyle name="Normal 7 14 4" xfId="2027" xr:uid="{BFDFE650-B1FB-44FB-918B-7A20AB4FF4DD}"/>
    <cellStyle name="Normal 7 15" xfId="2028" xr:uid="{EC512C2C-8D1A-4D31-9FE9-27B6D33C70EB}"/>
    <cellStyle name="Normal 7 15 2" xfId="2029" xr:uid="{C76644D3-0DA1-4DC7-A745-84FEA90097DC}"/>
    <cellStyle name="Normal 7 15 3" xfId="2030" xr:uid="{31DC7ADB-3DE0-4802-833C-58899E38A855}"/>
    <cellStyle name="Normal 7 15 4" xfId="2031" xr:uid="{0D1C669D-1737-44BC-814C-034715BC9C96}"/>
    <cellStyle name="Normal 7 16" xfId="2032" xr:uid="{D17A5EC5-0772-4D65-8C14-AF25926F8A3A}"/>
    <cellStyle name="Normal 7 16 2" xfId="2033" xr:uid="{C9BD65B1-8669-4739-8383-FE3BAB738EC6}"/>
    <cellStyle name="Normal 7 16 3" xfId="2034" xr:uid="{9B591420-116B-4E4E-839C-280A9B14EAB8}"/>
    <cellStyle name="Normal 7 16 4" xfId="2035" xr:uid="{CBB27C21-F97C-449B-80C2-2E9CC818EE08}"/>
    <cellStyle name="Normal 7 17" xfId="2036" xr:uid="{E7D00823-C730-4E37-8417-58C9D33CBBCF}"/>
    <cellStyle name="Normal 7 17 2" xfId="2037" xr:uid="{CA847D4F-6014-4869-800B-5A07BAD16784}"/>
    <cellStyle name="Normal 7 17 3" xfId="2038" xr:uid="{D329BD89-2C1C-492B-8533-99D7FC5F00F4}"/>
    <cellStyle name="Normal 7 17 4" xfId="2039" xr:uid="{B5A558F9-D356-4EB6-84A9-C30837BE75AD}"/>
    <cellStyle name="Normal 7 18" xfId="2040" xr:uid="{B9AD8468-FCAD-4FC8-A58F-BFF913C92BD9}"/>
    <cellStyle name="Normal 7 18 2" xfId="2041" xr:uid="{0534766E-1D82-42D6-938F-515D159FB61F}"/>
    <cellStyle name="Normal 7 18 3" xfId="2042" xr:uid="{93532F95-32AE-4E54-AAFB-146C0AE0F397}"/>
    <cellStyle name="Normal 7 18 4" xfId="2043" xr:uid="{0A1772E0-9EAD-4017-808F-48571DBF8EDA}"/>
    <cellStyle name="Normal 7 19" xfId="2044" xr:uid="{057CED70-5AA7-4C52-9631-8F544F815259}"/>
    <cellStyle name="Normal 7 19 2" xfId="2045" xr:uid="{8CE56A1F-6A33-4892-B85C-FBAC680FDFCF}"/>
    <cellStyle name="Normal 7 19 3" xfId="2046" xr:uid="{08B95725-7CC2-448F-BBE0-AAD29D5C53D5}"/>
    <cellStyle name="Normal 7 19 4" xfId="2047" xr:uid="{6E61D6F5-029F-414C-93A6-03FAD48D6262}"/>
    <cellStyle name="Normal 7 2" xfId="2048" xr:uid="{C45484AF-C502-4CF6-8A99-C6099E61217E}"/>
    <cellStyle name="Normal 7 2 2" xfId="2049" xr:uid="{470070CC-2588-4CB0-9440-41CF937C40FB}"/>
    <cellStyle name="Normal 7 2 3" xfId="2050" xr:uid="{332DF2FC-7664-460B-8BB0-B702B67AD96F}"/>
    <cellStyle name="Normal 7 2 4" xfId="2051" xr:uid="{341D0376-1510-4E39-9980-3998AB1F0D0F}"/>
    <cellStyle name="Normal 7 20" xfId="2052" xr:uid="{E422861C-E1AB-4C5B-810B-B9D2A1E63FCA}"/>
    <cellStyle name="Normal 7 20 2" xfId="2053" xr:uid="{488D8C88-CB93-4776-B68D-7583F1FCD1F4}"/>
    <cellStyle name="Normal 7 20 3" xfId="2054" xr:uid="{842A5CBF-AF8B-45CC-8E5C-251E9887BC93}"/>
    <cellStyle name="Normal 7 20 4" xfId="2055" xr:uid="{FF8EE073-79D1-4E7A-9E5A-9AFA3B54AEFE}"/>
    <cellStyle name="Normal 7 21" xfId="2056" xr:uid="{D3B780C4-CC79-4183-BCA3-0A9D515CAF99}"/>
    <cellStyle name="Normal 7 21 2" xfId="2057" xr:uid="{74334B5A-7DBA-470B-AA04-650195E867E0}"/>
    <cellStyle name="Normal 7 21 3" xfId="2058" xr:uid="{637D8463-B829-4C7D-935A-B3AD5228A960}"/>
    <cellStyle name="Normal 7 21 4" xfId="2059" xr:uid="{6A4AFB52-3FC4-4273-9BF8-68371A5370C1}"/>
    <cellStyle name="Normal 7 22" xfId="2060" xr:uid="{D2736439-1AA4-45DB-8D69-D93BBD91C7D7}"/>
    <cellStyle name="Normal 7 22 2" xfId="2061" xr:uid="{9EFBFA4D-AF95-40CC-B6DA-0E4032AD4204}"/>
    <cellStyle name="Normal 7 22 3" xfId="2062" xr:uid="{3441AF94-DCC0-42AA-88AE-ABA67B9A6234}"/>
    <cellStyle name="Normal 7 22 4" xfId="2063" xr:uid="{DAF57113-A229-4723-A662-9A2CA4B2B7A2}"/>
    <cellStyle name="Normal 7 23" xfId="2064" xr:uid="{0359BE10-40BF-45E4-927D-63E691743337}"/>
    <cellStyle name="Normal 7 23 2" xfId="2065" xr:uid="{44589005-6709-4055-B24D-4F72F3180E8B}"/>
    <cellStyle name="Normal 7 23 3" xfId="2066" xr:uid="{7666990B-4ADB-430C-81FD-2DA091392E87}"/>
    <cellStyle name="Normal 7 23 4" xfId="2067" xr:uid="{9C4048C2-16CB-4822-A82E-0DCA0A55F5A8}"/>
    <cellStyle name="Normal 7 24" xfId="2068" xr:uid="{EB87D9FB-C8BE-4AD5-8BC8-4B4A0FCBBD68}"/>
    <cellStyle name="Normal 7 24 2" xfId="2069" xr:uid="{AAF0543B-BD50-45F6-919C-9376304B24DF}"/>
    <cellStyle name="Normal 7 24 3" xfId="2070" xr:uid="{7EB909F4-F45E-4E87-BF92-281CC207EB7A}"/>
    <cellStyle name="Normal 7 24 4" xfId="2071" xr:uid="{FB5D00E0-81B9-47A1-853E-ABF8752F6C4C}"/>
    <cellStyle name="Normal 7 25" xfId="2072" xr:uid="{84C83C2B-8A2D-414D-96BB-A1DD404D3A41}"/>
    <cellStyle name="Normal 7 25 2" xfId="2073" xr:uid="{5CFE9726-E473-4C60-843A-31751534315B}"/>
    <cellStyle name="Normal 7 25 3" xfId="2074" xr:uid="{76E83305-2190-49F4-886B-E5DE8A75F7A5}"/>
    <cellStyle name="Normal 7 25 4" xfId="2075" xr:uid="{B8124832-C944-4CD1-B504-0BB434F778E6}"/>
    <cellStyle name="Normal 7 26" xfId="2076" xr:uid="{0B8C72A1-DC63-4328-9536-7735E5DBC1CF}"/>
    <cellStyle name="Normal 7 26 2" xfId="2077" xr:uid="{2F79026E-A106-45A8-9DA4-41F73FE49844}"/>
    <cellStyle name="Normal 7 26 3" xfId="2078" xr:uid="{E96F7782-D8D0-4E11-9EB8-4FDC51317905}"/>
    <cellStyle name="Normal 7 26 4" xfId="2079" xr:uid="{6463E54F-73A4-4718-A3AD-FC613ECE2346}"/>
    <cellStyle name="Normal 7 27" xfId="2080" xr:uid="{B6894C76-5F88-4A52-A627-782DDFE17EA8}"/>
    <cellStyle name="Normal 7 27 2" xfId="2081" xr:uid="{1914961E-821D-4E3F-A7B6-CE6257E23495}"/>
    <cellStyle name="Normal 7 27 3" xfId="2082" xr:uid="{E8180477-8E64-4F7A-B2F1-83611CDD361F}"/>
    <cellStyle name="Normal 7 27 4" xfId="2083" xr:uid="{B5693E7C-5D8B-434A-AAE4-B131C4B7A24C}"/>
    <cellStyle name="Normal 7 28" xfId="2084" xr:uid="{7E042328-68C4-498D-B1F5-D849A2BF7DAA}"/>
    <cellStyle name="Normal 7 28 2" xfId="2085" xr:uid="{3C322F69-3071-42D3-B0C8-D9C197213DCE}"/>
    <cellStyle name="Normal 7 28 3" xfId="2086" xr:uid="{C1206A28-6306-46EC-B15A-357EED26F360}"/>
    <cellStyle name="Normal 7 28 4" xfId="2087" xr:uid="{6411CDF1-233B-4E56-8416-61D1122CD9EA}"/>
    <cellStyle name="Normal 7 29" xfId="2088" xr:uid="{5398527A-264D-4EA6-A922-94B6A3855A24}"/>
    <cellStyle name="Normal 7 29 2" xfId="2089" xr:uid="{343FC4E9-4E7F-4C9A-AD0A-F09682247A87}"/>
    <cellStyle name="Normal 7 29 3" xfId="2090" xr:uid="{34F3A73A-9271-4EF5-9558-76DDE14B0818}"/>
    <cellStyle name="Normal 7 29 4" xfId="2091" xr:uid="{048A317A-8A16-423F-86B4-38B94E7B19AA}"/>
    <cellStyle name="Normal 7 3" xfId="2092" xr:uid="{BB148502-4E47-49CA-920F-4E93BE991AFA}"/>
    <cellStyle name="Normal 7 3 2" xfId="2093" xr:uid="{D731C667-0AF4-45B5-8E6D-2FB0557F5FE5}"/>
    <cellStyle name="Normal 7 3 3" xfId="2094" xr:uid="{7080B029-BDA2-4AF6-932C-82F7B645D6D8}"/>
    <cellStyle name="Normal 7 3 4" xfId="2095" xr:uid="{1A454444-F9B7-46DC-AD3D-24E37FD5279C}"/>
    <cellStyle name="Normal 7 30" xfId="2096" xr:uid="{FB08CCE2-21D3-4D3E-8730-78C4681FBC55}"/>
    <cellStyle name="Normal 7 30 2" xfId="2097" xr:uid="{AA218D21-A6F0-4243-AF5E-EB8E06DDBFCC}"/>
    <cellStyle name="Normal 7 30 3" xfId="2098" xr:uid="{A1A12BDB-3501-447E-918F-8C3E52AB51B2}"/>
    <cellStyle name="Normal 7 30 4" xfId="2099" xr:uid="{2C2535C7-6B2F-40E4-A0F7-4B2C7698840C}"/>
    <cellStyle name="Normal 7 31" xfId="2100" xr:uid="{C07384EA-6C68-4469-9E0D-75987B9EAA83}"/>
    <cellStyle name="Normal 7 31 2" xfId="2101" xr:uid="{53CEB3A9-187F-407F-BB03-CD43C9EBB0EA}"/>
    <cellStyle name="Normal 7 31 3" xfId="2102" xr:uid="{0DECBC40-51A8-4FB2-A142-C8AFE214D5E0}"/>
    <cellStyle name="Normal 7 31 4" xfId="2103" xr:uid="{C47B2651-B2C8-4DF5-AD2C-1C992A69F66D}"/>
    <cellStyle name="Normal 7 32" xfId="2104" xr:uid="{0139902D-07D0-4BCE-8D1E-2FEF36506E24}"/>
    <cellStyle name="Normal 7 32 2" xfId="2105" xr:uid="{6F82E0C5-695C-4515-A8AB-FEAFBC366D8C}"/>
    <cellStyle name="Normal 7 32 3" xfId="2106" xr:uid="{B0E670A3-50BD-4E68-987F-DD50228D8612}"/>
    <cellStyle name="Normal 7 32 4" xfId="2107" xr:uid="{491ED1E8-5613-45D2-A446-11A797A3CCE6}"/>
    <cellStyle name="Normal 7 33" xfId="2108" xr:uid="{FEEEDF32-065D-4704-BCB6-A23C159D062D}"/>
    <cellStyle name="Normal 7 33 2" xfId="2109" xr:uid="{51761397-187D-4E1E-9B8C-7E6C49051C7F}"/>
    <cellStyle name="Normal 7 33 3" xfId="2110" xr:uid="{3000055D-5E11-4565-BEFD-F975D1E12FE0}"/>
    <cellStyle name="Normal 7 33 4" xfId="2111" xr:uid="{8AA0D728-394C-446A-BF42-0EC5E72C302E}"/>
    <cellStyle name="Normal 7 34" xfId="2112" xr:uid="{5DB87E21-FACF-4BE7-ACBE-CE045BECD540}"/>
    <cellStyle name="Normal 7 34 2" xfId="2113" xr:uid="{54FFC061-3988-4A3D-9682-FF78D2F915C6}"/>
    <cellStyle name="Normal 7 34 3" xfId="2114" xr:uid="{6BFE314D-3E73-4847-A14C-BF6A29A4C49C}"/>
    <cellStyle name="Normal 7 34 4" xfId="2115" xr:uid="{ED90058F-4B6C-4C9F-AC77-915465482153}"/>
    <cellStyle name="Normal 7 35" xfId="2116" xr:uid="{0121ED89-057E-471B-B4AF-9621B02C32E5}"/>
    <cellStyle name="Normal 7 35 2" xfId="2117" xr:uid="{D8C5A8EE-74A5-4B8D-8A53-D734F40A9FA2}"/>
    <cellStyle name="Normal 7 35 3" xfId="2118" xr:uid="{BD355A7F-D2D6-4D56-8B0B-6AD9A312814A}"/>
    <cellStyle name="Normal 7 35 4" xfId="2119" xr:uid="{B6B0AB97-1C9C-4C9D-B8F7-809EBC545971}"/>
    <cellStyle name="Normal 7 36" xfId="2120" xr:uid="{D129C297-3008-4B6D-82DE-5B5ABEDC1F46}"/>
    <cellStyle name="Normal 7 36 2" xfId="2121" xr:uid="{7B33950A-9400-4E6E-8DA7-D1FFD3EBAAF9}"/>
    <cellStyle name="Normal 7 36 3" xfId="2122" xr:uid="{69DAA6A8-F11A-4889-B1F6-64019DAAFF23}"/>
    <cellStyle name="Normal 7 36 4" xfId="2123" xr:uid="{BCC7FEB2-2493-4AC0-8FDC-BFD295CD8529}"/>
    <cellStyle name="Normal 7 37" xfId="2124" xr:uid="{4F2F8F86-3700-4D5F-87A9-E60926224365}"/>
    <cellStyle name="Normal 7 37 2" xfId="2125" xr:uid="{D60492A1-066A-4AD2-89CE-5D9133C8979C}"/>
    <cellStyle name="Normal 7 37 3" xfId="2126" xr:uid="{5324905E-33FB-4AC0-9033-D14ACD2C4121}"/>
    <cellStyle name="Normal 7 37 4" xfId="2127" xr:uid="{B0759AA7-CF80-4456-A64F-D15347F71750}"/>
    <cellStyle name="Normal 7 38" xfId="2128" xr:uid="{09F29643-E8C4-4D78-BC3A-692FCA84C1B9}"/>
    <cellStyle name="Normal 7 38 2" xfId="2129" xr:uid="{E2D9B514-7034-4A61-887B-76AF9334494C}"/>
    <cellStyle name="Normal 7 38 3" xfId="2130" xr:uid="{76B39A06-36CA-473A-A123-207BB6D508B0}"/>
    <cellStyle name="Normal 7 38 4" xfId="2131" xr:uid="{A02A3E6A-8638-4DB7-96CC-D24EAAE73C91}"/>
    <cellStyle name="Normal 7 39" xfId="2132" xr:uid="{BB7E27C5-4DDD-48FE-91B6-5EB80B685291}"/>
    <cellStyle name="Normal 7 39 2" xfId="2133" xr:uid="{AEA4A5EB-5711-47A9-8A89-9445573CA91F}"/>
    <cellStyle name="Normal 7 39 3" xfId="2134" xr:uid="{AE0BAC58-15F9-41D8-AEF3-CCF1561966A8}"/>
    <cellStyle name="Normal 7 39 4" xfId="2135" xr:uid="{03BF93F7-7F3A-4C6F-A390-D23251982243}"/>
    <cellStyle name="Normal 7 4" xfId="2136" xr:uid="{C75E6B49-987D-470B-9933-DF62E917ECDE}"/>
    <cellStyle name="Normal 7 4 2" xfId="2137" xr:uid="{7E0AB271-0125-4847-940C-DEDCB3DF3316}"/>
    <cellStyle name="Normal 7 4 3" xfId="2138" xr:uid="{C8399E6E-16BC-4306-8CDF-E1A71EE10D36}"/>
    <cellStyle name="Normal 7 4 4" xfId="2139" xr:uid="{66830356-46D4-454E-8D85-165988E2D350}"/>
    <cellStyle name="Normal 7 40" xfId="2140" xr:uid="{C0177AC9-4110-4959-B063-B98445F8B0DE}"/>
    <cellStyle name="Normal 7 40 2" xfId="2141" xr:uid="{0C9483EF-8CF4-41AA-A512-EDF171C58F95}"/>
    <cellStyle name="Normal 7 40 3" xfId="2142" xr:uid="{64BE10AE-9A9E-42A6-A642-8634E92678A5}"/>
    <cellStyle name="Normal 7 40 4" xfId="2143" xr:uid="{90249125-35B0-42ED-A3B9-29F42BA3D2E9}"/>
    <cellStyle name="Normal 7 41" xfId="2144" xr:uid="{D6B24E2F-3CD3-41AE-AD04-9454DCC5E44C}"/>
    <cellStyle name="Normal 7 41 2" xfId="2145" xr:uid="{67ECF4BD-73BE-491A-A46C-4DA06CA92BB1}"/>
    <cellStyle name="Normal 7 41 3" xfId="2146" xr:uid="{C4113055-C37E-419F-9EE3-6B4503C374C7}"/>
    <cellStyle name="Normal 7 41 4" xfId="2147" xr:uid="{BED90E28-4BB8-493F-B745-2AF2BC0C1B47}"/>
    <cellStyle name="Normal 7 42" xfId="2148" xr:uid="{37551A39-6C50-4E8D-8203-97B732C5C1E5}"/>
    <cellStyle name="Normal 7 42 2" xfId="2149" xr:uid="{8AFA3D83-E2ED-493D-B476-5985EC275DD3}"/>
    <cellStyle name="Normal 7 42 3" xfId="2150" xr:uid="{4C6ABB2A-62A3-4CC8-898C-1A6C17E1D346}"/>
    <cellStyle name="Normal 7 42 4" xfId="2151" xr:uid="{39B57FDD-EE8E-418D-AF4B-E590CEFBDF73}"/>
    <cellStyle name="Normal 7 43" xfId="2152" xr:uid="{713760D2-85F6-4DF7-AFE4-C0DF49C2EC87}"/>
    <cellStyle name="Normal 7 43 2" xfId="2153" xr:uid="{2860F371-BC64-4598-A301-5DED63082D8C}"/>
    <cellStyle name="Normal 7 43 3" xfId="2154" xr:uid="{670E7519-EAA4-4B85-808E-2B96C167974E}"/>
    <cellStyle name="Normal 7 43 4" xfId="2155" xr:uid="{634F92DD-07FA-4D70-916A-657EB0F65965}"/>
    <cellStyle name="Normal 7 44" xfId="2156" xr:uid="{D89B7388-2B76-4770-A030-3688CD3955AA}"/>
    <cellStyle name="Normal 7 44 2" xfId="2157" xr:uid="{4C53B47A-5058-4647-AC77-50B069E6A59E}"/>
    <cellStyle name="Normal 7 44 3" xfId="2158" xr:uid="{A5A212F7-FC5C-4A5C-BA68-58ADFFCBBB8B}"/>
    <cellStyle name="Normal 7 44 4" xfId="2159" xr:uid="{41D15142-2F50-41E9-AB68-29F857263B70}"/>
    <cellStyle name="Normal 7 45" xfId="2160" xr:uid="{0CD56CD2-9B52-48F3-BFAB-63C589B41162}"/>
    <cellStyle name="Normal 7 45 2" xfId="2161" xr:uid="{E436D1A0-FC22-42C7-B954-A9FCE5B60668}"/>
    <cellStyle name="Normal 7 45 3" xfId="2162" xr:uid="{E2F3ED2B-A46D-4578-9CEB-61D7F37BFF33}"/>
    <cellStyle name="Normal 7 45 4" xfId="2163" xr:uid="{E5E7A2C4-111E-43AF-8AE1-3C3390AD3998}"/>
    <cellStyle name="Normal 7 46" xfId="2164" xr:uid="{AB3A6CF1-1377-4EAF-A472-BF5CC3CF9524}"/>
    <cellStyle name="Normal 7 46 2" xfId="2165" xr:uid="{F2978804-19A0-4726-909F-BD85C3BD27DF}"/>
    <cellStyle name="Normal 7 46 2 2" xfId="2166" xr:uid="{D7D23176-812F-475B-9095-6C0DE46C8190}"/>
    <cellStyle name="Normal 7 46 2 3" xfId="2167" xr:uid="{1A9D649A-81CD-4BE8-8818-150FA34630F6}"/>
    <cellStyle name="Normal 7 46 2 4" xfId="2168" xr:uid="{D538556D-35C6-4106-AAF1-50D73FC37251}"/>
    <cellStyle name="Normal 7 46 3" xfId="2169" xr:uid="{3A4A05DE-3DD6-4264-A96C-C0C257C3DBA9}"/>
    <cellStyle name="Normal 7 46 4" xfId="2170" xr:uid="{4142A174-6DC7-4B37-BDC5-5E7FF265CFF0}"/>
    <cellStyle name="Normal 7 46 5" xfId="2171" xr:uid="{4383B360-7835-4790-9F33-ECDADE46A97D}"/>
    <cellStyle name="Normal 7 47" xfId="2172" xr:uid="{74E6C664-BD6C-4436-A77E-D25017018C72}"/>
    <cellStyle name="Normal 7 47 2" xfId="2173" xr:uid="{B7042D8D-7CE3-4318-805E-EA143AED7AA5}"/>
    <cellStyle name="Normal 7 47 2 2" xfId="2174" xr:uid="{2B660AB2-198A-492A-AF27-5F2AD0704A7C}"/>
    <cellStyle name="Normal 7 47 2 3" xfId="2175" xr:uid="{CB22F489-875E-4314-AD74-DE9F0F7588A4}"/>
    <cellStyle name="Normal 7 47 2 4" xfId="2176" xr:uid="{4423CCDF-04A4-49E8-9287-595A03C68015}"/>
    <cellStyle name="Normal 7 47 3" xfId="2177" xr:uid="{4602F62D-37EC-4312-9280-6E26382C00AE}"/>
    <cellStyle name="Normal 7 47 4" xfId="2178" xr:uid="{2AF5D2DE-9E1C-4F67-A50B-1DF807CDF0C8}"/>
    <cellStyle name="Normal 7 47 5" xfId="2179" xr:uid="{1689D5E6-D1AC-45AF-9889-C28DFC9454BA}"/>
    <cellStyle name="Normal 7 48" xfId="2180" xr:uid="{D728A607-7EEF-45E9-9DAD-1AB5BC9BF655}"/>
    <cellStyle name="Normal 7 49" xfId="2181" xr:uid="{42408EAD-64FE-4B21-9ABF-BFBBB03736E1}"/>
    <cellStyle name="Normal 7 5" xfId="2182" xr:uid="{051D82C1-D8B1-46AF-918F-9962912264A2}"/>
    <cellStyle name="Normal 7 5 2" xfId="2183" xr:uid="{3ACB92E2-651A-4372-B850-95467C316FC0}"/>
    <cellStyle name="Normal 7 5 3" xfId="2184" xr:uid="{51D6034F-A4C5-4CE9-A123-6A480F6F11F7}"/>
    <cellStyle name="Normal 7 5 4" xfId="2185" xr:uid="{1C45A9F8-EF52-4D7C-8F78-734D34F5A4FE}"/>
    <cellStyle name="Normal 7 50" xfId="2186" xr:uid="{8D0D7F09-B803-4BB9-A781-2B2F3C2A950A}"/>
    <cellStyle name="Normal 7 51" xfId="2187" xr:uid="{3F42AB16-6B25-44C3-A8D0-ACAF702248B0}"/>
    <cellStyle name="Normal 7 52" xfId="2007" xr:uid="{33474AF8-2DA4-4894-B3FC-C2F7320A6511}"/>
    <cellStyle name="Normal 7 53" xfId="2242" xr:uid="{AB42759D-8673-4B9E-ADAC-E1DA8CC5DC55}"/>
    <cellStyle name="Normal 7 6" xfId="2188" xr:uid="{C8B55FEA-17C6-4017-8494-11CD7687B3FC}"/>
    <cellStyle name="Normal 7 6 2" xfId="2189" xr:uid="{1CB2D00D-B0C1-4AEC-822D-1FF414449A0E}"/>
    <cellStyle name="Normal 7 6 3" xfId="2190" xr:uid="{6E68DD01-0A41-4D83-94D5-59E949AB6898}"/>
    <cellStyle name="Normal 7 6 4" xfId="2191" xr:uid="{93D86685-CD61-4AD6-BF0D-08C8E5B8D3A4}"/>
    <cellStyle name="Normal 7 7" xfId="2192" xr:uid="{99D18B77-FA0E-4FF2-963E-EAF5D81845B2}"/>
    <cellStyle name="Normal 7 7 2" xfId="2193" xr:uid="{458DC4DB-1957-4711-9B21-A6F6399999DF}"/>
    <cellStyle name="Normal 7 7 3" xfId="2194" xr:uid="{E49622D3-9E18-4D78-84E7-03D3CAE49095}"/>
    <cellStyle name="Normal 7 7 4" xfId="2195" xr:uid="{7415B1E0-7966-40E5-9861-5B61044A2B8B}"/>
    <cellStyle name="Normal 7 8" xfId="2196" xr:uid="{C262FAF8-EC51-462E-8EDA-D16F8DABE67D}"/>
    <cellStyle name="Normal 7 8 2" xfId="2197" xr:uid="{0E78876A-B91C-4D99-9467-127B5D375F15}"/>
    <cellStyle name="Normal 7 8 3" xfId="2198" xr:uid="{9BEC586C-C1E7-4B0B-97FC-DD6434207CD4}"/>
    <cellStyle name="Normal 7 8 4" xfId="2199" xr:uid="{E9ECBF7F-30A9-44E1-8D22-0D37A8AC0DAD}"/>
    <cellStyle name="Normal 7 9" xfId="2200" xr:uid="{F2543851-04F8-4C30-B506-4353A33DAFFA}"/>
    <cellStyle name="Normal 7 9 13" xfId="78" xr:uid="{7AC79701-06BA-4E48-90CD-7033C8DAD15E}"/>
    <cellStyle name="Normal 7 9 2" xfId="2201" xr:uid="{06A1E572-7178-4A52-B2EA-0D0AF1620417}"/>
    <cellStyle name="Normal 7 9 3" xfId="2202" xr:uid="{6BC61E52-40EF-44ED-A7B0-525D5466986D}"/>
    <cellStyle name="Normal 7 9 4" xfId="2203" xr:uid="{0C99A161-397D-40B4-975A-3E0446C27337}"/>
    <cellStyle name="Normal 71" xfId="66" xr:uid="{88CD5ED8-185B-4A8E-8939-522EB6237890}"/>
    <cellStyle name="Normal 72 2" xfId="60" xr:uid="{C6896F12-E7C2-4ED1-863F-390ADB41D305}"/>
    <cellStyle name="Normal 8" xfId="2204" xr:uid="{24E206C4-D2D6-4B60-B053-728AB57BB801}"/>
    <cellStyle name="Normal 8 2" xfId="2205" xr:uid="{129E1BFC-4853-474F-870C-4AD535632F9A}"/>
    <cellStyle name="Normal 8 2 2" xfId="2206" xr:uid="{3A208304-7F14-44E0-AC34-2DC167E6A320}"/>
    <cellStyle name="Normal 8 2 3" xfId="2207" xr:uid="{9AC94A8C-89C9-469B-91DB-D6089BD4844A}"/>
    <cellStyle name="Normal 8 2 4" xfId="2208" xr:uid="{7D51BE62-FDF5-4482-9A20-EA03F6D5350C}"/>
    <cellStyle name="Normal 8 3" xfId="2209" xr:uid="{28E01758-C55F-40B6-B6C4-5F9AF0E406AA}"/>
    <cellStyle name="Normal 8 3 2" xfId="2210" xr:uid="{270BADAB-3F4D-4DEA-B0C8-4A76F41A86BB}"/>
    <cellStyle name="Normal 8 3 2 2" xfId="2211" xr:uid="{B935F972-5DA6-44EE-A83F-4F21124AADF3}"/>
    <cellStyle name="Normal 8 3 2 3" xfId="2212" xr:uid="{31E0607C-4434-4B27-8D41-A9DED0AE460A}"/>
    <cellStyle name="Normal 8 3 2 4" xfId="2213" xr:uid="{DD499FCE-F268-4C15-9F14-10B6188278D6}"/>
    <cellStyle name="Normal 8 3 3" xfId="2214" xr:uid="{C1B87129-7255-4ED9-99ED-08AE3C37395F}"/>
    <cellStyle name="Normal 8 3 4" xfId="2215" xr:uid="{5C363C5B-3C48-4575-B7D0-73B05A046C31}"/>
    <cellStyle name="Normal 8 3 5" xfId="2216" xr:uid="{637A9A1C-B26C-4AB8-859D-8F6DA6AB7448}"/>
    <cellStyle name="Normal 8 4" xfId="2217" xr:uid="{1AB4DFE9-FD0E-4FDF-AD6D-76F7941664A0}"/>
    <cellStyle name="Normal 8 5" xfId="2218" xr:uid="{92977BC2-4FA2-4A71-B99C-88875942B806}"/>
    <cellStyle name="Normal 8 6" xfId="2219" xr:uid="{14930771-E668-4285-98E0-B5BE671B6050}"/>
    <cellStyle name="Normal 87" xfId="59" xr:uid="{A7B3C052-A8AA-4B80-897F-0F7E9E6BFD99}"/>
    <cellStyle name="Normal 9" xfId="129" xr:uid="{4ED811A8-45CA-4A67-921A-26AF862BB38F}"/>
    <cellStyle name="Normal 9 10 2" xfId="73" xr:uid="{EAC55906-C842-4F0C-9DAB-FF7B2FD6F06E}"/>
    <cellStyle name="Normal 9 11 2" xfId="77" xr:uid="{ADAAF8AC-6373-46A8-A039-1BAE256E5907}"/>
    <cellStyle name="Normal 9 4" xfId="86" xr:uid="{DA1174AB-1E4D-41CB-9D97-D232EC735E63}"/>
    <cellStyle name="Normal 9 4 2" xfId="2230" xr:uid="{A74AABF8-5270-4BD9-8EE6-051731D9153C}"/>
    <cellStyle name="Note 2" xfId="2220" xr:uid="{89A05074-C9E4-4BFB-96A2-069C871DB2A1}"/>
    <cellStyle name="Output 2" xfId="2221" xr:uid="{09D7091A-7E85-4650-B9B2-304563CD40E9}"/>
    <cellStyle name="Percent" xfId="1" builtinId="5"/>
    <cellStyle name="Percent 10" xfId="14" xr:uid="{2842FD2E-8765-43FA-B662-87EF4D7CC192}"/>
    <cellStyle name="Percent 12" xfId="35" xr:uid="{89F24D3D-F7F0-468C-B696-9CE5F00626C4}"/>
    <cellStyle name="Percent 13" xfId="55" xr:uid="{3BEC3AD6-3268-48BB-A276-D0BD03540D88}"/>
    <cellStyle name="Percent 16" xfId="52" xr:uid="{494CC1D8-5FB5-4643-891B-78973D22EA29}"/>
    <cellStyle name="Percent 2" xfId="32" xr:uid="{5A728D54-4D08-4730-964E-0C6AE269CBE1}"/>
    <cellStyle name="Percent 2 60" xfId="16" xr:uid="{85CAB4A9-C8C7-4AE6-9E8B-67654736F35F}"/>
    <cellStyle name="Style 1" xfId="2222" xr:uid="{3A2E2606-705D-4CC0-BF5D-09A48D8C2FA1}"/>
    <cellStyle name="Style 2" xfId="2223" xr:uid="{D4CCF444-9C7F-4CD4-8872-C3E20062743E}"/>
    <cellStyle name="SUB HEADING" xfId="6" xr:uid="{60A15BD2-98FE-4767-AAFC-C3710C48A505}"/>
    <cellStyle name="Title 2" xfId="2224" xr:uid="{A48B8331-6B18-4A5E-86A9-D7A7D7732608}"/>
    <cellStyle name="Total 2" xfId="2225" xr:uid="{4A1457C8-EC96-4E32-B91C-658FDBFD1699}"/>
    <cellStyle name="Warning Text 2" xfId="2226" xr:uid="{44D3587F-4E46-4F7C-BEEF-14E3E91C93F2}"/>
  </cellStyles>
  <dxfs count="13"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9636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95F03D87-8DD9-4A78-B6FF-2F00E79A2B47}">
    <Anchor>
      <Comment id="{9A743D6E-8086-47BA-8AC2-1634115C3391}"/>
    </Anchor>
    <History>
      <Event time="2023-03-12T11:03:44.44" id="{208F3635-228D-43DF-AA0D-AFE27E521F46}">
        <Attribution userId="S::suchita.sharma@total-environment.com::22e1a589-456e-45f3-adac-be6829c80874" userName="Suchita Sharma" userProvider="AD"/>
        <Anchor>
          <Comment id="{9A743D6E-8086-47BA-8AC2-1634115C3391}"/>
        </Anchor>
        <Create/>
      </Event>
      <Event time="2023-03-12T11:03:44.44" id="{9C2BC08A-3798-480B-B76D-3F33E023C548}">
        <Attribution userId="S::suchita.sharma@total-environment.com::22e1a589-456e-45f3-adac-be6829c80874" userName="Suchita Sharma" userProvider="AD"/>
        <Anchor>
          <Comment id="{9A743D6E-8086-47BA-8AC2-1634115C3391}"/>
        </Anchor>
        <Assign userId="S::vinod.soudi@total-environment.com::3569dcb6-9f9e-4c42-a951-14bb20890f34" userName="Vinod Appanna Soudi" userProvider="AD"/>
      </Event>
      <Event time="2023-03-12T11:03:44.44" id="{6E14A2C2-5365-424B-97E4-7A6CA90916B1}">
        <Attribution userId="S::suchita.sharma@total-environment.com::22e1a589-456e-45f3-adac-be6829c80874" userName="Suchita Sharma" userProvider="AD"/>
        <Anchor>
          <Comment id="{9A743D6E-8086-47BA-8AC2-1634115C3391}"/>
        </Anchor>
        <SetTitle title="@Vinod Soudi Please check why the % is loaded. "/>
      </Event>
      <Event time="2023-03-13T04:53:05.06" id="{76104361-D6CA-4A51-A9B9-D042BAC4BF52}">
        <Attribution userId="S::vinod.soudi@total-environment.com::3569dcb6-9f9e-4c42-a951-14bb20890f34" userName="Vinod Appanna Soudi" userProvider="AD"/>
        <Progress percentComplete="100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Application%20Support/Microsoft/Office/Office%202011%20AutoRecovery/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Applications/Microsoft%20Office%202011/Microsoft%20Excel.app/Contents/MacOS/SINGHVI_DEV_UNNI/VOL4/STAT/SCARAB/1998-99/SCB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C/Users/nithish.bhat/Dropbox/Sharing%20with%20Nithish/Goal%20Setting%20FY%2015-16/srb_b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C/Users/nithish.bhat/Dropbox/Sharing%20with%20Nithish/Goal%20Setting%20FY%2015-16/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Dropbox/Corporate%20Goals/Detailed%20Budget%20FY%2015-16/Accounts%20Receivables%20-%2031-01-2004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Caches/TemporaryItems/Outlook%20Temp/dep%20co's%20law%20_mar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Dropbox/00%20BAG/Goals%20Y19%20I%2015-16/TEM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C/Users/nithish.bhat/Dropbox/Sharing%20with%20Nithish/Goal%20Setting%20FY%2015-16/EAW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Applications/Microsoft%20Office%202011/Microsoft%20Excel.app/Contents/MacOS/192.168.60.117/c/My%20Documents/ACL/ACL_ACCOUNTS_MAR04/Financials_0304/MIS-wkg/mis_arw_mar04_23-06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Caches/TemporaryItems/Outlook%20Temp/Mfg%20Cost%20Feb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gaurav.a\Library\Containers\com.apple.mail\Data\Library\Mail%20Downloads\4052069E-8E1C-410C-88DF-012362766867\Worksheet%20in%202261.1%20Final%20Account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Application%20Support/Microsoft/Office/Office%202011%20AutoRecovery/Mfg%20Cost%20March%202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Analysis"/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b 9&amp;10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Break Up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DETAILED SUMMARY"/>
      <sheetName val="jan'04"/>
      <sheetName val="Accounts Receivables - 31-01-20"/>
      <sheetName val="gc"/>
      <sheetName val="Sheet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2003-2004Colaw"/>
      <sheetName val="2002-2003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 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Temp"/>
      <sheetName val="Bud2000"/>
      <sheetName val="FD"/>
      <sheetName val="TB"/>
      <sheetName val="Debtors Ageing "/>
      <sheetName val="fasch"/>
      <sheetName val="notes"/>
      <sheetName val="part-IV"/>
      <sheetName val="BL Staff"/>
      <sheetName val="BS-203"/>
      <sheetName val="PRECAST lightconc-II"/>
      <sheetName val="PRECAST-conc-II"/>
      <sheetName val="Miscellaneous-civil"/>
      <sheetName val="basic"/>
      <sheetName val="GN-ST-10"/>
      <sheetName val="PRECAST lightconc_II"/>
      <sheetName val="Friends"/>
      <sheetName val="College Details"/>
      <sheetName val="Personal "/>
      <sheetName val="Office"/>
      <sheetName val="CF-det"/>
      <sheetName val="Cleaning &amp; Grubbing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W Final Accounts - 99"/>
      <sheetName val="Customize Your Purchase Order"/>
      <sheetName val="Forecast Sales Model"/>
      <sheetName val="BS-203"/>
      <sheetName val="BL Staff"/>
      <sheetName val="RM-Summary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Feb 2000"/>
      <sheetName val="Tally Control"/>
      <sheetName val="OSF"/>
      <sheetName val="qty"/>
      <sheetName val="Rev &amp; GP"/>
      <sheetName val="Plant goals"/>
      <sheetName val="Capex &amp; Headcount"/>
      <sheetName val="PL"/>
      <sheetName val="BS"/>
      <sheetName val="COGS"/>
      <sheetName val="Comments (2)"/>
      <sheetName val="WIP"/>
      <sheetName val="Kobayashi Detail"/>
      <sheetName val="Sheet1"/>
      <sheetName val="FA sch as per Jap Rep."/>
      <sheetName val="Sales Summ."/>
      <sheetName val="Prodn.Summ."/>
      <sheetName val="Fin.Summ."/>
      <sheetName val="Half Yrly"/>
      <sheetName val="Control Sheet"/>
      <sheetName val="BS-203"/>
    </sheetNames>
    <sheetDataSet>
      <sheetData sheetId="0" refreshError="1">
        <row r="4">
          <cell r="A4" t="str">
            <v>Consolidation of Branches  for the Month of February 2000</v>
          </cell>
        </row>
        <row r="6">
          <cell r="A6" t="str">
            <v>Particulars</v>
          </cell>
          <cell r="B6" t="str">
            <v>Mumbai-sale</v>
          </cell>
          <cell r="C6" t="str">
            <v>Mumbai-main</v>
          </cell>
          <cell r="D6" t="str">
            <v>Nagpur</v>
          </cell>
          <cell r="E6" t="str">
            <v>Pune</v>
          </cell>
          <cell r="F6" t="str">
            <v>Ahmedabad</v>
          </cell>
          <cell r="G6" t="str">
            <v>Grand Total of West</v>
          </cell>
          <cell r="H6" t="str">
            <v>Delhi</v>
          </cell>
          <cell r="I6" t="str">
            <v>Chandigarh</v>
          </cell>
          <cell r="J6" t="str">
            <v>Ludhiana</v>
          </cell>
          <cell r="K6" t="str">
            <v>Jaipur</v>
          </cell>
          <cell r="L6" t="str">
            <v>Lucknow</v>
          </cell>
          <cell r="M6" t="str">
            <v>Bhuwneshwar</v>
          </cell>
          <cell r="N6" t="str">
            <v>Patna</v>
          </cell>
          <cell r="O6" t="str">
            <v>Calcutta</v>
          </cell>
          <cell r="P6" t="str">
            <v>Faridabad</v>
          </cell>
          <cell r="Q6" t="str">
            <v>Guahatti</v>
          </cell>
          <cell r="R6" t="str">
            <v>Total-n region</v>
          </cell>
          <cell r="S6" t="str">
            <v>Total</v>
          </cell>
          <cell r="T6" t="str">
            <v>Chennai</v>
          </cell>
          <cell r="U6" t="str">
            <v>Bangalore</v>
          </cell>
          <cell r="V6" t="str">
            <v>Hyderabad</v>
          </cell>
          <cell r="W6" t="str">
            <v>Cochin</v>
          </cell>
          <cell r="X6" t="str">
            <v>Coimbatore</v>
          </cell>
          <cell r="Y6" t="str">
            <v>Goa</v>
          </cell>
          <cell r="Z6" t="str">
            <v>Total</v>
          </cell>
          <cell r="AA6" t="str">
            <v>Grand Total</v>
          </cell>
          <cell r="AB6" t="str">
            <v>Indore</v>
          </cell>
          <cell r="AC6" t="str">
            <v>Grand Total wt In</v>
          </cell>
        </row>
        <row r="8">
          <cell r="A8" t="str">
            <v>Fixed Assets</v>
          </cell>
        </row>
        <row r="10">
          <cell r="A10" t="str">
            <v>Investment</v>
          </cell>
        </row>
        <row r="12">
          <cell r="A12" t="str">
            <v>Current Assets</v>
          </cell>
        </row>
        <row r="13">
          <cell r="A13" t="str">
            <v>Debtors</v>
          </cell>
        </row>
        <row r="15">
          <cell r="A15" t="str">
            <v>Cash &amp; Bank balance</v>
          </cell>
        </row>
        <row r="16">
          <cell r="A16" t="str">
            <v>Funds in transit</v>
          </cell>
        </row>
        <row r="17">
          <cell r="A17" t="str">
            <v>Cash in Hand</v>
          </cell>
        </row>
        <row r="18">
          <cell r="A18" t="str">
            <v>Fuji Bank</v>
          </cell>
        </row>
        <row r="19">
          <cell r="A19" t="str">
            <v>Bank IDBI-Collection</v>
          </cell>
        </row>
        <row r="20">
          <cell r="A20" t="str">
            <v>Bank IDBI-Current</v>
          </cell>
        </row>
        <row r="21">
          <cell r="A21" t="str">
            <v>Bank IDBI-C/c</v>
          </cell>
        </row>
        <row r="22">
          <cell r="A22" t="str">
            <v>B O T M</v>
          </cell>
        </row>
        <row r="23">
          <cell r="A23" t="str">
            <v>Sumitomo Bank</v>
          </cell>
        </row>
        <row r="24">
          <cell r="A24" t="str">
            <v>Citi Bank</v>
          </cell>
        </row>
        <row r="25">
          <cell r="A25" t="str">
            <v>Sakura Bank</v>
          </cell>
        </row>
        <row r="26">
          <cell r="A26" t="str">
            <v xml:space="preserve">Fixed Deposit </v>
          </cell>
        </row>
        <row r="27">
          <cell r="A27" t="str">
            <v>State Bank of India</v>
          </cell>
        </row>
        <row r="29">
          <cell r="A29" t="str">
            <v>Loan &amp; Advances</v>
          </cell>
        </row>
        <row r="31">
          <cell r="A31" t="str">
            <v>Security Deposit</v>
          </cell>
        </row>
        <row r="32">
          <cell r="A32" t="str">
            <v>Imprest</v>
          </cell>
        </row>
        <row r="33">
          <cell r="A33" t="str">
            <v>Other Advances</v>
          </cell>
        </row>
        <row r="34">
          <cell r="A34" t="str">
            <v>Advances to suppliers</v>
          </cell>
        </row>
        <row r="35">
          <cell r="A35" t="str">
            <v>Advances to employees</v>
          </cell>
        </row>
        <row r="36">
          <cell r="A36" t="str">
            <v>Rent deposit</v>
          </cell>
        </row>
        <row r="37">
          <cell r="A37" t="str">
            <v>Sales Tax Deposit</v>
          </cell>
        </row>
        <row r="38">
          <cell r="A38" t="str">
            <v>Telephone Deposit</v>
          </cell>
        </row>
        <row r="39">
          <cell r="A39" t="str">
            <v>Interest Receivable</v>
          </cell>
        </row>
        <row r="40">
          <cell r="A40" t="str">
            <v>Prepaid Expenses</v>
          </cell>
        </row>
        <row r="41">
          <cell r="A41" t="str">
            <v>Other Deposits</v>
          </cell>
        </row>
        <row r="42">
          <cell r="A42" t="str">
            <v>T D S 97-98</v>
          </cell>
        </row>
        <row r="43">
          <cell r="A43" t="str">
            <v>T D S 98-99</v>
          </cell>
        </row>
        <row r="44">
          <cell r="A44" t="str">
            <v>T D S 99-2000</v>
          </cell>
        </row>
        <row r="45">
          <cell r="A45" t="str">
            <v>Suspenses</v>
          </cell>
        </row>
        <row r="46">
          <cell r="A46" t="str">
            <v>Inventory</v>
          </cell>
        </row>
        <row r="47">
          <cell r="A47" t="str">
            <v>PLA</v>
          </cell>
        </row>
        <row r="48">
          <cell r="A48" t="str">
            <v>Modvat</v>
          </cell>
        </row>
        <row r="49">
          <cell r="A49" t="str">
            <v>profit &amp; Loss</v>
          </cell>
        </row>
        <row r="50">
          <cell r="A50" t="str">
            <v>Expenses</v>
          </cell>
        </row>
        <row r="51">
          <cell r="A51" t="str">
            <v>Misc Expenses</v>
          </cell>
        </row>
        <row r="52">
          <cell r="A52" t="str">
            <v>Total</v>
          </cell>
        </row>
        <row r="53">
          <cell r="A53" t="str">
            <v>Current Liabilities</v>
          </cell>
        </row>
        <row r="54">
          <cell r="A54" t="str">
            <v>Capital</v>
          </cell>
        </row>
        <row r="55">
          <cell r="A55" t="str">
            <v>ECB</v>
          </cell>
        </row>
        <row r="56">
          <cell r="A56" t="str">
            <v>Short term loan</v>
          </cell>
        </row>
        <row r="57">
          <cell r="A57" t="str">
            <v>Sales &amp; Other Income</v>
          </cell>
        </row>
        <row r="58">
          <cell r="A58" t="str">
            <v>Sales</v>
          </cell>
        </row>
        <row r="59">
          <cell r="A59" t="str">
            <v xml:space="preserve">Interest F D </v>
          </cell>
        </row>
        <row r="60">
          <cell r="A60" t="str">
            <v xml:space="preserve">Interest  I C D </v>
          </cell>
        </row>
        <row r="61">
          <cell r="A61" t="str">
            <v>Other Incomes</v>
          </cell>
        </row>
        <row r="63">
          <cell r="A63" t="str">
            <v>Creditors for Expenses</v>
          </cell>
        </row>
        <row r="64">
          <cell r="A64" t="str">
            <v>Sundry Creditors</v>
          </cell>
        </row>
        <row r="65">
          <cell r="A65" t="str">
            <v>Outstanding Liability</v>
          </cell>
        </row>
        <row r="66">
          <cell r="A66" t="str">
            <v>Provisions</v>
          </cell>
        </row>
        <row r="68">
          <cell r="A68" t="str">
            <v>Govt Dues</v>
          </cell>
        </row>
        <row r="69">
          <cell r="A69" t="str">
            <v>Sales Tax payable</v>
          </cell>
        </row>
        <row r="70">
          <cell r="A70" t="str">
            <v>Service tax</v>
          </cell>
        </row>
        <row r="71">
          <cell r="A71" t="str">
            <v>Profession Tax</v>
          </cell>
        </row>
        <row r="72">
          <cell r="A72" t="str">
            <v>Employee PF</v>
          </cell>
        </row>
        <row r="73">
          <cell r="A73" t="str">
            <v>Octroi</v>
          </cell>
        </row>
        <row r="74">
          <cell r="A74" t="str">
            <v>DIH Policy</v>
          </cell>
        </row>
        <row r="75">
          <cell r="A75" t="str">
            <v>LWF Contribution</v>
          </cell>
        </row>
        <row r="76">
          <cell r="A76" t="str">
            <v>PF Contractors</v>
          </cell>
        </row>
        <row r="77">
          <cell r="A77" t="str">
            <v>LIP-Employees</v>
          </cell>
        </row>
        <row r="78">
          <cell r="A78" t="str">
            <v>TDS</v>
          </cell>
        </row>
        <row r="79">
          <cell r="A79" t="str">
            <v>Account Payable</v>
          </cell>
        </row>
        <row r="80">
          <cell r="A80" t="str">
            <v>Provisions for Dep</v>
          </cell>
        </row>
        <row r="81">
          <cell r="A81" t="str">
            <v>Security Deposit</v>
          </cell>
        </row>
        <row r="83">
          <cell r="A83" t="str">
            <v>Interest Payable</v>
          </cell>
        </row>
        <row r="85">
          <cell r="A85" t="str">
            <v>Branch &amp; Divisions</v>
          </cell>
        </row>
        <row r="86">
          <cell r="A86" t="str">
            <v>H Office-R.O. only</v>
          </cell>
        </row>
        <row r="87">
          <cell r="A87" t="str">
            <v>Inter branches</v>
          </cell>
        </row>
        <row r="88">
          <cell r="A88" t="str">
            <v>Profit &amp; Loss account</v>
          </cell>
        </row>
        <row r="91">
          <cell r="A91" t="str">
            <v>Total</v>
          </cell>
        </row>
        <row r="93">
          <cell r="A93" t="str">
            <v>Assets Total</v>
          </cell>
        </row>
        <row r="95">
          <cell r="A95" t="str">
            <v>Liabilities Total</v>
          </cell>
        </row>
        <row r="97">
          <cell r="A97" t="str">
            <v>Difference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Sheet1"/>
      <sheetName val="Profit Reco"/>
      <sheetName val="BS"/>
      <sheetName val="P&amp;L"/>
      <sheetName val="Schedules"/>
      <sheetName val="IT Depn"/>
      <sheetName val="ANN2 C"/>
      <sheetName val="ANN4"/>
      <sheetName val="ANN2"/>
      <sheetName val="RBI Timeline"/>
      <sheetName val="ANN1 A"/>
      <sheetName val="Lead"/>
      <sheetName val="Links"/>
      <sheetName val="Normal"/>
      <sheetName val="Tickmarks"/>
      <sheetName val="LISTS"/>
      <sheetName val="1900"/>
      <sheetName val="Sch to PL"/>
      <sheetName val="Sheet3 (2)"/>
      <sheetName val="Worksheet in 2261"/>
      <sheetName val="HEAD"/>
      <sheetName val="Addition"/>
      <sheetName val="Budget"/>
      <sheetName val="Assupmtion"/>
      <sheetName val="Grouping"/>
      <sheetName val="Sch 1-11"/>
      <sheetName val="WDV Workings"/>
      <sheetName val="ANALYSIS"/>
      <sheetName val="co lease rental"/>
      <sheetName val="IOU-factory-9"/>
      <sheetName val="IOU-sales-9"/>
      <sheetName val="Instructions"/>
      <sheetName val="Cost Summary - SOP"/>
      <sheetName val="Project Overview Input"/>
      <sheetName val="Benefit Input"/>
      <sheetName val="wordsdata"/>
      <sheetName val="Construction"/>
      <sheetName val="Expectation and Summary"/>
      <sheetName val="Jackets"/>
      <sheetName val="Shirts"/>
      <sheetName val="Accessories"/>
      <sheetName val="Summ"/>
      <sheetName val="std.wt."/>
      <sheetName val="O2"/>
      <sheetName val="0. Data Validation List"/>
      <sheetName val="Crest"/>
      <sheetName val="Pinnacle"/>
      <sheetName val="Zenith"/>
      <sheetName val="stacking sheet"/>
      <sheetName val="Ward areas"/>
      <sheetName val="Intro"/>
      <sheetName val="Consolidated"/>
      <sheetName val="Break up Sheet"/>
      <sheetName val="Summary 2"/>
      <sheetName val="XREF"/>
      <sheetName val="Assumptions"/>
      <sheetName val="MF NAV&amp;MARKET VALUE 31.03.2006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Mar 2000"/>
      <sheetName val="Tally Control"/>
      <sheetName val="OSF"/>
      <sheetName val="qty"/>
      <sheetName val="COGS"/>
      <sheetName val="Comments (2)"/>
      <sheetName val="Plant goals"/>
      <sheetName val="Capex &amp; Headcount"/>
      <sheetName val="Rev &amp; GP"/>
      <sheetName val="PL"/>
      <sheetName val="Fin.Summ."/>
      <sheetName val="Sales &amp; Pdn.Summ."/>
      <sheetName val="BS"/>
      <sheetName val="WIP"/>
      <sheetName val="Kobayashi Detail"/>
      <sheetName val="Sheet1"/>
      <sheetName val="FA sch as per Jap Rep."/>
      <sheetName val="Sheet2"/>
      <sheetName val="Half Yrly"/>
      <sheetName val="Control Sheet"/>
    </sheetNames>
    <sheetDataSet>
      <sheetData sheetId="0" refreshError="1">
        <row r="4">
          <cell r="A4" t="str">
            <v>Consolidation of Branches  for the Month of March 2000</v>
          </cell>
        </row>
        <row r="6">
          <cell r="A6" t="str">
            <v>Particulars</v>
          </cell>
          <cell r="B6" t="str">
            <v>Mumbai-sale</v>
          </cell>
          <cell r="C6" t="str">
            <v>Mumbai-main</v>
          </cell>
          <cell r="D6" t="str">
            <v>Nagpur</v>
          </cell>
          <cell r="E6" t="str">
            <v>Pune</v>
          </cell>
          <cell r="F6" t="str">
            <v>Ahmedabad</v>
          </cell>
          <cell r="G6" t="str">
            <v>Grand Total of West</v>
          </cell>
          <cell r="H6" t="str">
            <v>Delhi</v>
          </cell>
          <cell r="I6" t="str">
            <v>Chandigarh</v>
          </cell>
          <cell r="J6" t="str">
            <v>Ludhiana</v>
          </cell>
          <cell r="K6" t="str">
            <v>Jaipur</v>
          </cell>
          <cell r="L6" t="str">
            <v>Lucknow</v>
          </cell>
          <cell r="M6" t="str">
            <v>Bhuwneshwar</v>
          </cell>
          <cell r="N6" t="str">
            <v>Patna</v>
          </cell>
          <cell r="O6" t="str">
            <v>Calcutta</v>
          </cell>
          <cell r="P6" t="str">
            <v>Faridabad</v>
          </cell>
          <cell r="Q6" t="str">
            <v>Guahatti</v>
          </cell>
          <cell r="R6" t="str">
            <v>Total-n region</v>
          </cell>
          <cell r="S6" t="str">
            <v>Total</v>
          </cell>
          <cell r="T6" t="str">
            <v>Chennai</v>
          </cell>
          <cell r="U6" t="str">
            <v>Bangalore</v>
          </cell>
          <cell r="V6" t="str">
            <v>Hyderabad</v>
          </cell>
          <cell r="W6" t="str">
            <v>Cochin</v>
          </cell>
          <cell r="X6" t="str">
            <v>Coimbatore</v>
          </cell>
          <cell r="Y6" t="str">
            <v>Goa</v>
          </cell>
          <cell r="Z6" t="str">
            <v>Total</v>
          </cell>
          <cell r="AA6" t="str">
            <v>Grand Total</v>
          </cell>
          <cell r="AB6" t="str">
            <v>Indore</v>
          </cell>
          <cell r="AC6" t="str">
            <v>Grand Total wt In</v>
          </cell>
        </row>
        <row r="8">
          <cell r="A8" t="str">
            <v>Fixed Assets</v>
          </cell>
        </row>
        <row r="10">
          <cell r="A10" t="str">
            <v>Investment</v>
          </cell>
        </row>
        <row r="12">
          <cell r="A12" t="str">
            <v>Current Assets</v>
          </cell>
        </row>
        <row r="13">
          <cell r="A13" t="str">
            <v>Debtors</v>
          </cell>
        </row>
        <row r="15">
          <cell r="A15" t="str">
            <v>Cash &amp; Bank balance</v>
          </cell>
        </row>
        <row r="16">
          <cell r="A16" t="str">
            <v>Funds in transit</v>
          </cell>
        </row>
        <row r="17">
          <cell r="A17" t="str">
            <v>Cash in Hand</v>
          </cell>
        </row>
        <row r="18">
          <cell r="A18" t="str">
            <v>Fuji Bank</v>
          </cell>
        </row>
        <row r="19">
          <cell r="A19" t="str">
            <v>Bank IDBI-Collection</v>
          </cell>
        </row>
        <row r="20">
          <cell r="A20" t="str">
            <v>Bank IDBI-Current</v>
          </cell>
        </row>
        <row r="21">
          <cell r="A21" t="str">
            <v>Bank IDBI-C/c</v>
          </cell>
        </row>
        <row r="22">
          <cell r="A22" t="str">
            <v>B O T M</v>
          </cell>
        </row>
        <row r="23">
          <cell r="A23" t="str">
            <v>Sumitomo Bank</v>
          </cell>
        </row>
        <row r="24">
          <cell r="A24" t="str">
            <v>Citi Bank</v>
          </cell>
        </row>
        <row r="25">
          <cell r="A25" t="str">
            <v>Sakura Bank</v>
          </cell>
        </row>
        <row r="26">
          <cell r="A26" t="str">
            <v xml:space="preserve">Fixed Deposit </v>
          </cell>
        </row>
        <row r="27">
          <cell r="A27" t="str">
            <v>State Bank of India</v>
          </cell>
        </row>
        <row r="29">
          <cell r="A29" t="str">
            <v>Loan &amp; Advances</v>
          </cell>
        </row>
        <row r="31">
          <cell r="A31" t="str">
            <v>Security Deposit</v>
          </cell>
        </row>
        <row r="32">
          <cell r="A32" t="str">
            <v>Imprest</v>
          </cell>
        </row>
        <row r="33">
          <cell r="A33" t="str">
            <v>Other Advances</v>
          </cell>
        </row>
        <row r="34">
          <cell r="A34" t="str">
            <v>Advances to suppliers</v>
          </cell>
        </row>
        <row r="35">
          <cell r="A35" t="str">
            <v>Advances to employees</v>
          </cell>
        </row>
        <row r="36">
          <cell r="A36" t="str">
            <v>Rent deposit</v>
          </cell>
        </row>
        <row r="37">
          <cell r="A37" t="str">
            <v>Sales Tax Deposit</v>
          </cell>
        </row>
        <row r="38">
          <cell r="A38" t="str">
            <v>TDS-Interest 96-97</v>
          </cell>
        </row>
        <row r="39">
          <cell r="A39" t="str">
            <v>Interest Receivable</v>
          </cell>
        </row>
        <row r="40">
          <cell r="A40" t="str">
            <v>Prepaid Expenses</v>
          </cell>
        </row>
        <row r="41">
          <cell r="A41" t="str">
            <v>Other Deposits</v>
          </cell>
        </row>
        <row r="42">
          <cell r="A42" t="str">
            <v>T D S 97-98</v>
          </cell>
        </row>
        <row r="43">
          <cell r="A43" t="str">
            <v>T D S 98-99</v>
          </cell>
        </row>
        <row r="44">
          <cell r="A44" t="str">
            <v>T D S 99-2000</v>
          </cell>
        </row>
        <row r="45">
          <cell r="A45" t="str">
            <v>Suspenses</v>
          </cell>
        </row>
        <row r="46">
          <cell r="A46" t="str">
            <v>Inventory</v>
          </cell>
        </row>
        <row r="47">
          <cell r="A47" t="str">
            <v>PLA</v>
          </cell>
        </row>
        <row r="48">
          <cell r="A48" t="str">
            <v>Modvat</v>
          </cell>
        </row>
        <row r="49">
          <cell r="A49" t="str">
            <v>profit &amp; Loss</v>
          </cell>
        </row>
        <row r="50">
          <cell r="A50" t="str">
            <v>Expenses</v>
          </cell>
        </row>
        <row r="51">
          <cell r="A51" t="str">
            <v>Misc Expenses</v>
          </cell>
        </row>
        <row r="52">
          <cell r="A52" t="str">
            <v>Total</v>
          </cell>
        </row>
        <row r="53">
          <cell r="A53" t="str">
            <v>Current Liabilities</v>
          </cell>
        </row>
        <row r="54">
          <cell r="A54" t="str">
            <v>Capital</v>
          </cell>
        </row>
        <row r="55">
          <cell r="A55" t="str">
            <v>ECB</v>
          </cell>
        </row>
        <row r="56">
          <cell r="A56" t="str">
            <v>Short term loan</v>
          </cell>
        </row>
        <row r="57">
          <cell r="A57" t="str">
            <v>Sales &amp; Other Income</v>
          </cell>
        </row>
        <row r="58">
          <cell r="A58" t="str">
            <v>Sales</v>
          </cell>
        </row>
        <row r="59">
          <cell r="A59" t="str">
            <v xml:space="preserve">Interest F D </v>
          </cell>
        </row>
        <row r="60">
          <cell r="A60" t="str">
            <v xml:space="preserve">Interest  I C D </v>
          </cell>
        </row>
        <row r="61">
          <cell r="A61" t="str">
            <v>Other Incomes</v>
          </cell>
        </row>
        <row r="63">
          <cell r="A63" t="str">
            <v>Creditors for Expenses</v>
          </cell>
        </row>
        <row r="64">
          <cell r="A64" t="str">
            <v>Sundry Creditors</v>
          </cell>
        </row>
        <row r="65">
          <cell r="A65" t="str">
            <v>Outstanding Liability</v>
          </cell>
        </row>
        <row r="66">
          <cell r="A66" t="str">
            <v>Provisions</v>
          </cell>
        </row>
        <row r="68">
          <cell r="A68" t="str">
            <v>Govt Dues</v>
          </cell>
        </row>
        <row r="69">
          <cell r="A69" t="str">
            <v>Sales Tax payable</v>
          </cell>
        </row>
        <row r="70">
          <cell r="A70" t="str">
            <v>Service tax</v>
          </cell>
        </row>
        <row r="71">
          <cell r="A71" t="str">
            <v>Profession Tax</v>
          </cell>
        </row>
        <row r="72">
          <cell r="A72" t="str">
            <v>Employee PF</v>
          </cell>
        </row>
        <row r="73">
          <cell r="A73" t="str">
            <v>Octroi</v>
          </cell>
        </row>
        <row r="74">
          <cell r="A74" t="str">
            <v>DIH Policy</v>
          </cell>
        </row>
        <row r="75">
          <cell r="A75" t="str">
            <v>LWF Contribution</v>
          </cell>
        </row>
        <row r="76">
          <cell r="A76" t="str">
            <v>PF Contractors</v>
          </cell>
        </row>
        <row r="77">
          <cell r="A77" t="str">
            <v>LIP-Employees</v>
          </cell>
        </row>
        <row r="78">
          <cell r="A78" t="str">
            <v>TDS</v>
          </cell>
        </row>
        <row r="79">
          <cell r="A79" t="str">
            <v>Account Payable</v>
          </cell>
        </row>
        <row r="80">
          <cell r="A80" t="str">
            <v>Provisions for Dep</v>
          </cell>
        </row>
        <row r="81">
          <cell r="A81" t="str">
            <v>Security Deposit</v>
          </cell>
        </row>
        <row r="83">
          <cell r="A83" t="str">
            <v>Interest Payable</v>
          </cell>
        </row>
        <row r="85">
          <cell r="A85" t="str">
            <v>Branch &amp; Divisions</v>
          </cell>
        </row>
        <row r="86">
          <cell r="A86" t="str">
            <v>H Office-R.O. only</v>
          </cell>
        </row>
        <row r="87">
          <cell r="A87" t="str">
            <v>Inter branches</v>
          </cell>
        </row>
        <row r="88">
          <cell r="A88" t="str">
            <v>Profit &amp; Loss account</v>
          </cell>
        </row>
        <row r="91">
          <cell r="A91" t="str">
            <v>Total</v>
          </cell>
        </row>
        <row r="93">
          <cell r="A93" t="str">
            <v>Assets Total</v>
          </cell>
        </row>
        <row r="95">
          <cell r="A95" t="str">
            <v>Liabilities Total</v>
          </cell>
        </row>
        <row r="97">
          <cell r="A97" t="str">
            <v>Difference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nod Soudi" id="{A9506A14-CB32-4340-98C2-BDF142E7A99E}" userId="Vinod Soudi" providerId="None"/>
  <person displayName="Vinod Soudi" id="{912D820E-9710-4695-8B84-12DC87A4A2EE}" userId="vinod.soudi@total-environment.com" providerId="PeoplePicker"/>
  <person displayName="Vinod Appanna Soudi" id="{779DB85D-B696-4866-A2B2-8193CCC411DC}" userId="S::vinod.soudi@total-environment.com::3569dcb6-9f9e-4c42-a951-14bb20890f34" providerId="AD"/>
  <person displayName="Suchita Sharma" id="{192C047A-793D-4316-801C-DEB6BB1B6B30}" userId="S::suchita.sharma@total-environment.com::22e1a589-456e-45f3-adac-be6829c8087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3" dT="2023-03-12T11:03:44.45" personId="{192C047A-793D-4316-801C-DEB6BB1B6B30}" id="{9A743D6E-8086-47BA-8AC2-1634115C3391}" done="1">
    <text xml:space="preserve">@Vinod Soudi Please check why the % is loaded. 
</text>
    <mentions>
      <mention mentionpersonId="{912D820E-9710-4695-8B84-12DC87A4A2EE}" mentionId="{E2C74032-727A-461C-AAA1-CAC27328F519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4" dT="2023-02-08T10:02:39.65" personId="{779DB85D-B696-4866-A2B2-8193CCC411DC}" id="{78D468CD-E331-4D95-9451-CCE7532594F6}">
    <text>All above 3 in this drawing</text>
  </threadedComment>
  <threadedComment ref="E24" dT="2023-02-08T10:04:45.23" personId="{779DB85D-B696-4866-A2B2-8193CCC411DC}" id="{8D327E95-6E7F-463D-A848-E197C8A32DBA}">
    <text>All the above are in vendor's scope as discussed with praveen regarding toilet details</text>
  </threadedComment>
  <threadedComment ref="E27" dT="2023-02-08T10:05:33.43" personId="{779DB85D-B696-4866-A2B2-8193CCC411DC}" id="{2EAA130D-7DAE-4078-A55E-CB79E080C904}">
    <text>These drawings are NA</text>
  </threadedComment>
  <threadedComment ref="E34" dT="2023-02-08T10:06:14.17" personId="{779DB85D-B696-4866-A2B2-8193CCC411DC}" id="{57931C55-6F50-4EDD-9FDA-14A12F5D597D}">
    <text>NA</text>
  </threadedComment>
  <threadedComment ref="E37" dT="2023-06-02T06:18:05.93" personId="{A9506A14-CB32-4340-98C2-BDF142E7A99E}" id="{2CF9B105-1068-4D49-BC04-3304693B0302}">
    <text>Part of Surface drainage detail 1031</text>
  </threadedComment>
  <threadedComment ref="E38" dT="2023-02-08T10:13:44.44" personId="{779DB85D-B696-4866-A2B2-8193CCC411DC}" id="{E654263D-51E6-4EB0-BDE7-10C36246BE6A}">
    <text>Part of UG sump details</text>
  </threadedComment>
  <threadedComment ref="E39" dT="2023-02-08T10:13:20.21" personId="{779DB85D-B696-4866-A2B2-8193CCC411DC}" id="{CE887959-FD45-4370-9393-F7BFFB120CFA}">
    <text>NA</text>
  </threadedComment>
  <threadedComment ref="R44" dT="2023-02-28T11:33:44.39" personId="{779DB85D-B696-4866-A2B2-8193CCC411DC}" id="{9FC2116F-69FC-4ABF-9203-162CE86B3DE9}">
    <text>209</text>
  </threadedComment>
  <threadedComment ref="R45" dT="2023-02-28T11:33:44.39" personId="{779DB85D-B696-4866-A2B2-8193CCC411DC}" id="{6C50D380-8A06-4E90-89F9-62D6795780BC}">
    <text>209</text>
  </threadedComment>
  <threadedComment ref="R46" dT="2023-02-28T11:34:08.51" personId="{779DB85D-B696-4866-A2B2-8193CCC411DC}" id="{DC093610-4E49-4834-BD85-F14BCFD9E5DD}">
    <text>168</text>
  </threadedComment>
  <threadedComment ref="R47" dT="2023-02-07T09:01:16.59" personId="{779DB85D-B696-4866-A2B2-8193CCC411DC}" id="{35441667-3546-4A72-9386-7E2049064B22}">
    <text>Tr. 209</text>
  </threadedComment>
  <threadedComment ref="R51" dT="2023-02-28T11:34:25.88" personId="{779DB85D-B696-4866-A2B2-8193CCC411DC}" id="{5C51F5D5-7B47-4BA2-8F89-7F4020883AEA}">
    <text>210</text>
  </threadedComment>
  <threadedComment ref="R55" dT="2023-02-28T11:34:08.51" personId="{779DB85D-B696-4866-A2B2-8193CCC411DC}" id="{7DD73A23-EDFE-4F6A-B39D-BAA95D64294A}">
    <text>168</text>
  </threadedComment>
  <threadedComment ref="R56" dT="2023-02-28T11:34:08.51" personId="{779DB85D-B696-4866-A2B2-8193CCC411DC}" id="{250AF68A-5B07-48E4-9D9D-8011C758192E}">
    <text>168</text>
  </threadedComment>
  <threadedComment ref="R83" dT="2023-02-08T10:18:21.16" personId="{779DB85D-B696-4866-A2B2-8193CCC411DC}" id="{33BBEBEB-4075-4217-8066-20322BC63029}">
    <text>206</text>
  </threadedComment>
  <threadedComment ref="R84" dT="2023-02-08T10:18:21.16" personId="{779DB85D-B696-4866-A2B2-8193CCC411DC}" id="{746BC393-D30A-4462-A5F7-F397885827D4}">
    <text>206</text>
  </threadedComment>
  <threadedComment ref="E85" dT="2023-02-08T10:19:22.66" personId="{779DB85D-B696-4866-A2B2-8193CCC411DC}" id="{8BA7FA2D-6533-4C50-9DDF-AE53E27DA248}">
    <text>NA</text>
  </threadedComment>
  <threadedComment ref="R99" dT="2023-02-08T10:22:22.72" personId="{779DB85D-B696-4866-A2B2-8193CCC411DC}" id="{1143747F-6EB0-46DA-AE72-20979D57FB6E}">
    <text>176</text>
  </threadedComment>
  <threadedComment ref="E103" dT="2023-02-08T10:23:36.82" personId="{779DB85D-B696-4866-A2B2-8193CCC411DC}" id="{04CCA4A7-C8E3-44DD-82D6-A32B25C210B5}">
    <text>Dependent on Arch Toilet detail - in Vendor's scope as of now</text>
  </threadedComment>
  <threadedComment ref="E110" dT="2023-02-08T10:23:36.82" personId="{779DB85D-B696-4866-A2B2-8193CCC411DC}" id="{2CD86319-169C-42DC-9DE3-FF04CCA1D714}">
    <text>Dependent on Arch Toilet detail - in Vendor's scope as of now</text>
  </threadedComment>
  <threadedComment ref="S118" dT="2023-05-08T06:30:39.12" personId="{779DB85D-B696-4866-A2B2-8193CCC411DC}" id="{2B8A87C1-8EB0-42DF-BB78-8FD946503962}">
    <text>238</text>
  </threadedComment>
  <threadedComment ref="E120" dT="2023-02-08T10:26:49.89" personId="{779DB85D-B696-4866-A2B2-8193CCC411DC}" id="{EE603FE9-1D1A-4B83-BE5E-55539AFE067D}">
    <text>Details awaited from Architect</text>
  </threadedComment>
  <threadedComment ref="E123" dT="2023-02-08T10:27:24.86" personId="{779DB85D-B696-4866-A2B2-8193CCC411DC}" id="{80BF41B3-EB6B-4186-84DB-97C1BE256548}">
    <text>NA</text>
  </threadedComment>
  <threadedComment ref="R126" dT="2023-02-08T10:34:02.80" personId="{779DB85D-B696-4866-A2B2-8193CCC411DC}" id="{D7C1AD59-91AB-4D7C-B4BB-19867CCFAB8F}">
    <text>88</text>
  </threadedComment>
  <threadedComment ref="E128" dT="2023-02-08T10:35:19.57" personId="{779DB85D-B696-4866-A2B2-8193CCC411DC}" id="{BB1D0322-8093-4B3A-BDD2-4FEDF759D86A}">
    <text>Part of UG Sump drawing</text>
  </threadedComment>
  <threadedComment ref="R129" dT="2023-02-08T10:36:01.57" personId="{779DB85D-B696-4866-A2B2-8193CCC411DC}" id="{A4AB752C-14A3-4A43-8D91-7B29FDB70718}">
    <text>From Vendor</text>
  </threadedComment>
  <threadedComment ref="R130" dT="2023-02-08T10:36:45.25" personId="{779DB85D-B696-4866-A2B2-8193CCC411DC}" id="{C82D839C-F7DB-44C4-BE27-B910D81AB414}">
    <text>108</text>
  </threadedComment>
  <threadedComment ref="R133" dT="2023-02-28T11:35:46.91" personId="{779DB85D-B696-4866-A2B2-8193CCC411DC}" id="{EFC69104-B072-479F-A9CD-0C1E803DECDC}">
    <text>209</text>
  </threadedComment>
  <threadedComment ref="R142" dT="2023-02-28T11:36:23.82" personId="{779DB85D-B696-4866-A2B2-8193CCC411DC}" id="{A50DEA52-FF72-4521-AE16-BD0613F107FC}">
    <text>127</text>
  </threadedComment>
  <threadedComment ref="R152" dT="2023-02-28T11:37:14.72" personId="{779DB85D-B696-4866-A2B2-8193CCC411DC}" id="{0FA9DA84-4CA7-469E-AC27-C431EA235635}">
    <text>188</text>
  </threadedComment>
  <threadedComment ref="R157" dT="2023-02-28T11:36:23.82" personId="{779DB85D-B696-4866-A2B2-8193CCC411DC}" id="{7053FE80-0F53-44E2-A1A0-CD37FED4B11A}">
    <text>127</text>
  </threadedComment>
  <threadedComment ref="R159" dT="2023-02-28T11:37:50.15" personId="{779DB85D-B696-4866-A2B2-8193CCC411DC}" id="{D34CCAC2-AF50-4949-AAFB-30BFEE4152C5}">
    <text>151</text>
  </threadedComment>
  <threadedComment ref="R160" dT="2023-02-28T11:38:06.57" personId="{779DB85D-B696-4866-A2B2-8193CCC411DC}" id="{8BF2A959-068A-4AE0-87BA-F67FFCE15322}">
    <text>210</text>
  </threadedComment>
  <threadedComment ref="R161" dT="2023-02-28T11:38:22.68" personId="{779DB85D-B696-4866-A2B2-8193CCC411DC}" id="{26FD2918-AD91-4165-B324-E45FAF3799BD}">
    <text>209</text>
  </threadedComment>
  <threadedComment ref="E196" dT="2023-02-08T10:38:24.40" personId="{779DB85D-B696-4866-A2B2-8193CCC411DC}" id="{C5EC0771-D0F3-45D5-BCE5-C0C677592D7B}">
    <text>NA</text>
  </threadedComment>
  <threadedComment ref="E197" dT="2023-02-08T10:38:47.56" personId="{779DB85D-B696-4866-A2B2-8193CCC411DC}" id="{CD65AADD-D9AE-4E72-9634-04FFD574B1DD}">
    <text>NA</text>
  </threadedComment>
  <threadedComment ref="E198" dT="2023-02-08T10:39:13.55" personId="{779DB85D-B696-4866-A2B2-8193CCC411DC}" id="{9DBFA1A7-AC74-45FE-823D-475581884F71}">
    <text>NA</text>
  </threadedComment>
  <threadedComment ref="R199" dT="2023-02-07T09:30:08.63" personId="{779DB85D-B696-4866-A2B2-8193CCC411DC}" id="{AA4E6D75-7260-486F-B4AD-3B9E4763F023}">
    <text>206</text>
  </threadedComment>
  <threadedComment ref="R200" dT="2023-02-07T09:30:08.63" personId="{779DB85D-B696-4866-A2B2-8193CCC411DC}" id="{EAC4B1A7-2E59-4494-BAC9-61245BBBC39A}">
    <text>206</text>
  </threadedComment>
  <threadedComment ref="E202" dT="2023-02-08T10:39:59.50" personId="{779DB85D-B696-4866-A2B2-8193CCC411DC}" id="{8339E97E-D4CC-4DB0-84E5-380107981A1D}">
    <text>Awaiting details from Architect - Vendor dependent as of now</text>
  </threadedComment>
  <threadedComment ref="E211" dT="2023-02-08T10:48:27.49" personId="{779DB85D-B696-4866-A2B2-8193CCC411DC}" id="{AF48207B-06C9-4D58-AD33-855033C9E29B}">
    <text>NA</text>
  </threadedComment>
  <threadedComment ref="E214" dT="2023-02-08T10:49:25.34" personId="{779DB85D-B696-4866-A2B2-8193CCC411DC}" id="{C2665DB8-34F4-4E4D-8DEF-C019C09DDD10}">
    <text>NA</text>
  </threadedComment>
  <threadedComment ref="E217" dT="2023-02-08T10:50:32.30" personId="{779DB85D-B696-4866-A2B2-8193CCC411DC}" id="{83A2E62C-63B6-42F0-A7C2-27393B20CD80}">
    <text>NA</text>
  </threadedComment>
  <threadedComment ref="E218" dT="2023-02-08T10:50:32.30" personId="{779DB85D-B696-4866-A2B2-8193CCC411DC}" id="{DC3BA0E2-67E6-45EB-855A-F2DE630511D0}">
    <text>NA</text>
  </threadedComment>
  <threadedComment ref="E220" dT="2023-02-08T10:51:31.52" personId="{779DB85D-B696-4866-A2B2-8193CCC411DC}" id="{9EBADE7E-B643-43B0-9261-F3A44F6DADB8}">
    <text>Details awaited from Arch</text>
  </threadedComment>
  <threadedComment ref="R235" dT="2023-02-07T09:01:57.53" personId="{779DB85D-B696-4866-A2B2-8193CCC411DC}" id="{13F4D365-A0F8-4A4A-B108-8857362A1D5E}">
    <text>210</text>
  </threadedComment>
  <threadedComment ref="R236" dT="2023-02-07T09:01:57.53" personId="{779DB85D-B696-4866-A2B2-8193CCC411DC}" id="{C457801E-B863-4D41-A920-E38B92E8C889}">
    <text>210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945B-80D6-4114-8809-21ABEB6A561E}">
  <sheetPr codeName="Sheet8">
    <outlinePr summaryBelow="0" summaryRight="0"/>
    <pageSetUpPr fitToPage="1"/>
  </sheetPr>
  <dimension ref="A1:CB98"/>
  <sheetViews>
    <sheetView zoomScale="90" zoomScaleNormal="90" zoomScaleSheetLayoutView="49" workbookViewId="0">
      <pane xSplit="4" ySplit="6" topLeftCell="O7" activePane="bottomRight" state="frozen"/>
      <selection pane="topRight" activeCell="D1" sqref="D1"/>
      <selection pane="bottomLeft" activeCell="A7" sqref="A7"/>
      <selection pane="bottomRight" activeCell="A59" sqref="A59:XFD59"/>
    </sheetView>
  </sheetViews>
  <sheetFormatPr defaultColWidth="11.44140625" defaultRowHeight="11.85" customHeight="1" outlineLevelRow="3" outlineLevelCol="1"/>
  <cols>
    <col min="1" max="1" width="0.5546875" style="92" customWidth="1"/>
    <col min="2" max="2" width="1" style="173" hidden="1" customWidth="1"/>
    <col min="3" max="3" width="5.44140625" style="173" bestFit="1" customWidth="1"/>
    <col min="4" max="4" width="50.44140625" style="91" customWidth="1"/>
    <col min="5" max="5" width="0.5546875" style="92" customWidth="1"/>
    <col min="6" max="6" width="7" style="174" customWidth="1"/>
    <col min="7" max="7" width="0.5546875" style="93" customWidth="1"/>
    <col min="8" max="8" width="10.5546875" style="93" customWidth="1"/>
    <col min="9" max="9" width="10.5546875" style="93" customWidth="1" outlineLevel="1"/>
    <col min="10" max="10" width="10.5546875" style="175" customWidth="1" outlineLevel="1"/>
    <col min="11" max="19" width="10.5546875" style="176" customWidth="1" outlineLevel="1"/>
    <col min="20" max="20" width="0.44140625" style="177" customWidth="1" outlineLevel="1"/>
    <col min="21" max="21" width="7" style="174" customWidth="1"/>
    <col min="22" max="22" width="0.5546875" style="93" customWidth="1"/>
    <col min="23" max="23" width="10.5546875" style="175" customWidth="1"/>
    <col min="24" max="34" width="10.5546875" style="176" customWidth="1" outlineLevel="1"/>
    <col min="35" max="35" width="0.44140625" style="177" customWidth="1" outlineLevel="1"/>
    <col min="36" max="36" width="6.44140625" style="174" customWidth="1"/>
    <col min="37" max="37" width="0.5546875" style="93" customWidth="1"/>
    <col min="38" max="38" width="10.5546875" style="181" customWidth="1"/>
    <col min="39" max="49" width="10.5546875" style="176" customWidth="1" outlineLevel="1"/>
    <col min="50" max="50" width="0.5546875" style="177" customWidth="1" outlineLevel="1"/>
    <col min="51" max="51" width="6.44140625" style="174" customWidth="1"/>
    <col min="52" max="52" width="0.5546875" style="93" customWidth="1"/>
    <col min="53" max="53" width="10.5546875" style="181" customWidth="1"/>
    <col min="54" max="64" width="10.5546875" style="176" customWidth="1" outlineLevel="1"/>
    <col min="65" max="65" width="0.5546875" style="177" customWidth="1" outlineLevel="1"/>
    <col min="66" max="66" width="6.44140625" style="174" bestFit="1" customWidth="1"/>
    <col min="67" max="67" width="0.5546875" style="93" customWidth="1"/>
    <col min="68" max="68" width="10.5546875" style="181" customWidth="1"/>
    <col min="69" max="79" width="10.5546875" style="176" customWidth="1" outlineLevel="1"/>
    <col min="80" max="80" width="0.5546875" style="177" customWidth="1" outlineLevel="1"/>
    <col min="81" max="16384" width="11.44140625" style="92"/>
  </cols>
  <sheetData>
    <row r="1" spans="1:80" ht="3" customHeight="1">
      <c r="A1" s="112"/>
      <c r="B1" s="113"/>
      <c r="C1" s="113"/>
      <c r="D1" s="114"/>
      <c r="E1" s="112"/>
      <c r="F1" s="115"/>
      <c r="G1" s="116"/>
      <c r="H1" s="116"/>
      <c r="I1" s="116"/>
      <c r="J1" s="117"/>
      <c r="K1" s="118"/>
      <c r="L1" s="118"/>
      <c r="M1" s="118"/>
      <c r="N1" s="118"/>
      <c r="O1" s="118"/>
      <c r="P1" s="118"/>
      <c r="Q1" s="118"/>
      <c r="R1" s="118"/>
      <c r="S1" s="118"/>
      <c r="T1" s="119"/>
      <c r="U1" s="115"/>
      <c r="V1" s="116"/>
      <c r="W1" s="117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9"/>
      <c r="AJ1" s="122"/>
      <c r="AK1" s="116"/>
      <c r="AL1" s="123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9"/>
      <c r="AY1" s="122"/>
      <c r="AZ1" s="116"/>
      <c r="BA1" s="123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9"/>
      <c r="BN1" s="115"/>
      <c r="BO1" s="116"/>
      <c r="BP1" s="123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9"/>
    </row>
    <row r="2" spans="1:80" s="130" customFormat="1" ht="15">
      <c r="A2" s="126"/>
      <c r="B2" s="210"/>
      <c r="C2" s="210"/>
      <c r="D2" s="384" t="s">
        <v>0</v>
      </c>
      <c r="E2" s="126"/>
      <c r="F2" s="470">
        <f>W2+AL2+BA2+BP2</f>
        <v>67</v>
      </c>
      <c r="G2" s="126">
        <f t="shared" ref="G2:G62" si="0">X2+AM2+BB2+BQ2</f>
        <v>33</v>
      </c>
      <c r="H2" s="468">
        <f t="shared" ref="H2:I2" si="1">W2+AL2+BA2+BP2</f>
        <v>67</v>
      </c>
      <c r="I2" s="468">
        <f t="shared" si="1"/>
        <v>33</v>
      </c>
      <c r="J2" s="468">
        <f>Y2+AN2+BC2+BR2</f>
        <v>34</v>
      </c>
      <c r="K2" s="468">
        <f t="shared" ref="K2:K62" si="2">Z2+AO2+BD2+BS2</f>
        <v>30</v>
      </c>
      <c r="L2" s="468">
        <f t="shared" ref="L2:L62" si="3">AA2+AP2+BE2+BT2</f>
        <v>4</v>
      </c>
      <c r="M2" s="468">
        <f t="shared" ref="M2:M62" si="4">AB2+AQ2+BF2+BU2</f>
        <v>0</v>
      </c>
      <c r="N2" s="468">
        <f t="shared" ref="N2:N62" si="5">AC2+AR2+BG2+BV2</f>
        <v>0</v>
      </c>
      <c r="O2" s="468">
        <f t="shared" ref="O2:O62" si="6">AD2+AS2+BH2+BW2</f>
        <v>29</v>
      </c>
      <c r="P2" s="468">
        <f t="shared" ref="P2:P62" si="7">AE2+AT2+BI2+BX2</f>
        <v>15</v>
      </c>
      <c r="Q2" s="468">
        <f t="shared" ref="Q2:Q62" si="8">AF2+AU2+BJ2+BY2</f>
        <v>9</v>
      </c>
      <c r="R2" s="468">
        <f t="shared" ref="R2:R62" si="9">AG2+AV2+BK2+BZ2</f>
        <v>5</v>
      </c>
      <c r="S2" s="468">
        <v>4</v>
      </c>
      <c r="T2" s="208"/>
      <c r="U2" s="126"/>
      <c r="V2" s="126"/>
      <c r="W2" s="468">
        <f t="shared" ref="W2:AH2" si="10">COUNTIF(W75:W77,"&gt;0")+COUNTIF(W52:W60,"&gt;0")+COUNTIF(W80:W82,"&gt;0")+COUNTIF(W70:W72,"&gt;0")+COUNTIF(W85:W88,"&gt;0")+COUNTIFS(W63:W67,"&gt;0")+COUNTIFS(W11,"&gt;0")+COUNTIFS(W17,"&gt;0")+COUNTIFS(W23,"&gt;0")+COUNTIFS(W30,"&gt;0")+COUNTIFS(W39,"&gt;0")+COUNTIFS(W93,"&gt;0")</f>
        <v>23</v>
      </c>
      <c r="X2" s="468">
        <f t="shared" si="10"/>
        <v>14</v>
      </c>
      <c r="Y2" s="468">
        <f t="shared" si="10"/>
        <v>9</v>
      </c>
      <c r="Z2" s="468">
        <f t="shared" si="10"/>
        <v>8</v>
      </c>
      <c r="AA2" s="468">
        <f t="shared" si="10"/>
        <v>1</v>
      </c>
      <c r="AB2" s="468">
        <f t="shared" si="10"/>
        <v>0</v>
      </c>
      <c r="AC2" s="468">
        <f t="shared" si="10"/>
        <v>0</v>
      </c>
      <c r="AD2" s="468">
        <f t="shared" si="10"/>
        <v>8</v>
      </c>
      <c r="AE2" s="468">
        <f t="shared" si="10"/>
        <v>4</v>
      </c>
      <c r="AF2" s="468">
        <f t="shared" si="10"/>
        <v>3</v>
      </c>
      <c r="AG2" s="468">
        <f t="shared" si="10"/>
        <v>1</v>
      </c>
      <c r="AH2" s="468">
        <f t="shared" si="10"/>
        <v>0</v>
      </c>
      <c r="AI2" s="208"/>
      <c r="AJ2" s="126"/>
      <c r="AK2" s="126"/>
      <c r="AL2" s="468">
        <f t="shared" ref="AL2:AW2" si="11">COUNTIF(AL75:AL77,"&gt;0")+COUNTIF(AL52:AL60,"&gt;0")+COUNTIF(AL80:AL82,"&gt;0")+COUNTIF(AL70:AL72,"&gt;0")+COUNTIF(AL85:AL88,"&gt;0")+COUNTIFS(AL63:AL67,"&gt;0")+COUNTIFS(AL11,"&gt;0")+COUNTIFS(AL17,"&gt;0")+COUNTIFS(AL23,"&gt;0")+COUNTIFS(AL30,"&gt;0")+COUNTIFS(AL39,"&gt;0")+COUNTIFS(AL93,"&gt;0")</f>
        <v>21</v>
      </c>
      <c r="AM2" s="468">
        <f t="shared" si="11"/>
        <v>11</v>
      </c>
      <c r="AN2" s="468">
        <f t="shared" si="11"/>
        <v>10</v>
      </c>
      <c r="AO2" s="468">
        <f t="shared" si="11"/>
        <v>9</v>
      </c>
      <c r="AP2" s="468">
        <f t="shared" si="11"/>
        <v>1</v>
      </c>
      <c r="AQ2" s="468">
        <f t="shared" si="11"/>
        <v>0</v>
      </c>
      <c r="AR2" s="468">
        <f t="shared" si="11"/>
        <v>0</v>
      </c>
      <c r="AS2" s="468">
        <f t="shared" si="11"/>
        <v>9</v>
      </c>
      <c r="AT2" s="468">
        <f t="shared" si="11"/>
        <v>7</v>
      </c>
      <c r="AU2" s="468">
        <f t="shared" si="11"/>
        <v>2</v>
      </c>
      <c r="AV2" s="468">
        <f t="shared" si="11"/>
        <v>0</v>
      </c>
      <c r="AW2" s="468">
        <f t="shared" si="11"/>
        <v>0</v>
      </c>
      <c r="AX2" s="208"/>
      <c r="AY2" s="126"/>
      <c r="AZ2" s="126"/>
      <c r="BA2" s="468">
        <f>COUNTIF(BA75:BA77,"&gt;0")+COUNTIF(BA52:BA60,"&gt;0")+COUNTIF(BA80:BA82,"&gt;0")+COUNTIF(BA70:BA72,"&gt;0")+COUNTIF(BA85:BA88,"&gt;0")+COUNTIFS(BA63:BA67,"&gt;0")+COUNTIFS(BA11,"&gt;0")+COUNTIFS(BA17,"&gt;0")+COUNTIFS(BA23,"&gt;0")+COUNTIFS(BA30,"&gt;0")+COUNTIFS(BA39,"&gt;0")+COUNTIFS(BA93,"&gt;0")</f>
        <v>14</v>
      </c>
      <c r="BB2" s="468">
        <f t="shared" ref="BB2:BL2" si="12">COUNTIF(BB75:BB77,"&gt;0")+COUNTIF(BB52:BB60,"&gt;0")+COUNTIF(BB80:BB82,"&gt;0")+COUNTIF(BB70:BB72,"&gt;0")+COUNTIF(BB85:BB88,"&gt;0")+COUNTIFS(BB63:BB67,"&gt;0")+COUNTIFS(BB11,"&gt;0")+COUNTIFS(BB17,"&gt;0")+COUNTIFS(BB23,"&gt;0")+COUNTIFS(BB30,"&gt;0")+COUNTIFS(BB39,"&gt;0")+COUNTIFS(BB93,"&gt;0")</f>
        <v>4</v>
      </c>
      <c r="BC2" s="468">
        <f t="shared" si="12"/>
        <v>10</v>
      </c>
      <c r="BD2" s="468">
        <f t="shared" si="12"/>
        <v>9</v>
      </c>
      <c r="BE2" s="468">
        <f t="shared" si="12"/>
        <v>1</v>
      </c>
      <c r="BF2" s="468">
        <f t="shared" si="12"/>
        <v>0</v>
      </c>
      <c r="BG2" s="468">
        <f t="shared" si="12"/>
        <v>0</v>
      </c>
      <c r="BH2" s="468">
        <f t="shared" si="12"/>
        <v>8</v>
      </c>
      <c r="BI2" s="468">
        <f t="shared" si="12"/>
        <v>4</v>
      </c>
      <c r="BJ2" s="468">
        <f t="shared" si="12"/>
        <v>1</v>
      </c>
      <c r="BK2" s="468">
        <f t="shared" si="12"/>
        <v>3</v>
      </c>
      <c r="BL2" s="468">
        <f t="shared" si="12"/>
        <v>0</v>
      </c>
      <c r="BM2" s="208"/>
      <c r="BN2" s="126"/>
      <c r="BO2" s="126"/>
      <c r="BP2" s="468">
        <f t="shared" ref="BP2:CA2" si="13">COUNTIF(BP75:BP77,"&gt;0")+COUNTIF(BP52:BP60,"&gt;0")+COUNTIF(BP80:BP82,"&gt;0")+COUNTIF(BP70:BP72,"&gt;0")+COUNTIF(BP85:BP88,"&gt;0")+COUNTIFS(BP63:BP67,"&gt;0")+COUNTIFS(BP11,"&gt;0")+COUNTIFS(BP17,"&gt;0")+COUNTIFS(BP23,"&gt;0")+COUNTIFS(BP30,"&gt;0")+COUNTIFS(BP39,"&gt;0")+COUNTIFS(BP93,"&gt;0")</f>
        <v>9</v>
      </c>
      <c r="BQ2" s="468">
        <f t="shared" si="13"/>
        <v>4</v>
      </c>
      <c r="BR2" s="468">
        <f t="shared" si="13"/>
        <v>5</v>
      </c>
      <c r="BS2" s="468">
        <f t="shared" si="13"/>
        <v>4</v>
      </c>
      <c r="BT2" s="468">
        <f t="shared" si="13"/>
        <v>1</v>
      </c>
      <c r="BU2" s="468">
        <f t="shared" si="13"/>
        <v>0</v>
      </c>
      <c r="BV2" s="468">
        <f t="shared" si="13"/>
        <v>0</v>
      </c>
      <c r="BW2" s="468">
        <f t="shared" si="13"/>
        <v>4</v>
      </c>
      <c r="BX2" s="468">
        <f t="shared" si="13"/>
        <v>0</v>
      </c>
      <c r="BY2" s="468">
        <f t="shared" si="13"/>
        <v>3</v>
      </c>
      <c r="BZ2" s="468">
        <f t="shared" si="13"/>
        <v>1</v>
      </c>
      <c r="CA2" s="468">
        <f t="shared" si="13"/>
        <v>0</v>
      </c>
      <c r="CB2" s="208"/>
    </row>
    <row r="3" spans="1:80" ht="3" customHeight="1">
      <c r="A3" s="112"/>
      <c r="B3" s="113"/>
      <c r="C3" s="113"/>
      <c r="D3" s="114"/>
      <c r="E3" s="112"/>
      <c r="F3" s="115"/>
      <c r="G3" s="116"/>
      <c r="H3" s="116"/>
      <c r="I3" s="116"/>
      <c r="J3" s="124"/>
      <c r="K3" s="125"/>
      <c r="L3" s="125"/>
      <c r="M3" s="125"/>
      <c r="N3" s="125"/>
      <c r="O3" s="125"/>
      <c r="P3" s="125"/>
      <c r="Q3" s="125"/>
      <c r="R3" s="125"/>
      <c r="S3" s="125"/>
      <c r="T3" s="119"/>
      <c r="U3" s="115"/>
      <c r="V3" s="116"/>
      <c r="W3" s="124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19"/>
      <c r="AJ3" s="122"/>
      <c r="AK3" s="116"/>
      <c r="AL3" s="124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19"/>
      <c r="AY3" s="122"/>
      <c r="AZ3" s="116"/>
      <c r="BA3" s="124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19"/>
      <c r="BN3" s="115"/>
      <c r="BO3" s="116"/>
      <c r="BP3" s="124"/>
      <c r="BQ3" s="125"/>
      <c r="BR3" s="209"/>
      <c r="BS3" s="125"/>
      <c r="BT3" s="125"/>
      <c r="BU3" s="125"/>
      <c r="BV3" s="125"/>
      <c r="BW3" s="125"/>
      <c r="BX3" s="125"/>
      <c r="BY3" s="125"/>
      <c r="BZ3" s="125"/>
      <c r="CA3" s="125"/>
      <c r="CB3" s="119"/>
    </row>
    <row r="4" spans="1:80" s="130" customFormat="1" ht="39.6">
      <c r="A4" s="126"/>
      <c r="B4" s="126"/>
      <c r="C4" s="507" t="s">
        <v>1</v>
      </c>
      <c r="D4" s="507"/>
      <c r="E4" s="127"/>
      <c r="F4" s="514" t="s">
        <v>2</v>
      </c>
      <c r="G4" s="128"/>
      <c r="H4" s="124" t="s">
        <v>3</v>
      </c>
      <c r="I4" s="125" t="s">
        <v>4</v>
      </c>
      <c r="J4" s="125" t="s">
        <v>5</v>
      </c>
      <c r="K4" s="125" t="s">
        <v>6</v>
      </c>
      <c r="L4" s="125" t="s">
        <v>7</v>
      </c>
      <c r="M4" s="125" t="s">
        <v>8</v>
      </c>
      <c r="N4" s="125" t="s">
        <v>9</v>
      </c>
      <c r="O4" s="125" t="s">
        <v>10</v>
      </c>
      <c r="P4" s="125" t="s">
        <v>6</v>
      </c>
      <c r="Q4" s="125" t="s">
        <v>7</v>
      </c>
      <c r="R4" s="125" t="s">
        <v>8</v>
      </c>
      <c r="S4" s="125" t="s">
        <v>9</v>
      </c>
      <c r="T4" s="129"/>
      <c r="U4" s="514" t="s">
        <v>11</v>
      </c>
      <c r="V4" s="128"/>
      <c r="W4" s="124" t="s">
        <v>3</v>
      </c>
      <c r="X4" s="125" t="s">
        <v>4</v>
      </c>
      <c r="Y4" s="125" t="s">
        <v>5</v>
      </c>
      <c r="Z4" s="125" t="s">
        <v>6</v>
      </c>
      <c r="AA4" s="125" t="s">
        <v>7</v>
      </c>
      <c r="AB4" s="125" t="s">
        <v>8</v>
      </c>
      <c r="AC4" s="125" t="s">
        <v>9</v>
      </c>
      <c r="AD4" s="125" t="s">
        <v>10</v>
      </c>
      <c r="AE4" s="125" t="s">
        <v>6</v>
      </c>
      <c r="AF4" s="125" t="s">
        <v>7</v>
      </c>
      <c r="AG4" s="125" t="s">
        <v>8</v>
      </c>
      <c r="AH4" s="125" t="s">
        <v>9</v>
      </c>
      <c r="AI4" s="129"/>
      <c r="AJ4" s="514" t="s">
        <v>12</v>
      </c>
      <c r="AK4" s="128"/>
      <c r="AL4" s="124" t="s">
        <v>3</v>
      </c>
      <c r="AM4" s="125" t="s">
        <v>4</v>
      </c>
      <c r="AN4" s="125" t="s">
        <v>5</v>
      </c>
      <c r="AO4" s="125" t="s">
        <v>6</v>
      </c>
      <c r="AP4" s="125" t="s">
        <v>7</v>
      </c>
      <c r="AQ4" s="125" t="s">
        <v>8</v>
      </c>
      <c r="AR4" s="125" t="s">
        <v>9</v>
      </c>
      <c r="AS4" s="125" t="s">
        <v>10</v>
      </c>
      <c r="AT4" s="125" t="s">
        <v>6</v>
      </c>
      <c r="AU4" s="125" t="s">
        <v>7</v>
      </c>
      <c r="AV4" s="125" t="s">
        <v>8</v>
      </c>
      <c r="AW4" s="125" t="s">
        <v>9</v>
      </c>
      <c r="AX4" s="129"/>
      <c r="AY4" s="514" t="s">
        <v>13</v>
      </c>
      <c r="AZ4" s="128"/>
      <c r="BA4" s="124" t="s">
        <v>3</v>
      </c>
      <c r="BB4" s="125" t="s">
        <v>4</v>
      </c>
      <c r="BC4" s="125" t="s">
        <v>5</v>
      </c>
      <c r="BD4" s="125" t="s">
        <v>6</v>
      </c>
      <c r="BE4" s="125" t="s">
        <v>7</v>
      </c>
      <c r="BF4" s="125" t="s">
        <v>8</v>
      </c>
      <c r="BG4" s="125" t="s">
        <v>9</v>
      </c>
      <c r="BH4" s="125" t="s">
        <v>10</v>
      </c>
      <c r="BI4" s="125" t="s">
        <v>6</v>
      </c>
      <c r="BJ4" s="125" t="s">
        <v>7</v>
      </c>
      <c r="BK4" s="125" t="s">
        <v>8</v>
      </c>
      <c r="BL4" s="125" t="s">
        <v>9</v>
      </c>
      <c r="BM4" s="129"/>
      <c r="BN4" s="514" t="s">
        <v>14</v>
      </c>
      <c r="BO4" s="128"/>
      <c r="BP4" s="124" t="s">
        <v>3</v>
      </c>
      <c r="BQ4" s="125" t="s">
        <v>4</v>
      </c>
      <c r="BR4" s="125" t="s">
        <v>5</v>
      </c>
      <c r="BS4" s="125" t="s">
        <v>6</v>
      </c>
      <c r="BT4" s="125" t="s">
        <v>7</v>
      </c>
      <c r="BU4" s="125" t="s">
        <v>8</v>
      </c>
      <c r="BV4" s="125" t="s">
        <v>9</v>
      </c>
      <c r="BW4" s="125" t="s">
        <v>10</v>
      </c>
      <c r="BX4" s="125" t="s">
        <v>6</v>
      </c>
      <c r="BY4" s="125" t="s">
        <v>7</v>
      </c>
      <c r="BZ4" s="125" t="s">
        <v>8</v>
      </c>
      <c r="CA4" s="125" t="s">
        <v>9</v>
      </c>
      <c r="CB4" s="129"/>
    </row>
    <row r="5" spans="1:80" s="130" customFormat="1" ht="17.399999999999999">
      <c r="A5" s="126"/>
      <c r="B5" s="126"/>
      <c r="C5" s="507"/>
      <c r="D5" s="507"/>
      <c r="E5" s="127"/>
      <c r="F5" s="514"/>
      <c r="G5" s="128">
        <f t="shared" si="0"/>
        <v>0</v>
      </c>
      <c r="H5" s="207"/>
      <c r="I5" s="207"/>
      <c r="J5" s="207"/>
      <c r="K5" s="206"/>
      <c r="L5" s="206"/>
      <c r="M5" s="206"/>
      <c r="N5" s="206"/>
      <c r="O5" s="206"/>
      <c r="P5" s="206"/>
      <c r="Q5" s="206"/>
      <c r="R5" s="206"/>
      <c r="S5" s="206"/>
      <c r="T5" s="129"/>
      <c r="U5" s="514"/>
      <c r="V5" s="128"/>
      <c r="W5" s="207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129"/>
      <c r="AJ5" s="514"/>
      <c r="AK5" s="128"/>
      <c r="AL5" s="207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129"/>
      <c r="AY5" s="514"/>
      <c r="AZ5" s="128"/>
      <c r="BA5" s="207"/>
      <c r="BB5" s="207"/>
      <c r="BC5" s="207"/>
      <c r="BD5" s="207"/>
      <c r="BE5" s="207"/>
      <c r="BF5" s="207"/>
      <c r="BG5" s="207"/>
      <c r="BH5" s="206"/>
      <c r="BI5" s="206"/>
      <c r="BJ5" s="206"/>
      <c r="BK5" s="206"/>
      <c r="BL5" s="206"/>
      <c r="BM5" s="129"/>
      <c r="BN5" s="514"/>
      <c r="BO5" s="128"/>
      <c r="BP5" s="207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129"/>
    </row>
    <row r="6" spans="1:80" ht="3" customHeight="1">
      <c r="A6" s="112"/>
      <c r="B6" s="113"/>
      <c r="C6" s="113"/>
      <c r="D6" s="131"/>
      <c r="E6" s="132"/>
      <c r="F6" s="115"/>
      <c r="G6" s="116"/>
      <c r="H6" s="124"/>
      <c r="I6" s="124"/>
      <c r="J6" s="124"/>
      <c r="K6" s="125"/>
      <c r="L6" s="125"/>
      <c r="M6" s="125"/>
      <c r="N6" s="125"/>
      <c r="O6" s="125"/>
      <c r="P6" s="125"/>
      <c r="Q6" s="125"/>
      <c r="R6" s="125"/>
      <c r="S6" s="125"/>
      <c r="T6" s="330"/>
      <c r="U6" s="327"/>
      <c r="V6" s="182"/>
      <c r="W6" s="328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30"/>
      <c r="AJ6" s="331"/>
      <c r="AK6" s="182"/>
      <c r="AL6" s="332"/>
      <c r="AM6" s="329"/>
      <c r="AN6" s="329"/>
      <c r="AO6" s="329"/>
      <c r="AP6" s="329"/>
      <c r="AQ6" s="329"/>
      <c r="AR6" s="329"/>
      <c r="AS6" s="329"/>
      <c r="AT6" s="329"/>
      <c r="AU6" s="329"/>
      <c r="AV6" s="329"/>
      <c r="AW6" s="329"/>
      <c r="AX6" s="330"/>
      <c r="AY6" s="331"/>
      <c r="AZ6" s="182"/>
      <c r="BA6" s="332"/>
      <c r="BB6" s="329"/>
      <c r="BC6" s="329"/>
      <c r="BD6" s="329"/>
      <c r="BE6" s="329"/>
      <c r="BF6" s="329"/>
      <c r="BG6" s="329"/>
      <c r="BH6" s="329"/>
      <c r="BI6" s="329"/>
      <c r="BJ6" s="329"/>
      <c r="BK6" s="329"/>
      <c r="BL6" s="329"/>
      <c r="BM6" s="330"/>
      <c r="BN6" s="327"/>
      <c r="BO6" s="182"/>
      <c r="BP6" s="333"/>
      <c r="BQ6" s="133"/>
      <c r="BR6" s="133"/>
      <c r="BS6" s="133"/>
      <c r="BT6" s="133"/>
      <c r="BU6" s="133"/>
      <c r="BV6" s="133"/>
      <c r="BW6" s="329"/>
      <c r="BX6" s="329"/>
      <c r="BY6" s="329"/>
      <c r="BZ6" s="329"/>
      <c r="CA6" s="329"/>
      <c r="CB6" s="134"/>
    </row>
    <row r="7" spans="1:80" ht="3" customHeight="1">
      <c r="A7" s="112"/>
      <c r="B7" s="137"/>
      <c r="C7" s="137"/>
      <c r="D7" s="138"/>
      <c r="E7" s="139"/>
      <c r="F7" s="334">
        <f t="shared" ref="F7" si="14">W7+AL7+BA7+BP7</f>
        <v>0</v>
      </c>
      <c r="G7" s="334">
        <f t="shared" si="0"/>
        <v>0</v>
      </c>
      <c r="H7" s="335">
        <f t="shared" ref="H7:I7" si="15">W7+AL7+BA7+BP7</f>
        <v>0</v>
      </c>
      <c r="I7" s="335">
        <f t="shared" si="15"/>
        <v>0</v>
      </c>
      <c r="J7" s="335">
        <f>Y7+AN7+BC7+BR7</f>
        <v>0</v>
      </c>
      <c r="K7" s="336">
        <f t="shared" si="2"/>
        <v>0</v>
      </c>
      <c r="L7" s="336">
        <f t="shared" si="3"/>
        <v>0</v>
      </c>
      <c r="M7" s="336">
        <f t="shared" si="4"/>
        <v>0</v>
      </c>
      <c r="N7" s="336">
        <f t="shared" si="5"/>
        <v>0</v>
      </c>
      <c r="O7" s="336">
        <f t="shared" si="6"/>
        <v>0</v>
      </c>
      <c r="P7" s="336">
        <f t="shared" si="7"/>
        <v>0</v>
      </c>
      <c r="Q7" s="336">
        <f t="shared" si="8"/>
        <v>0</v>
      </c>
      <c r="R7" s="336">
        <f t="shared" si="9"/>
        <v>0</v>
      </c>
      <c r="S7" s="336">
        <f t="shared" ref="S7:S62" si="16">AH7+AW7+BL7+CA7</f>
        <v>0</v>
      </c>
      <c r="T7" s="334"/>
      <c r="U7" s="334"/>
      <c r="V7" s="334"/>
      <c r="W7" s="335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336"/>
      <c r="AI7" s="334"/>
      <c r="AJ7" s="334"/>
      <c r="AK7" s="334"/>
      <c r="AL7" s="335"/>
      <c r="AM7" s="336"/>
      <c r="AN7" s="336"/>
      <c r="AO7" s="336"/>
      <c r="AP7" s="336"/>
      <c r="AQ7" s="336"/>
      <c r="AR7" s="336"/>
      <c r="AS7" s="336"/>
      <c r="AT7" s="336"/>
      <c r="AU7" s="336"/>
      <c r="AV7" s="336"/>
      <c r="AW7" s="336"/>
      <c r="AX7" s="334"/>
      <c r="AY7" s="337"/>
      <c r="AZ7" s="334"/>
      <c r="BA7" s="335"/>
      <c r="BB7" s="336"/>
      <c r="BC7" s="336"/>
      <c r="BD7" s="336"/>
      <c r="BE7" s="336"/>
      <c r="BF7" s="336"/>
      <c r="BG7" s="336"/>
      <c r="BH7" s="336"/>
      <c r="BI7" s="336"/>
      <c r="BJ7" s="336"/>
      <c r="BK7" s="336"/>
      <c r="BL7" s="336"/>
      <c r="BM7" s="334"/>
      <c r="BN7" s="334"/>
      <c r="BO7" s="334"/>
      <c r="BP7" s="335"/>
      <c r="BQ7" s="141"/>
      <c r="BR7" s="141"/>
      <c r="BS7" s="141"/>
      <c r="BT7" s="141"/>
      <c r="BU7" s="141"/>
      <c r="BV7" s="141"/>
      <c r="BW7" s="336"/>
      <c r="BX7" s="336"/>
      <c r="BY7" s="336"/>
      <c r="BZ7" s="336"/>
      <c r="CA7" s="336"/>
      <c r="CB7" s="140"/>
    </row>
    <row r="8" spans="1:80" ht="3" customHeight="1">
      <c r="A8" s="112"/>
      <c r="B8" s="113"/>
      <c r="C8" s="113"/>
      <c r="D8" s="131"/>
      <c r="E8" s="132"/>
      <c r="F8" s="115"/>
      <c r="G8" s="116"/>
      <c r="H8" s="124"/>
      <c r="I8" s="124"/>
      <c r="J8" s="124"/>
      <c r="K8" s="125"/>
      <c r="L8" s="125"/>
      <c r="M8" s="125"/>
      <c r="N8" s="125"/>
      <c r="O8" s="125"/>
      <c r="P8" s="125"/>
      <c r="Q8" s="125"/>
      <c r="R8" s="125"/>
      <c r="S8" s="125"/>
      <c r="T8" s="330"/>
      <c r="U8" s="327"/>
      <c r="V8" s="182"/>
      <c r="W8" s="183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330"/>
      <c r="AJ8" s="331"/>
      <c r="AK8" s="182"/>
      <c r="AL8" s="185"/>
      <c r="AM8" s="184"/>
      <c r="AN8" s="184"/>
      <c r="AO8" s="186"/>
      <c r="AP8" s="186"/>
      <c r="AQ8" s="186"/>
      <c r="AR8" s="186"/>
      <c r="AS8" s="184"/>
      <c r="AT8" s="184"/>
      <c r="AU8" s="184"/>
      <c r="AV8" s="184"/>
      <c r="AW8" s="184"/>
      <c r="AX8" s="330"/>
      <c r="AY8" s="331"/>
      <c r="AZ8" s="182"/>
      <c r="BA8" s="185"/>
      <c r="BB8" s="184"/>
      <c r="BC8" s="184"/>
      <c r="BD8" s="186"/>
      <c r="BE8" s="186"/>
      <c r="BF8" s="186"/>
      <c r="BG8" s="186"/>
      <c r="BH8" s="184"/>
      <c r="BI8" s="184"/>
      <c r="BJ8" s="184"/>
      <c r="BK8" s="184"/>
      <c r="BL8" s="184"/>
      <c r="BM8" s="330"/>
      <c r="BN8" s="327"/>
      <c r="BO8" s="182"/>
      <c r="BP8" s="185"/>
      <c r="BQ8" s="142"/>
      <c r="BR8" s="142"/>
      <c r="BS8" s="144"/>
      <c r="BT8" s="144"/>
      <c r="BU8" s="144"/>
      <c r="BV8" s="144"/>
      <c r="BW8" s="184"/>
      <c r="BX8" s="184"/>
      <c r="BY8" s="184"/>
      <c r="BZ8" s="184"/>
      <c r="CA8" s="184"/>
      <c r="CB8" s="134"/>
    </row>
    <row r="9" spans="1:80" ht="17.399999999999999">
      <c r="A9" s="112"/>
      <c r="B9" s="112"/>
      <c r="C9" s="497" t="s">
        <v>15</v>
      </c>
      <c r="D9" s="497"/>
      <c r="E9" s="132"/>
      <c r="F9" s="115"/>
      <c r="G9" s="116"/>
      <c r="H9" s="124"/>
      <c r="I9" s="124"/>
      <c r="J9" s="124"/>
      <c r="K9" s="125"/>
      <c r="L9" s="125"/>
      <c r="M9" s="125"/>
      <c r="N9" s="125"/>
      <c r="O9" s="125"/>
      <c r="P9" s="125"/>
      <c r="Q9" s="125"/>
      <c r="R9" s="125"/>
      <c r="S9" s="125"/>
      <c r="T9" s="327"/>
      <c r="U9" s="327"/>
      <c r="V9" s="327"/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7"/>
      <c r="BJ9" s="327"/>
      <c r="BK9" s="327"/>
      <c r="BL9" s="327"/>
      <c r="BM9" s="327"/>
      <c r="BN9" s="327"/>
      <c r="BO9" s="327"/>
      <c r="BP9" s="327"/>
      <c r="BQ9" s="327"/>
      <c r="BR9" s="327"/>
      <c r="BS9" s="327"/>
      <c r="BT9" s="327"/>
      <c r="BU9" s="327"/>
      <c r="BV9" s="327"/>
      <c r="BW9" s="327"/>
      <c r="BX9" s="327"/>
      <c r="BY9" s="327"/>
      <c r="BZ9" s="327"/>
      <c r="CA9" s="327"/>
      <c r="CB9" s="330"/>
    </row>
    <row r="10" spans="1:80" ht="3" customHeight="1" outlineLevel="1">
      <c r="A10" s="112"/>
      <c r="B10" s="113"/>
      <c r="C10" s="113"/>
      <c r="D10" s="131"/>
      <c r="E10" s="132"/>
      <c r="F10" s="115"/>
      <c r="G10" s="116"/>
      <c r="H10" s="124"/>
      <c r="I10" s="124"/>
      <c r="J10" s="124"/>
      <c r="K10" s="125"/>
      <c r="L10" s="125"/>
      <c r="M10" s="125"/>
      <c r="N10" s="125"/>
      <c r="O10" s="125"/>
      <c r="P10" s="125"/>
      <c r="Q10" s="125"/>
      <c r="R10" s="125"/>
      <c r="S10" s="125"/>
      <c r="T10" s="327"/>
      <c r="U10" s="327"/>
      <c r="V10" s="327"/>
      <c r="W10" s="327"/>
      <c r="X10" s="327"/>
      <c r="Y10" s="327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BG10" s="327"/>
      <c r="BH10" s="327"/>
      <c r="BI10" s="327"/>
      <c r="BJ10" s="327"/>
      <c r="BK10" s="327"/>
      <c r="BL10" s="327"/>
      <c r="BM10" s="327"/>
      <c r="BN10" s="327"/>
      <c r="BO10" s="327"/>
      <c r="BP10" s="327"/>
      <c r="BQ10" s="327"/>
      <c r="BR10" s="327"/>
      <c r="BS10" s="327"/>
      <c r="BT10" s="327"/>
      <c r="BU10" s="327"/>
      <c r="BV10" s="327"/>
      <c r="BW10" s="327"/>
      <c r="BX10" s="327"/>
      <c r="BY10" s="327"/>
      <c r="BZ10" s="327"/>
      <c r="CA10" s="327"/>
      <c r="CB10" s="330"/>
    </row>
    <row r="11" spans="1:80" ht="13.2" outlineLevel="1" collapsed="1">
      <c r="A11" s="112"/>
      <c r="B11" s="147">
        <v>1</v>
      </c>
      <c r="C11" s="212">
        <v>1</v>
      </c>
      <c r="D11" s="211" t="s">
        <v>16</v>
      </c>
      <c r="E11" s="150"/>
      <c r="F11" s="188"/>
      <c r="G11" s="188"/>
      <c r="H11" s="189"/>
      <c r="I11" s="189"/>
      <c r="J11" s="189"/>
      <c r="K11" s="385"/>
      <c r="L11" s="385"/>
      <c r="M11" s="385"/>
      <c r="N11" s="385"/>
      <c r="O11" s="385"/>
      <c r="P11" s="385"/>
      <c r="Q11" s="385"/>
      <c r="R11" s="385"/>
      <c r="S11" s="385"/>
      <c r="T11" s="191"/>
      <c r="U11" s="188"/>
      <c r="V11" s="188"/>
      <c r="W11" s="189">
        <f>IF('Design Fee'!H11&gt;0,2,"-")</f>
        <v>2</v>
      </c>
      <c r="X11" s="385">
        <f>IF('Design Fee'!J11&gt;0,2,"-")</f>
        <v>2</v>
      </c>
      <c r="Y11" s="385" t="str">
        <f>IF('Design Fee'!K11&gt;0,2,"-")</f>
        <v>-</v>
      </c>
      <c r="Z11" s="385" t="str">
        <f>IF('Design Fee'!L11&gt;0,2,"-")</f>
        <v>-</v>
      </c>
      <c r="AA11" s="385" t="str">
        <f>IF('Design Fee'!M11&gt;0,2,"-")</f>
        <v>-</v>
      </c>
      <c r="AB11" s="385" t="str">
        <f>IF('Design Fee'!N11&gt;0,2,"-")</f>
        <v>-</v>
      </c>
      <c r="AC11" s="385" t="str">
        <f>IF('Design Fee'!O11&gt;0,2,"-")</f>
        <v>-</v>
      </c>
      <c r="AD11" s="385" t="str">
        <f>IF('Design Fee'!Q11&gt;0,2,"-")</f>
        <v>-</v>
      </c>
      <c r="AE11" s="385" t="str">
        <f>IF('Design Fee'!R11&gt;0,2,"-")</f>
        <v>-</v>
      </c>
      <c r="AF11" s="385" t="str">
        <f>IF('Design Fee'!S11&gt;0,2,"-")</f>
        <v>-</v>
      </c>
      <c r="AG11" s="385" t="str">
        <f>IF('Design Fee'!T11&gt;0,2,"-")</f>
        <v>-</v>
      </c>
      <c r="AH11" s="385" t="str">
        <f>IF('Design Fee'!U11&gt;0,2,"-")</f>
        <v>-</v>
      </c>
      <c r="AI11" s="191"/>
      <c r="AJ11" s="188"/>
      <c r="AK11" s="188"/>
      <c r="AL11" s="385" t="str">
        <f>IF('Design Fee'!AR11&gt;0,2,"-")</f>
        <v>-</v>
      </c>
      <c r="AM11" s="385" t="str">
        <f>IF('Design Fee'!AT11&gt;0,2,"-")</f>
        <v>-</v>
      </c>
      <c r="AN11" s="385" t="str">
        <f>IF('Design Fee'!AU11&gt;0,2,"-")</f>
        <v>-</v>
      </c>
      <c r="AO11" s="385" t="str">
        <f>IF('Design Fee'!AV11&gt;0,2,"-")</f>
        <v>-</v>
      </c>
      <c r="AP11" s="385" t="str">
        <f>IF('Design Fee'!AW11&gt;0,2,"-")</f>
        <v>-</v>
      </c>
      <c r="AQ11" s="385" t="str">
        <f>IF('Design Fee'!AX11&gt;0,2,"-")</f>
        <v>-</v>
      </c>
      <c r="AR11" s="385" t="str">
        <f>IF('Design Fee'!AY11&gt;0,2,"-")</f>
        <v>-</v>
      </c>
      <c r="AS11" s="385" t="str">
        <f>IF('Design Fee'!BA11&gt;0,2,"-")</f>
        <v>-</v>
      </c>
      <c r="AT11" s="385" t="str">
        <f>IF('Design Fee'!BB11&gt;0,2,"-")</f>
        <v>-</v>
      </c>
      <c r="AU11" s="385" t="str">
        <f>IF('Design Fee'!BC11&gt;0,2,"-")</f>
        <v>-</v>
      </c>
      <c r="AV11" s="385" t="str">
        <f>IF('Design Fee'!BD11&gt;0,2,"-")</f>
        <v>-</v>
      </c>
      <c r="AW11" s="385" t="str">
        <f>IF('Design Fee'!BE11&gt;0,2,"-")</f>
        <v>-</v>
      </c>
      <c r="AX11" s="191"/>
      <c r="AY11" s="188"/>
      <c r="AZ11" s="188"/>
      <c r="BA11" s="385" t="str">
        <f>IF('Design Fee'!CB11&gt;0,2,"-")</f>
        <v>-</v>
      </c>
      <c r="BB11" s="385" t="str">
        <f>IF('Design Fee'!CD11&gt;0,2,"-")</f>
        <v>-</v>
      </c>
      <c r="BC11" s="385" t="str">
        <f>IF('Design Fee'!CE11&gt;0,2,"-")</f>
        <v>-</v>
      </c>
      <c r="BD11" s="385" t="str">
        <f>IF('Design Fee'!CF11&gt;0,2,"-")</f>
        <v>-</v>
      </c>
      <c r="BE11" s="385" t="str">
        <f>IF('Design Fee'!CG11&gt;0,2,"-")</f>
        <v>-</v>
      </c>
      <c r="BF11" s="385" t="str">
        <f>IF('Design Fee'!CH11&gt;0,2,"-")</f>
        <v>-</v>
      </c>
      <c r="BG11" s="385" t="str">
        <f>IF('Design Fee'!CI11&gt;0,2,"-")</f>
        <v>-</v>
      </c>
      <c r="BH11" s="385" t="str">
        <f>IF('Design Fee'!CK11&gt;0,2,"-")</f>
        <v>-</v>
      </c>
      <c r="BI11" s="385" t="str">
        <f>IF('Design Fee'!CL11&gt;0,2,"-")</f>
        <v>-</v>
      </c>
      <c r="BJ11" s="385" t="str">
        <f>IF('Design Fee'!CM11&gt;0,2,"-")</f>
        <v>-</v>
      </c>
      <c r="BK11" s="385" t="str">
        <f>IF('Design Fee'!CN11&gt;0,2,"-")</f>
        <v>-</v>
      </c>
      <c r="BL11" s="385" t="str">
        <f>IF('Design Fee'!CO11&gt;0,2,"-")</f>
        <v>-</v>
      </c>
      <c r="BM11" s="191"/>
      <c r="BN11" s="188"/>
      <c r="BO11" s="188"/>
      <c r="BP11" s="385" t="str">
        <f>IF('Design Fee'!DL11&gt;0,2,"-")</f>
        <v>-</v>
      </c>
      <c r="BQ11" s="385" t="str">
        <f>IF('Design Fee'!DN11&gt;0,2,"-")</f>
        <v>-</v>
      </c>
      <c r="BR11" s="385" t="str">
        <f>IF('Design Fee'!DO11&gt;0,2,"-")</f>
        <v>-</v>
      </c>
      <c r="BS11" s="385" t="str">
        <f>IF('Design Fee'!DP11&gt;0,2,"-")</f>
        <v>-</v>
      </c>
      <c r="BT11" s="385" t="str">
        <f>IF('Design Fee'!DQ11&gt;0,2,"-")</f>
        <v>-</v>
      </c>
      <c r="BU11" s="385" t="str">
        <f>IF('Design Fee'!DR11&gt;0,2,"-")</f>
        <v>-</v>
      </c>
      <c r="BV11" s="385" t="str">
        <f>IF('Design Fee'!DS11&gt;0,2,"-")</f>
        <v>-</v>
      </c>
      <c r="BW11" s="385" t="str">
        <f>IF('Design Fee'!DU11&gt;0,2,"-")</f>
        <v>-</v>
      </c>
      <c r="BX11" s="385" t="str">
        <f>IF('Design Fee'!DV11&gt;0,2,"-")</f>
        <v>-</v>
      </c>
      <c r="BY11" s="385" t="str">
        <f>IF('Design Fee'!DW11&gt;0,2,"-")</f>
        <v>-</v>
      </c>
      <c r="BZ11" s="385" t="str">
        <f>IF('Design Fee'!DX11&gt;0,2,"-")</f>
        <v>-</v>
      </c>
      <c r="CA11" s="385" t="str">
        <f>IF('Design Fee'!DY11&gt;0,2,"-")</f>
        <v>-</v>
      </c>
      <c r="CB11" s="191"/>
    </row>
    <row r="12" spans="1:80" ht="11.85" hidden="1" customHeight="1" outlineLevel="2">
      <c r="A12" s="112"/>
      <c r="B12" s="153">
        <v>1</v>
      </c>
      <c r="C12" s="213">
        <v>1</v>
      </c>
      <c r="D12" s="214" t="s">
        <v>17</v>
      </c>
      <c r="E12" s="114"/>
      <c r="F12" s="193"/>
      <c r="G12" s="194"/>
      <c r="H12" s="328"/>
      <c r="I12" s="328"/>
      <c r="J12" s="328"/>
      <c r="K12" s="386"/>
      <c r="L12" s="386"/>
      <c r="M12" s="386"/>
      <c r="N12" s="386"/>
      <c r="O12" s="386"/>
      <c r="P12" s="386"/>
      <c r="Q12" s="386"/>
      <c r="R12" s="386"/>
      <c r="S12" s="386"/>
      <c r="T12" s="195"/>
      <c r="U12" s="193"/>
      <c r="V12" s="194"/>
      <c r="W12" s="328" t="str">
        <f>IF('Design Fee'!H12&gt;0,2,"-")</f>
        <v>-</v>
      </c>
      <c r="X12" s="386" t="str">
        <f>IF('Design Fee'!J12&gt;0,2,"-")</f>
        <v>-</v>
      </c>
      <c r="Y12" s="386" t="str">
        <f>IF('Design Fee'!K12&gt;0,2,"-")</f>
        <v>-</v>
      </c>
      <c r="Z12" s="386" t="str">
        <f>IF('Design Fee'!L12&gt;0,2,"-")</f>
        <v>-</v>
      </c>
      <c r="AA12" s="386" t="str">
        <f>IF('Design Fee'!M12&gt;0,2,"-")</f>
        <v>-</v>
      </c>
      <c r="AB12" s="386" t="str">
        <f>IF('Design Fee'!N12&gt;0,2,"-")</f>
        <v>-</v>
      </c>
      <c r="AC12" s="386" t="str">
        <f>IF('Design Fee'!O12&gt;0,2,"-")</f>
        <v>-</v>
      </c>
      <c r="AD12" s="386" t="str">
        <f>IF('Design Fee'!Q12&gt;0,2,"-")</f>
        <v>-</v>
      </c>
      <c r="AE12" s="386" t="str">
        <f>IF('Design Fee'!R12&gt;0,2,"-")</f>
        <v>-</v>
      </c>
      <c r="AF12" s="386" t="str">
        <f>IF('Design Fee'!S12&gt;0,2,"-")</f>
        <v>-</v>
      </c>
      <c r="AG12" s="386" t="str">
        <f>IF('Design Fee'!T12&gt;0,2,"-")</f>
        <v>-</v>
      </c>
      <c r="AH12" s="386" t="str">
        <f>IF('Design Fee'!U12&gt;0,2,"-")</f>
        <v>-</v>
      </c>
      <c r="AI12" s="195"/>
      <c r="AJ12" s="193"/>
      <c r="AK12" s="387"/>
      <c r="AL12" s="328" t="str">
        <f>IF('Design Fee'!AR12&gt;0,2,"-")</f>
        <v>-</v>
      </c>
      <c r="AM12" s="386" t="str">
        <f>IF('Design Fee'!AT12&gt;0,2,"-")</f>
        <v>-</v>
      </c>
      <c r="AN12" s="386" t="str">
        <f>IF('Design Fee'!AU12&gt;0,2,"-")</f>
        <v>-</v>
      </c>
      <c r="AO12" s="386" t="str">
        <f>IF('Design Fee'!AV12&gt;0,2,"-")</f>
        <v>-</v>
      </c>
      <c r="AP12" s="386" t="str">
        <f>IF('Design Fee'!AW12&gt;0,2,"-")</f>
        <v>-</v>
      </c>
      <c r="AQ12" s="386" t="str">
        <f>IF('Design Fee'!AX12&gt;0,2,"-")</f>
        <v>-</v>
      </c>
      <c r="AR12" s="386" t="str">
        <f>IF('Design Fee'!AY12&gt;0,2,"-")</f>
        <v>-</v>
      </c>
      <c r="AS12" s="386" t="str">
        <f>IF('Design Fee'!BA12&gt;0,2,"-")</f>
        <v>-</v>
      </c>
      <c r="AT12" s="386" t="str">
        <f>IF('Design Fee'!BB12&gt;0,2,"-")</f>
        <v>-</v>
      </c>
      <c r="AU12" s="386" t="str">
        <f>IF('Design Fee'!BC12&gt;0,2,"-")</f>
        <v>-</v>
      </c>
      <c r="AV12" s="386" t="str">
        <f>IF('Design Fee'!BD12&gt;0,2,"-")</f>
        <v>-</v>
      </c>
      <c r="AW12" s="386" t="str">
        <f>IF('Design Fee'!BE12&gt;0,2,"-")</f>
        <v>-</v>
      </c>
      <c r="AX12" s="195"/>
      <c r="AY12" s="193"/>
      <c r="AZ12" s="387"/>
      <c r="BA12" s="328" t="str">
        <f>IF('Design Fee'!CB12&gt;0,2,"-")</f>
        <v>-</v>
      </c>
      <c r="BB12" s="386" t="str">
        <f>IF('Design Fee'!CD12&gt;0,2,"-")</f>
        <v>-</v>
      </c>
      <c r="BC12" s="386" t="str">
        <f>IF('Design Fee'!CE12&gt;0,2,"-")</f>
        <v>-</v>
      </c>
      <c r="BD12" s="386" t="str">
        <f>IF('Design Fee'!CF12&gt;0,2,"-")</f>
        <v>-</v>
      </c>
      <c r="BE12" s="386" t="str">
        <f>IF('Design Fee'!CG12&gt;0,2,"-")</f>
        <v>-</v>
      </c>
      <c r="BF12" s="386" t="str">
        <f>IF('Design Fee'!CH12&gt;0,2,"-")</f>
        <v>-</v>
      </c>
      <c r="BG12" s="386" t="str">
        <f>IF('Design Fee'!CI12&gt;0,2,"-")</f>
        <v>-</v>
      </c>
      <c r="BH12" s="386" t="str">
        <f>IF('Design Fee'!CK12&gt;0,2,"-")</f>
        <v>-</v>
      </c>
      <c r="BI12" s="386" t="str">
        <f>IF('Design Fee'!CL12&gt;0,2,"-")</f>
        <v>-</v>
      </c>
      <c r="BJ12" s="386" t="str">
        <f>IF('Design Fee'!CM12&gt;0,2,"-")</f>
        <v>-</v>
      </c>
      <c r="BK12" s="386" t="str">
        <f>IF('Design Fee'!CN12&gt;0,2,"-")</f>
        <v>-</v>
      </c>
      <c r="BL12" s="386" t="str">
        <f>IF('Design Fee'!CO12&gt;0,2,"-")</f>
        <v>-</v>
      </c>
      <c r="BM12" s="195"/>
      <c r="BN12" s="193"/>
      <c r="BO12" s="387"/>
      <c r="BP12" s="328" t="str">
        <f>IF('Design Fee'!DL12&gt;0,2,"-")</f>
        <v>-</v>
      </c>
      <c r="BQ12" s="386" t="str">
        <f>IF('Design Fee'!DN12&gt;0,2,"-")</f>
        <v>-</v>
      </c>
      <c r="BR12" s="386" t="str">
        <f>IF('Design Fee'!DO12&gt;0,2,"-")</f>
        <v>-</v>
      </c>
      <c r="BS12" s="386" t="str">
        <f>IF('Design Fee'!DP12&gt;0,2,"-")</f>
        <v>-</v>
      </c>
      <c r="BT12" s="386" t="str">
        <f>IF('Design Fee'!DQ12&gt;0,2,"-")</f>
        <v>-</v>
      </c>
      <c r="BU12" s="386" t="str">
        <f>IF('Design Fee'!DR12&gt;0,2,"-")</f>
        <v>-</v>
      </c>
      <c r="BV12" s="386" t="str">
        <f>IF('Design Fee'!DS12&gt;0,2,"-")</f>
        <v>-</v>
      </c>
      <c r="BW12" s="386" t="str">
        <f>IF('Design Fee'!DU12&gt;0,2,"-")</f>
        <v>-</v>
      </c>
      <c r="BX12" s="386" t="str">
        <f>IF('Design Fee'!DV12&gt;0,2,"-")</f>
        <v>-</v>
      </c>
      <c r="BY12" s="386" t="str">
        <f>IF('Design Fee'!DW12&gt;0,2,"-")</f>
        <v>-</v>
      </c>
      <c r="BZ12" s="386" t="str">
        <f>IF('Design Fee'!DX12&gt;0,2,"-")</f>
        <v>-</v>
      </c>
      <c r="CA12" s="386" t="str">
        <f>IF('Design Fee'!DY12&gt;0,2,"-")</f>
        <v>-</v>
      </c>
      <c r="CB12" s="195"/>
    </row>
    <row r="13" spans="1:80" ht="11.85" hidden="1" customHeight="1" outlineLevel="2">
      <c r="A13" s="112"/>
      <c r="B13" s="153">
        <v>2</v>
      </c>
      <c r="C13" s="213">
        <v>2</v>
      </c>
      <c r="D13" s="214" t="s">
        <v>18</v>
      </c>
      <c r="E13" s="114"/>
      <c r="F13" s="193"/>
      <c r="G13" s="194"/>
      <c r="H13" s="328"/>
      <c r="I13" s="328"/>
      <c r="J13" s="328"/>
      <c r="K13" s="386"/>
      <c r="L13" s="386"/>
      <c r="M13" s="386"/>
      <c r="N13" s="386"/>
      <c r="O13" s="386"/>
      <c r="P13" s="386"/>
      <c r="Q13" s="386"/>
      <c r="R13" s="386"/>
      <c r="S13" s="386"/>
      <c r="T13" s="195"/>
      <c r="U13" s="193"/>
      <c r="V13" s="194"/>
      <c r="W13" s="328" t="str">
        <f>IF('Design Fee'!H13&gt;0,2,"-")</f>
        <v>-</v>
      </c>
      <c r="X13" s="386" t="str">
        <f>IF('Design Fee'!J13&gt;0,2,"-")</f>
        <v>-</v>
      </c>
      <c r="Y13" s="386" t="str">
        <f>IF('Design Fee'!K13&gt;0,2,"-")</f>
        <v>-</v>
      </c>
      <c r="Z13" s="386" t="str">
        <f>IF('Design Fee'!L13&gt;0,2,"-")</f>
        <v>-</v>
      </c>
      <c r="AA13" s="386" t="str">
        <f>IF('Design Fee'!M13&gt;0,2,"-")</f>
        <v>-</v>
      </c>
      <c r="AB13" s="386" t="str">
        <f>IF('Design Fee'!N13&gt;0,2,"-")</f>
        <v>-</v>
      </c>
      <c r="AC13" s="386" t="str">
        <f>IF('Design Fee'!O13&gt;0,2,"-")</f>
        <v>-</v>
      </c>
      <c r="AD13" s="386" t="str">
        <f>IF('Design Fee'!Q13&gt;0,2,"-")</f>
        <v>-</v>
      </c>
      <c r="AE13" s="386" t="str">
        <f>IF('Design Fee'!R13&gt;0,2,"-")</f>
        <v>-</v>
      </c>
      <c r="AF13" s="386" t="str">
        <f>IF('Design Fee'!S13&gt;0,2,"-")</f>
        <v>-</v>
      </c>
      <c r="AG13" s="386" t="str">
        <f>IF('Design Fee'!T13&gt;0,2,"-")</f>
        <v>-</v>
      </c>
      <c r="AH13" s="386" t="str">
        <f>IF('Design Fee'!U13&gt;0,2,"-")</f>
        <v>-</v>
      </c>
      <c r="AI13" s="195"/>
      <c r="AJ13" s="193"/>
      <c r="AK13" s="387"/>
      <c r="AL13" s="328" t="str">
        <f>IF('Design Fee'!AR13&gt;0,2,"-")</f>
        <v>-</v>
      </c>
      <c r="AM13" s="386" t="str">
        <f>IF('Design Fee'!AT13&gt;0,2,"-")</f>
        <v>-</v>
      </c>
      <c r="AN13" s="386" t="str">
        <f>IF('Design Fee'!AU13&gt;0,2,"-")</f>
        <v>-</v>
      </c>
      <c r="AO13" s="386" t="str">
        <f>IF('Design Fee'!AV13&gt;0,2,"-")</f>
        <v>-</v>
      </c>
      <c r="AP13" s="386" t="str">
        <f>IF('Design Fee'!AW13&gt;0,2,"-")</f>
        <v>-</v>
      </c>
      <c r="AQ13" s="386" t="str">
        <f>IF('Design Fee'!AX13&gt;0,2,"-")</f>
        <v>-</v>
      </c>
      <c r="AR13" s="386" t="str">
        <f>IF('Design Fee'!AY13&gt;0,2,"-")</f>
        <v>-</v>
      </c>
      <c r="AS13" s="386" t="str">
        <f>IF('Design Fee'!BA13&gt;0,2,"-")</f>
        <v>-</v>
      </c>
      <c r="AT13" s="386" t="str">
        <f>IF('Design Fee'!BB13&gt;0,2,"-")</f>
        <v>-</v>
      </c>
      <c r="AU13" s="386" t="str">
        <f>IF('Design Fee'!BC13&gt;0,2,"-")</f>
        <v>-</v>
      </c>
      <c r="AV13" s="386" t="str">
        <f>IF('Design Fee'!BD13&gt;0,2,"-")</f>
        <v>-</v>
      </c>
      <c r="AW13" s="386" t="str">
        <f>IF('Design Fee'!BE13&gt;0,2,"-")</f>
        <v>-</v>
      </c>
      <c r="AX13" s="195"/>
      <c r="AY13" s="193"/>
      <c r="AZ13" s="387"/>
      <c r="BA13" s="328" t="str">
        <f>IF('Design Fee'!CB13&gt;0,2,"-")</f>
        <v>-</v>
      </c>
      <c r="BB13" s="386" t="str">
        <f>IF('Design Fee'!CD13&gt;0,2,"-")</f>
        <v>-</v>
      </c>
      <c r="BC13" s="386" t="str">
        <f>IF('Design Fee'!CE13&gt;0,2,"-")</f>
        <v>-</v>
      </c>
      <c r="BD13" s="386" t="str">
        <f>IF('Design Fee'!CF13&gt;0,2,"-")</f>
        <v>-</v>
      </c>
      <c r="BE13" s="386" t="str">
        <f>IF('Design Fee'!CG13&gt;0,2,"-")</f>
        <v>-</v>
      </c>
      <c r="BF13" s="386" t="str">
        <f>IF('Design Fee'!CH13&gt;0,2,"-")</f>
        <v>-</v>
      </c>
      <c r="BG13" s="386" t="str">
        <f>IF('Design Fee'!CI13&gt;0,2,"-")</f>
        <v>-</v>
      </c>
      <c r="BH13" s="386" t="str">
        <f>IF('Design Fee'!CK13&gt;0,2,"-")</f>
        <v>-</v>
      </c>
      <c r="BI13" s="386" t="str">
        <f>IF('Design Fee'!CL13&gt;0,2,"-")</f>
        <v>-</v>
      </c>
      <c r="BJ13" s="386" t="str">
        <f>IF('Design Fee'!CM13&gt;0,2,"-")</f>
        <v>-</v>
      </c>
      <c r="BK13" s="386" t="str">
        <f>IF('Design Fee'!CN13&gt;0,2,"-")</f>
        <v>-</v>
      </c>
      <c r="BL13" s="386" t="str">
        <f>IF('Design Fee'!CO13&gt;0,2,"-")</f>
        <v>-</v>
      </c>
      <c r="BM13" s="195"/>
      <c r="BN13" s="193"/>
      <c r="BO13" s="387"/>
      <c r="BP13" s="328" t="str">
        <f>IF('Design Fee'!DL13&gt;0,2,"-")</f>
        <v>-</v>
      </c>
      <c r="BQ13" s="386" t="str">
        <f>IF('Design Fee'!DN13&gt;0,2,"-")</f>
        <v>-</v>
      </c>
      <c r="BR13" s="386" t="str">
        <f>IF('Design Fee'!DO13&gt;0,2,"-")</f>
        <v>-</v>
      </c>
      <c r="BS13" s="386" t="str">
        <f>IF('Design Fee'!DP13&gt;0,2,"-")</f>
        <v>-</v>
      </c>
      <c r="BT13" s="386" t="str">
        <f>IF('Design Fee'!DQ13&gt;0,2,"-")</f>
        <v>-</v>
      </c>
      <c r="BU13" s="386" t="str">
        <f>IF('Design Fee'!DR13&gt;0,2,"-")</f>
        <v>-</v>
      </c>
      <c r="BV13" s="386" t="str">
        <f>IF('Design Fee'!DS13&gt;0,2,"-")</f>
        <v>-</v>
      </c>
      <c r="BW13" s="386" t="str">
        <f>IF('Design Fee'!DU13&gt;0,2,"-")</f>
        <v>-</v>
      </c>
      <c r="BX13" s="386" t="str">
        <f>IF('Design Fee'!DV13&gt;0,2,"-")</f>
        <v>-</v>
      </c>
      <c r="BY13" s="386" t="str">
        <f>IF('Design Fee'!DW13&gt;0,2,"-")</f>
        <v>-</v>
      </c>
      <c r="BZ13" s="386" t="str">
        <f>IF('Design Fee'!DX13&gt;0,2,"-")</f>
        <v>-</v>
      </c>
      <c r="CA13" s="386" t="str">
        <f>IF('Design Fee'!DY13&gt;0,2,"-")</f>
        <v>-</v>
      </c>
      <c r="CB13" s="195"/>
    </row>
    <row r="14" spans="1:80" ht="11.85" hidden="1" customHeight="1" outlineLevel="2">
      <c r="A14" s="112"/>
      <c r="B14" s="153">
        <v>3</v>
      </c>
      <c r="C14" s="213">
        <v>3</v>
      </c>
      <c r="D14" s="214" t="s">
        <v>19</v>
      </c>
      <c r="E14" s="114"/>
      <c r="F14" s="193"/>
      <c r="G14" s="194"/>
      <c r="H14" s="328"/>
      <c r="I14" s="328"/>
      <c r="J14" s="328"/>
      <c r="K14" s="386"/>
      <c r="L14" s="386"/>
      <c r="M14" s="386"/>
      <c r="N14" s="386"/>
      <c r="O14" s="386"/>
      <c r="P14" s="386"/>
      <c r="Q14" s="386"/>
      <c r="R14" s="386"/>
      <c r="S14" s="386"/>
      <c r="T14" s="195"/>
      <c r="U14" s="193"/>
      <c r="V14" s="194"/>
      <c r="W14" s="328" t="str">
        <f>IF('Design Fee'!H14&gt;0,2,"-")</f>
        <v>-</v>
      </c>
      <c r="X14" s="386" t="str">
        <f>IF('Design Fee'!J14&gt;0,2,"-")</f>
        <v>-</v>
      </c>
      <c r="Y14" s="386" t="str">
        <f>IF('Design Fee'!K14&gt;0,2,"-")</f>
        <v>-</v>
      </c>
      <c r="Z14" s="386" t="str">
        <f>IF('Design Fee'!L14&gt;0,2,"-")</f>
        <v>-</v>
      </c>
      <c r="AA14" s="386" t="str">
        <f>IF('Design Fee'!M14&gt;0,2,"-")</f>
        <v>-</v>
      </c>
      <c r="AB14" s="386" t="str">
        <f>IF('Design Fee'!N14&gt;0,2,"-")</f>
        <v>-</v>
      </c>
      <c r="AC14" s="386" t="str">
        <f>IF('Design Fee'!O14&gt;0,2,"-")</f>
        <v>-</v>
      </c>
      <c r="AD14" s="386" t="str">
        <f>IF('Design Fee'!Q14&gt;0,2,"-")</f>
        <v>-</v>
      </c>
      <c r="AE14" s="386" t="str">
        <f>IF('Design Fee'!R14&gt;0,2,"-")</f>
        <v>-</v>
      </c>
      <c r="AF14" s="386" t="str">
        <f>IF('Design Fee'!S14&gt;0,2,"-")</f>
        <v>-</v>
      </c>
      <c r="AG14" s="386" t="str">
        <f>IF('Design Fee'!T14&gt;0,2,"-")</f>
        <v>-</v>
      </c>
      <c r="AH14" s="386" t="str">
        <f>IF('Design Fee'!U14&gt;0,2,"-")</f>
        <v>-</v>
      </c>
      <c r="AI14" s="195"/>
      <c r="AJ14" s="193"/>
      <c r="AK14" s="387"/>
      <c r="AL14" s="328" t="str">
        <f>IF('Design Fee'!AR14&gt;0,2,"-")</f>
        <v>-</v>
      </c>
      <c r="AM14" s="386" t="str">
        <f>IF('Design Fee'!AT14&gt;0,2,"-")</f>
        <v>-</v>
      </c>
      <c r="AN14" s="386" t="str">
        <f>IF('Design Fee'!AU14&gt;0,2,"-")</f>
        <v>-</v>
      </c>
      <c r="AO14" s="386" t="str">
        <f>IF('Design Fee'!AV14&gt;0,2,"-")</f>
        <v>-</v>
      </c>
      <c r="AP14" s="386" t="str">
        <f>IF('Design Fee'!AW14&gt;0,2,"-")</f>
        <v>-</v>
      </c>
      <c r="AQ14" s="386" t="str">
        <f>IF('Design Fee'!AX14&gt;0,2,"-")</f>
        <v>-</v>
      </c>
      <c r="AR14" s="386" t="str">
        <f>IF('Design Fee'!AY14&gt;0,2,"-")</f>
        <v>-</v>
      </c>
      <c r="AS14" s="386" t="str">
        <f>IF('Design Fee'!BA14&gt;0,2,"-")</f>
        <v>-</v>
      </c>
      <c r="AT14" s="386" t="str">
        <f>IF('Design Fee'!BB14&gt;0,2,"-")</f>
        <v>-</v>
      </c>
      <c r="AU14" s="386" t="str">
        <f>IF('Design Fee'!BC14&gt;0,2,"-")</f>
        <v>-</v>
      </c>
      <c r="AV14" s="386" t="str">
        <f>IF('Design Fee'!BD14&gt;0,2,"-")</f>
        <v>-</v>
      </c>
      <c r="AW14" s="386" t="str">
        <f>IF('Design Fee'!BE14&gt;0,2,"-")</f>
        <v>-</v>
      </c>
      <c r="AX14" s="195"/>
      <c r="AY14" s="193"/>
      <c r="AZ14" s="387"/>
      <c r="BA14" s="328" t="str">
        <f>IF('Design Fee'!CB14&gt;0,2,"-")</f>
        <v>-</v>
      </c>
      <c r="BB14" s="386" t="str">
        <f>IF('Design Fee'!CD14&gt;0,2,"-")</f>
        <v>-</v>
      </c>
      <c r="BC14" s="386" t="str">
        <f>IF('Design Fee'!CE14&gt;0,2,"-")</f>
        <v>-</v>
      </c>
      <c r="BD14" s="386" t="str">
        <f>IF('Design Fee'!CF14&gt;0,2,"-")</f>
        <v>-</v>
      </c>
      <c r="BE14" s="386" t="str">
        <f>IF('Design Fee'!CG14&gt;0,2,"-")</f>
        <v>-</v>
      </c>
      <c r="BF14" s="386" t="str">
        <f>IF('Design Fee'!CH14&gt;0,2,"-")</f>
        <v>-</v>
      </c>
      <c r="BG14" s="386" t="str">
        <f>IF('Design Fee'!CI14&gt;0,2,"-")</f>
        <v>-</v>
      </c>
      <c r="BH14" s="386" t="str">
        <f>IF('Design Fee'!CK14&gt;0,2,"-")</f>
        <v>-</v>
      </c>
      <c r="BI14" s="386" t="str">
        <f>IF('Design Fee'!CL14&gt;0,2,"-")</f>
        <v>-</v>
      </c>
      <c r="BJ14" s="386" t="str">
        <f>IF('Design Fee'!CM14&gt;0,2,"-")</f>
        <v>-</v>
      </c>
      <c r="BK14" s="386" t="str">
        <f>IF('Design Fee'!CN14&gt;0,2,"-")</f>
        <v>-</v>
      </c>
      <c r="BL14" s="386" t="str">
        <f>IF('Design Fee'!CO14&gt;0,2,"-")</f>
        <v>-</v>
      </c>
      <c r="BM14" s="195"/>
      <c r="BN14" s="193"/>
      <c r="BO14" s="387"/>
      <c r="BP14" s="328" t="str">
        <f>IF('Design Fee'!DL14&gt;0,2,"-")</f>
        <v>-</v>
      </c>
      <c r="BQ14" s="386" t="str">
        <f>IF('Design Fee'!DN14&gt;0,2,"-")</f>
        <v>-</v>
      </c>
      <c r="BR14" s="386" t="str">
        <f>IF('Design Fee'!DO14&gt;0,2,"-")</f>
        <v>-</v>
      </c>
      <c r="BS14" s="386" t="str">
        <f>IF('Design Fee'!DP14&gt;0,2,"-")</f>
        <v>-</v>
      </c>
      <c r="BT14" s="386" t="str">
        <f>IF('Design Fee'!DQ14&gt;0,2,"-")</f>
        <v>-</v>
      </c>
      <c r="BU14" s="386" t="str">
        <f>IF('Design Fee'!DR14&gt;0,2,"-")</f>
        <v>-</v>
      </c>
      <c r="BV14" s="386" t="str">
        <f>IF('Design Fee'!DS14&gt;0,2,"-")</f>
        <v>-</v>
      </c>
      <c r="BW14" s="386" t="str">
        <f>IF('Design Fee'!DU14&gt;0,2,"-")</f>
        <v>-</v>
      </c>
      <c r="BX14" s="386" t="str">
        <f>IF('Design Fee'!DV14&gt;0,2,"-")</f>
        <v>-</v>
      </c>
      <c r="BY14" s="386" t="str">
        <f>IF('Design Fee'!DW14&gt;0,2,"-")</f>
        <v>-</v>
      </c>
      <c r="BZ14" s="386" t="str">
        <f>IF('Design Fee'!DX14&gt;0,2,"-")</f>
        <v>-</v>
      </c>
      <c r="CA14" s="386" t="str">
        <f>IF('Design Fee'!DY14&gt;0,2,"-")</f>
        <v>-</v>
      </c>
      <c r="CB14" s="195"/>
    </row>
    <row r="15" spans="1:80" ht="11.85" hidden="1" customHeight="1" outlineLevel="2">
      <c r="A15" s="112"/>
      <c r="B15" s="153">
        <v>4</v>
      </c>
      <c r="C15" s="213">
        <v>4</v>
      </c>
      <c r="D15" s="214" t="s">
        <v>20</v>
      </c>
      <c r="E15" s="114"/>
      <c r="F15" s="193"/>
      <c r="G15" s="194"/>
      <c r="H15" s="328"/>
      <c r="I15" s="328"/>
      <c r="J15" s="328"/>
      <c r="K15" s="386"/>
      <c r="L15" s="386"/>
      <c r="M15" s="386"/>
      <c r="N15" s="386"/>
      <c r="O15" s="386"/>
      <c r="P15" s="386"/>
      <c r="Q15" s="386"/>
      <c r="R15" s="386"/>
      <c r="S15" s="386"/>
      <c r="T15" s="195"/>
      <c r="U15" s="193"/>
      <c r="V15" s="194"/>
      <c r="W15" s="328" t="str">
        <f>IF('Design Fee'!H15&gt;0,2,"-")</f>
        <v>-</v>
      </c>
      <c r="X15" s="386" t="str">
        <f>IF('Design Fee'!J15&gt;0,2,"-")</f>
        <v>-</v>
      </c>
      <c r="Y15" s="386" t="str">
        <f>IF('Design Fee'!K15&gt;0,2,"-")</f>
        <v>-</v>
      </c>
      <c r="Z15" s="386" t="str">
        <f>IF('Design Fee'!L15&gt;0,2,"-")</f>
        <v>-</v>
      </c>
      <c r="AA15" s="386" t="str">
        <f>IF('Design Fee'!M15&gt;0,2,"-")</f>
        <v>-</v>
      </c>
      <c r="AB15" s="386" t="str">
        <f>IF('Design Fee'!N15&gt;0,2,"-")</f>
        <v>-</v>
      </c>
      <c r="AC15" s="386" t="str">
        <f>IF('Design Fee'!O15&gt;0,2,"-")</f>
        <v>-</v>
      </c>
      <c r="AD15" s="386" t="str">
        <f>IF('Design Fee'!Q15&gt;0,2,"-")</f>
        <v>-</v>
      </c>
      <c r="AE15" s="386" t="str">
        <f>IF('Design Fee'!R15&gt;0,2,"-")</f>
        <v>-</v>
      </c>
      <c r="AF15" s="386" t="str">
        <f>IF('Design Fee'!S15&gt;0,2,"-")</f>
        <v>-</v>
      </c>
      <c r="AG15" s="386" t="str">
        <f>IF('Design Fee'!T15&gt;0,2,"-")</f>
        <v>-</v>
      </c>
      <c r="AH15" s="386" t="str">
        <f>IF('Design Fee'!U15&gt;0,2,"-")</f>
        <v>-</v>
      </c>
      <c r="AI15" s="195"/>
      <c r="AJ15" s="193"/>
      <c r="AK15" s="387"/>
      <c r="AL15" s="183" t="str">
        <f>IF('Design Fee'!AR15&gt;0,2,"-")</f>
        <v>-</v>
      </c>
      <c r="AM15" s="386" t="str">
        <f>IF('Design Fee'!AT15&gt;0,2,"-")</f>
        <v>-</v>
      </c>
      <c r="AN15" s="386" t="str">
        <f>IF('Design Fee'!AU15&gt;0,2,"-")</f>
        <v>-</v>
      </c>
      <c r="AO15" s="386" t="str">
        <f>IF('Design Fee'!AV15&gt;0,2,"-")</f>
        <v>-</v>
      </c>
      <c r="AP15" s="386" t="str">
        <f>IF('Design Fee'!AW15&gt;0,2,"-")</f>
        <v>-</v>
      </c>
      <c r="AQ15" s="386" t="str">
        <f>IF('Design Fee'!AX15&gt;0,2,"-")</f>
        <v>-</v>
      </c>
      <c r="AR15" s="386" t="str">
        <f>IF('Design Fee'!AY15&gt;0,2,"-")</f>
        <v>-</v>
      </c>
      <c r="AS15" s="386" t="str">
        <f>IF('Design Fee'!BA15&gt;0,2,"-")</f>
        <v>-</v>
      </c>
      <c r="AT15" s="386" t="str">
        <f>IF('Design Fee'!BB15&gt;0,2,"-")</f>
        <v>-</v>
      </c>
      <c r="AU15" s="386" t="str">
        <f>IF('Design Fee'!BC15&gt;0,2,"-")</f>
        <v>-</v>
      </c>
      <c r="AV15" s="386" t="str">
        <f>IF('Design Fee'!BD15&gt;0,2,"-")</f>
        <v>-</v>
      </c>
      <c r="AW15" s="386" t="str">
        <f>IF('Design Fee'!BE15&gt;0,2,"-")</f>
        <v>-</v>
      </c>
      <c r="AX15" s="195"/>
      <c r="AY15" s="193"/>
      <c r="AZ15" s="387"/>
      <c r="BA15" s="183" t="str">
        <f>IF('Design Fee'!CB15&gt;0,2,"-")</f>
        <v>-</v>
      </c>
      <c r="BB15" s="386" t="str">
        <f>IF('Design Fee'!CD15&gt;0,2,"-")</f>
        <v>-</v>
      </c>
      <c r="BC15" s="386" t="str">
        <f>IF('Design Fee'!CE15&gt;0,2,"-")</f>
        <v>-</v>
      </c>
      <c r="BD15" s="386" t="str">
        <f>IF('Design Fee'!CF15&gt;0,2,"-")</f>
        <v>-</v>
      </c>
      <c r="BE15" s="386" t="str">
        <f>IF('Design Fee'!CG15&gt;0,2,"-")</f>
        <v>-</v>
      </c>
      <c r="BF15" s="386" t="str">
        <f>IF('Design Fee'!CH15&gt;0,2,"-")</f>
        <v>-</v>
      </c>
      <c r="BG15" s="386" t="str">
        <f>IF('Design Fee'!CI15&gt;0,2,"-")</f>
        <v>-</v>
      </c>
      <c r="BH15" s="386" t="str">
        <f>IF('Design Fee'!CK15&gt;0,2,"-")</f>
        <v>-</v>
      </c>
      <c r="BI15" s="386" t="str">
        <f>IF('Design Fee'!CL15&gt;0,2,"-")</f>
        <v>-</v>
      </c>
      <c r="BJ15" s="386" t="str">
        <f>IF('Design Fee'!CM15&gt;0,2,"-")</f>
        <v>-</v>
      </c>
      <c r="BK15" s="386" t="str">
        <f>IF('Design Fee'!CN15&gt;0,2,"-")</f>
        <v>-</v>
      </c>
      <c r="BL15" s="386" t="str">
        <f>IF('Design Fee'!CO15&gt;0,2,"-")</f>
        <v>-</v>
      </c>
      <c r="BM15" s="195"/>
      <c r="BN15" s="193"/>
      <c r="BO15" s="387"/>
      <c r="BP15" s="183" t="str">
        <f>IF('Design Fee'!DL15&gt;0,2,"-")</f>
        <v>-</v>
      </c>
      <c r="BQ15" s="386" t="str">
        <f>IF('Design Fee'!DN15&gt;0,2,"-")</f>
        <v>-</v>
      </c>
      <c r="BR15" s="386" t="str">
        <f>IF('Design Fee'!DO15&gt;0,2,"-")</f>
        <v>-</v>
      </c>
      <c r="BS15" s="386" t="str">
        <f>IF('Design Fee'!DP15&gt;0,2,"-")</f>
        <v>-</v>
      </c>
      <c r="BT15" s="386" t="str">
        <f>IF('Design Fee'!DQ15&gt;0,2,"-")</f>
        <v>-</v>
      </c>
      <c r="BU15" s="386" t="str">
        <f>IF('Design Fee'!DR15&gt;0,2,"-")</f>
        <v>-</v>
      </c>
      <c r="BV15" s="386" t="str">
        <f>IF('Design Fee'!DS15&gt;0,2,"-")</f>
        <v>-</v>
      </c>
      <c r="BW15" s="386" t="str">
        <f>IF('Design Fee'!DU15&gt;0,2,"-")</f>
        <v>-</v>
      </c>
      <c r="BX15" s="386" t="str">
        <f>IF('Design Fee'!DV15&gt;0,2,"-")</f>
        <v>-</v>
      </c>
      <c r="BY15" s="386" t="str">
        <f>IF('Design Fee'!DW15&gt;0,2,"-")</f>
        <v>-</v>
      </c>
      <c r="BZ15" s="386" t="str">
        <f>IF('Design Fee'!DX15&gt;0,2,"-")</f>
        <v>-</v>
      </c>
      <c r="CA15" s="386" t="str">
        <f>IF('Design Fee'!DY15&gt;0,2,"-")</f>
        <v>-</v>
      </c>
      <c r="CB15" s="195"/>
    </row>
    <row r="16" spans="1:80" ht="3" customHeight="1" outlineLevel="1">
      <c r="A16" s="112"/>
      <c r="B16" s="113"/>
      <c r="C16" s="113"/>
      <c r="D16" s="114"/>
      <c r="E16" s="114"/>
      <c r="F16" s="115"/>
      <c r="G16" s="116"/>
      <c r="H16" s="124"/>
      <c r="I16" s="124"/>
      <c r="J16" s="124"/>
      <c r="K16" s="125"/>
      <c r="L16" s="125"/>
      <c r="M16" s="125"/>
      <c r="N16" s="125"/>
      <c r="O16" s="125"/>
      <c r="P16" s="125"/>
      <c r="Q16" s="125"/>
      <c r="R16" s="125"/>
      <c r="S16" s="125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  <c r="BV16" s="327"/>
      <c r="BW16" s="327"/>
      <c r="BX16" s="327"/>
      <c r="BY16" s="327"/>
      <c r="BZ16" s="327"/>
      <c r="CA16" s="327"/>
      <c r="CB16" s="347"/>
    </row>
    <row r="17" spans="1:80" ht="11.85" customHeight="1" outlineLevel="1" collapsed="1">
      <c r="A17" s="112"/>
      <c r="B17" s="147">
        <v>2</v>
      </c>
      <c r="C17" s="212">
        <v>2</v>
      </c>
      <c r="D17" s="211" t="s">
        <v>21</v>
      </c>
      <c r="E17" s="150"/>
      <c r="F17" s="203"/>
      <c r="G17" s="188">
        <f t="shared" si="0"/>
        <v>8</v>
      </c>
      <c r="H17" s="189"/>
      <c r="I17" s="189"/>
      <c r="J17" s="189"/>
      <c r="K17" s="385"/>
      <c r="L17" s="385"/>
      <c r="M17" s="385"/>
      <c r="N17" s="385"/>
      <c r="O17" s="385"/>
      <c r="P17" s="385"/>
      <c r="Q17" s="385"/>
      <c r="R17" s="385"/>
      <c r="S17" s="385"/>
      <c r="T17" s="191"/>
      <c r="U17" s="188"/>
      <c r="V17" s="188"/>
      <c r="W17" s="189">
        <f>IF('Design Fee'!H17&gt;0,2,"-")</f>
        <v>2</v>
      </c>
      <c r="X17" s="385">
        <f>IF('Design Fee'!J17&gt;0,2,"-")</f>
        <v>2</v>
      </c>
      <c r="Y17" s="385" t="str">
        <f>IF('Design Fee'!K17&gt;0,2,"-")</f>
        <v>-</v>
      </c>
      <c r="Z17" s="385" t="str">
        <f>IF('Design Fee'!L17&gt;0,2,"-")</f>
        <v>-</v>
      </c>
      <c r="AA17" s="385" t="str">
        <f>IF('Design Fee'!M17&gt;0,2,"-")</f>
        <v>-</v>
      </c>
      <c r="AB17" s="385" t="str">
        <f>IF('Design Fee'!N17&gt;0,2,"-")</f>
        <v>-</v>
      </c>
      <c r="AC17" s="385" t="str">
        <f>IF('Design Fee'!O17&gt;0,2,"-")</f>
        <v>-</v>
      </c>
      <c r="AD17" s="385" t="str">
        <f>IF('Design Fee'!Q17&gt;0,2,"-")</f>
        <v>-</v>
      </c>
      <c r="AE17" s="385" t="str">
        <f>IF('Design Fee'!R17&gt;0,2,"-")</f>
        <v>-</v>
      </c>
      <c r="AF17" s="385" t="str">
        <f>IF('Design Fee'!S17&gt;0,2,"-")</f>
        <v>-</v>
      </c>
      <c r="AG17" s="385" t="str">
        <f>IF('Design Fee'!T17&gt;0,2,"-")</f>
        <v>-</v>
      </c>
      <c r="AH17" s="385" t="str">
        <f>IF('Design Fee'!U17&gt;0,2,"-")</f>
        <v>-</v>
      </c>
      <c r="AI17" s="191"/>
      <c r="AJ17" s="188"/>
      <c r="AK17" s="188"/>
      <c r="AL17" s="189">
        <f>IF('Design Fee'!AR17&gt;0,2,"-")</f>
        <v>2</v>
      </c>
      <c r="AM17" s="385">
        <f>IF('Design Fee'!AT17&gt;0,2,"-")</f>
        <v>2</v>
      </c>
      <c r="AN17" s="385" t="str">
        <f>IF('Design Fee'!AU17&gt;0,2,"-")</f>
        <v>-</v>
      </c>
      <c r="AO17" s="385" t="str">
        <f>IF('Design Fee'!AV17&gt;0,2,"-")</f>
        <v>-</v>
      </c>
      <c r="AP17" s="385" t="str">
        <f>IF('Design Fee'!AW17&gt;0,2,"-")</f>
        <v>-</v>
      </c>
      <c r="AQ17" s="385" t="str">
        <f>IF('Design Fee'!AX17&gt;0,2,"-")</f>
        <v>-</v>
      </c>
      <c r="AR17" s="385" t="str">
        <f>IF('Design Fee'!AY17&gt;0,2,"-")</f>
        <v>-</v>
      </c>
      <c r="AS17" s="385" t="str">
        <f>IF('Design Fee'!BA17&gt;0,2,"-")</f>
        <v>-</v>
      </c>
      <c r="AT17" s="385" t="str">
        <f>IF('Design Fee'!BB17&gt;0,2,"-")</f>
        <v>-</v>
      </c>
      <c r="AU17" s="385" t="str">
        <f>IF('Design Fee'!BC17&gt;0,2,"-")</f>
        <v>-</v>
      </c>
      <c r="AV17" s="385" t="str">
        <f>IF('Design Fee'!BD17&gt;0,2,"-")</f>
        <v>-</v>
      </c>
      <c r="AW17" s="385" t="str">
        <f>IF('Design Fee'!BE17&gt;0,2,"-")</f>
        <v>-</v>
      </c>
      <c r="AX17" s="191"/>
      <c r="AY17" s="188"/>
      <c r="AZ17" s="188"/>
      <c r="BA17" s="189">
        <f>IF('Design Fee'!CB17&gt;0,2,"-")</f>
        <v>2</v>
      </c>
      <c r="BB17" s="385">
        <f>IF('Design Fee'!CD17&gt;0,2,"-")</f>
        <v>2</v>
      </c>
      <c r="BC17" s="385" t="str">
        <f>IF('Design Fee'!CE17&gt;0,2,"-")</f>
        <v>-</v>
      </c>
      <c r="BD17" s="385" t="str">
        <f>IF('Design Fee'!CF17&gt;0,2,"-")</f>
        <v>-</v>
      </c>
      <c r="BE17" s="385" t="str">
        <f>IF('Design Fee'!CG17&gt;0,2,"-")</f>
        <v>-</v>
      </c>
      <c r="BF17" s="385" t="str">
        <f>IF('Design Fee'!CH17&gt;0,2,"-")</f>
        <v>-</v>
      </c>
      <c r="BG17" s="385" t="str">
        <f>IF('Design Fee'!CI17&gt;0,2,"-")</f>
        <v>-</v>
      </c>
      <c r="BH17" s="385" t="str">
        <f>IF('Design Fee'!CK17&gt;0,2,"-")</f>
        <v>-</v>
      </c>
      <c r="BI17" s="385" t="str">
        <f>IF('Design Fee'!CL17&gt;0,2,"-")</f>
        <v>-</v>
      </c>
      <c r="BJ17" s="385" t="str">
        <f>IF('Design Fee'!CM17&gt;0,2,"-")</f>
        <v>-</v>
      </c>
      <c r="BK17" s="385" t="str">
        <f>IF('Design Fee'!CN17&gt;0,2,"-")</f>
        <v>-</v>
      </c>
      <c r="BL17" s="385" t="str">
        <f>IF('Design Fee'!CO17&gt;0,2,"-")</f>
        <v>-</v>
      </c>
      <c r="BM17" s="191"/>
      <c r="BN17" s="188"/>
      <c r="BO17" s="188"/>
      <c r="BP17" s="189">
        <f>IF('Design Fee'!DL17&gt;0,2,"-")</f>
        <v>2</v>
      </c>
      <c r="BQ17" s="385">
        <f>IF('Design Fee'!DN17&gt;0,2,"-")</f>
        <v>2</v>
      </c>
      <c r="BR17" s="385" t="str">
        <f>IF('Design Fee'!DO17&gt;0,2,"-")</f>
        <v>-</v>
      </c>
      <c r="BS17" s="385" t="str">
        <f>IF('Design Fee'!DP17&gt;0,2,"-")</f>
        <v>-</v>
      </c>
      <c r="BT17" s="385" t="str">
        <f>IF('Design Fee'!DQ17&gt;0,2,"-")</f>
        <v>-</v>
      </c>
      <c r="BU17" s="385" t="str">
        <f>IF('Design Fee'!DR17&gt;0,2,"-")</f>
        <v>-</v>
      </c>
      <c r="BV17" s="385" t="str">
        <f>IF('Design Fee'!DS17&gt;0,2,"-")</f>
        <v>-</v>
      </c>
      <c r="BW17" s="385" t="str">
        <f>IF('Design Fee'!DU17&gt;0,2,"-")</f>
        <v>-</v>
      </c>
      <c r="BX17" s="385" t="str">
        <f>IF('Design Fee'!DV17&gt;0,2,"-")</f>
        <v>-</v>
      </c>
      <c r="BY17" s="385" t="str">
        <f>IF('Design Fee'!DW17&gt;0,2,"-")</f>
        <v>-</v>
      </c>
      <c r="BZ17" s="385" t="str">
        <f>IF('Design Fee'!DX17&gt;0,2,"-")</f>
        <v>-</v>
      </c>
      <c r="CA17" s="385" t="str">
        <f>IF('Design Fee'!DY17&gt;0,2,"-")</f>
        <v>-</v>
      </c>
      <c r="CB17" s="349"/>
    </row>
    <row r="18" spans="1:80" ht="11.85" hidden="1" customHeight="1" outlineLevel="2">
      <c r="A18" s="112"/>
      <c r="B18" s="153">
        <v>6</v>
      </c>
      <c r="C18" s="213">
        <v>1</v>
      </c>
      <c r="D18" s="214" t="s">
        <v>22</v>
      </c>
      <c r="E18" s="160"/>
      <c r="F18" s="196"/>
      <c r="G18" s="200"/>
      <c r="H18" s="328"/>
      <c r="I18" s="328"/>
      <c r="J18" s="328"/>
      <c r="K18" s="386"/>
      <c r="L18" s="386"/>
      <c r="M18" s="386"/>
      <c r="N18" s="386"/>
      <c r="O18" s="386"/>
      <c r="P18" s="386"/>
      <c r="Q18" s="386"/>
      <c r="R18" s="386"/>
      <c r="S18" s="386"/>
      <c r="T18" s="195"/>
      <c r="U18" s="196"/>
      <c r="V18" s="200"/>
      <c r="W18" s="328" t="str">
        <f>IF('Design Fee'!H18&gt;0,2,"-")</f>
        <v>-</v>
      </c>
      <c r="X18" s="386" t="str">
        <f>IF('Design Fee'!J18&gt;0,2,"-")</f>
        <v>-</v>
      </c>
      <c r="Y18" s="386" t="str">
        <f>IF('Design Fee'!K18&gt;0,2,"-")</f>
        <v>-</v>
      </c>
      <c r="Z18" s="386" t="str">
        <f>IF('Design Fee'!L18&gt;0,2,"-")</f>
        <v>-</v>
      </c>
      <c r="AA18" s="386" t="str">
        <f>IF('Design Fee'!M18&gt;0,2,"-")</f>
        <v>-</v>
      </c>
      <c r="AB18" s="386" t="str">
        <f>IF('Design Fee'!N18&gt;0,2,"-")</f>
        <v>-</v>
      </c>
      <c r="AC18" s="386" t="str">
        <f>IF('Design Fee'!O18&gt;0,2,"-")</f>
        <v>-</v>
      </c>
      <c r="AD18" s="386" t="str">
        <f>IF('Design Fee'!Q18&gt;0,2,"-")</f>
        <v>-</v>
      </c>
      <c r="AE18" s="386" t="str">
        <f>IF('Design Fee'!R18&gt;0,2,"-")</f>
        <v>-</v>
      </c>
      <c r="AF18" s="386" t="str">
        <f>IF('Design Fee'!S18&gt;0,2,"-")</f>
        <v>-</v>
      </c>
      <c r="AG18" s="386" t="str">
        <f>IF('Design Fee'!T18&gt;0,2,"-")</f>
        <v>-</v>
      </c>
      <c r="AH18" s="386" t="str">
        <f>IF('Design Fee'!U18&gt;0,2,"-")</f>
        <v>-</v>
      </c>
      <c r="AI18" s="195"/>
      <c r="AJ18" s="196"/>
      <c r="AK18" s="388"/>
      <c r="AL18" s="328" t="str">
        <f>IF('Design Fee'!AR18&gt;0,2,"-")</f>
        <v>-</v>
      </c>
      <c r="AM18" s="386" t="str">
        <f>IF('Design Fee'!AT18&gt;0,2,"-")</f>
        <v>-</v>
      </c>
      <c r="AN18" s="386" t="str">
        <f>IF('Design Fee'!AU18&gt;0,2,"-")</f>
        <v>-</v>
      </c>
      <c r="AO18" s="386" t="str">
        <f>IF('Design Fee'!AV18&gt;0,2,"-")</f>
        <v>-</v>
      </c>
      <c r="AP18" s="386" t="str">
        <f>IF('Design Fee'!AW18&gt;0,2,"-")</f>
        <v>-</v>
      </c>
      <c r="AQ18" s="386" t="str">
        <f>IF('Design Fee'!AX18&gt;0,2,"-")</f>
        <v>-</v>
      </c>
      <c r="AR18" s="386" t="str">
        <f>IF('Design Fee'!AY18&gt;0,2,"-")</f>
        <v>-</v>
      </c>
      <c r="AS18" s="386" t="str">
        <f>IF('Design Fee'!BA18&gt;0,2,"-")</f>
        <v>-</v>
      </c>
      <c r="AT18" s="386" t="str">
        <f>IF('Design Fee'!BB18&gt;0,2,"-")</f>
        <v>-</v>
      </c>
      <c r="AU18" s="386" t="str">
        <f>IF('Design Fee'!BC18&gt;0,2,"-")</f>
        <v>-</v>
      </c>
      <c r="AV18" s="386" t="str">
        <f>IF('Design Fee'!BD18&gt;0,2,"-")</f>
        <v>-</v>
      </c>
      <c r="AW18" s="386" t="str">
        <f>IF('Design Fee'!BE18&gt;0,2,"-")</f>
        <v>-</v>
      </c>
      <c r="AX18" s="195"/>
      <c r="AY18" s="196"/>
      <c r="AZ18" s="388"/>
      <c r="BA18" s="328" t="str">
        <f>IF('Design Fee'!CB18&gt;0,2,"-")</f>
        <v>-</v>
      </c>
      <c r="BB18" s="386" t="str">
        <f>IF('Design Fee'!CD18&gt;0,2,"-")</f>
        <v>-</v>
      </c>
      <c r="BC18" s="386" t="str">
        <f>IF('Design Fee'!CE18&gt;0,2,"-")</f>
        <v>-</v>
      </c>
      <c r="BD18" s="386" t="str">
        <f>IF('Design Fee'!CF18&gt;0,2,"-")</f>
        <v>-</v>
      </c>
      <c r="BE18" s="386" t="str">
        <f>IF('Design Fee'!CG18&gt;0,2,"-")</f>
        <v>-</v>
      </c>
      <c r="BF18" s="386" t="str">
        <f>IF('Design Fee'!CH18&gt;0,2,"-")</f>
        <v>-</v>
      </c>
      <c r="BG18" s="386" t="str">
        <f>IF('Design Fee'!CI18&gt;0,2,"-")</f>
        <v>-</v>
      </c>
      <c r="BH18" s="386" t="str">
        <f>IF('Design Fee'!CK18&gt;0,2,"-")</f>
        <v>-</v>
      </c>
      <c r="BI18" s="386" t="str">
        <f>IF('Design Fee'!CL18&gt;0,2,"-")</f>
        <v>-</v>
      </c>
      <c r="BJ18" s="386" t="str">
        <f>IF('Design Fee'!CM18&gt;0,2,"-")</f>
        <v>-</v>
      </c>
      <c r="BK18" s="386" t="str">
        <f>IF('Design Fee'!CN18&gt;0,2,"-")</f>
        <v>-</v>
      </c>
      <c r="BL18" s="386" t="str">
        <f>IF('Design Fee'!CO18&gt;0,2,"-")</f>
        <v>-</v>
      </c>
      <c r="BM18" s="195"/>
      <c r="BN18" s="196"/>
      <c r="BO18" s="388"/>
      <c r="BP18" s="328" t="str">
        <f>IF('Design Fee'!DL18&gt;0,2,"-")</f>
        <v>-</v>
      </c>
      <c r="BQ18" s="386" t="str">
        <f>IF('Design Fee'!DN18&gt;0,2,"-")</f>
        <v>-</v>
      </c>
      <c r="BR18" s="386" t="str">
        <f>IF('Design Fee'!DO18&gt;0,2,"-")</f>
        <v>-</v>
      </c>
      <c r="BS18" s="386" t="str">
        <f>IF('Design Fee'!DP18&gt;0,2,"-")</f>
        <v>-</v>
      </c>
      <c r="BT18" s="386" t="str">
        <f>IF('Design Fee'!DQ18&gt;0,2,"-")</f>
        <v>-</v>
      </c>
      <c r="BU18" s="386" t="str">
        <f>IF('Design Fee'!DR18&gt;0,2,"-")</f>
        <v>-</v>
      </c>
      <c r="BV18" s="386" t="str">
        <f>IF('Design Fee'!DS18&gt;0,2,"-")</f>
        <v>-</v>
      </c>
      <c r="BW18" s="386" t="str">
        <f>IF('Design Fee'!DU18&gt;0,2,"-")</f>
        <v>-</v>
      </c>
      <c r="BX18" s="386" t="str">
        <f>IF('Design Fee'!DV18&gt;0,2,"-")</f>
        <v>-</v>
      </c>
      <c r="BY18" s="386" t="str">
        <f>IF('Design Fee'!DW18&gt;0,2,"-")</f>
        <v>-</v>
      </c>
      <c r="BZ18" s="386" t="str">
        <f>IF('Design Fee'!DX18&gt;0,2,"-")</f>
        <v>-</v>
      </c>
      <c r="CA18" s="386" t="str">
        <f>IF('Design Fee'!DY18&gt;0,2,"-")</f>
        <v>-</v>
      </c>
      <c r="CB18" s="195"/>
    </row>
    <row r="19" spans="1:80" ht="11.85" hidden="1" customHeight="1" outlineLevel="2">
      <c r="A19" s="112"/>
      <c r="B19" s="153">
        <v>6</v>
      </c>
      <c r="C19" s="213">
        <v>2</v>
      </c>
      <c r="D19" s="214" t="s">
        <v>23</v>
      </c>
      <c r="E19" s="160"/>
      <c r="F19" s="196"/>
      <c r="G19" s="200"/>
      <c r="H19" s="328"/>
      <c r="I19" s="328"/>
      <c r="J19" s="328"/>
      <c r="K19" s="386"/>
      <c r="L19" s="386"/>
      <c r="M19" s="386"/>
      <c r="N19" s="386"/>
      <c r="O19" s="386"/>
      <c r="P19" s="386"/>
      <c r="Q19" s="386"/>
      <c r="R19" s="386"/>
      <c r="S19" s="386"/>
      <c r="T19" s="195"/>
      <c r="U19" s="196"/>
      <c r="V19" s="200"/>
      <c r="W19" s="328" t="str">
        <f>IF('Design Fee'!H19&gt;0,2,"-")</f>
        <v>-</v>
      </c>
      <c r="X19" s="386" t="str">
        <f>IF('Design Fee'!J19&gt;0,2,"-")</f>
        <v>-</v>
      </c>
      <c r="Y19" s="386" t="str">
        <f>IF('Design Fee'!K19&gt;0,2,"-")</f>
        <v>-</v>
      </c>
      <c r="Z19" s="386" t="str">
        <f>IF('Design Fee'!L19&gt;0,2,"-")</f>
        <v>-</v>
      </c>
      <c r="AA19" s="386" t="str">
        <f>IF('Design Fee'!M19&gt;0,2,"-")</f>
        <v>-</v>
      </c>
      <c r="AB19" s="386" t="str">
        <f>IF('Design Fee'!N19&gt;0,2,"-")</f>
        <v>-</v>
      </c>
      <c r="AC19" s="386" t="str">
        <f>IF('Design Fee'!O19&gt;0,2,"-")</f>
        <v>-</v>
      </c>
      <c r="AD19" s="386" t="str">
        <f>IF('Design Fee'!Q19&gt;0,2,"-")</f>
        <v>-</v>
      </c>
      <c r="AE19" s="386" t="str">
        <f>IF('Design Fee'!R19&gt;0,2,"-")</f>
        <v>-</v>
      </c>
      <c r="AF19" s="386" t="str">
        <f>IF('Design Fee'!S19&gt;0,2,"-")</f>
        <v>-</v>
      </c>
      <c r="AG19" s="386" t="str">
        <f>IF('Design Fee'!T19&gt;0,2,"-")</f>
        <v>-</v>
      </c>
      <c r="AH19" s="386" t="str">
        <f>IF('Design Fee'!U19&gt;0,2,"-")</f>
        <v>-</v>
      </c>
      <c r="AI19" s="195"/>
      <c r="AJ19" s="196"/>
      <c r="AK19" s="388"/>
      <c r="AL19" s="328" t="str">
        <f>IF('Design Fee'!AR19&gt;0,2,"-")</f>
        <v>-</v>
      </c>
      <c r="AM19" s="386" t="str">
        <f>IF('Design Fee'!AT19&gt;0,2,"-")</f>
        <v>-</v>
      </c>
      <c r="AN19" s="386" t="str">
        <f>IF('Design Fee'!AU19&gt;0,2,"-")</f>
        <v>-</v>
      </c>
      <c r="AO19" s="386" t="str">
        <f>IF('Design Fee'!AV19&gt;0,2,"-")</f>
        <v>-</v>
      </c>
      <c r="AP19" s="386" t="str">
        <f>IF('Design Fee'!AW19&gt;0,2,"-")</f>
        <v>-</v>
      </c>
      <c r="AQ19" s="386" t="str">
        <f>IF('Design Fee'!AX19&gt;0,2,"-")</f>
        <v>-</v>
      </c>
      <c r="AR19" s="386" t="str">
        <f>IF('Design Fee'!AY19&gt;0,2,"-")</f>
        <v>-</v>
      </c>
      <c r="AS19" s="386" t="str">
        <f>IF('Design Fee'!BA19&gt;0,2,"-")</f>
        <v>-</v>
      </c>
      <c r="AT19" s="386" t="str">
        <f>IF('Design Fee'!BB19&gt;0,2,"-")</f>
        <v>-</v>
      </c>
      <c r="AU19" s="386" t="str">
        <f>IF('Design Fee'!BC19&gt;0,2,"-")</f>
        <v>-</v>
      </c>
      <c r="AV19" s="386" t="str">
        <f>IF('Design Fee'!BD19&gt;0,2,"-")</f>
        <v>-</v>
      </c>
      <c r="AW19" s="386" t="str">
        <f>IF('Design Fee'!BE19&gt;0,2,"-")</f>
        <v>-</v>
      </c>
      <c r="AX19" s="195"/>
      <c r="AY19" s="196"/>
      <c r="AZ19" s="388"/>
      <c r="BA19" s="328" t="str">
        <f>IF('Design Fee'!CB19&gt;0,2,"-")</f>
        <v>-</v>
      </c>
      <c r="BB19" s="386" t="str">
        <f>IF('Design Fee'!CD19&gt;0,2,"-")</f>
        <v>-</v>
      </c>
      <c r="BC19" s="386" t="str">
        <f>IF('Design Fee'!CE19&gt;0,2,"-")</f>
        <v>-</v>
      </c>
      <c r="BD19" s="386" t="str">
        <f>IF('Design Fee'!CF19&gt;0,2,"-")</f>
        <v>-</v>
      </c>
      <c r="BE19" s="386" t="str">
        <f>IF('Design Fee'!CG19&gt;0,2,"-")</f>
        <v>-</v>
      </c>
      <c r="BF19" s="386" t="str">
        <f>IF('Design Fee'!CH19&gt;0,2,"-")</f>
        <v>-</v>
      </c>
      <c r="BG19" s="386" t="str">
        <f>IF('Design Fee'!CI19&gt;0,2,"-")</f>
        <v>-</v>
      </c>
      <c r="BH19" s="386" t="str">
        <f>IF('Design Fee'!CK19&gt;0,2,"-")</f>
        <v>-</v>
      </c>
      <c r="BI19" s="386" t="str">
        <f>IF('Design Fee'!CL19&gt;0,2,"-")</f>
        <v>-</v>
      </c>
      <c r="BJ19" s="386" t="str">
        <f>IF('Design Fee'!CM19&gt;0,2,"-")</f>
        <v>-</v>
      </c>
      <c r="BK19" s="386" t="str">
        <f>IF('Design Fee'!CN19&gt;0,2,"-")</f>
        <v>-</v>
      </c>
      <c r="BL19" s="386" t="str">
        <f>IF('Design Fee'!CO19&gt;0,2,"-")</f>
        <v>-</v>
      </c>
      <c r="BM19" s="195"/>
      <c r="BN19" s="196"/>
      <c r="BO19" s="388"/>
      <c r="BP19" s="328" t="str">
        <f>IF('Design Fee'!DL19&gt;0,2,"-")</f>
        <v>-</v>
      </c>
      <c r="BQ19" s="386" t="str">
        <f>IF('Design Fee'!DN19&gt;0,2,"-")</f>
        <v>-</v>
      </c>
      <c r="BR19" s="386" t="str">
        <f>IF('Design Fee'!DO19&gt;0,2,"-")</f>
        <v>-</v>
      </c>
      <c r="BS19" s="386" t="str">
        <f>IF('Design Fee'!DP19&gt;0,2,"-")</f>
        <v>-</v>
      </c>
      <c r="BT19" s="386" t="str">
        <f>IF('Design Fee'!DQ19&gt;0,2,"-")</f>
        <v>-</v>
      </c>
      <c r="BU19" s="386" t="str">
        <f>IF('Design Fee'!DR19&gt;0,2,"-")</f>
        <v>-</v>
      </c>
      <c r="BV19" s="386" t="str">
        <f>IF('Design Fee'!DS19&gt;0,2,"-")</f>
        <v>-</v>
      </c>
      <c r="BW19" s="386" t="str">
        <f>IF('Design Fee'!DU19&gt;0,2,"-")</f>
        <v>-</v>
      </c>
      <c r="BX19" s="386" t="str">
        <f>IF('Design Fee'!DV19&gt;0,2,"-")</f>
        <v>-</v>
      </c>
      <c r="BY19" s="386" t="str">
        <f>IF('Design Fee'!DW19&gt;0,2,"-")</f>
        <v>-</v>
      </c>
      <c r="BZ19" s="386" t="str">
        <f>IF('Design Fee'!DX19&gt;0,2,"-")</f>
        <v>-</v>
      </c>
      <c r="CA19" s="386" t="str">
        <f>IF('Design Fee'!DY19&gt;0,2,"-")</f>
        <v>-</v>
      </c>
      <c r="CB19" s="195"/>
    </row>
    <row r="20" spans="1:80" ht="11.85" hidden="1" customHeight="1" outlineLevel="2">
      <c r="A20" s="112"/>
      <c r="B20" s="153">
        <v>6</v>
      </c>
      <c r="C20" s="213">
        <v>3</v>
      </c>
      <c r="D20" s="214" t="s">
        <v>24</v>
      </c>
      <c r="E20" s="160"/>
      <c r="F20" s="196"/>
      <c r="G20" s="200"/>
      <c r="H20" s="328"/>
      <c r="I20" s="328"/>
      <c r="J20" s="328"/>
      <c r="K20" s="386"/>
      <c r="L20" s="386"/>
      <c r="M20" s="386"/>
      <c r="N20" s="386"/>
      <c r="O20" s="386"/>
      <c r="P20" s="386"/>
      <c r="Q20" s="386"/>
      <c r="R20" s="386"/>
      <c r="S20" s="386"/>
      <c r="T20" s="195"/>
      <c r="U20" s="196"/>
      <c r="V20" s="200"/>
      <c r="W20" s="328" t="str">
        <f>IF('Design Fee'!H20&gt;0,2,"-")</f>
        <v>-</v>
      </c>
      <c r="X20" s="386" t="str">
        <f>IF('Design Fee'!J20&gt;0,2,"-")</f>
        <v>-</v>
      </c>
      <c r="Y20" s="386" t="str">
        <f>IF('Design Fee'!K20&gt;0,2,"-")</f>
        <v>-</v>
      </c>
      <c r="Z20" s="386" t="str">
        <f>IF('Design Fee'!L20&gt;0,2,"-")</f>
        <v>-</v>
      </c>
      <c r="AA20" s="386" t="str">
        <f>IF('Design Fee'!M20&gt;0,2,"-")</f>
        <v>-</v>
      </c>
      <c r="AB20" s="386" t="str">
        <f>IF('Design Fee'!N20&gt;0,2,"-")</f>
        <v>-</v>
      </c>
      <c r="AC20" s="386" t="str">
        <f>IF('Design Fee'!O20&gt;0,2,"-")</f>
        <v>-</v>
      </c>
      <c r="AD20" s="386" t="str">
        <f>IF('Design Fee'!Q20&gt;0,2,"-")</f>
        <v>-</v>
      </c>
      <c r="AE20" s="386" t="str">
        <f>IF('Design Fee'!R20&gt;0,2,"-")</f>
        <v>-</v>
      </c>
      <c r="AF20" s="386" t="str">
        <f>IF('Design Fee'!S20&gt;0,2,"-")</f>
        <v>-</v>
      </c>
      <c r="AG20" s="386" t="str">
        <f>IF('Design Fee'!T20&gt;0,2,"-")</f>
        <v>-</v>
      </c>
      <c r="AH20" s="386" t="str">
        <f>IF('Design Fee'!U20&gt;0,2,"-")</f>
        <v>-</v>
      </c>
      <c r="AI20" s="195"/>
      <c r="AJ20" s="196"/>
      <c r="AK20" s="388"/>
      <c r="AL20" s="328" t="str">
        <f>IF('Design Fee'!AR20&gt;0,2,"-")</f>
        <v>-</v>
      </c>
      <c r="AM20" s="386" t="str">
        <f>IF('Design Fee'!AT20&gt;0,2,"-")</f>
        <v>-</v>
      </c>
      <c r="AN20" s="386" t="str">
        <f>IF('Design Fee'!AU20&gt;0,2,"-")</f>
        <v>-</v>
      </c>
      <c r="AO20" s="386" t="str">
        <f>IF('Design Fee'!AV20&gt;0,2,"-")</f>
        <v>-</v>
      </c>
      <c r="AP20" s="386" t="str">
        <f>IF('Design Fee'!AW20&gt;0,2,"-")</f>
        <v>-</v>
      </c>
      <c r="AQ20" s="386" t="str">
        <f>IF('Design Fee'!AX20&gt;0,2,"-")</f>
        <v>-</v>
      </c>
      <c r="AR20" s="386" t="str">
        <f>IF('Design Fee'!AY20&gt;0,2,"-")</f>
        <v>-</v>
      </c>
      <c r="AS20" s="386" t="str">
        <f>IF('Design Fee'!BA20&gt;0,2,"-")</f>
        <v>-</v>
      </c>
      <c r="AT20" s="386" t="str">
        <f>IF('Design Fee'!BB20&gt;0,2,"-")</f>
        <v>-</v>
      </c>
      <c r="AU20" s="386" t="str">
        <f>IF('Design Fee'!BC20&gt;0,2,"-")</f>
        <v>-</v>
      </c>
      <c r="AV20" s="386" t="str">
        <f>IF('Design Fee'!BD20&gt;0,2,"-")</f>
        <v>-</v>
      </c>
      <c r="AW20" s="386" t="str">
        <f>IF('Design Fee'!BE20&gt;0,2,"-")</f>
        <v>-</v>
      </c>
      <c r="AX20" s="195"/>
      <c r="AY20" s="196"/>
      <c r="AZ20" s="388"/>
      <c r="BA20" s="328" t="str">
        <f>IF('Design Fee'!CB20&gt;0,2,"-")</f>
        <v>-</v>
      </c>
      <c r="BB20" s="386" t="str">
        <f>IF('Design Fee'!CD20&gt;0,2,"-")</f>
        <v>-</v>
      </c>
      <c r="BC20" s="386" t="str">
        <f>IF('Design Fee'!CE20&gt;0,2,"-")</f>
        <v>-</v>
      </c>
      <c r="BD20" s="386" t="str">
        <f>IF('Design Fee'!CF20&gt;0,2,"-")</f>
        <v>-</v>
      </c>
      <c r="BE20" s="386" t="str">
        <f>IF('Design Fee'!CG20&gt;0,2,"-")</f>
        <v>-</v>
      </c>
      <c r="BF20" s="386" t="str">
        <f>IF('Design Fee'!CH20&gt;0,2,"-")</f>
        <v>-</v>
      </c>
      <c r="BG20" s="386" t="str">
        <f>IF('Design Fee'!CI20&gt;0,2,"-")</f>
        <v>-</v>
      </c>
      <c r="BH20" s="386" t="str">
        <f>IF('Design Fee'!CK20&gt;0,2,"-")</f>
        <v>-</v>
      </c>
      <c r="BI20" s="386" t="str">
        <f>IF('Design Fee'!CL20&gt;0,2,"-")</f>
        <v>-</v>
      </c>
      <c r="BJ20" s="386" t="str">
        <f>IF('Design Fee'!CM20&gt;0,2,"-")</f>
        <v>-</v>
      </c>
      <c r="BK20" s="386" t="str">
        <f>IF('Design Fee'!CN20&gt;0,2,"-")</f>
        <v>-</v>
      </c>
      <c r="BL20" s="386" t="str">
        <f>IF('Design Fee'!CO20&gt;0,2,"-")</f>
        <v>-</v>
      </c>
      <c r="BM20" s="195"/>
      <c r="BN20" s="196"/>
      <c r="BO20" s="388"/>
      <c r="BP20" s="328" t="str">
        <f>IF('Design Fee'!DL20&gt;0,2,"-")</f>
        <v>-</v>
      </c>
      <c r="BQ20" s="386" t="str">
        <f>IF('Design Fee'!DN20&gt;0,2,"-")</f>
        <v>-</v>
      </c>
      <c r="BR20" s="386" t="str">
        <f>IF('Design Fee'!DO20&gt;0,2,"-")</f>
        <v>-</v>
      </c>
      <c r="BS20" s="386" t="str">
        <f>IF('Design Fee'!DP20&gt;0,2,"-")</f>
        <v>-</v>
      </c>
      <c r="BT20" s="386" t="str">
        <f>IF('Design Fee'!DQ20&gt;0,2,"-")</f>
        <v>-</v>
      </c>
      <c r="BU20" s="386" t="str">
        <f>IF('Design Fee'!DR20&gt;0,2,"-")</f>
        <v>-</v>
      </c>
      <c r="BV20" s="386" t="str">
        <f>IF('Design Fee'!DS20&gt;0,2,"-")</f>
        <v>-</v>
      </c>
      <c r="BW20" s="386" t="str">
        <f>IF('Design Fee'!DU20&gt;0,2,"-")</f>
        <v>-</v>
      </c>
      <c r="BX20" s="386" t="str">
        <f>IF('Design Fee'!DV20&gt;0,2,"-")</f>
        <v>-</v>
      </c>
      <c r="BY20" s="386" t="str">
        <f>IF('Design Fee'!DW20&gt;0,2,"-")</f>
        <v>-</v>
      </c>
      <c r="BZ20" s="386" t="str">
        <f>IF('Design Fee'!DX20&gt;0,2,"-")</f>
        <v>-</v>
      </c>
      <c r="CA20" s="386" t="str">
        <f>IF('Design Fee'!DY20&gt;0,2,"-")</f>
        <v>-</v>
      </c>
      <c r="CB20" s="195"/>
    </row>
    <row r="21" spans="1:80" ht="11.85" hidden="1" customHeight="1" outlineLevel="2">
      <c r="A21" s="112"/>
      <c r="B21" s="153">
        <v>6</v>
      </c>
      <c r="C21" s="213">
        <v>4</v>
      </c>
      <c r="D21" s="214" t="s">
        <v>25</v>
      </c>
      <c r="E21" s="160"/>
      <c r="F21" s="196"/>
      <c r="G21" s="200"/>
      <c r="H21" s="328"/>
      <c r="I21" s="328"/>
      <c r="J21" s="328"/>
      <c r="K21" s="386"/>
      <c r="L21" s="386"/>
      <c r="M21" s="386"/>
      <c r="N21" s="386"/>
      <c r="O21" s="386"/>
      <c r="P21" s="386"/>
      <c r="Q21" s="386"/>
      <c r="R21" s="386"/>
      <c r="S21" s="386"/>
      <c r="T21" s="195"/>
      <c r="U21" s="196"/>
      <c r="V21" s="200"/>
      <c r="W21" s="328" t="str">
        <f>IF('Design Fee'!H21&gt;0,2,"-")</f>
        <v>-</v>
      </c>
      <c r="X21" s="386" t="str">
        <f>IF('Design Fee'!J21&gt;0,2,"-")</f>
        <v>-</v>
      </c>
      <c r="Y21" s="386" t="str">
        <f>IF('Design Fee'!K21&gt;0,2,"-")</f>
        <v>-</v>
      </c>
      <c r="Z21" s="386" t="str">
        <f>IF('Design Fee'!L21&gt;0,2,"-")</f>
        <v>-</v>
      </c>
      <c r="AA21" s="386" t="str">
        <f>IF('Design Fee'!M21&gt;0,2,"-")</f>
        <v>-</v>
      </c>
      <c r="AB21" s="386" t="str">
        <f>IF('Design Fee'!N21&gt;0,2,"-")</f>
        <v>-</v>
      </c>
      <c r="AC21" s="386" t="str">
        <f>IF('Design Fee'!O21&gt;0,2,"-")</f>
        <v>-</v>
      </c>
      <c r="AD21" s="386" t="str">
        <f>IF('Design Fee'!Q21&gt;0,2,"-")</f>
        <v>-</v>
      </c>
      <c r="AE21" s="386" t="str">
        <f>IF('Design Fee'!R21&gt;0,2,"-")</f>
        <v>-</v>
      </c>
      <c r="AF21" s="386" t="str">
        <f>IF('Design Fee'!S21&gt;0,2,"-")</f>
        <v>-</v>
      </c>
      <c r="AG21" s="386" t="str">
        <f>IF('Design Fee'!T21&gt;0,2,"-")</f>
        <v>-</v>
      </c>
      <c r="AH21" s="386" t="str">
        <f>IF('Design Fee'!U21&gt;0,2,"-")</f>
        <v>-</v>
      </c>
      <c r="AI21" s="195"/>
      <c r="AJ21" s="196"/>
      <c r="AK21" s="388"/>
      <c r="AL21" s="328" t="str">
        <f>IF('Design Fee'!AR21&gt;0,2,"-")</f>
        <v>-</v>
      </c>
      <c r="AM21" s="386" t="str">
        <f>IF('Design Fee'!AT21&gt;0,2,"-")</f>
        <v>-</v>
      </c>
      <c r="AN21" s="386" t="str">
        <f>IF('Design Fee'!AU21&gt;0,2,"-")</f>
        <v>-</v>
      </c>
      <c r="AO21" s="386" t="str">
        <f>IF('Design Fee'!AV21&gt;0,2,"-")</f>
        <v>-</v>
      </c>
      <c r="AP21" s="386" t="str">
        <f>IF('Design Fee'!AW21&gt;0,2,"-")</f>
        <v>-</v>
      </c>
      <c r="AQ21" s="386" t="str">
        <f>IF('Design Fee'!AX21&gt;0,2,"-")</f>
        <v>-</v>
      </c>
      <c r="AR21" s="386" t="str">
        <f>IF('Design Fee'!AY21&gt;0,2,"-")</f>
        <v>-</v>
      </c>
      <c r="AS21" s="386" t="str">
        <f>IF('Design Fee'!BA21&gt;0,2,"-")</f>
        <v>-</v>
      </c>
      <c r="AT21" s="386" t="str">
        <f>IF('Design Fee'!BB21&gt;0,2,"-")</f>
        <v>-</v>
      </c>
      <c r="AU21" s="386" t="str">
        <f>IF('Design Fee'!BC21&gt;0,2,"-")</f>
        <v>-</v>
      </c>
      <c r="AV21" s="386" t="str">
        <f>IF('Design Fee'!BD21&gt;0,2,"-")</f>
        <v>-</v>
      </c>
      <c r="AW21" s="386" t="str">
        <f>IF('Design Fee'!BE21&gt;0,2,"-")</f>
        <v>-</v>
      </c>
      <c r="AX21" s="195"/>
      <c r="AY21" s="196"/>
      <c r="AZ21" s="388"/>
      <c r="BA21" s="328" t="str">
        <f>IF('Design Fee'!CB21&gt;0,2,"-")</f>
        <v>-</v>
      </c>
      <c r="BB21" s="386" t="str">
        <f>IF('Design Fee'!CD21&gt;0,2,"-")</f>
        <v>-</v>
      </c>
      <c r="BC21" s="386" t="str">
        <f>IF('Design Fee'!CE21&gt;0,2,"-")</f>
        <v>-</v>
      </c>
      <c r="BD21" s="386" t="str">
        <f>IF('Design Fee'!CF21&gt;0,2,"-")</f>
        <v>-</v>
      </c>
      <c r="BE21" s="386" t="str">
        <f>IF('Design Fee'!CG21&gt;0,2,"-")</f>
        <v>-</v>
      </c>
      <c r="BF21" s="386" t="str">
        <f>IF('Design Fee'!CH21&gt;0,2,"-")</f>
        <v>-</v>
      </c>
      <c r="BG21" s="386" t="str">
        <f>IF('Design Fee'!CI21&gt;0,2,"-")</f>
        <v>-</v>
      </c>
      <c r="BH21" s="386" t="str">
        <f>IF('Design Fee'!CK21&gt;0,2,"-")</f>
        <v>-</v>
      </c>
      <c r="BI21" s="386" t="str">
        <f>IF('Design Fee'!CL21&gt;0,2,"-")</f>
        <v>-</v>
      </c>
      <c r="BJ21" s="386" t="str">
        <f>IF('Design Fee'!CM21&gt;0,2,"-")</f>
        <v>-</v>
      </c>
      <c r="BK21" s="386" t="str">
        <f>IF('Design Fee'!CN21&gt;0,2,"-")</f>
        <v>-</v>
      </c>
      <c r="BL21" s="386" t="str">
        <f>IF('Design Fee'!CO21&gt;0,2,"-")</f>
        <v>-</v>
      </c>
      <c r="BM21" s="195"/>
      <c r="BN21" s="196"/>
      <c r="BO21" s="388"/>
      <c r="BP21" s="328" t="str">
        <f>IF('Design Fee'!DL21&gt;0,2,"-")</f>
        <v>-</v>
      </c>
      <c r="BQ21" s="386" t="str">
        <f>IF('Design Fee'!DN21&gt;0,2,"-")</f>
        <v>-</v>
      </c>
      <c r="BR21" s="386" t="str">
        <f>IF('Design Fee'!DO21&gt;0,2,"-")</f>
        <v>-</v>
      </c>
      <c r="BS21" s="386" t="str">
        <f>IF('Design Fee'!DP21&gt;0,2,"-")</f>
        <v>-</v>
      </c>
      <c r="BT21" s="386" t="str">
        <f>IF('Design Fee'!DQ21&gt;0,2,"-")</f>
        <v>-</v>
      </c>
      <c r="BU21" s="386" t="str">
        <f>IF('Design Fee'!DR21&gt;0,2,"-")</f>
        <v>-</v>
      </c>
      <c r="BV21" s="386" t="str">
        <f>IF('Design Fee'!DS21&gt;0,2,"-")</f>
        <v>-</v>
      </c>
      <c r="BW21" s="386" t="str">
        <f>IF('Design Fee'!DU21&gt;0,2,"-")</f>
        <v>-</v>
      </c>
      <c r="BX21" s="386" t="str">
        <f>IF('Design Fee'!DV21&gt;0,2,"-")</f>
        <v>-</v>
      </c>
      <c r="BY21" s="386" t="str">
        <f>IF('Design Fee'!DW21&gt;0,2,"-")</f>
        <v>-</v>
      </c>
      <c r="BZ21" s="386" t="str">
        <f>IF('Design Fee'!DX21&gt;0,2,"-")</f>
        <v>-</v>
      </c>
      <c r="CA21" s="386" t="str">
        <f>IF('Design Fee'!DY21&gt;0,2,"-")</f>
        <v>-</v>
      </c>
      <c r="CB21" s="195"/>
    </row>
    <row r="22" spans="1:80" ht="3" customHeight="1" outlineLevel="1">
      <c r="A22" s="112"/>
      <c r="B22" s="113"/>
      <c r="C22" s="113"/>
      <c r="D22" s="114"/>
      <c r="E22" s="114"/>
      <c r="F22" s="115"/>
      <c r="G22" s="116"/>
      <c r="H22" s="124"/>
      <c r="I22" s="124"/>
      <c r="J22" s="124"/>
      <c r="K22" s="125"/>
      <c r="L22" s="125"/>
      <c r="M22" s="125"/>
      <c r="N22" s="125"/>
      <c r="O22" s="125"/>
      <c r="P22" s="125"/>
      <c r="Q22" s="125"/>
      <c r="R22" s="125"/>
      <c r="S22" s="125"/>
      <c r="T22" s="327"/>
      <c r="U22" s="327"/>
      <c r="V22" s="327"/>
      <c r="W22" s="327"/>
      <c r="X22" s="327"/>
      <c r="Y22" s="327"/>
      <c r="Z22" s="327"/>
      <c r="AA22" s="327"/>
      <c r="AB22" s="327"/>
      <c r="AC22" s="327"/>
      <c r="AD22" s="327"/>
      <c r="AE22" s="327"/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7"/>
      <c r="AS22" s="327"/>
      <c r="AT22" s="327"/>
      <c r="AU22" s="327"/>
      <c r="AV22" s="327"/>
      <c r="AW22" s="327"/>
      <c r="AX22" s="327"/>
      <c r="AY22" s="327"/>
      <c r="AZ22" s="327"/>
      <c r="BA22" s="327"/>
      <c r="BB22" s="327"/>
      <c r="BC22" s="327"/>
      <c r="BD22" s="327"/>
      <c r="BE22" s="327"/>
      <c r="BF22" s="327"/>
      <c r="BG22" s="327"/>
      <c r="BH22" s="327"/>
      <c r="BI22" s="327"/>
      <c r="BJ22" s="327"/>
      <c r="BK22" s="327"/>
      <c r="BL22" s="327"/>
      <c r="BM22" s="327"/>
      <c r="BN22" s="327"/>
      <c r="BO22" s="327"/>
      <c r="BP22" s="327"/>
      <c r="BQ22" s="327"/>
      <c r="BR22" s="327"/>
      <c r="BS22" s="327"/>
      <c r="BT22" s="327"/>
      <c r="BU22" s="327"/>
      <c r="BV22" s="327"/>
      <c r="BW22" s="327"/>
      <c r="BX22" s="327"/>
      <c r="BY22" s="327"/>
      <c r="BZ22" s="327"/>
      <c r="CA22" s="327"/>
      <c r="CB22" s="347"/>
    </row>
    <row r="23" spans="1:80" ht="11.85" customHeight="1" outlineLevel="1" collapsed="1">
      <c r="A23" s="112"/>
      <c r="B23" s="147">
        <v>2</v>
      </c>
      <c r="C23" s="212">
        <v>3</v>
      </c>
      <c r="D23" s="211" t="s">
        <v>26</v>
      </c>
      <c r="E23" s="150"/>
      <c r="F23" s="203"/>
      <c r="G23" s="188">
        <f t="shared" si="0"/>
        <v>8</v>
      </c>
      <c r="H23" s="189"/>
      <c r="I23" s="189"/>
      <c r="J23" s="189"/>
      <c r="K23" s="385"/>
      <c r="L23" s="385"/>
      <c r="M23" s="385"/>
      <c r="N23" s="385"/>
      <c r="O23" s="385"/>
      <c r="P23" s="385"/>
      <c r="Q23" s="385"/>
      <c r="R23" s="385"/>
      <c r="S23" s="385"/>
      <c r="T23" s="191"/>
      <c r="U23" s="188"/>
      <c r="V23" s="188"/>
      <c r="W23" s="189">
        <f>IF('Design Fee'!H23&gt;0,2,"-")</f>
        <v>2</v>
      </c>
      <c r="X23" s="385">
        <f>IF('Design Fee'!J23&gt;0,2,"-")</f>
        <v>2</v>
      </c>
      <c r="Y23" s="385" t="str">
        <f>IF('Design Fee'!K23&gt;0,2,"-")</f>
        <v>-</v>
      </c>
      <c r="Z23" s="385" t="str">
        <f>IF('Design Fee'!L23&gt;0,2,"-")</f>
        <v>-</v>
      </c>
      <c r="AA23" s="385" t="str">
        <f>IF('Design Fee'!M23&gt;0,2,"-")</f>
        <v>-</v>
      </c>
      <c r="AB23" s="385" t="str">
        <f>IF('Design Fee'!N23&gt;0,2,"-")</f>
        <v>-</v>
      </c>
      <c r="AC23" s="385" t="str">
        <f>IF('Design Fee'!O23&gt;0,2,"-")</f>
        <v>-</v>
      </c>
      <c r="AD23" s="385" t="str">
        <f>IF('Design Fee'!Q23&gt;0,2,"-")</f>
        <v>-</v>
      </c>
      <c r="AE23" s="385" t="str">
        <f>IF('Design Fee'!R23&gt;0,2,"-")</f>
        <v>-</v>
      </c>
      <c r="AF23" s="385" t="str">
        <f>IF('Design Fee'!S23&gt;0,2,"-")</f>
        <v>-</v>
      </c>
      <c r="AG23" s="385" t="str">
        <f>IF('Design Fee'!T23&gt;0,2,"-")</f>
        <v>-</v>
      </c>
      <c r="AH23" s="385" t="str">
        <f>IF('Design Fee'!U23&gt;0,2,"-")</f>
        <v>-</v>
      </c>
      <c r="AI23" s="191"/>
      <c r="AJ23" s="188"/>
      <c r="AK23" s="188"/>
      <c r="AL23" s="189">
        <f>IF('Design Fee'!AR23&gt;0,2,"-")</f>
        <v>2</v>
      </c>
      <c r="AM23" s="385">
        <f>IF('Design Fee'!AT23&gt;0,2,"-")</f>
        <v>2</v>
      </c>
      <c r="AN23" s="385" t="str">
        <f>IF('Design Fee'!AU23&gt;0,2,"-")</f>
        <v>-</v>
      </c>
      <c r="AO23" s="385" t="str">
        <f>IF('Design Fee'!AV23&gt;0,2,"-")</f>
        <v>-</v>
      </c>
      <c r="AP23" s="385" t="str">
        <f>IF('Design Fee'!AW23&gt;0,2,"-")</f>
        <v>-</v>
      </c>
      <c r="AQ23" s="385" t="str">
        <f>IF('Design Fee'!AX23&gt;0,2,"-")</f>
        <v>-</v>
      </c>
      <c r="AR23" s="385" t="str">
        <f>IF('Design Fee'!AY23&gt;0,2,"-")</f>
        <v>-</v>
      </c>
      <c r="AS23" s="385" t="str">
        <f>IF('Design Fee'!BA23&gt;0,2,"-")</f>
        <v>-</v>
      </c>
      <c r="AT23" s="385" t="str">
        <f>IF('Design Fee'!BB23&gt;0,2,"-")</f>
        <v>-</v>
      </c>
      <c r="AU23" s="385" t="str">
        <f>IF('Design Fee'!BC23&gt;0,2,"-")</f>
        <v>-</v>
      </c>
      <c r="AV23" s="385" t="str">
        <f>IF('Design Fee'!BD23&gt;0,2,"-")</f>
        <v>-</v>
      </c>
      <c r="AW23" s="385" t="str">
        <f>IF('Design Fee'!BE23&gt;0,2,"-")</f>
        <v>-</v>
      </c>
      <c r="AX23" s="191"/>
      <c r="AY23" s="188"/>
      <c r="AZ23" s="188"/>
      <c r="BA23" s="189">
        <f>IF('Design Fee'!CB23&gt;0,2,"-")</f>
        <v>2</v>
      </c>
      <c r="BB23" s="385">
        <f>IF('Design Fee'!CD23&gt;0,2,"-")</f>
        <v>2</v>
      </c>
      <c r="BC23" s="385" t="str">
        <f>IF('Design Fee'!CE23&gt;0,2,"-")</f>
        <v>-</v>
      </c>
      <c r="BD23" s="385" t="str">
        <f>IF('Design Fee'!CF23&gt;0,2,"-")</f>
        <v>-</v>
      </c>
      <c r="BE23" s="385" t="str">
        <f>IF('Design Fee'!CG23&gt;0,2,"-")</f>
        <v>-</v>
      </c>
      <c r="BF23" s="385" t="str">
        <f>IF('Design Fee'!CH23&gt;0,2,"-")</f>
        <v>-</v>
      </c>
      <c r="BG23" s="385" t="str">
        <f>IF('Design Fee'!CI23&gt;0,2,"-")</f>
        <v>-</v>
      </c>
      <c r="BH23" s="385" t="str">
        <f>IF('Design Fee'!CK23&gt;0,2,"-")</f>
        <v>-</v>
      </c>
      <c r="BI23" s="385" t="str">
        <f>IF('Design Fee'!CL23&gt;0,2,"-")</f>
        <v>-</v>
      </c>
      <c r="BJ23" s="385" t="str">
        <f>IF('Design Fee'!CM23&gt;0,2,"-")</f>
        <v>-</v>
      </c>
      <c r="BK23" s="385" t="str">
        <f>IF('Design Fee'!CN23&gt;0,2,"-")</f>
        <v>-</v>
      </c>
      <c r="BL23" s="385" t="str">
        <f>IF('Design Fee'!CO23&gt;0,2,"-")</f>
        <v>-</v>
      </c>
      <c r="BM23" s="191"/>
      <c r="BN23" s="188"/>
      <c r="BO23" s="188"/>
      <c r="BP23" s="189">
        <f>IF('Design Fee'!DL23&gt;0,2,"-")</f>
        <v>2</v>
      </c>
      <c r="BQ23" s="385">
        <f>IF('Design Fee'!DN23&gt;0,2,"-")</f>
        <v>2</v>
      </c>
      <c r="BR23" s="385" t="str">
        <f>IF('Design Fee'!DO23&gt;0,2,"-")</f>
        <v>-</v>
      </c>
      <c r="BS23" s="385" t="str">
        <f>IF('Design Fee'!DP23&gt;0,2,"-")</f>
        <v>-</v>
      </c>
      <c r="BT23" s="385" t="str">
        <f>IF('Design Fee'!DQ23&gt;0,2,"-")</f>
        <v>-</v>
      </c>
      <c r="BU23" s="385" t="str">
        <f>IF('Design Fee'!DR23&gt;0,2,"-")</f>
        <v>-</v>
      </c>
      <c r="BV23" s="385" t="str">
        <f>IF('Design Fee'!DS23&gt;0,2,"-")</f>
        <v>-</v>
      </c>
      <c r="BW23" s="385" t="str">
        <f>IF('Design Fee'!DU23&gt;0,2,"-")</f>
        <v>-</v>
      </c>
      <c r="BX23" s="385" t="str">
        <f>IF('Design Fee'!DV23&gt;0,2,"-")</f>
        <v>-</v>
      </c>
      <c r="BY23" s="385" t="str">
        <f>IF('Design Fee'!DW23&gt;0,2,"-")</f>
        <v>-</v>
      </c>
      <c r="BZ23" s="385" t="str">
        <f>IF('Design Fee'!DX23&gt;0,2,"-")</f>
        <v>-</v>
      </c>
      <c r="CA23" s="385" t="str">
        <f>IF('Design Fee'!DY23&gt;0,2,"-")</f>
        <v>-</v>
      </c>
      <c r="CB23" s="349"/>
    </row>
    <row r="24" spans="1:80" ht="11.85" hidden="1" customHeight="1" outlineLevel="2">
      <c r="A24" s="112"/>
      <c r="B24" s="153">
        <v>1</v>
      </c>
      <c r="C24" s="213">
        <v>1</v>
      </c>
      <c r="D24" s="214" t="s">
        <v>22</v>
      </c>
      <c r="E24" s="114"/>
      <c r="F24" s="197"/>
      <c r="G24" s="194"/>
      <c r="H24" s="328"/>
      <c r="I24" s="328"/>
      <c r="J24" s="328"/>
      <c r="K24" s="386"/>
      <c r="L24" s="386"/>
      <c r="M24" s="386"/>
      <c r="N24" s="386"/>
      <c r="O24" s="386"/>
      <c r="P24" s="386"/>
      <c r="Q24" s="386"/>
      <c r="R24" s="386"/>
      <c r="S24" s="386"/>
      <c r="T24" s="195"/>
      <c r="U24" s="197"/>
      <c r="V24" s="194"/>
      <c r="W24" s="328" t="str">
        <f>IF('Design Fee'!H24&gt;0,2,"-")</f>
        <v>-</v>
      </c>
      <c r="X24" s="386" t="str">
        <f>IF('Design Fee'!J24&gt;0,2,"-")</f>
        <v>-</v>
      </c>
      <c r="Y24" s="386" t="str">
        <f>IF('Design Fee'!K24&gt;0,2,"-")</f>
        <v>-</v>
      </c>
      <c r="Z24" s="386" t="str">
        <f>IF('Design Fee'!L24&gt;0,2,"-")</f>
        <v>-</v>
      </c>
      <c r="AA24" s="386" t="str">
        <f>IF('Design Fee'!M24&gt;0,2,"-")</f>
        <v>-</v>
      </c>
      <c r="AB24" s="386" t="str">
        <f>IF('Design Fee'!N24&gt;0,2,"-")</f>
        <v>-</v>
      </c>
      <c r="AC24" s="386" t="str">
        <f>IF('Design Fee'!O24&gt;0,2,"-")</f>
        <v>-</v>
      </c>
      <c r="AD24" s="386" t="str">
        <f>IF('Design Fee'!Q24&gt;0,2,"-")</f>
        <v>-</v>
      </c>
      <c r="AE24" s="386" t="str">
        <f>IF('Design Fee'!R24&gt;0,2,"-")</f>
        <v>-</v>
      </c>
      <c r="AF24" s="386" t="str">
        <f>IF('Design Fee'!S24&gt;0,2,"-")</f>
        <v>-</v>
      </c>
      <c r="AG24" s="386" t="str">
        <f>IF('Design Fee'!T24&gt;0,2,"-")</f>
        <v>-</v>
      </c>
      <c r="AH24" s="386" t="str">
        <f>IF('Design Fee'!U24&gt;0,2,"-")</f>
        <v>-</v>
      </c>
      <c r="AI24" s="195"/>
      <c r="AJ24" s="197"/>
      <c r="AK24" s="387"/>
      <c r="AL24" s="328" t="str">
        <f>IF('Design Fee'!AR24&gt;0,2,"-")</f>
        <v>-</v>
      </c>
      <c r="AM24" s="386" t="str">
        <f>IF('Design Fee'!AT24&gt;0,2,"-")</f>
        <v>-</v>
      </c>
      <c r="AN24" s="386" t="str">
        <f>IF('Design Fee'!AU24&gt;0,2,"-")</f>
        <v>-</v>
      </c>
      <c r="AO24" s="386" t="str">
        <f>IF('Design Fee'!AV24&gt;0,2,"-")</f>
        <v>-</v>
      </c>
      <c r="AP24" s="386" t="str">
        <f>IF('Design Fee'!AW24&gt;0,2,"-")</f>
        <v>-</v>
      </c>
      <c r="AQ24" s="386" t="str">
        <f>IF('Design Fee'!AX24&gt;0,2,"-")</f>
        <v>-</v>
      </c>
      <c r="AR24" s="386" t="str">
        <f>IF('Design Fee'!AY24&gt;0,2,"-")</f>
        <v>-</v>
      </c>
      <c r="AS24" s="386" t="str">
        <f>IF('Design Fee'!BA24&gt;0,2,"-")</f>
        <v>-</v>
      </c>
      <c r="AT24" s="386" t="str">
        <f>IF('Design Fee'!BB24&gt;0,2,"-")</f>
        <v>-</v>
      </c>
      <c r="AU24" s="386" t="str">
        <f>IF('Design Fee'!BC24&gt;0,2,"-")</f>
        <v>-</v>
      </c>
      <c r="AV24" s="386" t="str">
        <f>IF('Design Fee'!BD24&gt;0,2,"-")</f>
        <v>-</v>
      </c>
      <c r="AW24" s="386" t="str">
        <f>IF('Design Fee'!BE24&gt;0,2,"-")</f>
        <v>-</v>
      </c>
      <c r="AX24" s="195"/>
      <c r="AY24" s="197"/>
      <c r="AZ24" s="387"/>
      <c r="BA24" s="328" t="str">
        <f>IF('Design Fee'!CB24&gt;0,2,"-")</f>
        <v>-</v>
      </c>
      <c r="BB24" s="386" t="str">
        <f>IF('Design Fee'!CD24&gt;0,2,"-")</f>
        <v>-</v>
      </c>
      <c r="BC24" s="386" t="str">
        <f>IF('Design Fee'!CE24&gt;0,2,"-")</f>
        <v>-</v>
      </c>
      <c r="BD24" s="386" t="str">
        <f>IF('Design Fee'!CF24&gt;0,2,"-")</f>
        <v>-</v>
      </c>
      <c r="BE24" s="386" t="str">
        <f>IF('Design Fee'!CG24&gt;0,2,"-")</f>
        <v>-</v>
      </c>
      <c r="BF24" s="386" t="str">
        <f>IF('Design Fee'!CH24&gt;0,2,"-")</f>
        <v>-</v>
      </c>
      <c r="BG24" s="386" t="str">
        <f>IF('Design Fee'!CI24&gt;0,2,"-")</f>
        <v>-</v>
      </c>
      <c r="BH24" s="386" t="str">
        <f>IF('Design Fee'!CK24&gt;0,2,"-")</f>
        <v>-</v>
      </c>
      <c r="BI24" s="386" t="str">
        <f>IF('Design Fee'!CL24&gt;0,2,"-")</f>
        <v>-</v>
      </c>
      <c r="BJ24" s="386" t="str">
        <f>IF('Design Fee'!CM24&gt;0,2,"-")</f>
        <v>-</v>
      </c>
      <c r="BK24" s="386" t="str">
        <f>IF('Design Fee'!CN24&gt;0,2,"-")</f>
        <v>-</v>
      </c>
      <c r="BL24" s="386" t="str">
        <f>IF('Design Fee'!CO24&gt;0,2,"-")</f>
        <v>-</v>
      </c>
      <c r="BM24" s="195"/>
      <c r="BN24" s="197"/>
      <c r="BO24" s="387"/>
      <c r="BP24" s="328" t="str">
        <f>IF('Design Fee'!DL24&gt;0,2,"-")</f>
        <v>-</v>
      </c>
      <c r="BQ24" s="386" t="str">
        <f>IF('Design Fee'!DN24&gt;0,2,"-")</f>
        <v>-</v>
      </c>
      <c r="BR24" s="386" t="str">
        <f>IF('Design Fee'!DO24&gt;0,2,"-")</f>
        <v>-</v>
      </c>
      <c r="BS24" s="386" t="str">
        <f>IF('Design Fee'!DP24&gt;0,2,"-")</f>
        <v>-</v>
      </c>
      <c r="BT24" s="386" t="str">
        <f>IF('Design Fee'!DQ24&gt;0,2,"-")</f>
        <v>-</v>
      </c>
      <c r="BU24" s="386" t="str">
        <f>IF('Design Fee'!DR24&gt;0,2,"-")</f>
        <v>-</v>
      </c>
      <c r="BV24" s="386" t="str">
        <f>IF('Design Fee'!DS24&gt;0,2,"-")</f>
        <v>-</v>
      </c>
      <c r="BW24" s="386" t="str">
        <f>IF('Design Fee'!DU24&gt;0,2,"-")</f>
        <v>-</v>
      </c>
      <c r="BX24" s="386" t="str">
        <f>IF('Design Fee'!DV24&gt;0,2,"-")</f>
        <v>-</v>
      </c>
      <c r="BY24" s="386" t="str">
        <f>IF('Design Fee'!DW24&gt;0,2,"-")</f>
        <v>-</v>
      </c>
      <c r="BZ24" s="386" t="str">
        <f>IF('Design Fee'!DX24&gt;0,2,"-")</f>
        <v>-</v>
      </c>
      <c r="CA24" s="386" t="str">
        <f>IF('Design Fee'!DY24&gt;0,2,"-")</f>
        <v>-</v>
      </c>
      <c r="CB24" s="195"/>
    </row>
    <row r="25" spans="1:80" ht="11.85" hidden="1" customHeight="1" outlineLevel="2">
      <c r="A25" s="112"/>
      <c r="B25" s="153">
        <v>1</v>
      </c>
      <c r="C25" s="213">
        <v>2</v>
      </c>
      <c r="D25" s="214" t="s">
        <v>27</v>
      </c>
      <c r="E25" s="114"/>
      <c r="F25" s="197"/>
      <c r="G25" s="194"/>
      <c r="H25" s="328"/>
      <c r="I25" s="328"/>
      <c r="J25" s="328"/>
      <c r="K25" s="386"/>
      <c r="L25" s="386"/>
      <c r="M25" s="386"/>
      <c r="N25" s="386"/>
      <c r="O25" s="386"/>
      <c r="P25" s="386"/>
      <c r="Q25" s="386"/>
      <c r="R25" s="386"/>
      <c r="S25" s="386"/>
      <c r="T25" s="195"/>
      <c r="U25" s="197"/>
      <c r="V25" s="194"/>
      <c r="W25" s="328" t="str">
        <f>IF('Design Fee'!H25&gt;0,2,"-")</f>
        <v>-</v>
      </c>
      <c r="X25" s="386" t="str">
        <f>IF('Design Fee'!J25&gt;0,2,"-")</f>
        <v>-</v>
      </c>
      <c r="Y25" s="386" t="str">
        <f>IF('Design Fee'!K25&gt;0,2,"-")</f>
        <v>-</v>
      </c>
      <c r="Z25" s="386" t="str">
        <f>IF('Design Fee'!L25&gt;0,2,"-")</f>
        <v>-</v>
      </c>
      <c r="AA25" s="386" t="str">
        <f>IF('Design Fee'!M25&gt;0,2,"-")</f>
        <v>-</v>
      </c>
      <c r="AB25" s="386" t="str">
        <f>IF('Design Fee'!N25&gt;0,2,"-")</f>
        <v>-</v>
      </c>
      <c r="AC25" s="386" t="str">
        <f>IF('Design Fee'!O25&gt;0,2,"-")</f>
        <v>-</v>
      </c>
      <c r="AD25" s="386" t="str">
        <f>IF('Design Fee'!Q25&gt;0,2,"-")</f>
        <v>-</v>
      </c>
      <c r="AE25" s="386" t="str">
        <f>IF('Design Fee'!R25&gt;0,2,"-")</f>
        <v>-</v>
      </c>
      <c r="AF25" s="386" t="str">
        <f>IF('Design Fee'!S25&gt;0,2,"-")</f>
        <v>-</v>
      </c>
      <c r="AG25" s="386" t="str">
        <f>IF('Design Fee'!T25&gt;0,2,"-")</f>
        <v>-</v>
      </c>
      <c r="AH25" s="386" t="str">
        <f>IF('Design Fee'!U25&gt;0,2,"-")</f>
        <v>-</v>
      </c>
      <c r="AI25" s="195"/>
      <c r="AJ25" s="197"/>
      <c r="AK25" s="387"/>
      <c r="AL25" s="328" t="str">
        <f>IF('Design Fee'!AR25&gt;0,2,"-")</f>
        <v>-</v>
      </c>
      <c r="AM25" s="386" t="str">
        <f>IF('Design Fee'!AT25&gt;0,2,"-")</f>
        <v>-</v>
      </c>
      <c r="AN25" s="386" t="str">
        <f>IF('Design Fee'!AU25&gt;0,2,"-")</f>
        <v>-</v>
      </c>
      <c r="AO25" s="386" t="str">
        <f>IF('Design Fee'!AV25&gt;0,2,"-")</f>
        <v>-</v>
      </c>
      <c r="AP25" s="386" t="str">
        <f>IF('Design Fee'!AW25&gt;0,2,"-")</f>
        <v>-</v>
      </c>
      <c r="AQ25" s="386" t="str">
        <f>IF('Design Fee'!AX25&gt;0,2,"-")</f>
        <v>-</v>
      </c>
      <c r="AR25" s="386" t="str">
        <f>IF('Design Fee'!AY25&gt;0,2,"-")</f>
        <v>-</v>
      </c>
      <c r="AS25" s="386" t="str">
        <f>IF('Design Fee'!BA25&gt;0,2,"-")</f>
        <v>-</v>
      </c>
      <c r="AT25" s="386" t="str">
        <f>IF('Design Fee'!BB25&gt;0,2,"-")</f>
        <v>-</v>
      </c>
      <c r="AU25" s="386" t="str">
        <f>IF('Design Fee'!BC25&gt;0,2,"-")</f>
        <v>-</v>
      </c>
      <c r="AV25" s="386" t="str">
        <f>IF('Design Fee'!BD25&gt;0,2,"-")</f>
        <v>-</v>
      </c>
      <c r="AW25" s="386" t="str">
        <f>IF('Design Fee'!BE25&gt;0,2,"-")</f>
        <v>-</v>
      </c>
      <c r="AX25" s="195"/>
      <c r="AY25" s="197"/>
      <c r="AZ25" s="387"/>
      <c r="BA25" s="328" t="str">
        <f>IF('Design Fee'!CB25&gt;0,2,"-")</f>
        <v>-</v>
      </c>
      <c r="BB25" s="386" t="str">
        <f>IF('Design Fee'!CD25&gt;0,2,"-")</f>
        <v>-</v>
      </c>
      <c r="BC25" s="386" t="str">
        <f>IF('Design Fee'!CE25&gt;0,2,"-")</f>
        <v>-</v>
      </c>
      <c r="BD25" s="386" t="str">
        <f>IF('Design Fee'!CF25&gt;0,2,"-")</f>
        <v>-</v>
      </c>
      <c r="BE25" s="386" t="str">
        <f>IF('Design Fee'!CG25&gt;0,2,"-")</f>
        <v>-</v>
      </c>
      <c r="BF25" s="386" t="str">
        <f>IF('Design Fee'!CH25&gt;0,2,"-")</f>
        <v>-</v>
      </c>
      <c r="BG25" s="386" t="str">
        <f>IF('Design Fee'!CI25&gt;0,2,"-")</f>
        <v>-</v>
      </c>
      <c r="BH25" s="386" t="str">
        <f>IF('Design Fee'!CK25&gt;0,2,"-")</f>
        <v>-</v>
      </c>
      <c r="BI25" s="386" t="str">
        <f>IF('Design Fee'!CL25&gt;0,2,"-")</f>
        <v>-</v>
      </c>
      <c r="BJ25" s="386" t="str">
        <f>IF('Design Fee'!CM25&gt;0,2,"-")</f>
        <v>-</v>
      </c>
      <c r="BK25" s="386" t="str">
        <f>IF('Design Fee'!CN25&gt;0,2,"-")</f>
        <v>-</v>
      </c>
      <c r="BL25" s="386" t="str">
        <f>IF('Design Fee'!CO25&gt;0,2,"-")</f>
        <v>-</v>
      </c>
      <c r="BM25" s="195"/>
      <c r="BN25" s="197"/>
      <c r="BO25" s="387"/>
      <c r="BP25" s="328" t="str">
        <f>IF('Design Fee'!DL25&gt;0,2,"-")</f>
        <v>-</v>
      </c>
      <c r="BQ25" s="386" t="str">
        <f>IF('Design Fee'!DN25&gt;0,2,"-")</f>
        <v>-</v>
      </c>
      <c r="BR25" s="386" t="str">
        <f>IF('Design Fee'!DO25&gt;0,2,"-")</f>
        <v>-</v>
      </c>
      <c r="BS25" s="386" t="str">
        <f>IF('Design Fee'!DP25&gt;0,2,"-")</f>
        <v>-</v>
      </c>
      <c r="BT25" s="386" t="str">
        <f>IF('Design Fee'!DQ25&gt;0,2,"-")</f>
        <v>-</v>
      </c>
      <c r="BU25" s="386" t="str">
        <f>IF('Design Fee'!DR25&gt;0,2,"-")</f>
        <v>-</v>
      </c>
      <c r="BV25" s="386" t="str">
        <f>IF('Design Fee'!DS25&gt;0,2,"-")</f>
        <v>-</v>
      </c>
      <c r="BW25" s="386" t="str">
        <f>IF('Design Fee'!DU25&gt;0,2,"-")</f>
        <v>-</v>
      </c>
      <c r="BX25" s="386" t="str">
        <f>IF('Design Fee'!DV25&gt;0,2,"-")</f>
        <v>-</v>
      </c>
      <c r="BY25" s="386" t="str">
        <f>IF('Design Fee'!DW25&gt;0,2,"-")</f>
        <v>-</v>
      </c>
      <c r="BZ25" s="386" t="str">
        <f>IF('Design Fee'!DX25&gt;0,2,"-")</f>
        <v>-</v>
      </c>
      <c r="CA25" s="386" t="str">
        <f>IF('Design Fee'!DY25&gt;0,2,"-")</f>
        <v>-</v>
      </c>
      <c r="CB25" s="195"/>
    </row>
    <row r="26" spans="1:80" ht="11.85" hidden="1" customHeight="1" outlineLevel="2">
      <c r="A26" s="112"/>
      <c r="B26" s="153">
        <v>1</v>
      </c>
      <c r="C26" s="213">
        <v>3</v>
      </c>
      <c r="D26" s="214" t="s">
        <v>28</v>
      </c>
      <c r="E26" s="114"/>
      <c r="F26" s="197"/>
      <c r="G26" s="194"/>
      <c r="H26" s="328"/>
      <c r="I26" s="328"/>
      <c r="J26" s="328"/>
      <c r="K26" s="386"/>
      <c r="L26" s="386"/>
      <c r="M26" s="386"/>
      <c r="N26" s="386"/>
      <c r="O26" s="386"/>
      <c r="P26" s="386"/>
      <c r="Q26" s="386"/>
      <c r="R26" s="386"/>
      <c r="S26" s="386"/>
      <c r="T26" s="195"/>
      <c r="U26" s="197"/>
      <c r="V26" s="194"/>
      <c r="W26" s="328" t="str">
        <f>IF('Design Fee'!H26&gt;0,2,"-")</f>
        <v>-</v>
      </c>
      <c r="X26" s="386" t="str">
        <f>IF('Design Fee'!J26&gt;0,2,"-")</f>
        <v>-</v>
      </c>
      <c r="Y26" s="386" t="str">
        <f>IF('Design Fee'!K26&gt;0,2,"-")</f>
        <v>-</v>
      </c>
      <c r="Z26" s="386" t="str">
        <f>IF('Design Fee'!L26&gt;0,2,"-")</f>
        <v>-</v>
      </c>
      <c r="AA26" s="386" t="str">
        <f>IF('Design Fee'!M26&gt;0,2,"-")</f>
        <v>-</v>
      </c>
      <c r="AB26" s="386" t="str">
        <f>IF('Design Fee'!N26&gt;0,2,"-")</f>
        <v>-</v>
      </c>
      <c r="AC26" s="386" t="str">
        <f>IF('Design Fee'!O26&gt;0,2,"-")</f>
        <v>-</v>
      </c>
      <c r="AD26" s="386" t="str">
        <f>IF('Design Fee'!Q26&gt;0,2,"-")</f>
        <v>-</v>
      </c>
      <c r="AE26" s="386" t="str">
        <f>IF('Design Fee'!R26&gt;0,2,"-")</f>
        <v>-</v>
      </c>
      <c r="AF26" s="386" t="str">
        <f>IF('Design Fee'!S26&gt;0,2,"-")</f>
        <v>-</v>
      </c>
      <c r="AG26" s="386" t="str">
        <f>IF('Design Fee'!T26&gt;0,2,"-")</f>
        <v>-</v>
      </c>
      <c r="AH26" s="386" t="str">
        <f>IF('Design Fee'!U26&gt;0,2,"-")</f>
        <v>-</v>
      </c>
      <c r="AI26" s="195"/>
      <c r="AJ26" s="197"/>
      <c r="AK26" s="387"/>
      <c r="AL26" s="328" t="str">
        <f>IF('Design Fee'!AR26&gt;0,2,"-")</f>
        <v>-</v>
      </c>
      <c r="AM26" s="386" t="str">
        <f>IF('Design Fee'!AT26&gt;0,2,"-")</f>
        <v>-</v>
      </c>
      <c r="AN26" s="386" t="str">
        <f>IF('Design Fee'!AU26&gt;0,2,"-")</f>
        <v>-</v>
      </c>
      <c r="AO26" s="386" t="str">
        <f>IF('Design Fee'!AV26&gt;0,2,"-")</f>
        <v>-</v>
      </c>
      <c r="AP26" s="386" t="str">
        <f>IF('Design Fee'!AW26&gt;0,2,"-")</f>
        <v>-</v>
      </c>
      <c r="AQ26" s="386" t="str">
        <f>IF('Design Fee'!AX26&gt;0,2,"-")</f>
        <v>-</v>
      </c>
      <c r="AR26" s="386" t="str">
        <f>IF('Design Fee'!AY26&gt;0,2,"-")</f>
        <v>-</v>
      </c>
      <c r="AS26" s="386" t="str">
        <f>IF('Design Fee'!BA26&gt;0,2,"-")</f>
        <v>-</v>
      </c>
      <c r="AT26" s="386" t="str">
        <f>IF('Design Fee'!BB26&gt;0,2,"-")</f>
        <v>-</v>
      </c>
      <c r="AU26" s="386" t="str">
        <f>IF('Design Fee'!BC26&gt;0,2,"-")</f>
        <v>-</v>
      </c>
      <c r="AV26" s="386" t="str">
        <f>IF('Design Fee'!BD26&gt;0,2,"-")</f>
        <v>-</v>
      </c>
      <c r="AW26" s="386" t="str">
        <f>IF('Design Fee'!BE26&gt;0,2,"-")</f>
        <v>-</v>
      </c>
      <c r="AX26" s="195"/>
      <c r="AY26" s="197"/>
      <c r="AZ26" s="387"/>
      <c r="BA26" s="328" t="str">
        <f>IF('Design Fee'!CB26&gt;0,2,"-")</f>
        <v>-</v>
      </c>
      <c r="BB26" s="386" t="str">
        <f>IF('Design Fee'!CD26&gt;0,2,"-")</f>
        <v>-</v>
      </c>
      <c r="BC26" s="386" t="str">
        <f>IF('Design Fee'!CE26&gt;0,2,"-")</f>
        <v>-</v>
      </c>
      <c r="BD26" s="386" t="str">
        <f>IF('Design Fee'!CF26&gt;0,2,"-")</f>
        <v>-</v>
      </c>
      <c r="BE26" s="386" t="str">
        <f>IF('Design Fee'!CG26&gt;0,2,"-")</f>
        <v>-</v>
      </c>
      <c r="BF26" s="386" t="str">
        <f>IF('Design Fee'!CH26&gt;0,2,"-")</f>
        <v>-</v>
      </c>
      <c r="BG26" s="386" t="str">
        <f>IF('Design Fee'!CI26&gt;0,2,"-")</f>
        <v>-</v>
      </c>
      <c r="BH26" s="386" t="str">
        <f>IF('Design Fee'!CK26&gt;0,2,"-")</f>
        <v>-</v>
      </c>
      <c r="BI26" s="386" t="str">
        <f>IF('Design Fee'!CL26&gt;0,2,"-")</f>
        <v>-</v>
      </c>
      <c r="BJ26" s="386" t="str">
        <f>IF('Design Fee'!CM26&gt;0,2,"-")</f>
        <v>-</v>
      </c>
      <c r="BK26" s="386" t="str">
        <f>IF('Design Fee'!CN26&gt;0,2,"-")</f>
        <v>-</v>
      </c>
      <c r="BL26" s="386" t="str">
        <f>IF('Design Fee'!CO26&gt;0,2,"-")</f>
        <v>-</v>
      </c>
      <c r="BM26" s="195"/>
      <c r="BN26" s="197"/>
      <c r="BO26" s="387"/>
      <c r="BP26" s="328" t="str">
        <f>IF('Design Fee'!DL26&gt;0,2,"-")</f>
        <v>-</v>
      </c>
      <c r="BQ26" s="386" t="str">
        <f>IF('Design Fee'!DN26&gt;0,2,"-")</f>
        <v>-</v>
      </c>
      <c r="BR26" s="386" t="str">
        <f>IF('Design Fee'!DO26&gt;0,2,"-")</f>
        <v>-</v>
      </c>
      <c r="BS26" s="386" t="str">
        <f>IF('Design Fee'!DP26&gt;0,2,"-")</f>
        <v>-</v>
      </c>
      <c r="BT26" s="386" t="str">
        <f>IF('Design Fee'!DQ26&gt;0,2,"-")</f>
        <v>-</v>
      </c>
      <c r="BU26" s="386" t="str">
        <f>IF('Design Fee'!DR26&gt;0,2,"-")</f>
        <v>-</v>
      </c>
      <c r="BV26" s="386" t="str">
        <f>IF('Design Fee'!DS26&gt;0,2,"-")</f>
        <v>-</v>
      </c>
      <c r="BW26" s="386" t="str">
        <f>IF('Design Fee'!DU26&gt;0,2,"-")</f>
        <v>-</v>
      </c>
      <c r="BX26" s="386" t="str">
        <f>IF('Design Fee'!DV26&gt;0,2,"-")</f>
        <v>-</v>
      </c>
      <c r="BY26" s="386" t="str">
        <f>IF('Design Fee'!DW26&gt;0,2,"-")</f>
        <v>-</v>
      </c>
      <c r="BZ26" s="386" t="str">
        <f>IF('Design Fee'!DX26&gt;0,2,"-")</f>
        <v>-</v>
      </c>
      <c r="CA26" s="386" t="str">
        <f>IF('Design Fee'!DY26&gt;0,2,"-")</f>
        <v>-</v>
      </c>
      <c r="CB26" s="195"/>
    </row>
    <row r="27" spans="1:80" ht="11.85" hidden="1" customHeight="1" outlineLevel="2">
      <c r="A27" s="112"/>
      <c r="B27" s="153">
        <v>1</v>
      </c>
      <c r="C27" s="213">
        <v>4</v>
      </c>
      <c r="D27" s="214" t="s">
        <v>24</v>
      </c>
      <c r="E27" s="114"/>
      <c r="F27" s="197"/>
      <c r="G27" s="194"/>
      <c r="H27" s="328"/>
      <c r="I27" s="328"/>
      <c r="J27" s="328"/>
      <c r="K27" s="386"/>
      <c r="L27" s="386"/>
      <c r="M27" s="386"/>
      <c r="N27" s="386"/>
      <c r="O27" s="386"/>
      <c r="P27" s="386"/>
      <c r="Q27" s="386"/>
      <c r="R27" s="386"/>
      <c r="S27" s="386"/>
      <c r="T27" s="195"/>
      <c r="U27" s="197"/>
      <c r="V27" s="194"/>
      <c r="W27" s="328" t="str">
        <f>IF('Design Fee'!H27&gt;0,2,"-")</f>
        <v>-</v>
      </c>
      <c r="X27" s="386" t="str">
        <f>IF('Design Fee'!J27&gt;0,2,"-")</f>
        <v>-</v>
      </c>
      <c r="Y27" s="386" t="str">
        <f>IF('Design Fee'!K27&gt;0,2,"-")</f>
        <v>-</v>
      </c>
      <c r="Z27" s="386" t="str">
        <f>IF('Design Fee'!L27&gt;0,2,"-")</f>
        <v>-</v>
      </c>
      <c r="AA27" s="386" t="str">
        <f>IF('Design Fee'!M27&gt;0,2,"-")</f>
        <v>-</v>
      </c>
      <c r="AB27" s="386" t="str">
        <f>IF('Design Fee'!N27&gt;0,2,"-")</f>
        <v>-</v>
      </c>
      <c r="AC27" s="386" t="str">
        <f>IF('Design Fee'!O27&gt;0,2,"-")</f>
        <v>-</v>
      </c>
      <c r="AD27" s="386" t="str">
        <f>IF('Design Fee'!Q27&gt;0,2,"-")</f>
        <v>-</v>
      </c>
      <c r="AE27" s="386" t="str">
        <f>IF('Design Fee'!R27&gt;0,2,"-")</f>
        <v>-</v>
      </c>
      <c r="AF27" s="386" t="str">
        <f>IF('Design Fee'!S27&gt;0,2,"-")</f>
        <v>-</v>
      </c>
      <c r="AG27" s="386" t="str">
        <f>IF('Design Fee'!T27&gt;0,2,"-")</f>
        <v>-</v>
      </c>
      <c r="AH27" s="386" t="str">
        <f>IF('Design Fee'!U27&gt;0,2,"-")</f>
        <v>-</v>
      </c>
      <c r="AI27" s="195"/>
      <c r="AJ27" s="197"/>
      <c r="AK27" s="387"/>
      <c r="AL27" s="328" t="str">
        <f>IF('Design Fee'!AR27&gt;0,2,"-")</f>
        <v>-</v>
      </c>
      <c r="AM27" s="386" t="str">
        <f>IF('Design Fee'!AT27&gt;0,2,"-")</f>
        <v>-</v>
      </c>
      <c r="AN27" s="386" t="str">
        <f>IF('Design Fee'!AU27&gt;0,2,"-")</f>
        <v>-</v>
      </c>
      <c r="AO27" s="386" t="str">
        <f>IF('Design Fee'!AV27&gt;0,2,"-")</f>
        <v>-</v>
      </c>
      <c r="AP27" s="386" t="str">
        <f>IF('Design Fee'!AW27&gt;0,2,"-")</f>
        <v>-</v>
      </c>
      <c r="AQ27" s="386" t="str">
        <f>IF('Design Fee'!AX27&gt;0,2,"-")</f>
        <v>-</v>
      </c>
      <c r="AR27" s="386" t="str">
        <f>IF('Design Fee'!AY27&gt;0,2,"-")</f>
        <v>-</v>
      </c>
      <c r="AS27" s="386" t="str">
        <f>IF('Design Fee'!BA27&gt;0,2,"-")</f>
        <v>-</v>
      </c>
      <c r="AT27" s="386" t="str">
        <f>IF('Design Fee'!BB27&gt;0,2,"-")</f>
        <v>-</v>
      </c>
      <c r="AU27" s="386" t="str">
        <f>IF('Design Fee'!BC27&gt;0,2,"-")</f>
        <v>-</v>
      </c>
      <c r="AV27" s="386" t="str">
        <f>IF('Design Fee'!BD27&gt;0,2,"-")</f>
        <v>-</v>
      </c>
      <c r="AW27" s="386" t="str">
        <f>IF('Design Fee'!BE27&gt;0,2,"-")</f>
        <v>-</v>
      </c>
      <c r="AX27" s="195"/>
      <c r="AY27" s="197"/>
      <c r="AZ27" s="387"/>
      <c r="BA27" s="328" t="str">
        <f>IF('Design Fee'!CB27&gt;0,2,"-")</f>
        <v>-</v>
      </c>
      <c r="BB27" s="386" t="str">
        <f>IF('Design Fee'!CD27&gt;0,2,"-")</f>
        <v>-</v>
      </c>
      <c r="BC27" s="386" t="str">
        <f>IF('Design Fee'!CE27&gt;0,2,"-")</f>
        <v>-</v>
      </c>
      <c r="BD27" s="386" t="str">
        <f>IF('Design Fee'!CF27&gt;0,2,"-")</f>
        <v>-</v>
      </c>
      <c r="BE27" s="386" t="str">
        <f>IF('Design Fee'!CG27&gt;0,2,"-")</f>
        <v>-</v>
      </c>
      <c r="BF27" s="386" t="str">
        <f>IF('Design Fee'!CH27&gt;0,2,"-")</f>
        <v>-</v>
      </c>
      <c r="BG27" s="386" t="str">
        <f>IF('Design Fee'!CI27&gt;0,2,"-")</f>
        <v>-</v>
      </c>
      <c r="BH27" s="386" t="str">
        <f>IF('Design Fee'!CK27&gt;0,2,"-")</f>
        <v>-</v>
      </c>
      <c r="BI27" s="386" t="str">
        <f>IF('Design Fee'!CL27&gt;0,2,"-")</f>
        <v>-</v>
      </c>
      <c r="BJ27" s="386" t="str">
        <f>IF('Design Fee'!CM27&gt;0,2,"-")</f>
        <v>-</v>
      </c>
      <c r="BK27" s="386" t="str">
        <f>IF('Design Fee'!CN27&gt;0,2,"-")</f>
        <v>-</v>
      </c>
      <c r="BL27" s="386" t="str">
        <f>IF('Design Fee'!CO27&gt;0,2,"-")</f>
        <v>-</v>
      </c>
      <c r="BM27" s="195"/>
      <c r="BN27" s="197"/>
      <c r="BO27" s="387"/>
      <c r="BP27" s="328" t="str">
        <f>IF('Design Fee'!DL27&gt;0,2,"-")</f>
        <v>-</v>
      </c>
      <c r="BQ27" s="386" t="str">
        <f>IF('Design Fee'!DN27&gt;0,2,"-")</f>
        <v>-</v>
      </c>
      <c r="BR27" s="386" t="str">
        <f>IF('Design Fee'!DO27&gt;0,2,"-")</f>
        <v>-</v>
      </c>
      <c r="BS27" s="386" t="str">
        <f>IF('Design Fee'!DP27&gt;0,2,"-")</f>
        <v>-</v>
      </c>
      <c r="BT27" s="386" t="str">
        <f>IF('Design Fee'!DQ27&gt;0,2,"-")</f>
        <v>-</v>
      </c>
      <c r="BU27" s="386" t="str">
        <f>IF('Design Fee'!DR27&gt;0,2,"-")</f>
        <v>-</v>
      </c>
      <c r="BV27" s="386" t="str">
        <f>IF('Design Fee'!DS27&gt;0,2,"-")</f>
        <v>-</v>
      </c>
      <c r="BW27" s="386" t="str">
        <f>IF('Design Fee'!DU27&gt;0,2,"-")</f>
        <v>-</v>
      </c>
      <c r="BX27" s="386" t="str">
        <f>IF('Design Fee'!DV27&gt;0,2,"-")</f>
        <v>-</v>
      </c>
      <c r="BY27" s="386" t="str">
        <f>IF('Design Fee'!DW27&gt;0,2,"-")</f>
        <v>-</v>
      </c>
      <c r="BZ27" s="386" t="str">
        <f>IF('Design Fee'!DX27&gt;0,2,"-")</f>
        <v>-</v>
      </c>
      <c r="CA27" s="386" t="str">
        <f>IF('Design Fee'!DY27&gt;0,2,"-")</f>
        <v>-</v>
      </c>
      <c r="CB27" s="195"/>
    </row>
    <row r="28" spans="1:80" ht="11.85" hidden="1" customHeight="1" outlineLevel="2">
      <c r="A28" s="112"/>
      <c r="B28" s="153">
        <v>5</v>
      </c>
      <c r="C28" s="213">
        <v>5</v>
      </c>
      <c r="D28" s="214" t="s">
        <v>25</v>
      </c>
      <c r="E28" s="160"/>
      <c r="F28" s="196"/>
      <c r="G28" s="200"/>
      <c r="H28" s="328"/>
      <c r="I28" s="328"/>
      <c r="J28" s="328"/>
      <c r="K28" s="386"/>
      <c r="L28" s="386"/>
      <c r="M28" s="386"/>
      <c r="N28" s="386"/>
      <c r="O28" s="386"/>
      <c r="P28" s="386"/>
      <c r="Q28" s="386"/>
      <c r="R28" s="386"/>
      <c r="S28" s="386"/>
      <c r="T28" s="195"/>
      <c r="U28" s="196"/>
      <c r="V28" s="200"/>
      <c r="W28" s="328" t="str">
        <f>IF('Design Fee'!H28&gt;0,2,"-")</f>
        <v>-</v>
      </c>
      <c r="X28" s="386" t="str">
        <f>IF('Design Fee'!J28&gt;0,2,"-")</f>
        <v>-</v>
      </c>
      <c r="Y28" s="386" t="str">
        <f>IF('Design Fee'!K28&gt;0,2,"-")</f>
        <v>-</v>
      </c>
      <c r="Z28" s="386" t="str">
        <f>IF('Design Fee'!L28&gt;0,2,"-")</f>
        <v>-</v>
      </c>
      <c r="AA28" s="386" t="str">
        <f>IF('Design Fee'!M28&gt;0,2,"-")</f>
        <v>-</v>
      </c>
      <c r="AB28" s="386" t="str">
        <f>IF('Design Fee'!N28&gt;0,2,"-")</f>
        <v>-</v>
      </c>
      <c r="AC28" s="386" t="str">
        <f>IF('Design Fee'!O28&gt;0,2,"-")</f>
        <v>-</v>
      </c>
      <c r="AD28" s="386" t="str">
        <f>IF('Design Fee'!Q28&gt;0,2,"-")</f>
        <v>-</v>
      </c>
      <c r="AE28" s="386" t="str">
        <f>IF('Design Fee'!R28&gt;0,2,"-")</f>
        <v>-</v>
      </c>
      <c r="AF28" s="386" t="str">
        <f>IF('Design Fee'!S28&gt;0,2,"-")</f>
        <v>-</v>
      </c>
      <c r="AG28" s="386" t="str">
        <f>IF('Design Fee'!T28&gt;0,2,"-")</f>
        <v>-</v>
      </c>
      <c r="AH28" s="386" t="str">
        <f>IF('Design Fee'!U28&gt;0,2,"-")</f>
        <v>-</v>
      </c>
      <c r="AI28" s="195"/>
      <c r="AJ28" s="196"/>
      <c r="AK28" s="388"/>
      <c r="AL28" s="328" t="str">
        <f>IF('Design Fee'!AR28&gt;0,2,"-")</f>
        <v>-</v>
      </c>
      <c r="AM28" s="386" t="str">
        <f>IF('Design Fee'!AT28&gt;0,2,"-")</f>
        <v>-</v>
      </c>
      <c r="AN28" s="386" t="str">
        <f>IF('Design Fee'!AU28&gt;0,2,"-")</f>
        <v>-</v>
      </c>
      <c r="AO28" s="386" t="str">
        <f>IF('Design Fee'!AV28&gt;0,2,"-")</f>
        <v>-</v>
      </c>
      <c r="AP28" s="386" t="str">
        <f>IF('Design Fee'!AW28&gt;0,2,"-")</f>
        <v>-</v>
      </c>
      <c r="AQ28" s="386" t="str">
        <f>IF('Design Fee'!AX28&gt;0,2,"-")</f>
        <v>-</v>
      </c>
      <c r="AR28" s="386" t="str">
        <f>IF('Design Fee'!AY28&gt;0,2,"-")</f>
        <v>-</v>
      </c>
      <c r="AS28" s="386" t="str">
        <f>IF('Design Fee'!BA28&gt;0,2,"-")</f>
        <v>-</v>
      </c>
      <c r="AT28" s="386" t="str">
        <f>IF('Design Fee'!BB28&gt;0,2,"-")</f>
        <v>-</v>
      </c>
      <c r="AU28" s="386" t="str">
        <f>IF('Design Fee'!BC28&gt;0,2,"-")</f>
        <v>-</v>
      </c>
      <c r="AV28" s="386" t="str">
        <f>IF('Design Fee'!BD28&gt;0,2,"-")</f>
        <v>-</v>
      </c>
      <c r="AW28" s="386" t="str">
        <f>IF('Design Fee'!BE28&gt;0,2,"-")</f>
        <v>-</v>
      </c>
      <c r="AX28" s="195"/>
      <c r="AY28" s="196"/>
      <c r="AZ28" s="388"/>
      <c r="BA28" s="328" t="str">
        <f>IF('Design Fee'!CB28&gt;0,2,"-")</f>
        <v>-</v>
      </c>
      <c r="BB28" s="386" t="str">
        <f>IF('Design Fee'!CD28&gt;0,2,"-")</f>
        <v>-</v>
      </c>
      <c r="BC28" s="386" t="str">
        <f>IF('Design Fee'!CE28&gt;0,2,"-")</f>
        <v>-</v>
      </c>
      <c r="BD28" s="386" t="str">
        <f>IF('Design Fee'!CF28&gt;0,2,"-")</f>
        <v>-</v>
      </c>
      <c r="BE28" s="386" t="str">
        <f>IF('Design Fee'!CG28&gt;0,2,"-")</f>
        <v>-</v>
      </c>
      <c r="BF28" s="386" t="str">
        <f>IF('Design Fee'!CH28&gt;0,2,"-")</f>
        <v>-</v>
      </c>
      <c r="BG28" s="386" t="str">
        <f>IF('Design Fee'!CI28&gt;0,2,"-")</f>
        <v>-</v>
      </c>
      <c r="BH28" s="386" t="str">
        <f>IF('Design Fee'!CK28&gt;0,2,"-")</f>
        <v>-</v>
      </c>
      <c r="BI28" s="386" t="str">
        <f>IF('Design Fee'!CL28&gt;0,2,"-")</f>
        <v>-</v>
      </c>
      <c r="BJ28" s="386" t="str">
        <f>IF('Design Fee'!CM28&gt;0,2,"-")</f>
        <v>-</v>
      </c>
      <c r="BK28" s="386" t="str">
        <f>IF('Design Fee'!CN28&gt;0,2,"-")</f>
        <v>-</v>
      </c>
      <c r="BL28" s="386" t="str">
        <f>IF('Design Fee'!CO28&gt;0,2,"-")</f>
        <v>-</v>
      </c>
      <c r="BM28" s="195"/>
      <c r="BN28" s="196"/>
      <c r="BO28" s="388"/>
      <c r="BP28" s="328" t="str">
        <f>IF('Design Fee'!DL28&gt;0,2,"-")</f>
        <v>-</v>
      </c>
      <c r="BQ28" s="386" t="str">
        <f>IF('Design Fee'!DN28&gt;0,2,"-")</f>
        <v>-</v>
      </c>
      <c r="BR28" s="386" t="str">
        <f>IF('Design Fee'!DO28&gt;0,2,"-")</f>
        <v>-</v>
      </c>
      <c r="BS28" s="386" t="str">
        <f>IF('Design Fee'!DP28&gt;0,2,"-")</f>
        <v>-</v>
      </c>
      <c r="BT28" s="386" t="str">
        <f>IF('Design Fee'!DQ28&gt;0,2,"-")</f>
        <v>-</v>
      </c>
      <c r="BU28" s="386" t="str">
        <f>IF('Design Fee'!DR28&gt;0,2,"-")</f>
        <v>-</v>
      </c>
      <c r="BV28" s="386" t="str">
        <f>IF('Design Fee'!DS28&gt;0,2,"-")</f>
        <v>-</v>
      </c>
      <c r="BW28" s="386" t="str">
        <f>IF('Design Fee'!DU28&gt;0,2,"-")</f>
        <v>-</v>
      </c>
      <c r="BX28" s="386" t="str">
        <f>IF('Design Fee'!DV28&gt;0,2,"-")</f>
        <v>-</v>
      </c>
      <c r="BY28" s="386" t="str">
        <f>IF('Design Fee'!DW28&gt;0,2,"-")</f>
        <v>-</v>
      </c>
      <c r="BZ28" s="386" t="str">
        <f>IF('Design Fee'!DX28&gt;0,2,"-")</f>
        <v>-</v>
      </c>
      <c r="CA28" s="386" t="str">
        <f>IF('Design Fee'!DY28&gt;0,2,"-")</f>
        <v>-</v>
      </c>
      <c r="CB28" s="195"/>
    </row>
    <row r="29" spans="1:80" ht="3" customHeight="1" outlineLevel="1">
      <c r="A29" s="112"/>
      <c r="B29" s="113"/>
      <c r="C29" s="113"/>
      <c r="D29" s="114"/>
      <c r="E29" s="114"/>
      <c r="F29" s="115"/>
      <c r="G29" s="116"/>
      <c r="H29" s="124"/>
      <c r="I29" s="124"/>
      <c r="J29" s="124"/>
      <c r="K29" s="125"/>
      <c r="L29" s="125"/>
      <c r="M29" s="125"/>
      <c r="N29" s="125"/>
      <c r="O29" s="125"/>
      <c r="P29" s="125"/>
      <c r="Q29" s="125"/>
      <c r="R29" s="125"/>
      <c r="S29" s="125"/>
      <c r="T29" s="327"/>
      <c r="U29" s="327"/>
      <c r="V29" s="327"/>
      <c r="W29" s="327"/>
      <c r="X29" s="327"/>
      <c r="Y29" s="327"/>
      <c r="Z29" s="327"/>
      <c r="AA29" s="327"/>
      <c r="AB29" s="327"/>
      <c r="AC29" s="327"/>
      <c r="AD29" s="327"/>
      <c r="AE29" s="327"/>
      <c r="AF29" s="327"/>
      <c r="AG29" s="327"/>
      <c r="AH29" s="327"/>
      <c r="AI29" s="327"/>
      <c r="AJ29" s="327"/>
      <c r="AK29" s="327"/>
      <c r="AL29" s="327"/>
      <c r="AM29" s="327"/>
      <c r="AN29" s="327"/>
      <c r="AO29" s="327"/>
      <c r="AP29" s="327"/>
      <c r="AQ29" s="327"/>
      <c r="AR29" s="327"/>
      <c r="AS29" s="327"/>
      <c r="AT29" s="327"/>
      <c r="AU29" s="327"/>
      <c r="AV29" s="327"/>
      <c r="AW29" s="327"/>
      <c r="AX29" s="327"/>
      <c r="AY29" s="327"/>
      <c r="AZ29" s="327"/>
      <c r="BA29" s="327"/>
      <c r="BB29" s="327"/>
      <c r="BC29" s="327"/>
      <c r="BD29" s="327"/>
      <c r="BE29" s="327"/>
      <c r="BF29" s="327"/>
      <c r="BG29" s="327"/>
      <c r="BH29" s="327"/>
      <c r="BI29" s="327"/>
      <c r="BJ29" s="327"/>
      <c r="BK29" s="327"/>
      <c r="BL29" s="327"/>
      <c r="BM29" s="327"/>
      <c r="BN29" s="327"/>
      <c r="BO29" s="327"/>
      <c r="BP29" s="327"/>
      <c r="BQ29" s="327"/>
      <c r="BR29" s="327"/>
      <c r="BS29" s="327"/>
      <c r="BT29" s="327"/>
      <c r="BU29" s="327"/>
      <c r="BV29" s="327"/>
      <c r="BW29" s="327"/>
      <c r="BX29" s="327"/>
      <c r="BY29" s="327"/>
      <c r="BZ29" s="327"/>
      <c r="CA29" s="327"/>
      <c r="CB29" s="347"/>
    </row>
    <row r="30" spans="1:80" ht="11.85" customHeight="1" outlineLevel="1" collapsed="1">
      <c r="A30" s="112"/>
      <c r="B30" s="147">
        <v>3</v>
      </c>
      <c r="C30" s="212">
        <v>4</v>
      </c>
      <c r="D30" s="211" t="s">
        <v>29</v>
      </c>
      <c r="E30" s="150"/>
      <c r="F30" s="188"/>
      <c r="G30" s="188"/>
      <c r="H30" s="189"/>
      <c r="I30" s="189"/>
      <c r="J30" s="189"/>
      <c r="K30" s="385"/>
      <c r="L30" s="385"/>
      <c r="M30" s="385"/>
      <c r="N30" s="385"/>
      <c r="O30" s="385"/>
      <c r="P30" s="385"/>
      <c r="Q30" s="385"/>
      <c r="R30" s="385"/>
      <c r="S30" s="385"/>
      <c r="T30" s="191"/>
      <c r="U30" s="188"/>
      <c r="V30" s="188"/>
      <c r="W30" s="189">
        <f>IF('Design Fee'!H30&gt;0,2,"-")</f>
        <v>2</v>
      </c>
      <c r="X30" s="385">
        <f>IF('Design Fee'!J30&gt;0,2,"-")</f>
        <v>2</v>
      </c>
      <c r="Y30" s="385" t="str">
        <f>IF('Design Fee'!K30&gt;0,2,"-")</f>
        <v>-</v>
      </c>
      <c r="Z30" s="385" t="str">
        <f>IF('Design Fee'!L30&gt;0,2,"-")</f>
        <v>-</v>
      </c>
      <c r="AA30" s="385" t="str">
        <f>IF('Design Fee'!M30&gt;0,2,"-")</f>
        <v>-</v>
      </c>
      <c r="AB30" s="385" t="str">
        <f>IF('Design Fee'!N30&gt;0,2,"-")</f>
        <v>-</v>
      </c>
      <c r="AC30" s="385" t="str">
        <f>IF('Design Fee'!O30&gt;0,2,"-")</f>
        <v>-</v>
      </c>
      <c r="AD30" s="385" t="str">
        <f>IF('Design Fee'!Q30&gt;0,2,"-")</f>
        <v>-</v>
      </c>
      <c r="AE30" s="385" t="str">
        <f>IF('Design Fee'!R30&gt;0,2,"-")</f>
        <v>-</v>
      </c>
      <c r="AF30" s="385" t="str">
        <f>IF('Design Fee'!S30&gt;0,2,"-")</f>
        <v>-</v>
      </c>
      <c r="AG30" s="385" t="str">
        <f>IF('Design Fee'!T30&gt;0,2,"-")</f>
        <v>-</v>
      </c>
      <c r="AH30" s="385" t="str">
        <f>IF('Design Fee'!U30&gt;0,2,"-")</f>
        <v>-</v>
      </c>
      <c r="AI30" s="191"/>
      <c r="AJ30" s="188"/>
      <c r="AK30" s="188"/>
      <c r="AL30" s="203" t="str">
        <f>IF('Design Fee'!AR30&gt;0,2,"-")</f>
        <v>-</v>
      </c>
      <c r="AM30" s="385" t="str">
        <f>IF('Design Fee'!AT30&gt;0,2,"-")</f>
        <v>-</v>
      </c>
      <c r="AN30" s="385" t="str">
        <f>IF('Design Fee'!AU30&gt;0,2,"-")</f>
        <v>-</v>
      </c>
      <c r="AO30" s="385" t="str">
        <f>IF('Design Fee'!AV30&gt;0,2,"-")</f>
        <v>-</v>
      </c>
      <c r="AP30" s="385" t="str">
        <f>IF('Design Fee'!AW30&gt;0,2,"-")</f>
        <v>-</v>
      </c>
      <c r="AQ30" s="385" t="str">
        <f>IF('Design Fee'!AX30&gt;0,2,"-")</f>
        <v>-</v>
      </c>
      <c r="AR30" s="385" t="str">
        <f>IF('Design Fee'!AY30&gt;0,2,"-")</f>
        <v>-</v>
      </c>
      <c r="AS30" s="385" t="str">
        <f>IF('Design Fee'!BA30&gt;0,2,"-")</f>
        <v>-</v>
      </c>
      <c r="AT30" s="385" t="str">
        <f>IF('Design Fee'!BB30&gt;0,2,"-")</f>
        <v>-</v>
      </c>
      <c r="AU30" s="385" t="str">
        <f>IF('Design Fee'!BC30&gt;0,2,"-")</f>
        <v>-</v>
      </c>
      <c r="AV30" s="385" t="str">
        <f>IF('Design Fee'!BD30&gt;0,2,"-")</f>
        <v>-</v>
      </c>
      <c r="AW30" s="385" t="str">
        <f>IF('Design Fee'!BE30&gt;0,2,"-")</f>
        <v>-</v>
      </c>
      <c r="AX30" s="191"/>
      <c r="AY30" s="188"/>
      <c r="AZ30" s="188"/>
      <c r="BA30" s="189">
        <f>IF('Design Fee'!CB30&gt;0,2,"-")</f>
        <v>2</v>
      </c>
      <c r="BB30" s="385">
        <f>IF('Design Fee'!CD30&gt;0,2,"-")</f>
        <v>2</v>
      </c>
      <c r="BC30" s="385" t="str">
        <f>IF('Design Fee'!CE30&gt;0,2,"-")</f>
        <v>-</v>
      </c>
      <c r="BD30" s="385" t="str">
        <f>IF('Design Fee'!CF30&gt;0,2,"-")</f>
        <v>-</v>
      </c>
      <c r="BE30" s="385" t="str">
        <f>IF('Design Fee'!CG30&gt;0,2,"-")</f>
        <v>-</v>
      </c>
      <c r="BF30" s="385" t="str">
        <f>IF('Design Fee'!CH30&gt;0,2,"-")</f>
        <v>-</v>
      </c>
      <c r="BG30" s="385" t="str">
        <f>IF('Design Fee'!CI30&gt;0,2,"-")</f>
        <v>-</v>
      </c>
      <c r="BH30" s="385" t="str">
        <f>IF('Design Fee'!CK30&gt;0,2,"-")</f>
        <v>-</v>
      </c>
      <c r="BI30" s="385" t="str">
        <f>IF('Design Fee'!CL30&gt;0,2,"-")</f>
        <v>-</v>
      </c>
      <c r="BJ30" s="385" t="str">
        <f>IF('Design Fee'!CM30&gt;0,2,"-")</f>
        <v>-</v>
      </c>
      <c r="BK30" s="385" t="str">
        <f>IF('Design Fee'!CN30&gt;0,2,"-")</f>
        <v>-</v>
      </c>
      <c r="BL30" s="385" t="str">
        <f>IF('Design Fee'!CO30&gt;0,2,"-")</f>
        <v>-</v>
      </c>
      <c r="BM30" s="191"/>
      <c r="BN30" s="188"/>
      <c r="BO30" s="188"/>
      <c r="BP30" s="189">
        <f>IF('Design Fee'!DL30&gt;0,2,"-")</f>
        <v>2</v>
      </c>
      <c r="BQ30" s="385">
        <f>IF('Design Fee'!DN30&gt;0,2,"-")</f>
        <v>2</v>
      </c>
      <c r="BR30" s="385" t="str">
        <f>IF('Design Fee'!DO30&gt;0,2,"-")</f>
        <v>-</v>
      </c>
      <c r="BS30" s="385" t="str">
        <f>IF('Design Fee'!DP30&gt;0,2,"-")</f>
        <v>-</v>
      </c>
      <c r="BT30" s="385" t="str">
        <f>IF('Design Fee'!DQ30&gt;0,2,"-")</f>
        <v>-</v>
      </c>
      <c r="BU30" s="385" t="str">
        <f>IF('Design Fee'!DR30&gt;0,2,"-")</f>
        <v>-</v>
      </c>
      <c r="BV30" s="385" t="str">
        <f>IF('Design Fee'!DS30&gt;0,2,"-")</f>
        <v>-</v>
      </c>
      <c r="BW30" s="385" t="str">
        <f>IF('Design Fee'!DU30&gt;0,2,"-")</f>
        <v>-</v>
      </c>
      <c r="BX30" s="385" t="str">
        <f>IF('Design Fee'!DV30&gt;0,2,"-")</f>
        <v>-</v>
      </c>
      <c r="BY30" s="385" t="str">
        <f>IF('Design Fee'!DW30&gt;0,2,"-")</f>
        <v>-</v>
      </c>
      <c r="BZ30" s="385" t="str">
        <f>IF('Design Fee'!DX30&gt;0,2,"-")</f>
        <v>-</v>
      </c>
      <c r="CA30" s="385" t="str">
        <f>IF('Design Fee'!DY30&gt;0,2,"-")</f>
        <v>-</v>
      </c>
      <c r="CB30" s="349"/>
    </row>
    <row r="31" spans="1:80" ht="11.85" hidden="1" customHeight="1" outlineLevel="2">
      <c r="A31" s="112"/>
      <c r="B31" s="153">
        <v>1</v>
      </c>
      <c r="C31" s="213">
        <v>1</v>
      </c>
      <c r="D31" s="214" t="s">
        <v>30</v>
      </c>
      <c r="E31" s="114"/>
      <c r="F31" s="197"/>
      <c r="G31" s="194"/>
      <c r="H31" s="328"/>
      <c r="I31" s="328"/>
      <c r="J31" s="328"/>
      <c r="K31" s="386"/>
      <c r="L31" s="386"/>
      <c r="M31" s="386"/>
      <c r="N31" s="386"/>
      <c r="O31" s="386"/>
      <c r="P31" s="386"/>
      <c r="Q31" s="386"/>
      <c r="R31" s="386"/>
      <c r="S31" s="386"/>
      <c r="T31" s="195"/>
      <c r="U31" s="197"/>
      <c r="V31" s="194"/>
      <c r="W31" s="328" t="str">
        <f>IF('Design Fee'!H31&gt;0,2,"-")</f>
        <v>-</v>
      </c>
      <c r="X31" s="386" t="str">
        <f>IF('Design Fee'!J31&gt;0,2,"-")</f>
        <v>-</v>
      </c>
      <c r="Y31" s="386" t="str">
        <f>IF('Design Fee'!K31&gt;0,2,"-")</f>
        <v>-</v>
      </c>
      <c r="Z31" s="386" t="str">
        <f>IF('Design Fee'!L31&gt;0,2,"-")</f>
        <v>-</v>
      </c>
      <c r="AA31" s="386" t="str">
        <f>IF('Design Fee'!M31&gt;0,2,"-")</f>
        <v>-</v>
      </c>
      <c r="AB31" s="386" t="str">
        <f>IF('Design Fee'!N31&gt;0,2,"-")</f>
        <v>-</v>
      </c>
      <c r="AC31" s="386" t="str">
        <f>IF('Design Fee'!O31&gt;0,2,"-")</f>
        <v>-</v>
      </c>
      <c r="AD31" s="386" t="str">
        <f>IF('Design Fee'!Q31&gt;0,2,"-")</f>
        <v>-</v>
      </c>
      <c r="AE31" s="386" t="str">
        <f>IF('Design Fee'!R31&gt;0,2,"-")</f>
        <v>-</v>
      </c>
      <c r="AF31" s="386" t="str">
        <f>IF('Design Fee'!S31&gt;0,2,"-")</f>
        <v>-</v>
      </c>
      <c r="AG31" s="386" t="str">
        <f>IF('Design Fee'!T31&gt;0,2,"-")</f>
        <v>-</v>
      </c>
      <c r="AH31" s="386" t="str">
        <f>IF('Design Fee'!U31&gt;0,2,"-")</f>
        <v>-</v>
      </c>
      <c r="AI31" s="195"/>
      <c r="AJ31" s="197"/>
      <c r="AK31" s="387"/>
      <c r="AL31" s="201" t="str">
        <f>IF('Design Fee'!AR31&gt;0,2,"-")</f>
        <v>-</v>
      </c>
      <c r="AM31" s="386" t="str">
        <f>IF('Design Fee'!AT31&gt;0,2,"-")</f>
        <v>-</v>
      </c>
      <c r="AN31" s="386" t="str">
        <f>IF('Design Fee'!AU31&gt;0,2,"-")</f>
        <v>-</v>
      </c>
      <c r="AO31" s="386" t="str">
        <f>IF('Design Fee'!AV31&gt;0,2,"-")</f>
        <v>-</v>
      </c>
      <c r="AP31" s="386" t="str">
        <f>IF('Design Fee'!AW31&gt;0,2,"-")</f>
        <v>-</v>
      </c>
      <c r="AQ31" s="386" t="str">
        <f>IF('Design Fee'!AX31&gt;0,2,"-")</f>
        <v>-</v>
      </c>
      <c r="AR31" s="386" t="str">
        <f>IF('Design Fee'!AY31&gt;0,2,"-")</f>
        <v>-</v>
      </c>
      <c r="AS31" s="386" t="str">
        <f>IF('Design Fee'!BA31&gt;0,2,"-")</f>
        <v>-</v>
      </c>
      <c r="AT31" s="386" t="str">
        <f>IF('Design Fee'!BB31&gt;0,2,"-")</f>
        <v>-</v>
      </c>
      <c r="AU31" s="386" t="str">
        <f>IF('Design Fee'!BC31&gt;0,2,"-")</f>
        <v>-</v>
      </c>
      <c r="AV31" s="386" t="str">
        <f>IF('Design Fee'!BD31&gt;0,2,"-")</f>
        <v>-</v>
      </c>
      <c r="AW31" s="386" t="str">
        <f>IF('Design Fee'!BE31&gt;0,2,"-")</f>
        <v>-</v>
      </c>
      <c r="AX31" s="195"/>
      <c r="AY31" s="197"/>
      <c r="AZ31" s="387"/>
      <c r="BA31" s="328" t="str">
        <f>IF('Design Fee'!CB31&gt;0,2,"-")</f>
        <v>-</v>
      </c>
      <c r="BB31" s="386" t="str">
        <f>IF('Design Fee'!CD31&gt;0,2,"-")</f>
        <v>-</v>
      </c>
      <c r="BC31" s="386" t="str">
        <f>IF('Design Fee'!CE31&gt;0,2,"-")</f>
        <v>-</v>
      </c>
      <c r="BD31" s="386" t="str">
        <f>IF('Design Fee'!CF31&gt;0,2,"-")</f>
        <v>-</v>
      </c>
      <c r="BE31" s="386" t="str">
        <f>IF('Design Fee'!CG31&gt;0,2,"-")</f>
        <v>-</v>
      </c>
      <c r="BF31" s="386" t="str">
        <f>IF('Design Fee'!CH31&gt;0,2,"-")</f>
        <v>-</v>
      </c>
      <c r="BG31" s="386" t="str">
        <f>IF('Design Fee'!CI31&gt;0,2,"-")</f>
        <v>-</v>
      </c>
      <c r="BH31" s="386" t="str">
        <f>IF('Design Fee'!CK31&gt;0,2,"-")</f>
        <v>-</v>
      </c>
      <c r="BI31" s="386" t="str">
        <f>IF('Design Fee'!CL31&gt;0,2,"-")</f>
        <v>-</v>
      </c>
      <c r="BJ31" s="386" t="str">
        <f>IF('Design Fee'!CM31&gt;0,2,"-")</f>
        <v>-</v>
      </c>
      <c r="BK31" s="386" t="str">
        <f>IF('Design Fee'!CN31&gt;0,2,"-")</f>
        <v>-</v>
      </c>
      <c r="BL31" s="386" t="str">
        <f>IF('Design Fee'!CO31&gt;0,2,"-")</f>
        <v>-</v>
      </c>
      <c r="BM31" s="195"/>
      <c r="BN31" s="197"/>
      <c r="BO31" s="387"/>
      <c r="BP31" s="328" t="str">
        <f>IF('Design Fee'!DL31&gt;0,2,"-")</f>
        <v>-</v>
      </c>
      <c r="BQ31" s="386" t="str">
        <f>IF('Design Fee'!DN31&gt;0,2,"-")</f>
        <v>-</v>
      </c>
      <c r="BR31" s="386" t="str">
        <f>IF('Design Fee'!DO31&gt;0,2,"-")</f>
        <v>-</v>
      </c>
      <c r="BS31" s="386" t="str">
        <f>IF('Design Fee'!DP31&gt;0,2,"-")</f>
        <v>-</v>
      </c>
      <c r="BT31" s="386" t="str">
        <f>IF('Design Fee'!DQ31&gt;0,2,"-")</f>
        <v>-</v>
      </c>
      <c r="BU31" s="386" t="str">
        <f>IF('Design Fee'!DR31&gt;0,2,"-")</f>
        <v>-</v>
      </c>
      <c r="BV31" s="386" t="str">
        <f>IF('Design Fee'!DS31&gt;0,2,"-")</f>
        <v>-</v>
      </c>
      <c r="BW31" s="386" t="str">
        <f>IF('Design Fee'!DU31&gt;0,2,"-")</f>
        <v>-</v>
      </c>
      <c r="BX31" s="386" t="str">
        <f>IF('Design Fee'!DV31&gt;0,2,"-")</f>
        <v>-</v>
      </c>
      <c r="BY31" s="386" t="str">
        <f>IF('Design Fee'!DW31&gt;0,2,"-")</f>
        <v>-</v>
      </c>
      <c r="BZ31" s="386" t="str">
        <f>IF('Design Fee'!DX31&gt;0,2,"-")</f>
        <v>-</v>
      </c>
      <c r="CA31" s="386" t="str">
        <f>IF('Design Fee'!DY31&gt;0,2,"-")</f>
        <v>-</v>
      </c>
      <c r="CB31" s="195"/>
    </row>
    <row r="32" spans="1:80" ht="11.85" hidden="1" customHeight="1" outlineLevel="2">
      <c r="A32" s="112"/>
      <c r="B32" s="153">
        <v>1</v>
      </c>
      <c r="C32" s="213">
        <v>2</v>
      </c>
      <c r="D32" s="214" t="s">
        <v>31</v>
      </c>
      <c r="E32" s="114"/>
      <c r="F32" s="197"/>
      <c r="G32" s="194"/>
      <c r="H32" s="328"/>
      <c r="I32" s="328"/>
      <c r="J32" s="328"/>
      <c r="K32" s="386"/>
      <c r="L32" s="386"/>
      <c r="M32" s="386"/>
      <c r="N32" s="386"/>
      <c r="O32" s="386"/>
      <c r="P32" s="386"/>
      <c r="Q32" s="386"/>
      <c r="R32" s="386"/>
      <c r="S32" s="386"/>
      <c r="T32" s="195"/>
      <c r="U32" s="197"/>
      <c r="V32" s="194"/>
      <c r="W32" s="328" t="str">
        <f>IF('Design Fee'!H32&gt;0,2,"-")</f>
        <v>-</v>
      </c>
      <c r="X32" s="386" t="str">
        <f>IF('Design Fee'!J32&gt;0,2,"-")</f>
        <v>-</v>
      </c>
      <c r="Y32" s="386" t="str">
        <f>IF('Design Fee'!K32&gt;0,2,"-")</f>
        <v>-</v>
      </c>
      <c r="Z32" s="386" t="str">
        <f>IF('Design Fee'!L32&gt;0,2,"-")</f>
        <v>-</v>
      </c>
      <c r="AA32" s="386" t="str">
        <f>IF('Design Fee'!M32&gt;0,2,"-")</f>
        <v>-</v>
      </c>
      <c r="AB32" s="386" t="str">
        <f>IF('Design Fee'!N32&gt;0,2,"-")</f>
        <v>-</v>
      </c>
      <c r="AC32" s="386" t="str">
        <f>IF('Design Fee'!O32&gt;0,2,"-")</f>
        <v>-</v>
      </c>
      <c r="AD32" s="386" t="str">
        <f>IF('Design Fee'!Q32&gt;0,2,"-")</f>
        <v>-</v>
      </c>
      <c r="AE32" s="386" t="str">
        <f>IF('Design Fee'!R32&gt;0,2,"-")</f>
        <v>-</v>
      </c>
      <c r="AF32" s="386" t="str">
        <f>IF('Design Fee'!S32&gt;0,2,"-")</f>
        <v>-</v>
      </c>
      <c r="AG32" s="386" t="str">
        <f>IF('Design Fee'!T32&gt;0,2,"-")</f>
        <v>-</v>
      </c>
      <c r="AH32" s="386" t="str">
        <f>IF('Design Fee'!U32&gt;0,2,"-")</f>
        <v>-</v>
      </c>
      <c r="AI32" s="195"/>
      <c r="AJ32" s="197"/>
      <c r="AK32" s="387"/>
      <c r="AL32" s="201" t="str">
        <f>IF('Design Fee'!AR32&gt;0,2,"-")</f>
        <v>-</v>
      </c>
      <c r="AM32" s="386" t="str">
        <f>IF('Design Fee'!AT32&gt;0,2,"-")</f>
        <v>-</v>
      </c>
      <c r="AN32" s="386" t="str">
        <f>IF('Design Fee'!AU32&gt;0,2,"-")</f>
        <v>-</v>
      </c>
      <c r="AO32" s="386" t="str">
        <f>IF('Design Fee'!AV32&gt;0,2,"-")</f>
        <v>-</v>
      </c>
      <c r="AP32" s="386" t="str">
        <f>IF('Design Fee'!AW32&gt;0,2,"-")</f>
        <v>-</v>
      </c>
      <c r="AQ32" s="386" t="str">
        <f>IF('Design Fee'!AX32&gt;0,2,"-")</f>
        <v>-</v>
      </c>
      <c r="AR32" s="386" t="str">
        <f>IF('Design Fee'!AY32&gt;0,2,"-")</f>
        <v>-</v>
      </c>
      <c r="AS32" s="386" t="str">
        <f>IF('Design Fee'!BA32&gt;0,2,"-")</f>
        <v>-</v>
      </c>
      <c r="AT32" s="386" t="str">
        <f>IF('Design Fee'!BB32&gt;0,2,"-")</f>
        <v>-</v>
      </c>
      <c r="AU32" s="386" t="str">
        <f>IF('Design Fee'!BC32&gt;0,2,"-")</f>
        <v>-</v>
      </c>
      <c r="AV32" s="386" t="str">
        <f>IF('Design Fee'!BD32&gt;0,2,"-")</f>
        <v>-</v>
      </c>
      <c r="AW32" s="386" t="str">
        <f>IF('Design Fee'!BE32&gt;0,2,"-")</f>
        <v>-</v>
      </c>
      <c r="AX32" s="195"/>
      <c r="AY32" s="197"/>
      <c r="AZ32" s="387"/>
      <c r="BA32" s="328" t="str">
        <f>IF('Design Fee'!CB32&gt;0,2,"-")</f>
        <v>-</v>
      </c>
      <c r="BB32" s="386" t="str">
        <f>IF('Design Fee'!CD32&gt;0,2,"-")</f>
        <v>-</v>
      </c>
      <c r="BC32" s="386" t="str">
        <f>IF('Design Fee'!CE32&gt;0,2,"-")</f>
        <v>-</v>
      </c>
      <c r="BD32" s="386" t="str">
        <f>IF('Design Fee'!CF32&gt;0,2,"-")</f>
        <v>-</v>
      </c>
      <c r="BE32" s="386" t="str">
        <f>IF('Design Fee'!CG32&gt;0,2,"-")</f>
        <v>-</v>
      </c>
      <c r="BF32" s="386" t="str">
        <f>IF('Design Fee'!CH32&gt;0,2,"-")</f>
        <v>-</v>
      </c>
      <c r="BG32" s="386" t="str">
        <f>IF('Design Fee'!CI32&gt;0,2,"-")</f>
        <v>-</v>
      </c>
      <c r="BH32" s="386" t="str">
        <f>IF('Design Fee'!CK32&gt;0,2,"-")</f>
        <v>-</v>
      </c>
      <c r="BI32" s="386" t="str">
        <f>IF('Design Fee'!CL32&gt;0,2,"-")</f>
        <v>-</v>
      </c>
      <c r="BJ32" s="386" t="str">
        <f>IF('Design Fee'!CM32&gt;0,2,"-")</f>
        <v>-</v>
      </c>
      <c r="BK32" s="386" t="str">
        <f>IF('Design Fee'!CN32&gt;0,2,"-")</f>
        <v>-</v>
      </c>
      <c r="BL32" s="386" t="str">
        <f>IF('Design Fee'!CO32&gt;0,2,"-")</f>
        <v>-</v>
      </c>
      <c r="BM32" s="195"/>
      <c r="BN32" s="197"/>
      <c r="BO32" s="387"/>
      <c r="BP32" s="328" t="str">
        <f>IF('Design Fee'!DL32&gt;0,2,"-")</f>
        <v>-</v>
      </c>
      <c r="BQ32" s="386" t="str">
        <f>IF('Design Fee'!DN32&gt;0,2,"-")</f>
        <v>-</v>
      </c>
      <c r="BR32" s="386" t="str">
        <f>IF('Design Fee'!DO32&gt;0,2,"-")</f>
        <v>-</v>
      </c>
      <c r="BS32" s="386" t="str">
        <f>IF('Design Fee'!DP32&gt;0,2,"-")</f>
        <v>-</v>
      </c>
      <c r="BT32" s="386" t="str">
        <f>IF('Design Fee'!DQ32&gt;0,2,"-")</f>
        <v>-</v>
      </c>
      <c r="BU32" s="386" t="str">
        <f>IF('Design Fee'!DR32&gt;0,2,"-")</f>
        <v>-</v>
      </c>
      <c r="BV32" s="386" t="str">
        <f>IF('Design Fee'!DS32&gt;0,2,"-")</f>
        <v>-</v>
      </c>
      <c r="BW32" s="386" t="str">
        <f>IF('Design Fee'!DU32&gt;0,2,"-")</f>
        <v>-</v>
      </c>
      <c r="BX32" s="386" t="str">
        <f>IF('Design Fee'!DV32&gt;0,2,"-")</f>
        <v>-</v>
      </c>
      <c r="BY32" s="386" t="str">
        <f>IF('Design Fee'!DW32&gt;0,2,"-")</f>
        <v>-</v>
      </c>
      <c r="BZ32" s="386" t="str">
        <f>IF('Design Fee'!DX32&gt;0,2,"-")</f>
        <v>-</v>
      </c>
      <c r="CA32" s="386" t="str">
        <f>IF('Design Fee'!DY32&gt;0,2,"-")</f>
        <v>-</v>
      </c>
      <c r="CB32" s="195"/>
    </row>
    <row r="33" spans="1:80" ht="11.85" hidden="1" customHeight="1" outlineLevel="2">
      <c r="A33" s="112"/>
      <c r="B33" s="153">
        <v>2</v>
      </c>
      <c r="C33" s="213">
        <v>3</v>
      </c>
      <c r="D33" s="214" t="s">
        <v>32</v>
      </c>
      <c r="E33" s="114"/>
      <c r="F33" s="197"/>
      <c r="G33" s="194"/>
      <c r="H33" s="328"/>
      <c r="I33" s="328"/>
      <c r="J33" s="328"/>
      <c r="K33" s="386"/>
      <c r="L33" s="386"/>
      <c r="M33" s="386"/>
      <c r="N33" s="386"/>
      <c r="O33" s="386"/>
      <c r="P33" s="386"/>
      <c r="Q33" s="386"/>
      <c r="R33" s="386"/>
      <c r="S33" s="386"/>
      <c r="T33" s="195"/>
      <c r="U33" s="197"/>
      <c r="V33" s="194"/>
      <c r="W33" s="328" t="str">
        <f>IF('Design Fee'!H33&gt;0,2,"-")</f>
        <v>-</v>
      </c>
      <c r="X33" s="386" t="str">
        <f>IF('Design Fee'!J33&gt;0,2,"-")</f>
        <v>-</v>
      </c>
      <c r="Y33" s="386" t="str">
        <f>IF('Design Fee'!K33&gt;0,2,"-")</f>
        <v>-</v>
      </c>
      <c r="Z33" s="386" t="str">
        <f>IF('Design Fee'!L33&gt;0,2,"-")</f>
        <v>-</v>
      </c>
      <c r="AA33" s="386" t="str">
        <f>IF('Design Fee'!M33&gt;0,2,"-")</f>
        <v>-</v>
      </c>
      <c r="AB33" s="386" t="str">
        <f>IF('Design Fee'!N33&gt;0,2,"-")</f>
        <v>-</v>
      </c>
      <c r="AC33" s="386" t="str">
        <f>IF('Design Fee'!O33&gt;0,2,"-")</f>
        <v>-</v>
      </c>
      <c r="AD33" s="386" t="str">
        <f>IF('Design Fee'!Q33&gt;0,2,"-")</f>
        <v>-</v>
      </c>
      <c r="AE33" s="386" t="str">
        <f>IF('Design Fee'!R33&gt;0,2,"-")</f>
        <v>-</v>
      </c>
      <c r="AF33" s="386" t="str">
        <f>IF('Design Fee'!S33&gt;0,2,"-")</f>
        <v>-</v>
      </c>
      <c r="AG33" s="386" t="str">
        <f>IF('Design Fee'!T33&gt;0,2,"-")</f>
        <v>-</v>
      </c>
      <c r="AH33" s="386" t="str">
        <f>IF('Design Fee'!U33&gt;0,2,"-")</f>
        <v>-</v>
      </c>
      <c r="AI33" s="195"/>
      <c r="AJ33" s="197"/>
      <c r="AK33" s="387"/>
      <c r="AL33" s="201" t="str">
        <f>IF('Design Fee'!AR33&gt;0,2,"-")</f>
        <v>-</v>
      </c>
      <c r="AM33" s="386" t="str">
        <f>IF('Design Fee'!AT33&gt;0,2,"-")</f>
        <v>-</v>
      </c>
      <c r="AN33" s="386" t="str">
        <f>IF('Design Fee'!AU33&gt;0,2,"-")</f>
        <v>-</v>
      </c>
      <c r="AO33" s="386" t="str">
        <f>IF('Design Fee'!AV33&gt;0,2,"-")</f>
        <v>-</v>
      </c>
      <c r="AP33" s="386" t="str">
        <f>IF('Design Fee'!AW33&gt;0,2,"-")</f>
        <v>-</v>
      </c>
      <c r="AQ33" s="386" t="str">
        <f>IF('Design Fee'!AX33&gt;0,2,"-")</f>
        <v>-</v>
      </c>
      <c r="AR33" s="386" t="str">
        <f>IF('Design Fee'!AY33&gt;0,2,"-")</f>
        <v>-</v>
      </c>
      <c r="AS33" s="386" t="str">
        <f>IF('Design Fee'!BA33&gt;0,2,"-")</f>
        <v>-</v>
      </c>
      <c r="AT33" s="386" t="str">
        <f>IF('Design Fee'!BB33&gt;0,2,"-")</f>
        <v>-</v>
      </c>
      <c r="AU33" s="386" t="str">
        <f>IF('Design Fee'!BC33&gt;0,2,"-")</f>
        <v>-</v>
      </c>
      <c r="AV33" s="386" t="str">
        <f>IF('Design Fee'!BD33&gt;0,2,"-")</f>
        <v>-</v>
      </c>
      <c r="AW33" s="386" t="str">
        <f>IF('Design Fee'!BE33&gt;0,2,"-")</f>
        <v>-</v>
      </c>
      <c r="AX33" s="195"/>
      <c r="AY33" s="197"/>
      <c r="AZ33" s="387"/>
      <c r="BA33" s="328" t="str">
        <f>IF('Design Fee'!CB33&gt;0,2,"-")</f>
        <v>-</v>
      </c>
      <c r="BB33" s="386" t="str">
        <f>IF('Design Fee'!CD33&gt;0,2,"-")</f>
        <v>-</v>
      </c>
      <c r="BC33" s="386" t="str">
        <f>IF('Design Fee'!CE33&gt;0,2,"-")</f>
        <v>-</v>
      </c>
      <c r="BD33" s="386" t="str">
        <f>IF('Design Fee'!CF33&gt;0,2,"-")</f>
        <v>-</v>
      </c>
      <c r="BE33" s="386" t="str">
        <f>IF('Design Fee'!CG33&gt;0,2,"-")</f>
        <v>-</v>
      </c>
      <c r="BF33" s="386" t="str">
        <f>IF('Design Fee'!CH33&gt;0,2,"-")</f>
        <v>-</v>
      </c>
      <c r="BG33" s="386" t="str">
        <f>IF('Design Fee'!CI33&gt;0,2,"-")</f>
        <v>-</v>
      </c>
      <c r="BH33" s="386" t="str">
        <f>IF('Design Fee'!CK33&gt;0,2,"-")</f>
        <v>-</v>
      </c>
      <c r="BI33" s="386" t="str">
        <f>IF('Design Fee'!CL33&gt;0,2,"-")</f>
        <v>-</v>
      </c>
      <c r="BJ33" s="386" t="str">
        <f>IF('Design Fee'!CM33&gt;0,2,"-")</f>
        <v>-</v>
      </c>
      <c r="BK33" s="386" t="str">
        <f>IF('Design Fee'!CN33&gt;0,2,"-")</f>
        <v>-</v>
      </c>
      <c r="BL33" s="386" t="str">
        <f>IF('Design Fee'!CO33&gt;0,2,"-")</f>
        <v>-</v>
      </c>
      <c r="BM33" s="195"/>
      <c r="BN33" s="197"/>
      <c r="BO33" s="387"/>
      <c r="BP33" s="328" t="str">
        <f>IF('Design Fee'!DL33&gt;0,2,"-")</f>
        <v>-</v>
      </c>
      <c r="BQ33" s="386" t="str">
        <f>IF('Design Fee'!DN33&gt;0,2,"-")</f>
        <v>-</v>
      </c>
      <c r="BR33" s="386" t="str">
        <f>IF('Design Fee'!DO33&gt;0,2,"-")</f>
        <v>-</v>
      </c>
      <c r="BS33" s="386" t="str">
        <f>IF('Design Fee'!DP33&gt;0,2,"-")</f>
        <v>-</v>
      </c>
      <c r="BT33" s="386" t="str">
        <f>IF('Design Fee'!DQ33&gt;0,2,"-")</f>
        <v>-</v>
      </c>
      <c r="BU33" s="386" t="str">
        <f>IF('Design Fee'!DR33&gt;0,2,"-")</f>
        <v>-</v>
      </c>
      <c r="BV33" s="386" t="str">
        <f>IF('Design Fee'!DS33&gt;0,2,"-")</f>
        <v>-</v>
      </c>
      <c r="BW33" s="386" t="str">
        <f>IF('Design Fee'!DU33&gt;0,2,"-")</f>
        <v>-</v>
      </c>
      <c r="BX33" s="386" t="str">
        <f>IF('Design Fee'!DV33&gt;0,2,"-")</f>
        <v>-</v>
      </c>
      <c r="BY33" s="386" t="str">
        <f>IF('Design Fee'!DW33&gt;0,2,"-")</f>
        <v>-</v>
      </c>
      <c r="BZ33" s="386" t="str">
        <f>IF('Design Fee'!DX33&gt;0,2,"-")</f>
        <v>-</v>
      </c>
      <c r="CA33" s="386" t="str">
        <f>IF('Design Fee'!DY33&gt;0,2,"-")</f>
        <v>-</v>
      </c>
      <c r="CB33" s="195"/>
    </row>
    <row r="34" spans="1:80" ht="11.85" hidden="1" customHeight="1" outlineLevel="2">
      <c r="A34" s="112"/>
      <c r="B34" s="153">
        <v>3</v>
      </c>
      <c r="C34" s="213">
        <v>4</v>
      </c>
      <c r="D34" s="214" t="s">
        <v>33</v>
      </c>
      <c r="E34" s="114"/>
      <c r="F34" s="197"/>
      <c r="G34" s="194"/>
      <c r="H34" s="328"/>
      <c r="I34" s="328"/>
      <c r="J34" s="328"/>
      <c r="K34" s="386"/>
      <c r="L34" s="386"/>
      <c r="M34" s="386"/>
      <c r="N34" s="386"/>
      <c r="O34" s="386"/>
      <c r="P34" s="386"/>
      <c r="Q34" s="386"/>
      <c r="R34" s="386"/>
      <c r="S34" s="386"/>
      <c r="T34" s="195"/>
      <c r="U34" s="197"/>
      <c r="V34" s="194"/>
      <c r="W34" s="328" t="str">
        <f>IF('Design Fee'!H34&gt;0,2,"-")</f>
        <v>-</v>
      </c>
      <c r="X34" s="386" t="str">
        <f>IF('Design Fee'!J34&gt;0,2,"-")</f>
        <v>-</v>
      </c>
      <c r="Y34" s="386" t="str">
        <f>IF('Design Fee'!K34&gt;0,2,"-")</f>
        <v>-</v>
      </c>
      <c r="Z34" s="386" t="str">
        <f>IF('Design Fee'!L34&gt;0,2,"-")</f>
        <v>-</v>
      </c>
      <c r="AA34" s="386" t="str">
        <f>IF('Design Fee'!M34&gt;0,2,"-")</f>
        <v>-</v>
      </c>
      <c r="AB34" s="386" t="str">
        <f>IF('Design Fee'!N34&gt;0,2,"-")</f>
        <v>-</v>
      </c>
      <c r="AC34" s="386" t="str">
        <f>IF('Design Fee'!O34&gt;0,2,"-")</f>
        <v>-</v>
      </c>
      <c r="AD34" s="386" t="str">
        <f>IF('Design Fee'!Q34&gt;0,2,"-")</f>
        <v>-</v>
      </c>
      <c r="AE34" s="386" t="str">
        <f>IF('Design Fee'!R34&gt;0,2,"-")</f>
        <v>-</v>
      </c>
      <c r="AF34" s="386" t="str">
        <f>IF('Design Fee'!S34&gt;0,2,"-")</f>
        <v>-</v>
      </c>
      <c r="AG34" s="386" t="str">
        <f>IF('Design Fee'!T34&gt;0,2,"-")</f>
        <v>-</v>
      </c>
      <c r="AH34" s="386" t="str">
        <f>IF('Design Fee'!U34&gt;0,2,"-")</f>
        <v>-</v>
      </c>
      <c r="AI34" s="195"/>
      <c r="AJ34" s="197"/>
      <c r="AK34" s="387"/>
      <c r="AL34" s="201" t="str">
        <f>IF('Design Fee'!AR34&gt;0,2,"-")</f>
        <v>-</v>
      </c>
      <c r="AM34" s="386" t="str">
        <f>IF('Design Fee'!AT34&gt;0,2,"-")</f>
        <v>-</v>
      </c>
      <c r="AN34" s="386" t="str">
        <f>IF('Design Fee'!AU34&gt;0,2,"-")</f>
        <v>-</v>
      </c>
      <c r="AO34" s="386" t="str">
        <f>IF('Design Fee'!AV34&gt;0,2,"-")</f>
        <v>-</v>
      </c>
      <c r="AP34" s="386" t="str">
        <f>IF('Design Fee'!AW34&gt;0,2,"-")</f>
        <v>-</v>
      </c>
      <c r="AQ34" s="386" t="str">
        <f>IF('Design Fee'!AX34&gt;0,2,"-")</f>
        <v>-</v>
      </c>
      <c r="AR34" s="386" t="str">
        <f>IF('Design Fee'!AY34&gt;0,2,"-")</f>
        <v>-</v>
      </c>
      <c r="AS34" s="386" t="str">
        <f>IF('Design Fee'!BA34&gt;0,2,"-")</f>
        <v>-</v>
      </c>
      <c r="AT34" s="386" t="str">
        <f>IF('Design Fee'!BB34&gt;0,2,"-")</f>
        <v>-</v>
      </c>
      <c r="AU34" s="386" t="str">
        <f>IF('Design Fee'!BC34&gt;0,2,"-")</f>
        <v>-</v>
      </c>
      <c r="AV34" s="386" t="str">
        <f>IF('Design Fee'!BD34&gt;0,2,"-")</f>
        <v>-</v>
      </c>
      <c r="AW34" s="386" t="str">
        <f>IF('Design Fee'!BE34&gt;0,2,"-")</f>
        <v>-</v>
      </c>
      <c r="AX34" s="195"/>
      <c r="AY34" s="197"/>
      <c r="AZ34" s="387"/>
      <c r="BA34" s="328" t="str">
        <f>IF('Design Fee'!CB34&gt;0,2,"-")</f>
        <v>-</v>
      </c>
      <c r="BB34" s="386" t="str">
        <f>IF('Design Fee'!CD34&gt;0,2,"-")</f>
        <v>-</v>
      </c>
      <c r="BC34" s="386" t="str">
        <f>IF('Design Fee'!CE34&gt;0,2,"-")</f>
        <v>-</v>
      </c>
      <c r="BD34" s="386" t="str">
        <f>IF('Design Fee'!CF34&gt;0,2,"-")</f>
        <v>-</v>
      </c>
      <c r="BE34" s="386" t="str">
        <f>IF('Design Fee'!CG34&gt;0,2,"-")</f>
        <v>-</v>
      </c>
      <c r="BF34" s="386" t="str">
        <f>IF('Design Fee'!CH34&gt;0,2,"-")</f>
        <v>-</v>
      </c>
      <c r="BG34" s="386" t="str">
        <f>IF('Design Fee'!CI34&gt;0,2,"-")</f>
        <v>-</v>
      </c>
      <c r="BH34" s="386" t="str">
        <f>IF('Design Fee'!CK34&gt;0,2,"-")</f>
        <v>-</v>
      </c>
      <c r="BI34" s="386" t="str">
        <f>IF('Design Fee'!CL34&gt;0,2,"-")</f>
        <v>-</v>
      </c>
      <c r="BJ34" s="386" t="str">
        <f>IF('Design Fee'!CM34&gt;0,2,"-")</f>
        <v>-</v>
      </c>
      <c r="BK34" s="386" t="str">
        <f>IF('Design Fee'!CN34&gt;0,2,"-")</f>
        <v>-</v>
      </c>
      <c r="BL34" s="386" t="str">
        <f>IF('Design Fee'!CO34&gt;0,2,"-")</f>
        <v>-</v>
      </c>
      <c r="BM34" s="195"/>
      <c r="BN34" s="197"/>
      <c r="BO34" s="387"/>
      <c r="BP34" s="328" t="str">
        <f>IF('Design Fee'!DL34&gt;0,2,"-")</f>
        <v>-</v>
      </c>
      <c r="BQ34" s="386" t="str">
        <f>IF('Design Fee'!DN34&gt;0,2,"-")</f>
        <v>-</v>
      </c>
      <c r="BR34" s="386" t="str">
        <f>IF('Design Fee'!DO34&gt;0,2,"-")</f>
        <v>-</v>
      </c>
      <c r="BS34" s="386" t="str">
        <f>IF('Design Fee'!DP34&gt;0,2,"-")</f>
        <v>-</v>
      </c>
      <c r="BT34" s="386" t="str">
        <f>IF('Design Fee'!DQ34&gt;0,2,"-")</f>
        <v>-</v>
      </c>
      <c r="BU34" s="386" t="str">
        <f>IF('Design Fee'!DR34&gt;0,2,"-")</f>
        <v>-</v>
      </c>
      <c r="BV34" s="386" t="str">
        <f>IF('Design Fee'!DS34&gt;0,2,"-")</f>
        <v>-</v>
      </c>
      <c r="BW34" s="386" t="str">
        <f>IF('Design Fee'!DU34&gt;0,2,"-")</f>
        <v>-</v>
      </c>
      <c r="BX34" s="386" t="str">
        <f>IF('Design Fee'!DV34&gt;0,2,"-")</f>
        <v>-</v>
      </c>
      <c r="BY34" s="386" t="str">
        <f>IF('Design Fee'!DW34&gt;0,2,"-")</f>
        <v>-</v>
      </c>
      <c r="BZ34" s="386" t="str">
        <f>IF('Design Fee'!DX34&gt;0,2,"-")</f>
        <v>-</v>
      </c>
      <c r="CA34" s="386" t="str">
        <f>IF('Design Fee'!DY34&gt;0,2,"-")</f>
        <v>-</v>
      </c>
      <c r="CB34" s="195"/>
    </row>
    <row r="35" spans="1:80" ht="11.85" hidden="1" customHeight="1" outlineLevel="2">
      <c r="A35" s="112"/>
      <c r="B35" s="153">
        <v>4</v>
      </c>
      <c r="C35" s="213">
        <v>5</v>
      </c>
      <c r="D35" s="214" t="s">
        <v>34</v>
      </c>
      <c r="E35" s="114"/>
      <c r="F35" s="197"/>
      <c r="G35" s="194"/>
      <c r="H35" s="328"/>
      <c r="I35" s="328"/>
      <c r="J35" s="328"/>
      <c r="K35" s="386"/>
      <c r="L35" s="386"/>
      <c r="M35" s="386"/>
      <c r="N35" s="386"/>
      <c r="O35" s="386"/>
      <c r="P35" s="386"/>
      <c r="Q35" s="386"/>
      <c r="R35" s="386"/>
      <c r="S35" s="386"/>
      <c r="T35" s="195"/>
      <c r="U35" s="197"/>
      <c r="V35" s="194"/>
      <c r="W35" s="328" t="str">
        <f>IF('Design Fee'!H35&gt;0,2,"-")</f>
        <v>-</v>
      </c>
      <c r="X35" s="386" t="str">
        <f>IF('Design Fee'!J35&gt;0,2,"-")</f>
        <v>-</v>
      </c>
      <c r="Y35" s="386" t="str">
        <f>IF('Design Fee'!K35&gt;0,2,"-")</f>
        <v>-</v>
      </c>
      <c r="Z35" s="386" t="str">
        <f>IF('Design Fee'!L35&gt;0,2,"-")</f>
        <v>-</v>
      </c>
      <c r="AA35" s="386" t="str">
        <f>IF('Design Fee'!M35&gt;0,2,"-")</f>
        <v>-</v>
      </c>
      <c r="AB35" s="386" t="str">
        <f>IF('Design Fee'!N35&gt;0,2,"-")</f>
        <v>-</v>
      </c>
      <c r="AC35" s="386" t="str">
        <f>IF('Design Fee'!O35&gt;0,2,"-")</f>
        <v>-</v>
      </c>
      <c r="AD35" s="386" t="str">
        <f>IF('Design Fee'!Q35&gt;0,2,"-")</f>
        <v>-</v>
      </c>
      <c r="AE35" s="386" t="str">
        <f>IF('Design Fee'!R35&gt;0,2,"-")</f>
        <v>-</v>
      </c>
      <c r="AF35" s="386" t="str">
        <f>IF('Design Fee'!S35&gt;0,2,"-")</f>
        <v>-</v>
      </c>
      <c r="AG35" s="386" t="str">
        <f>IF('Design Fee'!T35&gt;0,2,"-")</f>
        <v>-</v>
      </c>
      <c r="AH35" s="386" t="str">
        <f>IF('Design Fee'!U35&gt;0,2,"-")</f>
        <v>-</v>
      </c>
      <c r="AI35" s="195"/>
      <c r="AJ35" s="197"/>
      <c r="AK35" s="387"/>
      <c r="AL35" s="201" t="str">
        <f>IF('Design Fee'!AR35&gt;0,2,"-")</f>
        <v>-</v>
      </c>
      <c r="AM35" s="386" t="str">
        <f>IF('Design Fee'!AT35&gt;0,2,"-")</f>
        <v>-</v>
      </c>
      <c r="AN35" s="386" t="str">
        <f>IF('Design Fee'!AU35&gt;0,2,"-")</f>
        <v>-</v>
      </c>
      <c r="AO35" s="386" t="str">
        <f>IF('Design Fee'!AV35&gt;0,2,"-")</f>
        <v>-</v>
      </c>
      <c r="AP35" s="386" t="str">
        <f>IF('Design Fee'!AW35&gt;0,2,"-")</f>
        <v>-</v>
      </c>
      <c r="AQ35" s="386" t="str">
        <f>IF('Design Fee'!AX35&gt;0,2,"-")</f>
        <v>-</v>
      </c>
      <c r="AR35" s="386" t="str">
        <f>IF('Design Fee'!AY35&gt;0,2,"-")</f>
        <v>-</v>
      </c>
      <c r="AS35" s="386" t="str">
        <f>IF('Design Fee'!BA35&gt;0,2,"-")</f>
        <v>-</v>
      </c>
      <c r="AT35" s="386" t="str">
        <f>IF('Design Fee'!BB35&gt;0,2,"-")</f>
        <v>-</v>
      </c>
      <c r="AU35" s="386" t="str">
        <f>IF('Design Fee'!BC35&gt;0,2,"-")</f>
        <v>-</v>
      </c>
      <c r="AV35" s="386" t="str">
        <f>IF('Design Fee'!BD35&gt;0,2,"-")</f>
        <v>-</v>
      </c>
      <c r="AW35" s="386" t="str">
        <f>IF('Design Fee'!BE35&gt;0,2,"-")</f>
        <v>-</v>
      </c>
      <c r="AX35" s="195"/>
      <c r="AY35" s="197"/>
      <c r="AZ35" s="387"/>
      <c r="BA35" s="328" t="str">
        <f>IF('Design Fee'!CB35&gt;0,2,"-")</f>
        <v>-</v>
      </c>
      <c r="BB35" s="386" t="str">
        <f>IF('Design Fee'!CD35&gt;0,2,"-")</f>
        <v>-</v>
      </c>
      <c r="BC35" s="386" t="str">
        <f>IF('Design Fee'!CE35&gt;0,2,"-")</f>
        <v>-</v>
      </c>
      <c r="BD35" s="386" t="str">
        <f>IF('Design Fee'!CF35&gt;0,2,"-")</f>
        <v>-</v>
      </c>
      <c r="BE35" s="386" t="str">
        <f>IF('Design Fee'!CG35&gt;0,2,"-")</f>
        <v>-</v>
      </c>
      <c r="BF35" s="386" t="str">
        <f>IF('Design Fee'!CH35&gt;0,2,"-")</f>
        <v>-</v>
      </c>
      <c r="BG35" s="386" t="str">
        <f>IF('Design Fee'!CI35&gt;0,2,"-")</f>
        <v>-</v>
      </c>
      <c r="BH35" s="386" t="str">
        <f>IF('Design Fee'!CK35&gt;0,2,"-")</f>
        <v>-</v>
      </c>
      <c r="BI35" s="386" t="str">
        <f>IF('Design Fee'!CL35&gt;0,2,"-")</f>
        <v>-</v>
      </c>
      <c r="BJ35" s="386" t="str">
        <f>IF('Design Fee'!CM35&gt;0,2,"-")</f>
        <v>-</v>
      </c>
      <c r="BK35" s="386" t="str">
        <f>IF('Design Fee'!CN35&gt;0,2,"-")</f>
        <v>-</v>
      </c>
      <c r="BL35" s="386" t="str">
        <f>IF('Design Fee'!CO35&gt;0,2,"-")</f>
        <v>-</v>
      </c>
      <c r="BM35" s="195"/>
      <c r="BN35" s="197"/>
      <c r="BO35" s="387"/>
      <c r="BP35" s="328" t="str">
        <f>IF('Design Fee'!DL35&gt;0,2,"-")</f>
        <v>-</v>
      </c>
      <c r="BQ35" s="386" t="str">
        <f>IF('Design Fee'!DN35&gt;0,2,"-")</f>
        <v>-</v>
      </c>
      <c r="BR35" s="386" t="str">
        <f>IF('Design Fee'!DO35&gt;0,2,"-")</f>
        <v>-</v>
      </c>
      <c r="BS35" s="386" t="str">
        <f>IF('Design Fee'!DP35&gt;0,2,"-")</f>
        <v>-</v>
      </c>
      <c r="BT35" s="386" t="str">
        <f>IF('Design Fee'!DQ35&gt;0,2,"-")</f>
        <v>-</v>
      </c>
      <c r="BU35" s="386" t="str">
        <f>IF('Design Fee'!DR35&gt;0,2,"-")</f>
        <v>-</v>
      </c>
      <c r="BV35" s="386" t="str">
        <f>IF('Design Fee'!DS35&gt;0,2,"-")</f>
        <v>-</v>
      </c>
      <c r="BW35" s="386" t="str">
        <f>IF('Design Fee'!DU35&gt;0,2,"-")</f>
        <v>-</v>
      </c>
      <c r="BX35" s="386" t="str">
        <f>IF('Design Fee'!DV35&gt;0,2,"-")</f>
        <v>-</v>
      </c>
      <c r="BY35" s="386" t="str">
        <f>IF('Design Fee'!DW35&gt;0,2,"-")</f>
        <v>-</v>
      </c>
      <c r="BZ35" s="386" t="str">
        <f>IF('Design Fee'!DX35&gt;0,2,"-")</f>
        <v>-</v>
      </c>
      <c r="CA35" s="386" t="str">
        <f>IF('Design Fee'!DY35&gt;0,2,"-")</f>
        <v>-</v>
      </c>
      <c r="CB35" s="195"/>
    </row>
    <row r="36" spans="1:80" ht="11.85" hidden="1" customHeight="1" outlineLevel="2">
      <c r="A36" s="112"/>
      <c r="B36" s="153">
        <v>5</v>
      </c>
      <c r="C36" s="213">
        <v>6</v>
      </c>
      <c r="D36" s="214" t="s">
        <v>35</v>
      </c>
      <c r="E36" s="114"/>
      <c r="F36" s="197"/>
      <c r="G36" s="194"/>
      <c r="H36" s="328"/>
      <c r="I36" s="328"/>
      <c r="J36" s="328"/>
      <c r="K36" s="386"/>
      <c r="L36" s="386"/>
      <c r="M36" s="386"/>
      <c r="N36" s="386"/>
      <c r="O36" s="386"/>
      <c r="P36" s="386"/>
      <c r="Q36" s="386"/>
      <c r="R36" s="386"/>
      <c r="S36" s="386"/>
      <c r="T36" s="195"/>
      <c r="U36" s="197"/>
      <c r="V36" s="194"/>
      <c r="W36" s="328" t="str">
        <f>IF('Design Fee'!H36&gt;0,2,"-")</f>
        <v>-</v>
      </c>
      <c r="X36" s="386" t="str">
        <f>IF('Design Fee'!J36&gt;0,2,"-")</f>
        <v>-</v>
      </c>
      <c r="Y36" s="386" t="str">
        <f>IF('Design Fee'!K36&gt;0,2,"-")</f>
        <v>-</v>
      </c>
      <c r="Z36" s="386" t="str">
        <f>IF('Design Fee'!L36&gt;0,2,"-")</f>
        <v>-</v>
      </c>
      <c r="AA36" s="386" t="str">
        <f>IF('Design Fee'!M36&gt;0,2,"-")</f>
        <v>-</v>
      </c>
      <c r="AB36" s="386" t="str">
        <f>IF('Design Fee'!N36&gt;0,2,"-")</f>
        <v>-</v>
      </c>
      <c r="AC36" s="386" t="str">
        <f>IF('Design Fee'!O36&gt;0,2,"-")</f>
        <v>-</v>
      </c>
      <c r="AD36" s="386" t="str">
        <f>IF('Design Fee'!Q36&gt;0,2,"-")</f>
        <v>-</v>
      </c>
      <c r="AE36" s="386" t="str">
        <f>IF('Design Fee'!R36&gt;0,2,"-")</f>
        <v>-</v>
      </c>
      <c r="AF36" s="386" t="str">
        <f>IF('Design Fee'!S36&gt;0,2,"-")</f>
        <v>-</v>
      </c>
      <c r="AG36" s="386" t="str">
        <f>IF('Design Fee'!T36&gt;0,2,"-")</f>
        <v>-</v>
      </c>
      <c r="AH36" s="386" t="str">
        <f>IF('Design Fee'!U36&gt;0,2,"-")</f>
        <v>-</v>
      </c>
      <c r="AI36" s="195"/>
      <c r="AJ36" s="197"/>
      <c r="AK36" s="387"/>
      <c r="AL36" s="201" t="str">
        <f>IF('Design Fee'!AR36&gt;0,2,"-")</f>
        <v>-</v>
      </c>
      <c r="AM36" s="386" t="str">
        <f>IF('Design Fee'!AT36&gt;0,2,"-")</f>
        <v>-</v>
      </c>
      <c r="AN36" s="386" t="str">
        <f>IF('Design Fee'!AU36&gt;0,2,"-")</f>
        <v>-</v>
      </c>
      <c r="AO36" s="386" t="str">
        <f>IF('Design Fee'!AV36&gt;0,2,"-")</f>
        <v>-</v>
      </c>
      <c r="AP36" s="386" t="str">
        <f>IF('Design Fee'!AW36&gt;0,2,"-")</f>
        <v>-</v>
      </c>
      <c r="AQ36" s="386" t="str">
        <f>IF('Design Fee'!AX36&gt;0,2,"-")</f>
        <v>-</v>
      </c>
      <c r="AR36" s="386" t="str">
        <f>IF('Design Fee'!AY36&gt;0,2,"-")</f>
        <v>-</v>
      </c>
      <c r="AS36" s="386" t="str">
        <f>IF('Design Fee'!BA36&gt;0,2,"-")</f>
        <v>-</v>
      </c>
      <c r="AT36" s="386" t="str">
        <f>IF('Design Fee'!BB36&gt;0,2,"-")</f>
        <v>-</v>
      </c>
      <c r="AU36" s="386" t="str">
        <f>IF('Design Fee'!BC36&gt;0,2,"-")</f>
        <v>-</v>
      </c>
      <c r="AV36" s="386" t="str">
        <f>IF('Design Fee'!BD36&gt;0,2,"-")</f>
        <v>-</v>
      </c>
      <c r="AW36" s="386" t="str">
        <f>IF('Design Fee'!BE36&gt;0,2,"-")</f>
        <v>-</v>
      </c>
      <c r="AX36" s="195"/>
      <c r="AY36" s="197"/>
      <c r="AZ36" s="387"/>
      <c r="BA36" s="328" t="str">
        <f>IF('Design Fee'!CB36&gt;0,2,"-")</f>
        <v>-</v>
      </c>
      <c r="BB36" s="386" t="str">
        <f>IF('Design Fee'!CD36&gt;0,2,"-")</f>
        <v>-</v>
      </c>
      <c r="BC36" s="386" t="str">
        <f>IF('Design Fee'!CE36&gt;0,2,"-")</f>
        <v>-</v>
      </c>
      <c r="BD36" s="386" t="str">
        <f>IF('Design Fee'!CF36&gt;0,2,"-")</f>
        <v>-</v>
      </c>
      <c r="BE36" s="386" t="str">
        <f>IF('Design Fee'!CG36&gt;0,2,"-")</f>
        <v>-</v>
      </c>
      <c r="BF36" s="386" t="str">
        <f>IF('Design Fee'!CH36&gt;0,2,"-")</f>
        <v>-</v>
      </c>
      <c r="BG36" s="386" t="str">
        <f>IF('Design Fee'!CI36&gt;0,2,"-")</f>
        <v>-</v>
      </c>
      <c r="BH36" s="386" t="str">
        <f>IF('Design Fee'!CK36&gt;0,2,"-")</f>
        <v>-</v>
      </c>
      <c r="BI36" s="386" t="str">
        <f>IF('Design Fee'!CL36&gt;0,2,"-")</f>
        <v>-</v>
      </c>
      <c r="BJ36" s="386" t="str">
        <f>IF('Design Fee'!CM36&gt;0,2,"-")</f>
        <v>-</v>
      </c>
      <c r="BK36" s="386" t="str">
        <f>IF('Design Fee'!CN36&gt;0,2,"-")</f>
        <v>-</v>
      </c>
      <c r="BL36" s="386" t="str">
        <f>IF('Design Fee'!CO36&gt;0,2,"-")</f>
        <v>-</v>
      </c>
      <c r="BM36" s="195"/>
      <c r="BN36" s="197"/>
      <c r="BO36" s="387"/>
      <c r="BP36" s="328" t="str">
        <f>IF('Design Fee'!DL36&gt;0,2,"-")</f>
        <v>-</v>
      </c>
      <c r="BQ36" s="386" t="str">
        <f>IF('Design Fee'!DN36&gt;0,2,"-")</f>
        <v>-</v>
      </c>
      <c r="BR36" s="386" t="str">
        <f>IF('Design Fee'!DO36&gt;0,2,"-")</f>
        <v>-</v>
      </c>
      <c r="BS36" s="386" t="str">
        <f>IF('Design Fee'!DP36&gt;0,2,"-")</f>
        <v>-</v>
      </c>
      <c r="BT36" s="386" t="str">
        <f>IF('Design Fee'!DQ36&gt;0,2,"-")</f>
        <v>-</v>
      </c>
      <c r="BU36" s="386" t="str">
        <f>IF('Design Fee'!DR36&gt;0,2,"-")</f>
        <v>-</v>
      </c>
      <c r="BV36" s="386" t="str">
        <f>IF('Design Fee'!DS36&gt;0,2,"-")</f>
        <v>-</v>
      </c>
      <c r="BW36" s="386" t="str">
        <f>IF('Design Fee'!DU36&gt;0,2,"-")</f>
        <v>-</v>
      </c>
      <c r="BX36" s="386" t="str">
        <f>IF('Design Fee'!DV36&gt;0,2,"-")</f>
        <v>-</v>
      </c>
      <c r="BY36" s="386" t="str">
        <f>IF('Design Fee'!DW36&gt;0,2,"-")</f>
        <v>-</v>
      </c>
      <c r="BZ36" s="386" t="str">
        <f>IF('Design Fee'!DX36&gt;0,2,"-")</f>
        <v>-</v>
      </c>
      <c r="CA36" s="386" t="str">
        <f>IF('Design Fee'!DY36&gt;0,2,"-")</f>
        <v>-</v>
      </c>
      <c r="CB36" s="195"/>
    </row>
    <row r="37" spans="1:80" ht="11.85" hidden="1" customHeight="1" outlineLevel="2">
      <c r="A37" s="112"/>
      <c r="B37" s="153"/>
      <c r="C37" s="213">
        <v>7</v>
      </c>
      <c r="D37" s="214" t="s">
        <v>36</v>
      </c>
      <c r="E37" s="114"/>
      <c r="F37" s="197"/>
      <c r="G37" s="194"/>
      <c r="H37" s="328"/>
      <c r="I37" s="328"/>
      <c r="J37" s="328"/>
      <c r="K37" s="386"/>
      <c r="L37" s="386"/>
      <c r="M37" s="386"/>
      <c r="N37" s="386"/>
      <c r="O37" s="386"/>
      <c r="P37" s="386"/>
      <c r="Q37" s="386"/>
      <c r="R37" s="386"/>
      <c r="S37" s="386"/>
      <c r="T37" s="195"/>
      <c r="U37" s="197"/>
      <c r="V37" s="194"/>
      <c r="W37" s="328" t="str">
        <f>IF('Design Fee'!H37&gt;0,2,"-")</f>
        <v>-</v>
      </c>
      <c r="X37" s="386" t="str">
        <f>IF('Design Fee'!J37&gt;0,2,"-")</f>
        <v>-</v>
      </c>
      <c r="Y37" s="386" t="str">
        <f>IF('Design Fee'!K37&gt;0,2,"-")</f>
        <v>-</v>
      </c>
      <c r="Z37" s="386" t="str">
        <f>IF('Design Fee'!L37&gt;0,2,"-")</f>
        <v>-</v>
      </c>
      <c r="AA37" s="386" t="str">
        <f>IF('Design Fee'!M37&gt;0,2,"-")</f>
        <v>-</v>
      </c>
      <c r="AB37" s="386" t="str">
        <f>IF('Design Fee'!N37&gt;0,2,"-")</f>
        <v>-</v>
      </c>
      <c r="AC37" s="386" t="str">
        <f>IF('Design Fee'!O37&gt;0,2,"-")</f>
        <v>-</v>
      </c>
      <c r="AD37" s="386" t="str">
        <f>IF('Design Fee'!Q37&gt;0,2,"-")</f>
        <v>-</v>
      </c>
      <c r="AE37" s="386" t="str">
        <f>IF('Design Fee'!R37&gt;0,2,"-")</f>
        <v>-</v>
      </c>
      <c r="AF37" s="386" t="str">
        <f>IF('Design Fee'!S37&gt;0,2,"-")</f>
        <v>-</v>
      </c>
      <c r="AG37" s="386" t="str">
        <f>IF('Design Fee'!T37&gt;0,2,"-")</f>
        <v>-</v>
      </c>
      <c r="AH37" s="386" t="str">
        <f>IF('Design Fee'!U37&gt;0,2,"-")</f>
        <v>-</v>
      </c>
      <c r="AI37" s="195"/>
      <c r="AJ37" s="197"/>
      <c r="AK37" s="387"/>
      <c r="AL37" s="201" t="str">
        <f>IF('Design Fee'!AR37&gt;0,2,"-")</f>
        <v>-</v>
      </c>
      <c r="AM37" s="386" t="str">
        <f>IF('Design Fee'!AT37&gt;0,2,"-")</f>
        <v>-</v>
      </c>
      <c r="AN37" s="386" t="str">
        <f>IF('Design Fee'!AU37&gt;0,2,"-")</f>
        <v>-</v>
      </c>
      <c r="AO37" s="386" t="str">
        <f>IF('Design Fee'!AV37&gt;0,2,"-")</f>
        <v>-</v>
      </c>
      <c r="AP37" s="386" t="str">
        <f>IF('Design Fee'!AW37&gt;0,2,"-")</f>
        <v>-</v>
      </c>
      <c r="AQ37" s="386" t="str">
        <f>IF('Design Fee'!AX37&gt;0,2,"-")</f>
        <v>-</v>
      </c>
      <c r="AR37" s="386" t="str">
        <f>IF('Design Fee'!AY37&gt;0,2,"-")</f>
        <v>-</v>
      </c>
      <c r="AS37" s="386" t="str">
        <f>IF('Design Fee'!BA37&gt;0,2,"-")</f>
        <v>-</v>
      </c>
      <c r="AT37" s="386" t="str">
        <f>IF('Design Fee'!BB37&gt;0,2,"-")</f>
        <v>-</v>
      </c>
      <c r="AU37" s="386" t="str">
        <f>IF('Design Fee'!BC37&gt;0,2,"-")</f>
        <v>-</v>
      </c>
      <c r="AV37" s="386" t="str">
        <f>IF('Design Fee'!BD37&gt;0,2,"-")</f>
        <v>-</v>
      </c>
      <c r="AW37" s="386" t="str">
        <f>IF('Design Fee'!BE37&gt;0,2,"-")</f>
        <v>-</v>
      </c>
      <c r="AX37" s="195"/>
      <c r="AY37" s="197"/>
      <c r="AZ37" s="387"/>
      <c r="BA37" s="328" t="str">
        <f>IF('Design Fee'!CB37&gt;0,2,"-")</f>
        <v>-</v>
      </c>
      <c r="BB37" s="386" t="str">
        <f>IF('Design Fee'!CD37&gt;0,2,"-")</f>
        <v>-</v>
      </c>
      <c r="BC37" s="386" t="str">
        <f>IF('Design Fee'!CE37&gt;0,2,"-")</f>
        <v>-</v>
      </c>
      <c r="BD37" s="386" t="str">
        <f>IF('Design Fee'!CF37&gt;0,2,"-")</f>
        <v>-</v>
      </c>
      <c r="BE37" s="386" t="str">
        <f>IF('Design Fee'!CG37&gt;0,2,"-")</f>
        <v>-</v>
      </c>
      <c r="BF37" s="386" t="str">
        <f>IF('Design Fee'!CH37&gt;0,2,"-")</f>
        <v>-</v>
      </c>
      <c r="BG37" s="386" t="str">
        <f>IF('Design Fee'!CI37&gt;0,2,"-")</f>
        <v>-</v>
      </c>
      <c r="BH37" s="386" t="str">
        <f>IF('Design Fee'!CK37&gt;0,2,"-")</f>
        <v>-</v>
      </c>
      <c r="BI37" s="386" t="str">
        <f>IF('Design Fee'!CL37&gt;0,2,"-")</f>
        <v>-</v>
      </c>
      <c r="BJ37" s="386" t="str">
        <f>IF('Design Fee'!CM37&gt;0,2,"-")</f>
        <v>-</v>
      </c>
      <c r="BK37" s="386" t="str">
        <f>IF('Design Fee'!CN37&gt;0,2,"-")</f>
        <v>-</v>
      </c>
      <c r="BL37" s="386" t="str">
        <f>IF('Design Fee'!CO37&gt;0,2,"-")</f>
        <v>-</v>
      </c>
      <c r="BM37" s="195"/>
      <c r="BN37" s="197"/>
      <c r="BO37" s="387"/>
      <c r="BP37" s="328" t="str">
        <f>IF('Design Fee'!DL37&gt;0,2,"-")</f>
        <v>-</v>
      </c>
      <c r="BQ37" s="386" t="str">
        <f>IF('Design Fee'!DN37&gt;0,2,"-")</f>
        <v>-</v>
      </c>
      <c r="BR37" s="386" t="str">
        <f>IF('Design Fee'!DO37&gt;0,2,"-")</f>
        <v>-</v>
      </c>
      <c r="BS37" s="386" t="str">
        <f>IF('Design Fee'!DP37&gt;0,2,"-")</f>
        <v>-</v>
      </c>
      <c r="BT37" s="386" t="str">
        <f>IF('Design Fee'!DQ37&gt;0,2,"-")</f>
        <v>-</v>
      </c>
      <c r="BU37" s="386" t="str">
        <f>IF('Design Fee'!DR37&gt;0,2,"-")</f>
        <v>-</v>
      </c>
      <c r="BV37" s="386" t="str">
        <f>IF('Design Fee'!DS37&gt;0,2,"-")</f>
        <v>-</v>
      </c>
      <c r="BW37" s="386" t="str">
        <f>IF('Design Fee'!DU37&gt;0,2,"-")</f>
        <v>-</v>
      </c>
      <c r="BX37" s="386" t="str">
        <f>IF('Design Fee'!DV37&gt;0,2,"-")</f>
        <v>-</v>
      </c>
      <c r="BY37" s="386" t="str">
        <f>IF('Design Fee'!DW37&gt;0,2,"-")</f>
        <v>-</v>
      </c>
      <c r="BZ37" s="386" t="str">
        <f>IF('Design Fee'!DX37&gt;0,2,"-")</f>
        <v>-</v>
      </c>
      <c r="CA37" s="386" t="str">
        <f>IF('Design Fee'!DY37&gt;0,2,"-")</f>
        <v>-</v>
      </c>
      <c r="CB37" s="195"/>
    </row>
    <row r="38" spans="1:80" ht="3" customHeight="1" outlineLevel="1">
      <c r="A38" s="112"/>
      <c r="B38" s="113"/>
      <c r="C38" s="113"/>
      <c r="D38" s="114"/>
      <c r="E38" s="114"/>
      <c r="F38" s="115"/>
      <c r="G38" s="116"/>
      <c r="H38" s="124"/>
      <c r="I38" s="124"/>
      <c r="J38" s="124"/>
      <c r="K38" s="125"/>
      <c r="L38" s="125"/>
      <c r="M38" s="125"/>
      <c r="N38" s="125"/>
      <c r="O38" s="125"/>
      <c r="P38" s="125"/>
      <c r="Q38" s="125"/>
      <c r="R38" s="125"/>
      <c r="S38" s="125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327"/>
      <c r="BC38" s="327"/>
      <c r="BD38" s="327"/>
      <c r="BE38" s="327"/>
      <c r="BF38" s="327"/>
      <c r="BG38" s="327"/>
      <c r="BH38" s="327"/>
      <c r="BI38" s="327"/>
      <c r="BJ38" s="327"/>
      <c r="BK38" s="327"/>
      <c r="BL38" s="327"/>
      <c r="BM38" s="327"/>
      <c r="BN38" s="327"/>
      <c r="BO38" s="327"/>
      <c r="BP38" s="327"/>
      <c r="BQ38" s="327"/>
      <c r="BR38" s="327"/>
      <c r="BS38" s="327"/>
      <c r="BT38" s="327"/>
      <c r="BU38" s="327"/>
      <c r="BV38" s="327"/>
      <c r="BW38" s="327"/>
      <c r="BX38" s="327"/>
      <c r="BY38" s="327"/>
      <c r="BZ38" s="327"/>
      <c r="CA38" s="327"/>
      <c r="CB38" s="195"/>
    </row>
    <row r="39" spans="1:80" ht="11.85" customHeight="1" outlineLevel="1" collapsed="1">
      <c r="A39" s="112"/>
      <c r="B39" s="147">
        <v>4</v>
      </c>
      <c r="C39" s="212">
        <v>5</v>
      </c>
      <c r="D39" s="211" t="s">
        <v>37</v>
      </c>
      <c r="E39" s="150"/>
      <c r="F39" s="188"/>
      <c r="G39" s="188"/>
      <c r="H39" s="189"/>
      <c r="I39" s="189"/>
      <c r="J39" s="189"/>
      <c r="K39" s="385"/>
      <c r="L39" s="385"/>
      <c r="M39" s="385"/>
      <c r="N39" s="385"/>
      <c r="O39" s="385"/>
      <c r="P39" s="385"/>
      <c r="Q39" s="385"/>
      <c r="R39" s="385"/>
      <c r="S39" s="385"/>
      <c r="T39" s="191"/>
      <c r="U39" s="188"/>
      <c r="V39" s="188"/>
      <c r="W39" s="189">
        <f>IF('Design Fee'!H39&gt;0,2,"-")</f>
        <v>2</v>
      </c>
      <c r="X39" s="385">
        <f>IF('Design Fee'!J39&gt;0,2,"-")</f>
        <v>2</v>
      </c>
      <c r="Y39" s="385" t="str">
        <f>IF('Design Fee'!K39&gt;0,2,"-")</f>
        <v>-</v>
      </c>
      <c r="Z39" s="385" t="str">
        <f>IF('Design Fee'!L39&gt;0,2,"-")</f>
        <v>-</v>
      </c>
      <c r="AA39" s="385" t="str">
        <f>IF('Design Fee'!M39&gt;0,2,"-")</f>
        <v>-</v>
      </c>
      <c r="AB39" s="385" t="str">
        <f>IF('Design Fee'!N39&gt;0,2,"-")</f>
        <v>-</v>
      </c>
      <c r="AC39" s="385" t="str">
        <f>IF('Design Fee'!O39&gt;0,2,"-")</f>
        <v>-</v>
      </c>
      <c r="AD39" s="385" t="str">
        <f>IF('Design Fee'!Q39&gt;0,2,"-")</f>
        <v>-</v>
      </c>
      <c r="AE39" s="385" t="str">
        <f>IF('Design Fee'!R39&gt;0,2,"-")</f>
        <v>-</v>
      </c>
      <c r="AF39" s="385" t="str">
        <f>IF('Design Fee'!S39&gt;0,2,"-")</f>
        <v>-</v>
      </c>
      <c r="AG39" s="385" t="str">
        <f>IF('Design Fee'!T39&gt;0,2,"-")</f>
        <v>-</v>
      </c>
      <c r="AH39" s="385" t="str">
        <f>IF('Design Fee'!U39&gt;0,2,"-")</f>
        <v>-</v>
      </c>
      <c r="AI39" s="191"/>
      <c r="AJ39" s="188"/>
      <c r="AK39" s="188"/>
      <c r="AL39" s="203" t="str">
        <f>IF('Design Fee'!AR39&gt;0,2,"-")</f>
        <v>-</v>
      </c>
      <c r="AM39" s="385" t="str">
        <f>IF('Design Fee'!AT39&gt;0,2,"-")</f>
        <v>-</v>
      </c>
      <c r="AN39" s="385" t="str">
        <f>IF('Design Fee'!AU39&gt;0,2,"-")</f>
        <v>-</v>
      </c>
      <c r="AO39" s="385" t="str">
        <f>IF('Design Fee'!AV39&gt;0,2,"-")</f>
        <v>-</v>
      </c>
      <c r="AP39" s="385" t="str">
        <f>IF('Design Fee'!AW39&gt;0,2,"-")</f>
        <v>-</v>
      </c>
      <c r="AQ39" s="385" t="str">
        <f>IF('Design Fee'!AX39&gt;0,2,"-")</f>
        <v>-</v>
      </c>
      <c r="AR39" s="385" t="str">
        <f>IF('Design Fee'!AY39&gt;0,2,"-")</f>
        <v>-</v>
      </c>
      <c r="AS39" s="385" t="str">
        <f>IF('Design Fee'!BA39&gt;0,2,"-")</f>
        <v>-</v>
      </c>
      <c r="AT39" s="385" t="str">
        <f>IF('Design Fee'!BB39&gt;0,2,"-")</f>
        <v>-</v>
      </c>
      <c r="AU39" s="385" t="str">
        <f>IF('Design Fee'!BC39&gt;0,2,"-")</f>
        <v>-</v>
      </c>
      <c r="AV39" s="385" t="str">
        <f>IF('Design Fee'!BD39&gt;0,2,"-")</f>
        <v>-</v>
      </c>
      <c r="AW39" s="385" t="str">
        <f>IF('Design Fee'!BE39&gt;0,2,"-")</f>
        <v>-</v>
      </c>
      <c r="AX39" s="191"/>
      <c r="AY39" s="188"/>
      <c r="AZ39" s="188"/>
      <c r="BA39" s="203" t="str">
        <f>IF('Design Fee'!CB39&gt;0,2,"-")</f>
        <v>-</v>
      </c>
      <c r="BB39" s="385" t="str">
        <f>IF('Design Fee'!CD39&gt;0,2,"-")</f>
        <v>-</v>
      </c>
      <c r="BC39" s="385" t="str">
        <f>IF('Design Fee'!CE39&gt;0,2,"-")</f>
        <v>-</v>
      </c>
      <c r="BD39" s="385" t="str">
        <f>IF('Design Fee'!CF39&gt;0,2,"-")</f>
        <v>-</v>
      </c>
      <c r="BE39" s="385" t="str">
        <f>IF('Design Fee'!CG39&gt;0,2,"-")</f>
        <v>-</v>
      </c>
      <c r="BF39" s="385" t="str">
        <f>IF('Design Fee'!CH39&gt;0,2,"-")</f>
        <v>-</v>
      </c>
      <c r="BG39" s="385" t="str">
        <f>IF('Design Fee'!CI39&gt;0,2,"-")</f>
        <v>-</v>
      </c>
      <c r="BH39" s="385" t="str">
        <f>IF('Design Fee'!CK39&gt;0,2,"-")</f>
        <v>-</v>
      </c>
      <c r="BI39" s="385" t="str">
        <f>IF('Design Fee'!CL39&gt;0,2,"-")</f>
        <v>-</v>
      </c>
      <c r="BJ39" s="385" t="str">
        <f>IF('Design Fee'!CM39&gt;0,2,"-")</f>
        <v>-</v>
      </c>
      <c r="BK39" s="385" t="str">
        <f>IF('Design Fee'!CN39&gt;0,2,"-")</f>
        <v>-</v>
      </c>
      <c r="BL39" s="385" t="str">
        <f>IF('Design Fee'!CO39&gt;0,2,"-")</f>
        <v>-</v>
      </c>
      <c r="BM39" s="191"/>
      <c r="BN39" s="188"/>
      <c r="BO39" s="188"/>
      <c r="BP39" s="189">
        <f>IF('Design Fee'!DL39&gt;0,2,"-")</f>
        <v>2</v>
      </c>
      <c r="BQ39" s="385">
        <f>IF('Design Fee'!DN39&gt;0,2,"-")</f>
        <v>2</v>
      </c>
      <c r="BR39" s="385" t="str">
        <f>IF('Design Fee'!DO39&gt;0,2,"-")</f>
        <v>-</v>
      </c>
      <c r="BS39" s="385" t="str">
        <f>IF('Design Fee'!DP39&gt;0,2,"-")</f>
        <v>-</v>
      </c>
      <c r="BT39" s="385" t="str">
        <f>IF('Design Fee'!DQ39&gt;0,2,"-")</f>
        <v>-</v>
      </c>
      <c r="BU39" s="385" t="str">
        <f>IF('Design Fee'!DR39&gt;0,2,"-")</f>
        <v>-</v>
      </c>
      <c r="BV39" s="385" t="str">
        <f>IF('Design Fee'!DS39&gt;0,2,"-")</f>
        <v>-</v>
      </c>
      <c r="BW39" s="385" t="str">
        <f>IF('Design Fee'!DU39&gt;0,2,"-")</f>
        <v>-</v>
      </c>
      <c r="BX39" s="385" t="str">
        <f>IF('Design Fee'!DV39&gt;0,2,"-")</f>
        <v>-</v>
      </c>
      <c r="BY39" s="385" t="str">
        <f>IF('Design Fee'!DW39&gt;0,2,"-")</f>
        <v>-</v>
      </c>
      <c r="BZ39" s="385" t="str">
        <f>IF('Design Fee'!DX39&gt;0,2,"-")</f>
        <v>-</v>
      </c>
      <c r="CA39" s="385" t="str">
        <f>IF('Design Fee'!DY39&gt;0,2,"-")</f>
        <v>-</v>
      </c>
      <c r="CB39" s="191"/>
    </row>
    <row r="40" spans="1:80" ht="11.85" hidden="1" customHeight="1" outlineLevel="2">
      <c r="A40" s="112"/>
      <c r="B40" s="126">
        <v>1</v>
      </c>
      <c r="C40" s="213">
        <v>1</v>
      </c>
      <c r="D40" s="214" t="s">
        <v>38</v>
      </c>
      <c r="E40" s="114"/>
      <c r="F40" s="197"/>
      <c r="G40" s="194"/>
      <c r="H40" s="328"/>
      <c r="I40" s="328"/>
      <c r="J40" s="328"/>
      <c r="K40" s="386"/>
      <c r="L40" s="386"/>
      <c r="M40" s="386"/>
      <c r="N40" s="386"/>
      <c r="O40" s="386"/>
      <c r="P40" s="386"/>
      <c r="Q40" s="386"/>
      <c r="R40" s="386"/>
      <c r="S40" s="386"/>
      <c r="T40" s="195"/>
      <c r="U40" s="197"/>
      <c r="V40" s="194"/>
      <c r="W40" s="328" t="str">
        <f>IF('Design Fee'!H40&gt;0,2,"-")</f>
        <v>-</v>
      </c>
      <c r="X40" s="386" t="str">
        <f>IF('Design Fee'!J40&gt;0,2,"-")</f>
        <v>-</v>
      </c>
      <c r="Y40" s="386" t="str">
        <f>IF('Design Fee'!K40&gt;0,2,"-")</f>
        <v>-</v>
      </c>
      <c r="Z40" s="386" t="str">
        <f>IF('Design Fee'!L40&gt;0,2,"-")</f>
        <v>-</v>
      </c>
      <c r="AA40" s="386" t="str">
        <f>IF('Design Fee'!M40&gt;0,2,"-")</f>
        <v>-</v>
      </c>
      <c r="AB40" s="386" t="str">
        <f>IF('Design Fee'!N40&gt;0,2,"-")</f>
        <v>-</v>
      </c>
      <c r="AC40" s="386" t="str">
        <f>IF('Design Fee'!O40&gt;0,2,"-")</f>
        <v>-</v>
      </c>
      <c r="AD40" s="386" t="str">
        <f>IF('Design Fee'!Q40&gt;0,2,"-")</f>
        <v>-</v>
      </c>
      <c r="AE40" s="386" t="str">
        <f>IF('Design Fee'!R40&gt;0,2,"-")</f>
        <v>-</v>
      </c>
      <c r="AF40" s="386" t="str">
        <f>IF('Design Fee'!S40&gt;0,2,"-")</f>
        <v>-</v>
      </c>
      <c r="AG40" s="386" t="str">
        <f>IF('Design Fee'!T40&gt;0,2,"-")</f>
        <v>-</v>
      </c>
      <c r="AH40" s="386" t="str">
        <f>IF('Design Fee'!U40&gt;0,2,"-")</f>
        <v>-</v>
      </c>
      <c r="AI40" s="195"/>
      <c r="AJ40" s="197"/>
      <c r="AK40" s="387"/>
      <c r="AL40" s="201" t="str">
        <f>IF('Design Fee'!AR40&gt;0,2,"-")</f>
        <v>-</v>
      </c>
      <c r="AM40" s="386" t="str">
        <f>IF('Design Fee'!AT40&gt;0,2,"-")</f>
        <v>-</v>
      </c>
      <c r="AN40" s="386" t="str">
        <f>IF('Design Fee'!AU40&gt;0,2,"-")</f>
        <v>-</v>
      </c>
      <c r="AO40" s="386" t="str">
        <f>IF('Design Fee'!AV40&gt;0,2,"-")</f>
        <v>-</v>
      </c>
      <c r="AP40" s="386" t="str">
        <f>IF('Design Fee'!AW40&gt;0,2,"-")</f>
        <v>-</v>
      </c>
      <c r="AQ40" s="386" t="str">
        <f>IF('Design Fee'!AX40&gt;0,2,"-")</f>
        <v>-</v>
      </c>
      <c r="AR40" s="386" t="str">
        <f>IF('Design Fee'!AY40&gt;0,2,"-")</f>
        <v>-</v>
      </c>
      <c r="AS40" s="386" t="str">
        <f>IF('Design Fee'!BA40&gt;0,2,"-")</f>
        <v>-</v>
      </c>
      <c r="AT40" s="386" t="str">
        <f>IF('Design Fee'!BB40&gt;0,2,"-")</f>
        <v>-</v>
      </c>
      <c r="AU40" s="386" t="str">
        <f>IF('Design Fee'!BC40&gt;0,2,"-")</f>
        <v>-</v>
      </c>
      <c r="AV40" s="386" t="str">
        <f>IF('Design Fee'!BD40&gt;0,2,"-")</f>
        <v>-</v>
      </c>
      <c r="AW40" s="386" t="str">
        <f>IF('Design Fee'!BE40&gt;0,2,"-")</f>
        <v>-</v>
      </c>
      <c r="AX40" s="195"/>
      <c r="AY40" s="197"/>
      <c r="AZ40" s="387"/>
      <c r="BA40" s="328" t="str">
        <f>IF('Design Fee'!CB40&gt;0,2,"-")</f>
        <v>-</v>
      </c>
      <c r="BB40" s="386" t="str">
        <f>IF('Design Fee'!CD40&gt;0,2,"-")</f>
        <v>-</v>
      </c>
      <c r="BC40" s="386" t="str">
        <f>IF('Design Fee'!CE40&gt;0,2,"-")</f>
        <v>-</v>
      </c>
      <c r="BD40" s="386" t="str">
        <f>IF('Design Fee'!CF40&gt;0,2,"-")</f>
        <v>-</v>
      </c>
      <c r="BE40" s="386" t="str">
        <f>IF('Design Fee'!CG40&gt;0,2,"-")</f>
        <v>-</v>
      </c>
      <c r="BF40" s="386" t="str">
        <f>IF('Design Fee'!CH40&gt;0,2,"-")</f>
        <v>-</v>
      </c>
      <c r="BG40" s="386" t="str">
        <f>IF('Design Fee'!CI40&gt;0,2,"-")</f>
        <v>-</v>
      </c>
      <c r="BH40" s="386" t="str">
        <f>IF('Design Fee'!CK40&gt;0,2,"-")</f>
        <v>-</v>
      </c>
      <c r="BI40" s="386" t="str">
        <f>IF('Design Fee'!CL40&gt;0,2,"-")</f>
        <v>-</v>
      </c>
      <c r="BJ40" s="386" t="str">
        <f>IF('Design Fee'!CM40&gt;0,2,"-")</f>
        <v>-</v>
      </c>
      <c r="BK40" s="386" t="str">
        <f>IF('Design Fee'!CN40&gt;0,2,"-")</f>
        <v>-</v>
      </c>
      <c r="BL40" s="386" t="str">
        <f>IF('Design Fee'!CO40&gt;0,2,"-")</f>
        <v>-</v>
      </c>
      <c r="BM40" s="195"/>
      <c r="BN40" s="197"/>
      <c r="BO40" s="387"/>
      <c r="BP40" s="328" t="str">
        <f>IF('Design Fee'!DL40&gt;0,2,"-")</f>
        <v>-</v>
      </c>
      <c r="BQ40" s="386" t="str">
        <f>IF('Design Fee'!DN40&gt;0,2,"-")</f>
        <v>-</v>
      </c>
      <c r="BR40" s="386" t="str">
        <f>IF('Design Fee'!DO40&gt;0,2,"-")</f>
        <v>-</v>
      </c>
      <c r="BS40" s="386" t="str">
        <f>IF('Design Fee'!DP40&gt;0,2,"-")</f>
        <v>-</v>
      </c>
      <c r="BT40" s="386" t="str">
        <f>IF('Design Fee'!DQ40&gt;0,2,"-")</f>
        <v>-</v>
      </c>
      <c r="BU40" s="386" t="str">
        <f>IF('Design Fee'!DR40&gt;0,2,"-")</f>
        <v>-</v>
      </c>
      <c r="BV40" s="386" t="str">
        <f>IF('Design Fee'!DS40&gt;0,2,"-")</f>
        <v>-</v>
      </c>
      <c r="BW40" s="386" t="str">
        <f>IF('Design Fee'!DU40&gt;0,2,"-")</f>
        <v>-</v>
      </c>
      <c r="BX40" s="386" t="str">
        <f>IF('Design Fee'!DV40&gt;0,2,"-")</f>
        <v>-</v>
      </c>
      <c r="BY40" s="386" t="str">
        <f>IF('Design Fee'!DW40&gt;0,2,"-")</f>
        <v>-</v>
      </c>
      <c r="BZ40" s="386" t="str">
        <f>IF('Design Fee'!DX40&gt;0,2,"-")</f>
        <v>-</v>
      </c>
      <c r="CA40" s="386" t="str">
        <f>IF('Design Fee'!DY40&gt;0,2,"-")</f>
        <v>-</v>
      </c>
      <c r="CB40" s="195"/>
    </row>
    <row r="41" spans="1:80" ht="11.85" hidden="1" customHeight="1" outlineLevel="2">
      <c r="A41" s="112"/>
      <c r="B41" s="126"/>
      <c r="C41" s="213">
        <v>2</v>
      </c>
      <c r="D41" s="214" t="s">
        <v>27</v>
      </c>
      <c r="E41" s="114"/>
      <c r="F41" s="197"/>
      <c r="G41" s="194"/>
      <c r="H41" s="328"/>
      <c r="I41" s="328"/>
      <c r="J41" s="328"/>
      <c r="K41" s="386"/>
      <c r="L41" s="386"/>
      <c r="M41" s="386"/>
      <c r="N41" s="386"/>
      <c r="O41" s="386"/>
      <c r="P41" s="386"/>
      <c r="Q41" s="386"/>
      <c r="R41" s="386"/>
      <c r="S41" s="386"/>
      <c r="T41" s="195"/>
      <c r="U41" s="197"/>
      <c r="V41" s="194"/>
      <c r="W41" s="328" t="str">
        <f>IF('Design Fee'!H41&gt;0,2,"-")</f>
        <v>-</v>
      </c>
      <c r="X41" s="386" t="str">
        <f>IF('Design Fee'!J41&gt;0,2,"-")</f>
        <v>-</v>
      </c>
      <c r="Y41" s="386" t="str">
        <f>IF('Design Fee'!K41&gt;0,2,"-")</f>
        <v>-</v>
      </c>
      <c r="Z41" s="386" t="str">
        <f>IF('Design Fee'!L41&gt;0,2,"-")</f>
        <v>-</v>
      </c>
      <c r="AA41" s="386" t="str">
        <f>IF('Design Fee'!M41&gt;0,2,"-")</f>
        <v>-</v>
      </c>
      <c r="AB41" s="386" t="str">
        <f>IF('Design Fee'!N41&gt;0,2,"-")</f>
        <v>-</v>
      </c>
      <c r="AC41" s="386" t="str">
        <f>IF('Design Fee'!O41&gt;0,2,"-")</f>
        <v>-</v>
      </c>
      <c r="AD41" s="386" t="str">
        <f>IF('Design Fee'!Q41&gt;0,2,"-")</f>
        <v>-</v>
      </c>
      <c r="AE41" s="386" t="str">
        <f>IF('Design Fee'!R41&gt;0,2,"-")</f>
        <v>-</v>
      </c>
      <c r="AF41" s="386" t="str">
        <f>IF('Design Fee'!S41&gt;0,2,"-")</f>
        <v>-</v>
      </c>
      <c r="AG41" s="386" t="str">
        <f>IF('Design Fee'!T41&gt;0,2,"-")</f>
        <v>-</v>
      </c>
      <c r="AH41" s="386" t="str">
        <f>IF('Design Fee'!U41&gt;0,2,"-")</f>
        <v>-</v>
      </c>
      <c r="AI41" s="195"/>
      <c r="AJ41" s="197"/>
      <c r="AK41" s="387"/>
      <c r="AL41" s="201" t="str">
        <f>IF('Design Fee'!AR41&gt;0,2,"-")</f>
        <v>-</v>
      </c>
      <c r="AM41" s="386" t="str">
        <f>IF('Design Fee'!AT41&gt;0,2,"-")</f>
        <v>-</v>
      </c>
      <c r="AN41" s="386" t="str">
        <f>IF('Design Fee'!AU41&gt;0,2,"-")</f>
        <v>-</v>
      </c>
      <c r="AO41" s="386" t="str">
        <f>IF('Design Fee'!AV41&gt;0,2,"-")</f>
        <v>-</v>
      </c>
      <c r="AP41" s="386" t="str">
        <f>IF('Design Fee'!AW41&gt;0,2,"-")</f>
        <v>-</v>
      </c>
      <c r="AQ41" s="386" t="str">
        <f>IF('Design Fee'!AX41&gt;0,2,"-")</f>
        <v>-</v>
      </c>
      <c r="AR41" s="386" t="str">
        <f>IF('Design Fee'!AY41&gt;0,2,"-")</f>
        <v>-</v>
      </c>
      <c r="AS41" s="386" t="str">
        <f>IF('Design Fee'!BA41&gt;0,2,"-")</f>
        <v>-</v>
      </c>
      <c r="AT41" s="386" t="str">
        <f>IF('Design Fee'!BB41&gt;0,2,"-")</f>
        <v>-</v>
      </c>
      <c r="AU41" s="386" t="str">
        <f>IF('Design Fee'!BC41&gt;0,2,"-")</f>
        <v>-</v>
      </c>
      <c r="AV41" s="386" t="str">
        <f>IF('Design Fee'!BD41&gt;0,2,"-")</f>
        <v>-</v>
      </c>
      <c r="AW41" s="386" t="str">
        <f>IF('Design Fee'!BE41&gt;0,2,"-")</f>
        <v>-</v>
      </c>
      <c r="AX41" s="195"/>
      <c r="AY41" s="197"/>
      <c r="AZ41" s="387"/>
      <c r="BA41" s="328" t="str">
        <f>IF('Design Fee'!CB41&gt;0,2,"-")</f>
        <v>-</v>
      </c>
      <c r="BB41" s="386" t="str">
        <f>IF('Design Fee'!CD41&gt;0,2,"-")</f>
        <v>-</v>
      </c>
      <c r="BC41" s="386" t="str">
        <f>IF('Design Fee'!CE41&gt;0,2,"-")</f>
        <v>-</v>
      </c>
      <c r="BD41" s="386" t="str">
        <f>IF('Design Fee'!CF41&gt;0,2,"-")</f>
        <v>-</v>
      </c>
      <c r="BE41" s="386" t="str">
        <f>IF('Design Fee'!CG41&gt;0,2,"-")</f>
        <v>-</v>
      </c>
      <c r="BF41" s="386" t="str">
        <f>IF('Design Fee'!CH41&gt;0,2,"-")</f>
        <v>-</v>
      </c>
      <c r="BG41" s="386" t="str">
        <f>IF('Design Fee'!CI41&gt;0,2,"-")</f>
        <v>-</v>
      </c>
      <c r="BH41" s="386" t="str">
        <f>IF('Design Fee'!CK41&gt;0,2,"-")</f>
        <v>-</v>
      </c>
      <c r="BI41" s="386" t="str">
        <f>IF('Design Fee'!CL41&gt;0,2,"-")</f>
        <v>-</v>
      </c>
      <c r="BJ41" s="386" t="str">
        <f>IF('Design Fee'!CM41&gt;0,2,"-")</f>
        <v>-</v>
      </c>
      <c r="BK41" s="386" t="str">
        <f>IF('Design Fee'!CN41&gt;0,2,"-")</f>
        <v>-</v>
      </c>
      <c r="BL41" s="386" t="str">
        <f>IF('Design Fee'!CO41&gt;0,2,"-")</f>
        <v>-</v>
      </c>
      <c r="BM41" s="195"/>
      <c r="BN41" s="197"/>
      <c r="BO41" s="387"/>
      <c r="BP41" s="328" t="str">
        <f>IF('Design Fee'!DL41&gt;0,2,"-")</f>
        <v>-</v>
      </c>
      <c r="BQ41" s="386" t="str">
        <f>IF('Design Fee'!DN41&gt;0,2,"-")</f>
        <v>-</v>
      </c>
      <c r="BR41" s="386" t="str">
        <f>IF('Design Fee'!DO41&gt;0,2,"-")</f>
        <v>-</v>
      </c>
      <c r="BS41" s="386" t="str">
        <f>IF('Design Fee'!DP41&gt;0,2,"-")</f>
        <v>-</v>
      </c>
      <c r="BT41" s="386" t="str">
        <f>IF('Design Fee'!DQ41&gt;0,2,"-")</f>
        <v>-</v>
      </c>
      <c r="BU41" s="386" t="str">
        <f>IF('Design Fee'!DR41&gt;0,2,"-")</f>
        <v>-</v>
      </c>
      <c r="BV41" s="386" t="str">
        <f>IF('Design Fee'!DS41&gt;0,2,"-")</f>
        <v>-</v>
      </c>
      <c r="BW41" s="386" t="str">
        <f>IF('Design Fee'!DU41&gt;0,2,"-")</f>
        <v>-</v>
      </c>
      <c r="BX41" s="386" t="str">
        <f>IF('Design Fee'!DV41&gt;0,2,"-")</f>
        <v>-</v>
      </c>
      <c r="BY41" s="386" t="str">
        <f>IF('Design Fee'!DW41&gt;0,2,"-")</f>
        <v>-</v>
      </c>
      <c r="BZ41" s="386" t="str">
        <f>IF('Design Fee'!DX41&gt;0,2,"-")</f>
        <v>-</v>
      </c>
      <c r="CA41" s="386" t="str">
        <f>IF('Design Fee'!DY41&gt;0,2,"-")</f>
        <v>-</v>
      </c>
      <c r="CB41" s="195"/>
    </row>
    <row r="42" spans="1:80" ht="11.85" hidden="1" customHeight="1" outlineLevel="2">
      <c r="A42" s="112"/>
      <c r="B42" s="126"/>
      <c r="C42" s="213">
        <v>3</v>
      </c>
      <c r="D42" s="214" t="s">
        <v>28</v>
      </c>
      <c r="E42" s="114"/>
      <c r="F42" s="197"/>
      <c r="G42" s="194"/>
      <c r="H42" s="328"/>
      <c r="I42" s="328"/>
      <c r="J42" s="328"/>
      <c r="K42" s="386"/>
      <c r="L42" s="386"/>
      <c r="M42" s="386"/>
      <c r="N42" s="386"/>
      <c r="O42" s="386"/>
      <c r="P42" s="386"/>
      <c r="Q42" s="386"/>
      <c r="R42" s="386"/>
      <c r="S42" s="386"/>
      <c r="T42" s="195"/>
      <c r="U42" s="197"/>
      <c r="V42" s="194"/>
      <c r="W42" s="328" t="str">
        <f>IF('Design Fee'!H42&gt;0,2,"-")</f>
        <v>-</v>
      </c>
      <c r="X42" s="386" t="str">
        <f>IF('Design Fee'!J42&gt;0,2,"-")</f>
        <v>-</v>
      </c>
      <c r="Y42" s="386" t="str">
        <f>IF('Design Fee'!K42&gt;0,2,"-")</f>
        <v>-</v>
      </c>
      <c r="Z42" s="386" t="str">
        <f>IF('Design Fee'!L42&gt;0,2,"-")</f>
        <v>-</v>
      </c>
      <c r="AA42" s="386" t="str">
        <f>IF('Design Fee'!M42&gt;0,2,"-")</f>
        <v>-</v>
      </c>
      <c r="AB42" s="386" t="str">
        <f>IF('Design Fee'!N42&gt;0,2,"-")</f>
        <v>-</v>
      </c>
      <c r="AC42" s="386" t="str">
        <f>IF('Design Fee'!O42&gt;0,2,"-")</f>
        <v>-</v>
      </c>
      <c r="AD42" s="386" t="str">
        <f>IF('Design Fee'!Q42&gt;0,2,"-")</f>
        <v>-</v>
      </c>
      <c r="AE42" s="386" t="str">
        <f>IF('Design Fee'!R42&gt;0,2,"-")</f>
        <v>-</v>
      </c>
      <c r="AF42" s="386" t="str">
        <f>IF('Design Fee'!S42&gt;0,2,"-")</f>
        <v>-</v>
      </c>
      <c r="AG42" s="386" t="str">
        <f>IF('Design Fee'!T42&gt;0,2,"-")</f>
        <v>-</v>
      </c>
      <c r="AH42" s="386" t="str">
        <f>IF('Design Fee'!U42&gt;0,2,"-")</f>
        <v>-</v>
      </c>
      <c r="AI42" s="195"/>
      <c r="AJ42" s="197"/>
      <c r="AK42" s="387"/>
      <c r="AL42" s="201" t="str">
        <f>IF('Design Fee'!AR42&gt;0,2,"-")</f>
        <v>-</v>
      </c>
      <c r="AM42" s="386" t="str">
        <f>IF('Design Fee'!AT42&gt;0,2,"-")</f>
        <v>-</v>
      </c>
      <c r="AN42" s="386" t="str">
        <f>IF('Design Fee'!AU42&gt;0,2,"-")</f>
        <v>-</v>
      </c>
      <c r="AO42" s="386" t="str">
        <f>IF('Design Fee'!AV42&gt;0,2,"-")</f>
        <v>-</v>
      </c>
      <c r="AP42" s="386" t="str">
        <f>IF('Design Fee'!AW42&gt;0,2,"-")</f>
        <v>-</v>
      </c>
      <c r="AQ42" s="386" t="str">
        <f>IF('Design Fee'!AX42&gt;0,2,"-")</f>
        <v>-</v>
      </c>
      <c r="AR42" s="386" t="str">
        <f>IF('Design Fee'!AY42&gt;0,2,"-")</f>
        <v>-</v>
      </c>
      <c r="AS42" s="386" t="str">
        <f>IF('Design Fee'!BA42&gt;0,2,"-")</f>
        <v>-</v>
      </c>
      <c r="AT42" s="386" t="str">
        <f>IF('Design Fee'!BB42&gt;0,2,"-")</f>
        <v>-</v>
      </c>
      <c r="AU42" s="386" t="str">
        <f>IF('Design Fee'!BC42&gt;0,2,"-")</f>
        <v>-</v>
      </c>
      <c r="AV42" s="386" t="str">
        <f>IF('Design Fee'!BD42&gt;0,2,"-")</f>
        <v>-</v>
      </c>
      <c r="AW42" s="386" t="str">
        <f>IF('Design Fee'!BE42&gt;0,2,"-")</f>
        <v>-</v>
      </c>
      <c r="AX42" s="195"/>
      <c r="AY42" s="197"/>
      <c r="AZ42" s="387"/>
      <c r="BA42" s="328" t="str">
        <f>IF('Design Fee'!CB42&gt;0,2,"-")</f>
        <v>-</v>
      </c>
      <c r="BB42" s="386" t="str">
        <f>IF('Design Fee'!CD42&gt;0,2,"-")</f>
        <v>-</v>
      </c>
      <c r="BC42" s="386" t="str">
        <f>IF('Design Fee'!CE42&gt;0,2,"-")</f>
        <v>-</v>
      </c>
      <c r="BD42" s="386" t="str">
        <f>IF('Design Fee'!CF42&gt;0,2,"-")</f>
        <v>-</v>
      </c>
      <c r="BE42" s="386" t="str">
        <f>IF('Design Fee'!CG42&gt;0,2,"-")</f>
        <v>-</v>
      </c>
      <c r="BF42" s="386" t="str">
        <f>IF('Design Fee'!CH42&gt;0,2,"-")</f>
        <v>-</v>
      </c>
      <c r="BG42" s="386" t="str">
        <f>IF('Design Fee'!CI42&gt;0,2,"-")</f>
        <v>-</v>
      </c>
      <c r="BH42" s="386" t="str">
        <f>IF('Design Fee'!CK42&gt;0,2,"-")</f>
        <v>-</v>
      </c>
      <c r="BI42" s="386" t="str">
        <f>IF('Design Fee'!CL42&gt;0,2,"-")</f>
        <v>-</v>
      </c>
      <c r="BJ42" s="386" t="str">
        <f>IF('Design Fee'!CM42&gt;0,2,"-")</f>
        <v>-</v>
      </c>
      <c r="BK42" s="386" t="str">
        <f>IF('Design Fee'!CN42&gt;0,2,"-")</f>
        <v>-</v>
      </c>
      <c r="BL42" s="386" t="str">
        <f>IF('Design Fee'!CO42&gt;0,2,"-")</f>
        <v>-</v>
      </c>
      <c r="BM42" s="195"/>
      <c r="BN42" s="197"/>
      <c r="BO42" s="387"/>
      <c r="BP42" s="328" t="str">
        <f>IF('Design Fee'!DL42&gt;0,2,"-")</f>
        <v>-</v>
      </c>
      <c r="BQ42" s="386" t="str">
        <f>IF('Design Fee'!DN42&gt;0,2,"-")</f>
        <v>-</v>
      </c>
      <c r="BR42" s="386" t="str">
        <f>IF('Design Fee'!DO42&gt;0,2,"-")</f>
        <v>-</v>
      </c>
      <c r="BS42" s="386" t="str">
        <f>IF('Design Fee'!DP42&gt;0,2,"-")</f>
        <v>-</v>
      </c>
      <c r="BT42" s="386" t="str">
        <f>IF('Design Fee'!DQ42&gt;0,2,"-")</f>
        <v>-</v>
      </c>
      <c r="BU42" s="386" t="str">
        <f>IF('Design Fee'!DR42&gt;0,2,"-")</f>
        <v>-</v>
      </c>
      <c r="BV42" s="386" t="str">
        <f>IF('Design Fee'!DS42&gt;0,2,"-")</f>
        <v>-</v>
      </c>
      <c r="BW42" s="386" t="str">
        <f>IF('Design Fee'!DU42&gt;0,2,"-")</f>
        <v>-</v>
      </c>
      <c r="BX42" s="386" t="str">
        <f>IF('Design Fee'!DV42&gt;0,2,"-")</f>
        <v>-</v>
      </c>
      <c r="BY42" s="386" t="str">
        <f>IF('Design Fee'!DW42&gt;0,2,"-")</f>
        <v>-</v>
      </c>
      <c r="BZ42" s="386" t="str">
        <f>IF('Design Fee'!DX42&gt;0,2,"-")</f>
        <v>-</v>
      </c>
      <c r="CA42" s="386" t="str">
        <f>IF('Design Fee'!DY42&gt;0,2,"-")</f>
        <v>-</v>
      </c>
      <c r="CB42" s="195"/>
    </row>
    <row r="43" spans="1:80" ht="11.85" hidden="1" customHeight="1" outlineLevel="2">
      <c r="A43" s="112"/>
      <c r="B43" s="126">
        <v>3</v>
      </c>
      <c r="C43" s="213">
        <v>4</v>
      </c>
      <c r="D43" s="214" t="s">
        <v>39</v>
      </c>
      <c r="E43" s="114"/>
      <c r="F43" s="197"/>
      <c r="G43" s="194"/>
      <c r="H43" s="328"/>
      <c r="I43" s="328"/>
      <c r="J43" s="328"/>
      <c r="K43" s="386"/>
      <c r="L43" s="386"/>
      <c r="M43" s="386"/>
      <c r="N43" s="386"/>
      <c r="O43" s="386"/>
      <c r="P43" s="386"/>
      <c r="Q43" s="386"/>
      <c r="R43" s="386"/>
      <c r="S43" s="386"/>
      <c r="T43" s="195"/>
      <c r="U43" s="197"/>
      <c r="V43" s="194"/>
      <c r="W43" s="328" t="str">
        <f>IF('Design Fee'!H43&gt;0,2,"-")</f>
        <v>-</v>
      </c>
      <c r="X43" s="386" t="str">
        <f>IF('Design Fee'!J43&gt;0,2,"-")</f>
        <v>-</v>
      </c>
      <c r="Y43" s="386" t="str">
        <f>IF('Design Fee'!K43&gt;0,2,"-")</f>
        <v>-</v>
      </c>
      <c r="Z43" s="386" t="str">
        <f>IF('Design Fee'!L43&gt;0,2,"-")</f>
        <v>-</v>
      </c>
      <c r="AA43" s="386" t="str">
        <f>IF('Design Fee'!M43&gt;0,2,"-")</f>
        <v>-</v>
      </c>
      <c r="AB43" s="386" t="str">
        <f>IF('Design Fee'!N43&gt;0,2,"-")</f>
        <v>-</v>
      </c>
      <c r="AC43" s="386" t="str">
        <f>IF('Design Fee'!O43&gt;0,2,"-")</f>
        <v>-</v>
      </c>
      <c r="AD43" s="386" t="str">
        <f>IF('Design Fee'!Q43&gt;0,2,"-")</f>
        <v>-</v>
      </c>
      <c r="AE43" s="386" t="str">
        <f>IF('Design Fee'!R43&gt;0,2,"-")</f>
        <v>-</v>
      </c>
      <c r="AF43" s="386" t="str">
        <f>IF('Design Fee'!S43&gt;0,2,"-")</f>
        <v>-</v>
      </c>
      <c r="AG43" s="386" t="str">
        <f>IF('Design Fee'!T43&gt;0,2,"-")</f>
        <v>-</v>
      </c>
      <c r="AH43" s="386" t="str">
        <f>IF('Design Fee'!U43&gt;0,2,"-")</f>
        <v>-</v>
      </c>
      <c r="AI43" s="195"/>
      <c r="AJ43" s="197"/>
      <c r="AK43" s="387"/>
      <c r="AL43" s="201" t="str">
        <f>IF('Design Fee'!AR43&gt;0,2,"-")</f>
        <v>-</v>
      </c>
      <c r="AM43" s="386" t="str">
        <f>IF('Design Fee'!AT43&gt;0,2,"-")</f>
        <v>-</v>
      </c>
      <c r="AN43" s="386" t="str">
        <f>IF('Design Fee'!AU43&gt;0,2,"-")</f>
        <v>-</v>
      </c>
      <c r="AO43" s="386" t="str">
        <f>IF('Design Fee'!AV43&gt;0,2,"-")</f>
        <v>-</v>
      </c>
      <c r="AP43" s="386" t="str">
        <f>IF('Design Fee'!AW43&gt;0,2,"-")</f>
        <v>-</v>
      </c>
      <c r="AQ43" s="386" t="str">
        <f>IF('Design Fee'!AX43&gt;0,2,"-")</f>
        <v>-</v>
      </c>
      <c r="AR43" s="386" t="str">
        <f>IF('Design Fee'!AY43&gt;0,2,"-")</f>
        <v>-</v>
      </c>
      <c r="AS43" s="386" t="str">
        <f>IF('Design Fee'!BA43&gt;0,2,"-")</f>
        <v>-</v>
      </c>
      <c r="AT43" s="386" t="str">
        <f>IF('Design Fee'!BB43&gt;0,2,"-")</f>
        <v>-</v>
      </c>
      <c r="AU43" s="386" t="str">
        <f>IF('Design Fee'!BC43&gt;0,2,"-")</f>
        <v>-</v>
      </c>
      <c r="AV43" s="386" t="str">
        <f>IF('Design Fee'!BD43&gt;0,2,"-")</f>
        <v>-</v>
      </c>
      <c r="AW43" s="386" t="str">
        <f>IF('Design Fee'!BE43&gt;0,2,"-")</f>
        <v>-</v>
      </c>
      <c r="AX43" s="195"/>
      <c r="AY43" s="197"/>
      <c r="AZ43" s="387"/>
      <c r="BA43" s="328" t="str">
        <f>IF('Design Fee'!CB43&gt;0,2,"-")</f>
        <v>-</v>
      </c>
      <c r="BB43" s="386" t="str">
        <f>IF('Design Fee'!CD43&gt;0,2,"-")</f>
        <v>-</v>
      </c>
      <c r="BC43" s="386" t="str">
        <f>IF('Design Fee'!CE43&gt;0,2,"-")</f>
        <v>-</v>
      </c>
      <c r="BD43" s="386" t="str">
        <f>IF('Design Fee'!CF43&gt;0,2,"-")</f>
        <v>-</v>
      </c>
      <c r="BE43" s="386" t="str">
        <f>IF('Design Fee'!CG43&gt;0,2,"-")</f>
        <v>-</v>
      </c>
      <c r="BF43" s="386" t="str">
        <f>IF('Design Fee'!CH43&gt;0,2,"-")</f>
        <v>-</v>
      </c>
      <c r="BG43" s="386" t="str">
        <f>IF('Design Fee'!CI43&gt;0,2,"-")</f>
        <v>-</v>
      </c>
      <c r="BH43" s="386" t="str">
        <f>IF('Design Fee'!CK43&gt;0,2,"-")</f>
        <v>-</v>
      </c>
      <c r="BI43" s="386" t="str">
        <f>IF('Design Fee'!CL43&gt;0,2,"-")</f>
        <v>-</v>
      </c>
      <c r="BJ43" s="386" t="str">
        <f>IF('Design Fee'!CM43&gt;0,2,"-")</f>
        <v>-</v>
      </c>
      <c r="BK43" s="386" t="str">
        <f>IF('Design Fee'!CN43&gt;0,2,"-")</f>
        <v>-</v>
      </c>
      <c r="BL43" s="386" t="str">
        <f>IF('Design Fee'!CO43&gt;0,2,"-")</f>
        <v>-</v>
      </c>
      <c r="BM43" s="195"/>
      <c r="BN43" s="197"/>
      <c r="BO43" s="387"/>
      <c r="BP43" s="328" t="str">
        <f>IF('Design Fee'!DL43&gt;0,2,"-")</f>
        <v>-</v>
      </c>
      <c r="BQ43" s="386" t="str">
        <f>IF('Design Fee'!DN43&gt;0,2,"-")</f>
        <v>-</v>
      </c>
      <c r="BR43" s="386" t="str">
        <f>IF('Design Fee'!DO43&gt;0,2,"-")</f>
        <v>-</v>
      </c>
      <c r="BS43" s="386" t="str">
        <f>IF('Design Fee'!DP43&gt;0,2,"-")</f>
        <v>-</v>
      </c>
      <c r="BT43" s="386" t="str">
        <f>IF('Design Fee'!DQ43&gt;0,2,"-")</f>
        <v>-</v>
      </c>
      <c r="BU43" s="386" t="str">
        <f>IF('Design Fee'!DR43&gt;0,2,"-")</f>
        <v>-</v>
      </c>
      <c r="BV43" s="386" t="str">
        <f>IF('Design Fee'!DS43&gt;0,2,"-")</f>
        <v>-</v>
      </c>
      <c r="BW43" s="386" t="str">
        <f>IF('Design Fee'!DU43&gt;0,2,"-")</f>
        <v>-</v>
      </c>
      <c r="BX43" s="386" t="str">
        <f>IF('Design Fee'!DV43&gt;0,2,"-")</f>
        <v>-</v>
      </c>
      <c r="BY43" s="386" t="str">
        <f>IF('Design Fee'!DW43&gt;0,2,"-")</f>
        <v>-</v>
      </c>
      <c r="BZ43" s="386" t="str">
        <f>IF('Design Fee'!DX43&gt;0,2,"-")</f>
        <v>-</v>
      </c>
      <c r="CA43" s="386" t="str">
        <f>IF('Design Fee'!DY43&gt;0,2,"-")</f>
        <v>-</v>
      </c>
      <c r="CB43" s="195"/>
    </row>
    <row r="44" spans="1:80" ht="11.85" hidden="1" customHeight="1" outlineLevel="2">
      <c r="A44" s="112"/>
      <c r="B44" s="126">
        <v>4</v>
      </c>
      <c r="C44" s="213">
        <v>5</v>
      </c>
      <c r="D44" s="214" t="s">
        <v>40</v>
      </c>
      <c r="E44" s="114"/>
      <c r="F44" s="197"/>
      <c r="G44" s="194"/>
      <c r="H44" s="328"/>
      <c r="I44" s="328"/>
      <c r="J44" s="328"/>
      <c r="K44" s="386"/>
      <c r="L44" s="386"/>
      <c r="M44" s="386"/>
      <c r="N44" s="386"/>
      <c r="O44" s="386"/>
      <c r="P44" s="386"/>
      <c r="Q44" s="386"/>
      <c r="R44" s="386"/>
      <c r="S44" s="386"/>
      <c r="T44" s="195"/>
      <c r="U44" s="197"/>
      <c r="V44" s="194"/>
      <c r="W44" s="328" t="str">
        <f>IF('Design Fee'!H44&gt;0,2,"-")</f>
        <v>-</v>
      </c>
      <c r="X44" s="386" t="str">
        <f>IF('Design Fee'!J44&gt;0,2,"-")</f>
        <v>-</v>
      </c>
      <c r="Y44" s="386" t="str">
        <f>IF('Design Fee'!K44&gt;0,2,"-")</f>
        <v>-</v>
      </c>
      <c r="Z44" s="386" t="str">
        <f>IF('Design Fee'!L44&gt;0,2,"-")</f>
        <v>-</v>
      </c>
      <c r="AA44" s="386" t="str">
        <f>IF('Design Fee'!M44&gt;0,2,"-")</f>
        <v>-</v>
      </c>
      <c r="AB44" s="386" t="str">
        <f>IF('Design Fee'!N44&gt;0,2,"-")</f>
        <v>-</v>
      </c>
      <c r="AC44" s="386" t="str">
        <f>IF('Design Fee'!O44&gt;0,2,"-")</f>
        <v>-</v>
      </c>
      <c r="AD44" s="386" t="str">
        <f>IF('Design Fee'!Q44&gt;0,2,"-")</f>
        <v>-</v>
      </c>
      <c r="AE44" s="386" t="str">
        <f>IF('Design Fee'!R44&gt;0,2,"-")</f>
        <v>-</v>
      </c>
      <c r="AF44" s="386" t="str">
        <f>IF('Design Fee'!S44&gt;0,2,"-")</f>
        <v>-</v>
      </c>
      <c r="AG44" s="386" t="str">
        <f>IF('Design Fee'!T44&gt;0,2,"-")</f>
        <v>-</v>
      </c>
      <c r="AH44" s="386" t="str">
        <f>IF('Design Fee'!U44&gt;0,2,"-")</f>
        <v>-</v>
      </c>
      <c r="AI44" s="195"/>
      <c r="AJ44" s="197"/>
      <c r="AK44" s="387"/>
      <c r="AL44" s="201" t="str">
        <f>IF('Design Fee'!AR44&gt;0,2,"-")</f>
        <v>-</v>
      </c>
      <c r="AM44" s="386" t="str">
        <f>IF('Design Fee'!AT44&gt;0,2,"-")</f>
        <v>-</v>
      </c>
      <c r="AN44" s="386" t="str">
        <f>IF('Design Fee'!AU44&gt;0,2,"-")</f>
        <v>-</v>
      </c>
      <c r="AO44" s="386" t="str">
        <f>IF('Design Fee'!AV44&gt;0,2,"-")</f>
        <v>-</v>
      </c>
      <c r="AP44" s="386" t="str">
        <f>IF('Design Fee'!AW44&gt;0,2,"-")</f>
        <v>-</v>
      </c>
      <c r="AQ44" s="386" t="str">
        <f>IF('Design Fee'!AX44&gt;0,2,"-")</f>
        <v>-</v>
      </c>
      <c r="AR44" s="386" t="str">
        <f>IF('Design Fee'!AY44&gt;0,2,"-")</f>
        <v>-</v>
      </c>
      <c r="AS44" s="386" t="str">
        <f>IF('Design Fee'!BA44&gt;0,2,"-")</f>
        <v>-</v>
      </c>
      <c r="AT44" s="386" t="str">
        <f>IF('Design Fee'!BB44&gt;0,2,"-")</f>
        <v>-</v>
      </c>
      <c r="AU44" s="386" t="str">
        <f>IF('Design Fee'!BC44&gt;0,2,"-")</f>
        <v>-</v>
      </c>
      <c r="AV44" s="386" t="str">
        <f>IF('Design Fee'!BD44&gt;0,2,"-")</f>
        <v>-</v>
      </c>
      <c r="AW44" s="386" t="str">
        <f>IF('Design Fee'!BE44&gt;0,2,"-")</f>
        <v>-</v>
      </c>
      <c r="AX44" s="195"/>
      <c r="AY44" s="197"/>
      <c r="AZ44" s="387"/>
      <c r="BA44" s="328" t="str">
        <f>IF('Design Fee'!CB44&gt;0,2,"-")</f>
        <v>-</v>
      </c>
      <c r="BB44" s="386" t="str">
        <f>IF('Design Fee'!CD44&gt;0,2,"-")</f>
        <v>-</v>
      </c>
      <c r="BC44" s="386" t="str">
        <f>IF('Design Fee'!CE44&gt;0,2,"-")</f>
        <v>-</v>
      </c>
      <c r="BD44" s="386" t="str">
        <f>IF('Design Fee'!CF44&gt;0,2,"-")</f>
        <v>-</v>
      </c>
      <c r="BE44" s="386" t="str">
        <f>IF('Design Fee'!CG44&gt;0,2,"-")</f>
        <v>-</v>
      </c>
      <c r="BF44" s="386" t="str">
        <f>IF('Design Fee'!CH44&gt;0,2,"-")</f>
        <v>-</v>
      </c>
      <c r="BG44" s="386" t="str">
        <f>IF('Design Fee'!CI44&gt;0,2,"-")</f>
        <v>-</v>
      </c>
      <c r="BH44" s="386" t="str">
        <f>IF('Design Fee'!CK44&gt;0,2,"-")</f>
        <v>-</v>
      </c>
      <c r="BI44" s="386" t="str">
        <f>IF('Design Fee'!CL44&gt;0,2,"-")</f>
        <v>-</v>
      </c>
      <c r="BJ44" s="386" t="str">
        <f>IF('Design Fee'!CM44&gt;0,2,"-")</f>
        <v>-</v>
      </c>
      <c r="BK44" s="386" t="str">
        <f>IF('Design Fee'!CN44&gt;0,2,"-")</f>
        <v>-</v>
      </c>
      <c r="BL44" s="386" t="str">
        <f>IF('Design Fee'!CO44&gt;0,2,"-")</f>
        <v>-</v>
      </c>
      <c r="BM44" s="195"/>
      <c r="BN44" s="197"/>
      <c r="BO44" s="387"/>
      <c r="BP44" s="328" t="str">
        <f>IF('Design Fee'!DL44&gt;0,2,"-")</f>
        <v>-</v>
      </c>
      <c r="BQ44" s="386" t="str">
        <f>IF('Design Fee'!DN44&gt;0,2,"-")</f>
        <v>-</v>
      </c>
      <c r="BR44" s="386" t="str">
        <f>IF('Design Fee'!DO44&gt;0,2,"-")</f>
        <v>-</v>
      </c>
      <c r="BS44" s="386" t="str">
        <f>IF('Design Fee'!DP44&gt;0,2,"-")</f>
        <v>-</v>
      </c>
      <c r="BT44" s="386" t="str">
        <f>IF('Design Fee'!DQ44&gt;0,2,"-")</f>
        <v>-</v>
      </c>
      <c r="BU44" s="386" t="str">
        <f>IF('Design Fee'!DR44&gt;0,2,"-")</f>
        <v>-</v>
      </c>
      <c r="BV44" s="386" t="str">
        <f>IF('Design Fee'!DS44&gt;0,2,"-")</f>
        <v>-</v>
      </c>
      <c r="BW44" s="386" t="str">
        <f>IF('Design Fee'!DU44&gt;0,2,"-")</f>
        <v>-</v>
      </c>
      <c r="BX44" s="386" t="str">
        <f>IF('Design Fee'!DV44&gt;0,2,"-")</f>
        <v>-</v>
      </c>
      <c r="BY44" s="386" t="str">
        <f>IF('Design Fee'!DW44&gt;0,2,"-")</f>
        <v>-</v>
      </c>
      <c r="BZ44" s="386" t="str">
        <f>IF('Design Fee'!DX44&gt;0,2,"-")</f>
        <v>-</v>
      </c>
      <c r="CA44" s="386" t="str">
        <f>IF('Design Fee'!DY44&gt;0,2,"-")</f>
        <v>-</v>
      </c>
      <c r="CB44" s="195"/>
    </row>
    <row r="45" spans="1:80" ht="11.85" hidden="1" customHeight="1" outlineLevel="2">
      <c r="A45" s="112"/>
      <c r="B45" s="126">
        <v>5</v>
      </c>
      <c r="C45" s="213">
        <v>6</v>
      </c>
      <c r="D45" s="214" t="s">
        <v>41</v>
      </c>
      <c r="E45" s="114"/>
      <c r="F45" s="196"/>
      <c r="G45" s="194"/>
      <c r="H45" s="328"/>
      <c r="I45" s="328"/>
      <c r="J45" s="328"/>
      <c r="K45" s="386"/>
      <c r="L45" s="386"/>
      <c r="M45" s="386"/>
      <c r="N45" s="386"/>
      <c r="O45" s="386"/>
      <c r="P45" s="386"/>
      <c r="Q45" s="386"/>
      <c r="R45" s="386"/>
      <c r="S45" s="386"/>
      <c r="T45" s="195"/>
      <c r="U45" s="196"/>
      <c r="V45" s="194"/>
      <c r="W45" s="328" t="str">
        <f>IF('Design Fee'!H45&gt;0,2,"-")</f>
        <v>-</v>
      </c>
      <c r="X45" s="386" t="str">
        <f>IF('Design Fee'!J45&gt;0,2,"-")</f>
        <v>-</v>
      </c>
      <c r="Y45" s="386" t="str">
        <f>IF('Design Fee'!K45&gt;0,2,"-")</f>
        <v>-</v>
      </c>
      <c r="Z45" s="386" t="str">
        <f>IF('Design Fee'!L45&gt;0,2,"-")</f>
        <v>-</v>
      </c>
      <c r="AA45" s="386" t="str">
        <f>IF('Design Fee'!M45&gt;0,2,"-")</f>
        <v>-</v>
      </c>
      <c r="AB45" s="386" t="str">
        <f>IF('Design Fee'!N45&gt;0,2,"-")</f>
        <v>-</v>
      </c>
      <c r="AC45" s="386" t="str">
        <f>IF('Design Fee'!O45&gt;0,2,"-")</f>
        <v>-</v>
      </c>
      <c r="AD45" s="386" t="str">
        <f>IF('Design Fee'!Q45&gt;0,2,"-")</f>
        <v>-</v>
      </c>
      <c r="AE45" s="386" t="str">
        <f>IF('Design Fee'!R45&gt;0,2,"-")</f>
        <v>-</v>
      </c>
      <c r="AF45" s="386" t="str">
        <f>IF('Design Fee'!S45&gt;0,2,"-")</f>
        <v>-</v>
      </c>
      <c r="AG45" s="386" t="str">
        <f>IF('Design Fee'!T45&gt;0,2,"-")</f>
        <v>-</v>
      </c>
      <c r="AH45" s="386" t="str">
        <f>IF('Design Fee'!U45&gt;0,2,"-")</f>
        <v>-</v>
      </c>
      <c r="AI45" s="195"/>
      <c r="AJ45" s="196"/>
      <c r="AK45" s="387"/>
      <c r="AL45" s="201" t="str">
        <f>IF('Design Fee'!AR45&gt;0,2,"-")</f>
        <v>-</v>
      </c>
      <c r="AM45" s="386" t="str">
        <f>IF('Design Fee'!AT45&gt;0,2,"-")</f>
        <v>-</v>
      </c>
      <c r="AN45" s="386" t="str">
        <f>IF('Design Fee'!AU45&gt;0,2,"-")</f>
        <v>-</v>
      </c>
      <c r="AO45" s="386" t="str">
        <f>IF('Design Fee'!AV45&gt;0,2,"-")</f>
        <v>-</v>
      </c>
      <c r="AP45" s="386" t="str">
        <f>IF('Design Fee'!AW45&gt;0,2,"-")</f>
        <v>-</v>
      </c>
      <c r="AQ45" s="386" t="str">
        <f>IF('Design Fee'!AX45&gt;0,2,"-")</f>
        <v>-</v>
      </c>
      <c r="AR45" s="386" t="str">
        <f>IF('Design Fee'!AY45&gt;0,2,"-")</f>
        <v>-</v>
      </c>
      <c r="AS45" s="386" t="str">
        <f>IF('Design Fee'!BA45&gt;0,2,"-")</f>
        <v>-</v>
      </c>
      <c r="AT45" s="386" t="str">
        <f>IF('Design Fee'!BB45&gt;0,2,"-")</f>
        <v>-</v>
      </c>
      <c r="AU45" s="386" t="str">
        <f>IF('Design Fee'!BC45&gt;0,2,"-")</f>
        <v>-</v>
      </c>
      <c r="AV45" s="386" t="str">
        <f>IF('Design Fee'!BD45&gt;0,2,"-")</f>
        <v>-</v>
      </c>
      <c r="AW45" s="386" t="str">
        <f>IF('Design Fee'!BE45&gt;0,2,"-")</f>
        <v>-</v>
      </c>
      <c r="AX45" s="195"/>
      <c r="AY45" s="196"/>
      <c r="AZ45" s="387"/>
      <c r="BA45" s="328" t="str">
        <f>IF('Design Fee'!CB45&gt;0,2,"-")</f>
        <v>-</v>
      </c>
      <c r="BB45" s="386" t="str">
        <f>IF('Design Fee'!CD45&gt;0,2,"-")</f>
        <v>-</v>
      </c>
      <c r="BC45" s="386" t="str">
        <f>IF('Design Fee'!CE45&gt;0,2,"-")</f>
        <v>-</v>
      </c>
      <c r="BD45" s="386" t="str">
        <f>IF('Design Fee'!CF45&gt;0,2,"-")</f>
        <v>-</v>
      </c>
      <c r="BE45" s="386" t="str">
        <f>IF('Design Fee'!CG45&gt;0,2,"-")</f>
        <v>-</v>
      </c>
      <c r="BF45" s="386" t="str">
        <f>IF('Design Fee'!CH45&gt;0,2,"-")</f>
        <v>-</v>
      </c>
      <c r="BG45" s="386" t="str">
        <f>IF('Design Fee'!CI45&gt;0,2,"-")</f>
        <v>-</v>
      </c>
      <c r="BH45" s="386" t="str">
        <f>IF('Design Fee'!CK45&gt;0,2,"-")</f>
        <v>-</v>
      </c>
      <c r="BI45" s="386" t="str">
        <f>IF('Design Fee'!CL45&gt;0,2,"-")</f>
        <v>-</v>
      </c>
      <c r="BJ45" s="386" t="str">
        <f>IF('Design Fee'!CM45&gt;0,2,"-")</f>
        <v>-</v>
      </c>
      <c r="BK45" s="386" t="str">
        <f>IF('Design Fee'!CN45&gt;0,2,"-")</f>
        <v>-</v>
      </c>
      <c r="BL45" s="386" t="str">
        <f>IF('Design Fee'!CO45&gt;0,2,"-")</f>
        <v>-</v>
      </c>
      <c r="BM45" s="195"/>
      <c r="BN45" s="196"/>
      <c r="BO45" s="387"/>
      <c r="BP45" s="328" t="str">
        <f>IF('Design Fee'!DL45&gt;0,2,"-")</f>
        <v>-</v>
      </c>
      <c r="BQ45" s="386" t="str">
        <f>IF('Design Fee'!DN45&gt;0,2,"-")</f>
        <v>-</v>
      </c>
      <c r="BR45" s="386" t="str">
        <f>IF('Design Fee'!DO45&gt;0,2,"-")</f>
        <v>-</v>
      </c>
      <c r="BS45" s="386" t="str">
        <f>IF('Design Fee'!DP45&gt;0,2,"-")</f>
        <v>-</v>
      </c>
      <c r="BT45" s="386" t="str">
        <f>IF('Design Fee'!DQ45&gt;0,2,"-")</f>
        <v>-</v>
      </c>
      <c r="BU45" s="386" t="str">
        <f>IF('Design Fee'!DR45&gt;0,2,"-")</f>
        <v>-</v>
      </c>
      <c r="BV45" s="386" t="str">
        <f>IF('Design Fee'!DS45&gt;0,2,"-")</f>
        <v>-</v>
      </c>
      <c r="BW45" s="386" t="str">
        <f>IF('Design Fee'!DU45&gt;0,2,"-")</f>
        <v>-</v>
      </c>
      <c r="BX45" s="386" t="str">
        <f>IF('Design Fee'!DV45&gt;0,2,"-")</f>
        <v>-</v>
      </c>
      <c r="BY45" s="386" t="str">
        <f>IF('Design Fee'!DW45&gt;0,2,"-")</f>
        <v>-</v>
      </c>
      <c r="BZ45" s="386" t="str">
        <f>IF('Design Fee'!DX45&gt;0,2,"-")</f>
        <v>-</v>
      </c>
      <c r="CA45" s="386" t="str">
        <f>IF('Design Fee'!DY45&gt;0,2,"-")</f>
        <v>-</v>
      </c>
      <c r="CB45" s="195"/>
    </row>
    <row r="46" spans="1:80" ht="11.85" hidden="1" customHeight="1" outlineLevel="2">
      <c r="A46" s="112"/>
      <c r="B46" s="126"/>
      <c r="C46" s="213">
        <v>7</v>
      </c>
      <c r="D46" s="214" t="s">
        <v>42</v>
      </c>
      <c r="E46" s="114"/>
      <c r="F46" s="196"/>
      <c r="G46" s="194"/>
      <c r="H46" s="328"/>
      <c r="I46" s="328"/>
      <c r="J46" s="328"/>
      <c r="K46" s="386"/>
      <c r="L46" s="386"/>
      <c r="M46" s="386"/>
      <c r="N46" s="386"/>
      <c r="O46" s="386"/>
      <c r="P46" s="386"/>
      <c r="Q46" s="386"/>
      <c r="R46" s="386"/>
      <c r="S46" s="386"/>
      <c r="T46" s="195"/>
      <c r="U46" s="196"/>
      <c r="V46" s="194"/>
      <c r="W46" s="328" t="str">
        <f>IF('Design Fee'!H46&gt;0,2,"-")</f>
        <v>-</v>
      </c>
      <c r="X46" s="386" t="str">
        <f>IF('Design Fee'!J46&gt;0,2,"-")</f>
        <v>-</v>
      </c>
      <c r="Y46" s="386" t="str">
        <f>IF('Design Fee'!K46&gt;0,2,"-")</f>
        <v>-</v>
      </c>
      <c r="Z46" s="386" t="str">
        <f>IF('Design Fee'!L46&gt;0,2,"-")</f>
        <v>-</v>
      </c>
      <c r="AA46" s="386" t="str">
        <f>IF('Design Fee'!M46&gt;0,2,"-")</f>
        <v>-</v>
      </c>
      <c r="AB46" s="386" t="str">
        <f>IF('Design Fee'!N46&gt;0,2,"-")</f>
        <v>-</v>
      </c>
      <c r="AC46" s="386" t="str">
        <f>IF('Design Fee'!O46&gt;0,2,"-")</f>
        <v>-</v>
      </c>
      <c r="AD46" s="386" t="str">
        <f>IF('Design Fee'!Q46&gt;0,2,"-")</f>
        <v>-</v>
      </c>
      <c r="AE46" s="386" t="str">
        <f>IF('Design Fee'!R46&gt;0,2,"-")</f>
        <v>-</v>
      </c>
      <c r="AF46" s="386" t="str">
        <f>IF('Design Fee'!S46&gt;0,2,"-")</f>
        <v>-</v>
      </c>
      <c r="AG46" s="386" t="str">
        <f>IF('Design Fee'!T46&gt;0,2,"-")</f>
        <v>-</v>
      </c>
      <c r="AH46" s="386" t="str">
        <f>IF('Design Fee'!U46&gt;0,2,"-")</f>
        <v>-</v>
      </c>
      <c r="AI46" s="195"/>
      <c r="AJ46" s="196"/>
      <c r="AK46" s="387"/>
      <c r="AL46" s="201" t="str">
        <f>IF('Design Fee'!AR46&gt;0,2,"-")</f>
        <v>-</v>
      </c>
      <c r="AM46" s="386" t="str">
        <f>IF('Design Fee'!AT46&gt;0,2,"-")</f>
        <v>-</v>
      </c>
      <c r="AN46" s="386" t="str">
        <f>IF('Design Fee'!AU46&gt;0,2,"-")</f>
        <v>-</v>
      </c>
      <c r="AO46" s="386" t="str">
        <f>IF('Design Fee'!AV46&gt;0,2,"-")</f>
        <v>-</v>
      </c>
      <c r="AP46" s="386" t="str">
        <f>IF('Design Fee'!AW46&gt;0,2,"-")</f>
        <v>-</v>
      </c>
      <c r="AQ46" s="386" t="str">
        <f>IF('Design Fee'!AX46&gt;0,2,"-")</f>
        <v>-</v>
      </c>
      <c r="AR46" s="386" t="str">
        <f>IF('Design Fee'!AY46&gt;0,2,"-")</f>
        <v>-</v>
      </c>
      <c r="AS46" s="386" t="str">
        <f>IF('Design Fee'!BA46&gt;0,2,"-")</f>
        <v>-</v>
      </c>
      <c r="AT46" s="386" t="str">
        <f>IF('Design Fee'!BB46&gt;0,2,"-")</f>
        <v>-</v>
      </c>
      <c r="AU46" s="386" t="str">
        <f>IF('Design Fee'!BC46&gt;0,2,"-")</f>
        <v>-</v>
      </c>
      <c r="AV46" s="386" t="str">
        <f>IF('Design Fee'!BD46&gt;0,2,"-")</f>
        <v>-</v>
      </c>
      <c r="AW46" s="386" t="str">
        <f>IF('Design Fee'!BE46&gt;0,2,"-")</f>
        <v>-</v>
      </c>
      <c r="AX46" s="195"/>
      <c r="AY46" s="196"/>
      <c r="AZ46" s="387"/>
      <c r="BA46" s="328" t="str">
        <f>IF('Design Fee'!CB46&gt;0,2,"-")</f>
        <v>-</v>
      </c>
      <c r="BB46" s="386" t="str">
        <f>IF('Design Fee'!CD46&gt;0,2,"-")</f>
        <v>-</v>
      </c>
      <c r="BC46" s="386" t="str">
        <f>IF('Design Fee'!CE46&gt;0,2,"-")</f>
        <v>-</v>
      </c>
      <c r="BD46" s="386" t="str">
        <f>IF('Design Fee'!CF46&gt;0,2,"-")</f>
        <v>-</v>
      </c>
      <c r="BE46" s="386" t="str">
        <f>IF('Design Fee'!CG46&gt;0,2,"-")</f>
        <v>-</v>
      </c>
      <c r="BF46" s="386" t="str">
        <f>IF('Design Fee'!CH46&gt;0,2,"-")</f>
        <v>-</v>
      </c>
      <c r="BG46" s="386" t="str">
        <f>IF('Design Fee'!CI46&gt;0,2,"-")</f>
        <v>-</v>
      </c>
      <c r="BH46" s="386" t="str">
        <f>IF('Design Fee'!CK46&gt;0,2,"-")</f>
        <v>-</v>
      </c>
      <c r="BI46" s="386" t="str">
        <f>IF('Design Fee'!CL46&gt;0,2,"-")</f>
        <v>-</v>
      </c>
      <c r="BJ46" s="386" t="str">
        <f>IF('Design Fee'!CM46&gt;0,2,"-")</f>
        <v>-</v>
      </c>
      <c r="BK46" s="386" t="str">
        <f>IF('Design Fee'!CN46&gt;0,2,"-")</f>
        <v>-</v>
      </c>
      <c r="BL46" s="386" t="str">
        <f>IF('Design Fee'!CO46&gt;0,2,"-")</f>
        <v>-</v>
      </c>
      <c r="BM46" s="195"/>
      <c r="BN46" s="196"/>
      <c r="BO46" s="387"/>
      <c r="BP46" s="328" t="str">
        <f>IF('Design Fee'!DL46&gt;0,2,"-")</f>
        <v>-</v>
      </c>
      <c r="BQ46" s="386" t="str">
        <f>IF('Design Fee'!DN46&gt;0,2,"-")</f>
        <v>-</v>
      </c>
      <c r="BR46" s="386" t="str">
        <f>IF('Design Fee'!DO46&gt;0,2,"-")</f>
        <v>-</v>
      </c>
      <c r="BS46" s="386" t="str">
        <f>IF('Design Fee'!DP46&gt;0,2,"-")</f>
        <v>-</v>
      </c>
      <c r="BT46" s="386" t="str">
        <f>IF('Design Fee'!DQ46&gt;0,2,"-")</f>
        <v>-</v>
      </c>
      <c r="BU46" s="386" t="str">
        <f>IF('Design Fee'!DR46&gt;0,2,"-")</f>
        <v>-</v>
      </c>
      <c r="BV46" s="386" t="str">
        <f>IF('Design Fee'!DS46&gt;0,2,"-")</f>
        <v>-</v>
      </c>
      <c r="BW46" s="386" t="str">
        <f>IF('Design Fee'!DU46&gt;0,2,"-")</f>
        <v>-</v>
      </c>
      <c r="BX46" s="386" t="str">
        <f>IF('Design Fee'!DV46&gt;0,2,"-")</f>
        <v>-</v>
      </c>
      <c r="BY46" s="386" t="str">
        <f>IF('Design Fee'!DW46&gt;0,2,"-")</f>
        <v>-</v>
      </c>
      <c r="BZ46" s="386" t="str">
        <f>IF('Design Fee'!DX46&gt;0,2,"-")</f>
        <v>-</v>
      </c>
      <c r="CA46" s="386" t="str">
        <f>IF('Design Fee'!DY46&gt;0,2,"-")</f>
        <v>-</v>
      </c>
      <c r="CB46" s="195"/>
    </row>
    <row r="47" spans="1:80" ht="11.85" hidden="1" customHeight="1" outlineLevel="2">
      <c r="A47" s="112"/>
      <c r="B47" s="126"/>
      <c r="C47" s="213">
        <v>8</v>
      </c>
      <c r="D47" s="214" t="s">
        <v>43</v>
      </c>
      <c r="E47" s="114"/>
      <c r="F47" s="196"/>
      <c r="G47" s="194"/>
      <c r="H47" s="328"/>
      <c r="I47" s="328"/>
      <c r="J47" s="328"/>
      <c r="K47" s="386"/>
      <c r="L47" s="386"/>
      <c r="M47" s="386"/>
      <c r="N47" s="386"/>
      <c r="O47" s="386"/>
      <c r="P47" s="386"/>
      <c r="Q47" s="386"/>
      <c r="R47" s="386"/>
      <c r="S47" s="386"/>
      <c r="T47" s="195"/>
      <c r="U47" s="196"/>
      <c r="V47" s="194"/>
      <c r="W47" s="328" t="str">
        <f>IF('Design Fee'!H47&gt;0,2,"-")</f>
        <v>-</v>
      </c>
      <c r="X47" s="386" t="str">
        <f>IF('Design Fee'!J47&gt;0,2,"-")</f>
        <v>-</v>
      </c>
      <c r="Y47" s="386" t="str">
        <f>IF('Design Fee'!K47&gt;0,2,"-")</f>
        <v>-</v>
      </c>
      <c r="Z47" s="386" t="str">
        <f>IF('Design Fee'!L47&gt;0,2,"-")</f>
        <v>-</v>
      </c>
      <c r="AA47" s="386" t="str">
        <f>IF('Design Fee'!M47&gt;0,2,"-")</f>
        <v>-</v>
      </c>
      <c r="AB47" s="386" t="str">
        <f>IF('Design Fee'!N47&gt;0,2,"-")</f>
        <v>-</v>
      </c>
      <c r="AC47" s="386" t="str">
        <f>IF('Design Fee'!O47&gt;0,2,"-")</f>
        <v>-</v>
      </c>
      <c r="AD47" s="386" t="str">
        <f>IF('Design Fee'!Q47&gt;0,2,"-")</f>
        <v>-</v>
      </c>
      <c r="AE47" s="386" t="str">
        <f>IF('Design Fee'!R47&gt;0,2,"-")</f>
        <v>-</v>
      </c>
      <c r="AF47" s="386" t="str">
        <f>IF('Design Fee'!S47&gt;0,2,"-")</f>
        <v>-</v>
      </c>
      <c r="AG47" s="386" t="str">
        <f>IF('Design Fee'!T47&gt;0,2,"-")</f>
        <v>-</v>
      </c>
      <c r="AH47" s="386" t="str">
        <f>IF('Design Fee'!U47&gt;0,2,"-")</f>
        <v>-</v>
      </c>
      <c r="AI47" s="195"/>
      <c r="AJ47" s="196"/>
      <c r="AK47" s="387"/>
      <c r="AL47" s="201" t="str">
        <f>IF('Design Fee'!AR47&gt;0,2,"-")</f>
        <v>-</v>
      </c>
      <c r="AM47" s="386" t="str">
        <f>IF('Design Fee'!AT47&gt;0,2,"-")</f>
        <v>-</v>
      </c>
      <c r="AN47" s="386" t="str">
        <f>IF('Design Fee'!AU47&gt;0,2,"-")</f>
        <v>-</v>
      </c>
      <c r="AO47" s="386" t="str">
        <f>IF('Design Fee'!AV47&gt;0,2,"-")</f>
        <v>-</v>
      </c>
      <c r="AP47" s="386" t="str">
        <f>IF('Design Fee'!AW47&gt;0,2,"-")</f>
        <v>-</v>
      </c>
      <c r="AQ47" s="386" t="str">
        <f>IF('Design Fee'!AX47&gt;0,2,"-")</f>
        <v>-</v>
      </c>
      <c r="AR47" s="386" t="str">
        <f>IF('Design Fee'!AY47&gt;0,2,"-")</f>
        <v>-</v>
      </c>
      <c r="AS47" s="386" t="str">
        <f>IF('Design Fee'!BA47&gt;0,2,"-")</f>
        <v>-</v>
      </c>
      <c r="AT47" s="386" t="str">
        <f>IF('Design Fee'!BB47&gt;0,2,"-")</f>
        <v>-</v>
      </c>
      <c r="AU47" s="386" t="str">
        <f>IF('Design Fee'!BC47&gt;0,2,"-")</f>
        <v>-</v>
      </c>
      <c r="AV47" s="386" t="str">
        <f>IF('Design Fee'!BD47&gt;0,2,"-")</f>
        <v>-</v>
      </c>
      <c r="AW47" s="386" t="str">
        <f>IF('Design Fee'!BE47&gt;0,2,"-")</f>
        <v>-</v>
      </c>
      <c r="AX47" s="195"/>
      <c r="AY47" s="196"/>
      <c r="AZ47" s="387"/>
      <c r="BA47" s="328" t="str">
        <f>IF('Design Fee'!CB47&gt;0,2,"-")</f>
        <v>-</v>
      </c>
      <c r="BB47" s="386" t="str">
        <f>IF('Design Fee'!CD47&gt;0,2,"-")</f>
        <v>-</v>
      </c>
      <c r="BC47" s="386" t="str">
        <f>IF('Design Fee'!CE47&gt;0,2,"-")</f>
        <v>-</v>
      </c>
      <c r="BD47" s="386" t="str">
        <f>IF('Design Fee'!CF47&gt;0,2,"-")</f>
        <v>-</v>
      </c>
      <c r="BE47" s="386" t="str">
        <f>IF('Design Fee'!CG47&gt;0,2,"-")</f>
        <v>-</v>
      </c>
      <c r="BF47" s="386" t="str">
        <f>IF('Design Fee'!CH47&gt;0,2,"-")</f>
        <v>-</v>
      </c>
      <c r="BG47" s="386" t="str">
        <f>IF('Design Fee'!CI47&gt;0,2,"-")</f>
        <v>-</v>
      </c>
      <c r="BH47" s="386" t="str">
        <f>IF('Design Fee'!CK47&gt;0,2,"-")</f>
        <v>-</v>
      </c>
      <c r="BI47" s="386" t="str">
        <f>IF('Design Fee'!CL47&gt;0,2,"-")</f>
        <v>-</v>
      </c>
      <c r="BJ47" s="386" t="str">
        <f>IF('Design Fee'!CM47&gt;0,2,"-")</f>
        <v>-</v>
      </c>
      <c r="BK47" s="386" t="str">
        <f>IF('Design Fee'!CN47&gt;0,2,"-")</f>
        <v>-</v>
      </c>
      <c r="BL47" s="386" t="str">
        <f>IF('Design Fee'!CO47&gt;0,2,"-")</f>
        <v>-</v>
      </c>
      <c r="BM47" s="195"/>
      <c r="BN47" s="196"/>
      <c r="BO47" s="387"/>
      <c r="BP47" s="328" t="str">
        <f>IF('Design Fee'!DL47&gt;0,2,"-")</f>
        <v>-</v>
      </c>
      <c r="BQ47" s="386" t="str">
        <f>IF('Design Fee'!DN47&gt;0,2,"-")</f>
        <v>-</v>
      </c>
      <c r="BR47" s="386" t="str">
        <f>IF('Design Fee'!DO47&gt;0,2,"-")</f>
        <v>-</v>
      </c>
      <c r="BS47" s="386" t="str">
        <f>IF('Design Fee'!DP47&gt;0,2,"-")</f>
        <v>-</v>
      </c>
      <c r="BT47" s="386" t="str">
        <f>IF('Design Fee'!DQ47&gt;0,2,"-")</f>
        <v>-</v>
      </c>
      <c r="BU47" s="386" t="str">
        <f>IF('Design Fee'!DR47&gt;0,2,"-")</f>
        <v>-</v>
      </c>
      <c r="BV47" s="386" t="str">
        <f>IF('Design Fee'!DS47&gt;0,2,"-")</f>
        <v>-</v>
      </c>
      <c r="BW47" s="386" t="str">
        <f>IF('Design Fee'!DU47&gt;0,2,"-")</f>
        <v>-</v>
      </c>
      <c r="BX47" s="386" t="str">
        <f>IF('Design Fee'!DV47&gt;0,2,"-")</f>
        <v>-</v>
      </c>
      <c r="BY47" s="386" t="str">
        <f>IF('Design Fee'!DW47&gt;0,2,"-")</f>
        <v>-</v>
      </c>
      <c r="BZ47" s="386" t="str">
        <f>IF('Design Fee'!DX47&gt;0,2,"-")</f>
        <v>-</v>
      </c>
      <c r="CA47" s="386" t="str">
        <f>IF('Design Fee'!DY47&gt;0,2,"-")</f>
        <v>-</v>
      </c>
      <c r="CB47" s="195"/>
    </row>
    <row r="48" spans="1:80" ht="3" customHeight="1">
      <c r="A48" s="112"/>
      <c r="B48" s="113"/>
      <c r="C48" s="153"/>
      <c r="D48" s="114"/>
      <c r="E48" s="114"/>
      <c r="F48" s="115"/>
      <c r="G48" s="116"/>
      <c r="H48" s="124"/>
      <c r="I48" s="124"/>
      <c r="J48" s="124"/>
      <c r="K48" s="125"/>
      <c r="L48" s="125"/>
      <c r="M48" s="125"/>
      <c r="N48" s="125"/>
      <c r="O48" s="125"/>
      <c r="P48" s="125"/>
      <c r="Q48" s="125"/>
      <c r="R48" s="125"/>
      <c r="S48" s="125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195"/>
    </row>
    <row r="49" spans="1:80" ht="17.399999999999999">
      <c r="A49" s="112"/>
      <c r="B49" s="112"/>
      <c r="C49" s="497" t="s">
        <v>44</v>
      </c>
      <c r="D49" s="506"/>
      <c r="E49" s="132"/>
      <c r="F49" s="115"/>
      <c r="G49" s="116"/>
      <c r="H49" s="483">
        <f t="shared" ref="H49:S49" si="17">H51+H62+H84</f>
        <v>49</v>
      </c>
      <c r="I49" s="483">
        <f t="shared" si="17"/>
        <v>19</v>
      </c>
      <c r="J49" s="483">
        <f t="shared" si="17"/>
        <v>30</v>
      </c>
      <c r="K49" s="483">
        <f t="shared" si="17"/>
        <v>30</v>
      </c>
      <c r="L49" s="483">
        <f t="shared" si="17"/>
        <v>0</v>
      </c>
      <c r="M49" s="483">
        <f t="shared" si="17"/>
        <v>0</v>
      </c>
      <c r="N49" s="483">
        <f t="shared" si="17"/>
        <v>0</v>
      </c>
      <c r="O49" s="483">
        <f t="shared" si="17"/>
        <v>29</v>
      </c>
      <c r="P49" s="483">
        <f t="shared" si="17"/>
        <v>15</v>
      </c>
      <c r="Q49" s="483">
        <f t="shared" si="17"/>
        <v>9</v>
      </c>
      <c r="R49" s="483">
        <f t="shared" si="17"/>
        <v>5</v>
      </c>
      <c r="S49" s="483">
        <f t="shared" si="17"/>
        <v>0</v>
      </c>
      <c r="T49" s="327"/>
      <c r="U49" s="327"/>
      <c r="V49" s="327"/>
      <c r="W49" s="483">
        <f t="shared" ref="W49:AH49" si="18">W51+W62+W84</f>
        <v>17</v>
      </c>
      <c r="X49" s="483">
        <f t="shared" si="18"/>
        <v>9</v>
      </c>
      <c r="Y49" s="483">
        <f t="shared" si="18"/>
        <v>8</v>
      </c>
      <c r="Z49" s="483">
        <f t="shared" si="18"/>
        <v>8</v>
      </c>
      <c r="AA49" s="483">
        <f t="shared" si="18"/>
        <v>0</v>
      </c>
      <c r="AB49" s="483">
        <f t="shared" si="18"/>
        <v>0</v>
      </c>
      <c r="AC49" s="483">
        <f t="shared" si="18"/>
        <v>0</v>
      </c>
      <c r="AD49" s="483">
        <f t="shared" si="18"/>
        <v>8</v>
      </c>
      <c r="AE49" s="483">
        <f t="shared" si="18"/>
        <v>4</v>
      </c>
      <c r="AF49" s="483">
        <f t="shared" si="18"/>
        <v>3</v>
      </c>
      <c r="AG49" s="483">
        <f t="shared" si="18"/>
        <v>1</v>
      </c>
      <c r="AH49" s="483">
        <f t="shared" si="18"/>
        <v>0</v>
      </c>
      <c r="AI49" s="327"/>
      <c r="AJ49" s="327"/>
      <c r="AK49" s="327"/>
      <c r="AL49" s="483">
        <f t="shared" ref="AL49:AW49" si="19">AL51+AL62+AL84</f>
        <v>18</v>
      </c>
      <c r="AM49" s="483">
        <f t="shared" si="19"/>
        <v>9</v>
      </c>
      <c r="AN49" s="483">
        <f t="shared" si="19"/>
        <v>9</v>
      </c>
      <c r="AO49" s="483">
        <f t="shared" si="19"/>
        <v>9</v>
      </c>
      <c r="AP49" s="483">
        <f t="shared" si="19"/>
        <v>0</v>
      </c>
      <c r="AQ49" s="483">
        <f t="shared" si="19"/>
        <v>0</v>
      </c>
      <c r="AR49" s="483">
        <f t="shared" si="19"/>
        <v>0</v>
      </c>
      <c r="AS49" s="483">
        <f t="shared" si="19"/>
        <v>9</v>
      </c>
      <c r="AT49" s="483">
        <f t="shared" si="19"/>
        <v>7</v>
      </c>
      <c r="AU49" s="483">
        <f t="shared" si="19"/>
        <v>2</v>
      </c>
      <c r="AV49" s="483">
        <f t="shared" si="19"/>
        <v>0</v>
      </c>
      <c r="AW49" s="483">
        <f t="shared" si="19"/>
        <v>0</v>
      </c>
      <c r="AX49" s="327"/>
      <c r="AY49" s="327"/>
      <c r="AZ49" s="327"/>
      <c r="BA49" s="483">
        <f t="shared" ref="BA49:BL49" si="20">BA51+BA62+BA84</f>
        <v>10</v>
      </c>
      <c r="BB49" s="483">
        <f t="shared" si="20"/>
        <v>1</v>
      </c>
      <c r="BC49" s="483">
        <f t="shared" si="20"/>
        <v>9</v>
      </c>
      <c r="BD49" s="483">
        <f t="shared" si="20"/>
        <v>9</v>
      </c>
      <c r="BE49" s="483">
        <f t="shared" si="20"/>
        <v>0</v>
      </c>
      <c r="BF49" s="483">
        <f t="shared" si="20"/>
        <v>0</v>
      </c>
      <c r="BG49" s="483">
        <f t="shared" si="20"/>
        <v>0</v>
      </c>
      <c r="BH49" s="483">
        <f t="shared" si="20"/>
        <v>8</v>
      </c>
      <c r="BI49" s="483">
        <f t="shared" si="20"/>
        <v>4</v>
      </c>
      <c r="BJ49" s="483">
        <f t="shared" si="20"/>
        <v>1</v>
      </c>
      <c r="BK49" s="483">
        <f t="shared" si="20"/>
        <v>3</v>
      </c>
      <c r="BL49" s="483">
        <f t="shared" si="20"/>
        <v>0</v>
      </c>
      <c r="BM49" s="327"/>
      <c r="BN49" s="327"/>
      <c r="BO49" s="327"/>
      <c r="BP49" s="483">
        <f t="shared" ref="BP49:CA49" si="21">BP51+BP62+BP84</f>
        <v>4</v>
      </c>
      <c r="BQ49" s="483">
        <f t="shared" si="21"/>
        <v>0</v>
      </c>
      <c r="BR49" s="483">
        <f t="shared" si="21"/>
        <v>4</v>
      </c>
      <c r="BS49" s="483">
        <f t="shared" si="21"/>
        <v>4</v>
      </c>
      <c r="BT49" s="483">
        <f t="shared" si="21"/>
        <v>0</v>
      </c>
      <c r="BU49" s="483">
        <f t="shared" si="21"/>
        <v>0</v>
      </c>
      <c r="BV49" s="483">
        <f t="shared" si="21"/>
        <v>0</v>
      </c>
      <c r="BW49" s="483">
        <f t="shared" si="21"/>
        <v>4</v>
      </c>
      <c r="BX49" s="483">
        <f t="shared" si="21"/>
        <v>0</v>
      </c>
      <c r="BY49" s="483">
        <f t="shared" si="21"/>
        <v>3</v>
      </c>
      <c r="BZ49" s="483">
        <f t="shared" si="21"/>
        <v>1</v>
      </c>
      <c r="CA49" s="483">
        <f t="shared" si="21"/>
        <v>0</v>
      </c>
      <c r="CB49" s="187">
        <v>0</v>
      </c>
    </row>
    <row r="50" spans="1:80" ht="3" customHeight="1" outlineLevel="1">
      <c r="A50" s="112"/>
      <c r="B50" s="113"/>
      <c r="C50" s="113"/>
      <c r="D50" s="131"/>
      <c r="E50" s="132"/>
      <c r="F50" s="115"/>
      <c r="G50" s="116"/>
      <c r="H50" s="124"/>
      <c r="I50" s="124"/>
      <c r="J50" s="124"/>
      <c r="K50" s="125"/>
      <c r="L50" s="125"/>
      <c r="M50" s="125"/>
      <c r="N50" s="125"/>
      <c r="O50" s="125"/>
      <c r="P50" s="125"/>
      <c r="Q50" s="125"/>
      <c r="R50" s="125"/>
      <c r="S50" s="125"/>
      <c r="T50" s="327"/>
      <c r="U50" s="327"/>
      <c r="V50" s="327"/>
      <c r="W50" s="327"/>
      <c r="X50" s="327"/>
      <c r="Y50" s="327"/>
      <c r="Z50" s="327"/>
      <c r="AA50" s="327"/>
      <c r="AB50" s="327"/>
      <c r="AC50" s="327"/>
      <c r="AD50" s="327"/>
      <c r="AE50" s="327"/>
      <c r="AF50" s="327"/>
      <c r="AG50" s="327"/>
      <c r="AH50" s="327"/>
      <c r="AI50" s="327"/>
      <c r="AJ50" s="327"/>
      <c r="AK50" s="327"/>
      <c r="AL50" s="327"/>
      <c r="AM50" s="327"/>
      <c r="AN50" s="327"/>
      <c r="AO50" s="327"/>
      <c r="AP50" s="327"/>
      <c r="AQ50" s="327"/>
      <c r="AR50" s="327"/>
      <c r="AS50" s="327"/>
      <c r="AT50" s="327"/>
      <c r="AU50" s="327"/>
      <c r="AV50" s="327"/>
      <c r="AW50" s="327"/>
      <c r="AX50" s="327"/>
      <c r="AY50" s="327"/>
      <c r="AZ50" s="327"/>
      <c r="BA50" s="327"/>
      <c r="BB50" s="327"/>
      <c r="BC50" s="327"/>
      <c r="BD50" s="327"/>
      <c r="BE50" s="327"/>
      <c r="BF50" s="327"/>
      <c r="BG50" s="327"/>
      <c r="BH50" s="327"/>
      <c r="BI50" s="327"/>
      <c r="BJ50" s="327"/>
      <c r="BK50" s="327"/>
      <c r="BL50" s="327"/>
      <c r="BM50" s="327"/>
      <c r="BN50" s="327"/>
      <c r="BO50" s="327"/>
      <c r="BP50" s="327"/>
      <c r="BQ50" s="327"/>
      <c r="BR50" s="327"/>
      <c r="BS50" s="327"/>
      <c r="BT50" s="327"/>
      <c r="BU50" s="327"/>
      <c r="BV50" s="327"/>
      <c r="BW50" s="327"/>
      <c r="BX50" s="327"/>
      <c r="BY50" s="327"/>
      <c r="BZ50" s="327"/>
      <c r="CA50" s="327"/>
      <c r="CB50" s="330"/>
    </row>
    <row r="51" spans="1:80" ht="11.85" customHeight="1" outlineLevel="1">
      <c r="A51" s="112"/>
      <c r="B51" s="148"/>
      <c r="C51" s="212">
        <v>1</v>
      </c>
      <c r="D51" s="211" t="s">
        <v>45</v>
      </c>
      <c r="E51" s="149"/>
      <c r="F51" s="203"/>
      <c r="G51" s="188">
        <f t="shared" si="0"/>
        <v>9</v>
      </c>
      <c r="H51" s="203">
        <f t="shared" ref="H51:I51" si="22">W51+AL51+BA51+BP51</f>
        <v>21</v>
      </c>
      <c r="I51" s="203">
        <f t="shared" si="22"/>
        <v>9</v>
      </c>
      <c r="J51" s="203">
        <f>Y51+AN51+BC51+BR51</f>
        <v>12</v>
      </c>
      <c r="K51" s="203">
        <f t="shared" si="2"/>
        <v>12</v>
      </c>
      <c r="L51" s="203">
        <f t="shared" si="3"/>
        <v>0</v>
      </c>
      <c r="M51" s="203">
        <f t="shared" si="4"/>
        <v>0</v>
      </c>
      <c r="N51" s="203">
        <f t="shared" si="5"/>
        <v>0</v>
      </c>
      <c r="O51" s="203">
        <f t="shared" si="6"/>
        <v>12</v>
      </c>
      <c r="P51" s="203">
        <f t="shared" si="7"/>
        <v>6</v>
      </c>
      <c r="Q51" s="203">
        <f t="shared" si="8"/>
        <v>5</v>
      </c>
      <c r="R51" s="203">
        <f t="shared" si="9"/>
        <v>1</v>
      </c>
      <c r="S51" s="203">
        <f t="shared" si="16"/>
        <v>0</v>
      </c>
      <c r="T51" s="385">
        <v>0</v>
      </c>
      <c r="U51" s="188"/>
      <c r="V51" s="188"/>
      <c r="W51" s="203">
        <f>COUNT(W52:W60)</f>
        <v>9</v>
      </c>
      <c r="X51" s="203">
        <f t="shared" ref="X51:AH51" si="23">COUNT(X52:X60)</f>
        <v>5</v>
      </c>
      <c r="Y51" s="203">
        <f t="shared" si="23"/>
        <v>4</v>
      </c>
      <c r="Z51" s="203">
        <f t="shared" si="23"/>
        <v>4</v>
      </c>
      <c r="AA51" s="203">
        <f t="shared" si="23"/>
        <v>0</v>
      </c>
      <c r="AB51" s="203">
        <f t="shared" si="23"/>
        <v>0</v>
      </c>
      <c r="AC51" s="203">
        <f t="shared" si="23"/>
        <v>0</v>
      </c>
      <c r="AD51" s="203">
        <f t="shared" si="23"/>
        <v>4</v>
      </c>
      <c r="AE51" s="203">
        <f t="shared" si="23"/>
        <v>2</v>
      </c>
      <c r="AF51" s="203">
        <f t="shared" si="23"/>
        <v>2</v>
      </c>
      <c r="AG51" s="203">
        <f t="shared" si="23"/>
        <v>0</v>
      </c>
      <c r="AH51" s="203">
        <f t="shared" si="23"/>
        <v>0</v>
      </c>
      <c r="AI51" s="385">
        <v>0</v>
      </c>
      <c r="AJ51" s="188"/>
      <c r="AK51" s="188"/>
      <c r="AL51" s="203">
        <f>COUNT(AL52:AL60)</f>
        <v>6</v>
      </c>
      <c r="AM51" s="203">
        <f t="shared" ref="AM51" si="24">COUNT(AM52:AM60)</f>
        <v>3</v>
      </c>
      <c r="AN51" s="203">
        <f t="shared" ref="AN51" si="25">COUNT(AN52:AN60)</f>
        <v>3</v>
      </c>
      <c r="AO51" s="203">
        <f t="shared" ref="AO51" si="26">COUNT(AO52:AO60)</f>
        <v>3</v>
      </c>
      <c r="AP51" s="203">
        <f t="shared" ref="AP51" si="27">COUNT(AP52:AP60)</f>
        <v>0</v>
      </c>
      <c r="AQ51" s="203">
        <f t="shared" ref="AQ51" si="28">COUNT(AQ52:AQ60)</f>
        <v>0</v>
      </c>
      <c r="AR51" s="203">
        <f t="shared" ref="AR51" si="29">COUNT(AR52:AR60)</f>
        <v>0</v>
      </c>
      <c r="AS51" s="203">
        <f t="shared" ref="AS51" si="30">COUNT(AS52:AS60)</f>
        <v>3</v>
      </c>
      <c r="AT51" s="203">
        <f t="shared" ref="AT51" si="31">COUNT(AT52:AT60)</f>
        <v>2</v>
      </c>
      <c r="AU51" s="203">
        <f t="shared" ref="AU51" si="32">COUNT(AU52:AU60)</f>
        <v>1</v>
      </c>
      <c r="AV51" s="203">
        <f t="shared" ref="AV51" si="33">COUNT(AV52:AV60)</f>
        <v>0</v>
      </c>
      <c r="AW51" s="203">
        <f t="shared" ref="AW51" si="34">COUNT(AW52:AW60)</f>
        <v>0</v>
      </c>
      <c r="AX51" s="385">
        <v>0</v>
      </c>
      <c r="AY51" s="188"/>
      <c r="AZ51" s="188"/>
      <c r="BA51" s="203">
        <f>COUNT(BA52:BA60)</f>
        <v>4</v>
      </c>
      <c r="BB51" s="203">
        <f t="shared" ref="BB51" si="35">COUNT(BB52:BB60)</f>
        <v>1</v>
      </c>
      <c r="BC51" s="203">
        <f t="shared" ref="BC51" si="36">COUNT(BC52:BC60)</f>
        <v>3</v>
      </c>
      <c r="BD51" s="203">
        <f t="shared" ref="BD51" si="37">COUNT(BD52:BD60)</f>
        <v>3</v>
      </c>
      <c r="BE51" s="203">
        <f t="shared" ref="BE51" si="38">COUNT(BE52:BE60)</f>
        <v>0</v>
      </c>
      <c r="BF51" s="203">
        <f t="shared" ref="BF51" si="39">COUNT(BF52:BF60)</f>
        <v>0</v>
      </c>
      <c r="BG51" s="203">
        <f t="shared" ref="BG51" si="40">COUNT(BG52:BG60)</f>
        <v>0</v>
      </c>
      <c r="BH51" s="203">
        <f t="shared" ref="BH51" si="41">COUNT(BH52:BH60)</f>
        <v>3</v>
      </c>
      <c r="BI51" s="203">
        <f t="shared" ref="BI51" si="42">COUNT(BI52:BI60)</f>
        <v>2</v>
      </c>
      <c r="BJ51" s="203">
        <f t="shared" ref="BJ51" si="43">COUNT(BJ52:BJ60)</f>
        <v>1</v>
      </c>
      <c r="BK51" s="203">
        <f t="shared" ref="BK51" si="44">COUNT(BK52:BK60)</f>
        <v>0</v>
      </c>
      <c r="BL51" s="203">
        <f t="shared" ref="BL51" si="45">COUNT(BL52:BL60)</f>
        <v>0</v>
      </c>
      <c r="BM51" s="385">
        <v>0</v>
      </c>
      <c r="BN51" s="188"/>
      <c r="BO51" s="188"/>
      <c r="BP51" s="203">
        <f>COUNT(BP52:BP60)</f>
        <v>2</v>
      </c>
      <c r="BQ51" s="203">
        <f t="shared" ref="BQ51" si="46">COUNT(BQ52:BQ60)</f>
        <v>0</v>
      </c>
      <c r="BR51" s="203">
        <f t="shared" ref="BR51" si="47">COUNT(BR52:BR60)</f>
        <v>2</v>
      </c>
      <c r="BS51" s="203">
        <f t="shared" ref="BS51" si="48">COUNT(BS52:BS60)</f>
        <v>2</v>
      </c>
      <c r="BT51" s="203">
        <f t="shared" ref="BT51" si="49">COUNT(BT52:BT60)</f>
        <v>0</v>
      </c>
      <c r="BU51" s="203">
        <f t="shared" ref="BU51" si="50">COUNT(BU52:BU60)</f>
        <v>0</v>
      </c>
      <c r="BV51" s="203">
        <f t="shared" ref="BV51" si="51">COUNT(BV52:BV60)</f>
        <v>0</v>
      </c>
      <c r="BW51" s="203">
        <f t="shared" ref="BW51" si="52">COUNT(BW52:BW60)</f>
        <v>2</v>
      </c>
      <c r="BX51" s="203">
        <f t="shared" ref="BX51" si="53">COUNT(BX52:BX60)</f>
        <v>0</v>
      </c>
      <c r="BY51" s="203">
        <f t="shared" ref="BY51" si="54">COUNT(BY52:BY60)</f>
        <v>1</v>
      </c>
      <c r="BZ51" s="203">
        <f t="shared" ref="BZ51" si="55">COUNT(BZ52:BZ60)</f>
        <v>1</v>
      </c>
      <c r="CA51" s="203">
        <f t="shared" ref="CA51" si="56">COUNT(CA52:CA60)</f>
        <v>0</v>
      </c>
      <c r="CB51" s="190">
        <v>0</v>
      </c>
    </row>
    <row r="52" spans="1:80" ht="11.85" customHeight="1" outlineLevel="2">
      <c r="A52" s="112"/>
      <c r="B52" s="162" t="s">
        <v>46</v>
      </c>
      <c r="C52" s="213">
        <v>1</v>
      </c>
      <c r="D52" s="214" t="s">
        <v>47</v>
      </c>
      <c r="E52" s="114"/>
      <c r="F52" s="197"/>
      <c r="G52" s="194"/>
      <c r="H52" s="328"/>
      <c r="I52" s="328"/>
      <c r="J52" s="328"/>
      <c r="K52" s="386"/>
      <c r="L52" s="386"/>
      <c r="M52" s="386"/>
      <c r="N52" s="386"/>
      <c r="O52" s="386"/>
      <c r="P52" s="386"/>
      <c r="Q52" s="386"/>
      <c r="R52" s="386"/>
      <c r="S52" s="386"/>
      <c r="T52" s="195"/>
      <c r="U52" s="197"/>
      <c r="V52" s="194"/>
      <c r="W52" s="328">
        <f>IF('Design Fee'!H52&gt;0,2,"-")</f>
        <v>2</v>
      </c>
      <c r="X52" s="386">
        <f>IF('Design Fee'!J52&gt;0,2,"-")</f>
        <v>2</v>
      </c>
      <c r="Y52" s="386" t="str">
        <f>IF('Design Fee'!K52&gt;0,2,"-")</f>
        <v>-</v>
      </c>
      <c r="Z52" s="386" t="str">
        <f>IF('Design Fee'!L52&gt;0,2,"-")</f>
        <v>-</v>
      </c>
      <c r="AA52" s="386" t="str">
        <f>IF('Design Fee'!M52&gt;0,2,"-")</f>
        <v>-</v>
      </c>
      <c r="AB52" s="386" t="str">
        <f>IF('Design Fee'!N52&gt;0,2,"-")</f>
        <v>-</v>
      </c>
      <c r="AC52" s="386" t="str">
        <f>IF('Design Fee'!O52&gt;0,2,"-")</f>
        <v>-</v>
      </c>
      <c r="AD52" s="386" t="str">
        <f>IF('Design Fee'!Q52&gt;0,2,"-")</f>
        <v>-</v>
      </c>
      <c r="AE52" s="386" t="str">
        <f>IF('Design Fee'!R52&gt;0,2,"-")</f>
        <v>-</v>
      </c>
      <c r="AF52" s="386" t="str">
        <f>IF('Design Fee'!S52&gt;0,2,"-")</f>
        <v>-</v>
      </c>
      <c r="AG52" s="386" t="str">
        <f>IF('Design Fee'!T52&gt;0,2,"-")</f>
        <v>-</v>
      </c>
      <c r="AH52" s="386" t="str">
        <f>IF('Design Fee'!U52&gt;0,2,"-")</f>
        <v>-</v>
      </c>
      <c r="AI52" s="195"/>
      <c r="AJ52" s="197"/>
      <c r="AK52" s="387"/>
      <c r="AL52" s="328">
        <f>IF('Design Fee'!AR52&gt;0,2,"-")</f>
        <v>2</v>
      </c>
      <c r="AM52" s="386">
        <f>IF('Design Fee'!AT52&gt;0,2,"-")</f>
        <v>2</v>
      </c>
      <c r="AN52" s="386" t="str">
        <f>IF('Design Fee'!AU52&gt;0,2,"-")</f>
        <v>-</v>
      </c>
      <c r="AO52" s="386" t="str">
        <f>IF('Design Fee'!AV52&gt;0,2,"-")</f>
        <v>-</v>
      </c>
      <c r="AP52" s="386" t="str">
        <f>IF('Design Fee'!AW52&gt;0,2,"-")</f>
        <v>-</v>
      </c>
      <c r="AQ52" s="386" t="str">
        <f>IF('Design Fee'!AX52&gt;0,2,"-")</f>
        <v>-</v>
      </c>
      <c r="AR52" s="386" t="str">
        <f>IF('Design Fee'!AY52&gt;0,2,"-")</f>
        <v>-</v>
      </c>
      <c r="AS52" s="386" t="str">
        <f>IF('Design Fee'!BA52&gt;0,2,"-")</f>
        <v>-</v>
      </c>
      <c r="AT52" s="386" t="str">
        <f>IF('Design Fee'!BB52&gt;0,2,"-")</f>
        <v>-</v>
      </c>
      <c r="AU52" s="386" t="str">
        <f>IF('Design Fee'!BC52&gt;0,2,"-")</f>
        <v>-</v>
      </c>
      <c r="AV52" s="386" t="str">
        <f>IF('Design Fee'!BD52&gt;0,2,"-")</f>
        <v>-</v>
      </c>
      <c r="AW52" s="386" t="str">
        <f>IF('Design Fee'!BE52&gt;0,2,"-")</f>
        <v>-</v>
      </c>
      <c r="AX52" s="195"/>
      <c r="AY52" s="197"/>
      <c r="AZ52" s="387"/>
      <c r="BA52" s="328">
        <f>IF('Design Fee'!CB52&gt;0,2,"-")</f>
        <v>2</v>
      </c>
      <c r="BB52" s="386">
        <f>IF('Design Fee'!CD52&gt;0,2,"-")</f>
        <v>2</v>
      </c>
      <c r="BC52" s="386" t="str">
        <f>IF('Design Fee'!CE52&gt;0,2,"-")</f>
        <v>-</v>
      </c>
      <c r="BD52" s="386" t="str">
        <f>IF('Design Fee'!CF52&gt;0,2,"-")</f>
        <v>-</v>
      </c>
      <c r="BE52" s="386" t="str">
        <f>IF('Design Fee'!CG52&gt;0,2,"-")</f>
        <v>-</v>
      </c>
      <c r="BF52" s="386" t="str">
        <f>IF('Design Fee'!CH52&gt;0,2,"-")</f>
        <v>-</v>
      </c>
      <c r="BG52" s="386" t="str">
        <f>IF('Design Fee'!CI52&gt;0,2,"-")</f>
        <v>-</v>
      </c>
      <c r="BH52" s="386" t="str">
        <f>IF('Design Fee'!CK52&gt;0,2,"-")</f>
        <v>-</v>
      </c>
      <c r="BI52" s="386" t="str">
        <f>IF('Design Fee'!CL52&gt;0,2,"-")</f>
        <v>-</v>
      </c>
      <c r="BJ52" s="386" t="str">
        <f>IF('Design Fee'!CM52&gt;0,2,"-")</f>
        <v>-</v>
      </c>
      <c r="BK52" s="386" t="str">
        <f>IF('Design Fee'!CN52&gt;0,2,"-")</f>
        <v>-</v>
      </c>
      <c r="BL52" s="386" t="str">
        <f>IF('Design Fee'!CO52&gt;0,2,"-")</f>
        <v>-</v>
      </c>
      <c r="BM52" s="195"/>
      <c r="BN52" s="197"/>
      <c r="BO52" s="387"/>
      <c r="BP52" s="328" t="str">
        <f>IF('Design Fee'!DL52&gt;0,2,"-")</f>
        <v>-</v>
      </c>
      <c r="BQ52" s="386" t="str">
        <f>IF('Design Fee'!DN52&gt;0,2,"-")</f>
        <v>-</v>
      </c>
      <c r="BR52" s="386" t="str">
        <f>IF('Design Fee'!DO52&gt;0,2,"-")</f>
        <v>-</v>
      </c>
      <c r="BS52" s="386" t="str">
        <f>IF('Design Fee'!DP52&gt;0,2,"-")</f>
        <v>-</v>
      </c>
      <c r="BT52" s="386" t="str">
        <f>IF('Design Fee'!DQ52&gt;0,2,"-")</f>
        <v>-</v>
      </c>
      <c r="BU52" s="386" t="str">
        <f>IF('Design Fee'!DR52&gt;0,2,"-")</f>
        <v>-</v>
      </c>
      <c r="BV52" s="386" t="str">
        <f>IF('Design Fee'!DS52&gt;0,2,"-")</f>
        <v>-</v>
      </c>
      <c r="BW52" s="386" t="str">
        <f>IF('Design Fee'!DU52&gt;0,2,"-")</f>
        <v>-</v>
      </c>
      <c r="BX52" s="386" t="str">
        <f>IF('Design Fee'!DV52&gt;0,2,"-")</f>
        <v>-</v>
      </c>
      <c r="BY52" s="386" t="str">
        <f>IF('Design Fee'!DW52&gt;0,2,"-")</f>
        <v>-</v>
      </c>
      <c r="BZ52" s="386" t="str">
        <f>IF('Design Fee'!DX52&gt;0,2,"-")</f>
        <v>-</v>
      </c>
      <c r="CA52" s="386" t="str">
        <f>IF('Design Fee'!DY52&gt;0,2,"-")</f>
        <v>-</v>
      </c>
      <c r="CB52" s="195"/>
    </row>
    <row r="53" spans="1:80" s="376" customFormat="1" ht="11.85" customHeight="1" outlineLevel="2">
      <c r="A53" s="360"/>
      <c r="B53" s="361" t="s">
        <v>48</v>
      </c>
      <c r="C53" s="362">
        <v>2</v>
      </c>
      <c r="D53" s="363" t="s">
        <v>49</v>
      </c>
      <c r="E53" s="364"/>
      <c r="F53" s="365"/>
      <c r="G53" s="366"/>
      <c r="H53" s="367"/>
      <c r="I53" s="367"/>
      <c r="J53" s="367"/>
      <c r="K53" s="389"/>
      <c r="L53" s="389"/>
      <c r="M53" s="389"/>
      <c r="N53" s="389"/>
      <c r="O53" s="389"/>
      <c r="P53" s="389"/>
      <c r="Q53" s="389"/>
      <c r="R53" s="389"/>
      <c r="S53" s="389"/>
      <c r="T53" s="369"/>
      <c r="U53" s="365"/>
      <c r="V53" s="366"/>
      <c r="W53" s="367">
        <f>IF('Design Fee'!H53&gt;0,2,"-")</f>
        <v>2</v>
      </c>
      <c r="X53" s="389">
        <f>IF('Design Fee'!J53&gt;0,2,"-")</f>
        <v>2</v>
      </c>
      <c r="Y53" s="389" t="str">
        <f>IF('Design Fee'!K53&gt;0,2,"-")</f>
        <v>-</v>
      </c>
      <c r="Z53" s="389" t="str">
        <f>IF('Design Fee'!L53&gt;0,2,"-")</f>
        <v>-</v>
      </c>
      <c r="AA53" s="389" t="str">
        <f>IF('Design Fee'!M53&gt;0,2,"-")</f>
        <v>-</v>
      </c>
      <c r="AB53" s="389" t="str">
        <f>IF('Design Fee'!N53&gt;0,2,"-")</f>
        <v>-</v>
      </c>
      <c r="AC53" s="389" t="str">
        <f>IF('Design Fee'!O53&gt;0,2,"-")</f>
        <v>-</v>
      </c>
      <c r="AD53" s="389" t="str">
        <f>IF('Design Fee'!Q53&gt;0,2,"-")</f>
        <v>-</v>
      </c>
      <c r="AE53" s="389" t="str">
        <f>IF('Design Fee'!R53&gt;0,2,"-")</f>
        <v>-</v>
      </c>
      <c r="AF53" s="389" t="str">
        <f>IF('Design Fee'!S53&gt;0,2,"-")</f>
        <v>-</v>
      </c>
      <c r="AG53" s="389" t="str">
        <f>IF('Design Fee'!T53&gt;0,2,"-")</f>
        <v>-</v>
      </c>
      <c r="AH53" s="389" t="str">
        <f>IF('Design Fee'!U53&gt;0,2,"-")</f>
        <v>-</v>
      </c>
      <c r="AI53" s="369"/>
      <c r="AJ53" s="365"/>
      <c r="AK53" s="390"/>
      <c r="AL53" s="367">
        <f>IF('Design Fee'!AR53&gt;0,2,"-")</f>
        <v>2</v>
      </c>
      <c r="AM53" s="389" t="str">
        <f>IF('Design Fee'!AT53&gt;0,2,"-")</f>
        <v>-</v>
      </c>
      <c r="AN53" s="389">
        <f>IF('Design Fee'!AU53&gt;0,2,"-")</f>
        <v>2</v>
      </c>
      <c r="AO53" s="389">
        <f>IF('Design Fee'!AV53&gt;0,2,"-")</f>
        <v>2</v>
      </c>
      <c r="AP53" s="389" t="str">
        <f>IF('Design Fee'!AW53&gt;0,2,"-")</f>
        <v>-</v>
      </c>
      <c r="AQ53" s="389" t="str">
        <f>IF('Design Fee'!AX53&gt;0,2,"-")</f>
        <v>-</v>
      </c>
      <c r="AR53" s="389" t="str">
        <f>IF('Design Fee'!AY53&gt;0,2,"-")</f>
        <v>-</v>
      </c>
      <c r="AS53" s="389">
        <f>IF('Design Fee'!BA53&gt;0,2,"-")</f>
        <v>2</v>
      </c>
      <c r="AT53" s="389">
        <f>IF('Design Fee'!BB53&gt;0,2,"-")</f>
        <v>2</v>
      </c>
      <c r="AU53" s="389" t="str">
        <f>IF('Design Fee'!BC53&gt;0,2,"-")</f>
        <v>-</v>
      </c>
      <c r="AV53" s="389" t="str">
        <f>IF('Design Fee'!BD53&gt;0,2,"-")</f>
        <v>-</v>
      </c>
      <c r="AW53" s="389" t="str">
        <f>IF('Design Fee'!BE53&gt;0,2,"-")</f>
        <v>-</v>
      </c>
      <c r="AX53" s="369"/>
      <c r="AY53" s="365"/>
      <c r="AZ53" s="390"/>
      <c r="BA53" s="367" t="str">
        <f>IF('Design Fee'!CB53&gt;0,2,"-")</f>
        <v>-</v>
      </c>
      <c r="BB53" s="389" t="str">
        <f>IF('Design Fee'!CD53&gt;0,2,"-")</f>
        <v>-</v>
      </c>
      <c r="BC53" s="389" t="str">
        <f>IF('Design Fee'!CE53&gt;0,2,"-")</f>
        <v>-</v>
      </c>
      <c r="BD53" s="389" t="str">
        <f>IF('Design Fee'!CF53&gt;0,2,"-")</f>
        <v>-</v>
      </c>
      <c r="BE53" s="389" t="str">
        <f>IF('Design Fee'!CG53&gt;0,2,"-")</f>
        <v>-</v>
      </c>
      <c r="BF53" s="389" t="str">
        <f>IF('Design Fee'!CH53&gt;0,2,"-")</f>
        <v>-</v>
      </c>
      <c r="BG53" s="389" t="str">
        <f>IF('Design Fee'!CI53&gt;0,2,"-")</f>
        <v>-</v>
      </c>
      <c r="BH53" s="389" t="str">
        <f>IF('Design Fee'!CK53&gt;0,2,"-")</f>
        <v>-</v>
      </c>
      <c r="BI53" s="389" t="str">
        <f>IF('Design Fee'!CL53&gt;0,2,"-")</f>
        <v>-</v>
      </c>
      <c r="BJ53" s="389" t="str">
        <f>IF('Design Fee'!CM53&gt;0,2,"-")</f>
        <v>-</v>
      </c>
      <c r="BK53" s="389" t="str">
        <f>IF('Design Fee'!CN53&gt;0,2,"-")</f>
        <v>-</v>
      </c>
      <c r="BL53" s="389" t="str">
        <f>IF('Design Fee'!CO53&gt;0,2,"-")</f>
        <v>-</v>
      </c>
      <c r="BM53" s="369"/>
      <c r="BN53" s="365"/>
      <c r="BO53" s="390"/>
      <c r="BP53" s="367" t="str">
        <f>IF('Design Fee'!DL53&gt;0,2,"-")</f>
        <v>-</v>
      </c>
      <c r="BQ53" s="389" t="str">
        <f>IF('Design Fee'!DN53&gt;0,2,"-")</f>
        <v>-</v>
      </c>
      <c r="BR53" s="389" t="str">
        <f>IF('Design Fee'!DO53&gt;0,2,"-")</f>
        <v>-</v>
      </c>
      <c r="BS53" s="389" t="str">
        <f>IF('Design Fee'!DP53&gt;0,2,"-")</f>
        <v>-</v>
      </c>
      <c r="BT53" s="389" t="str">
        <f>IF('Design Fee'!DQ53&gt;0,2,"-")</f>
        <v>-</v>
      </c>
      <c r="BU53" s="389" t="str">
        <f>IF('Design Fee'!DR53&gt;0,2,"-")</f>
        <v>-</v>
      </c>
      <c r="BV53" s="389" t="str">
        <f>IF('Design Fee'!DS53&gt;0,2,"-")</f>
        <v>-</v>
      </c>
      <c r="BW53" s="389" t="str">
        <f>IF('Design Fee'!DU53&gt;0,2,"-")</f>
        <v>-</v>
      </c>
      <c r="BX53" s="389" t="str">
        <f>IF('Design Fee'!DV53&gt;0,2,"-")</f>
        <v>-</v>
      </c>
      <c r="BY53" s="389" t="str">
        <f>IF('Design Fee'!DW53&gt;0,2,"-")</f>
        <v>-</v>
      </c>
      <c r="BZ53" s="389" t="str">
        <f>IF('Design Fee'!DX53&gt;0,2,"-")</f>
        <v>-</v>
      </c>
      <c r="CA53" s="389" t="str">
        <f>IF('Design Fee'!DY53&gt;0,2,"-")</f>
        <v>-</v>
      </c>
      <c r="CB53" s="369"/>
    </row>
    <row r="54" spans="1:80" ht="11.85" customHeight="1" outlineLevel="2">
      <c r="A54" s="112"/>
      <c r="B54" s="162" t="s">
        <v>50</v>
      </c>
      <c r="C54" s="213">
        <v>3</v>
      </c>
      <c r="D54" s="214" t="s">
        <v>51</v>
      </c>
      <c r="E54" s="114"/>
      <c r="F54" s="197"/>
      <c r="G54" s="194"/>
      <c r="H54" s="328"/>
      <c r="I54" s="328"/>
      <c r="J54" s="328"/>
      <c r="K54" s="386"/>
      <c r="L54" s="386"/>
      <c r="M54" s="386"/>
      <c r="N54" s="386"/>
      <c r="O54" s="386"/>
      <c r="P54" s="386"/>
      <c r="Q54" s="386"/>
      <c r="R54" s="386"/>
      <c r="S54" s="386"/>
      <c r="T54" s="195"/>
      <c r="U54" s="197"/>
      <c r="V54" s="194"/>
      <c r="W54" s="328">
        <f>IF('Design Fee'!H54&gt;0,2,"-")</f>
        <v>2</v>
      </c>
      <c r="X54" s="386" t="str">
        <f>IF('Design Fee'!J54&gt;0,2,"-")</f>
        <v>-</v>
      </c>
      <c r="Y54" s="386">
        <f>IF('Design Fee'!K54&gt;0,2,"-")</f>
        <v>2</v>
      </c>
      <c r="Z54" s="386">
        <f>IF('Design Fee'!L54&gt;0,2,"-")</f>
        <v>2</v>
      </c>
      <c r="AA54" s="386" t="str">
        <f>IF('Design Fee'!M54&gt;0,2,"-")</f>
        <v>-</v>
      </c>
      <c r="AB54" s="386" t="str">
        <f>IF('Design Fee'!N54&gt;0,2,"-")</f>
        <v>-</v>
      </c>
      <c r="AC54" s="386" t="str">
        <f>IF('Design Fee'!O54&gt;0,2,"-")</f>
        <v>-</v>
      </c>
      <c r="AD54" s="386">
        <f>IF('Design Fee'!Q54&gt;0,2,"-")</f>
        <v>2</v>
      </c>
      <c r="AE54" s="386">
        <f>IF('Design Fee'!R54&gt;0,2,"-")</f>
        <v>2</v>
      </c>
      <c r="AF54" s="386" t="str">
        <f>IF('Design Fee'!S54&gt;0,2,"-")</f>
        <v>-</v>
      </c>
      <c r="AG54" s="386" t="str">
        <f>IF('Design Fee'!T54&gt;0,2,"-")</f>
        <v>-</v>
      </c>
      <c r="AH54" s="386" t="str">
        <f>IF('Design Fee'!U54&gt;0,2,"-")</f>
        <v>-</v>
      </c>
      <c r="AI54" s="195"/>
      <c r="AJ54" s="197"/>
      <c r="AK54" s="387"/>
      <c r="AL54" s="328" t="str">
        <f>IF('Design Fee'!AR54&gt;0,2,"-")</f>
        <v>-</v>
      </c>
      <c r="AM54" s="386" t="str">
        <f>IF('Design Fee'!AT54&gt;0,2,"-")</f>
        <v>-</v>
      </c>
      <c r="AN54" s="386" t="str">
        <f>IF('Design Fee'!AU54&gt;0,2,"-")</f>
        <v>-</v>
      </c>
      <c r="AO54" s="386" t="str">
        <f>IF('Design Fee'!AV54&gt;0,2,"-")</f>
        <v>-</v>
      </c>
      <c r="AP54" s="386" t="str">
        <f>IF('Design Fee'!AW54&gt;0,2,"-")</f>
        <v>-</v>
      </c>
      <c r="AQ54" s="386" t="str">
        <f>IF('Design Fee'!AX54&gt;0,2,"-")</f>
        <v>-</v>
      </c>
      <c r="AR54" s="386" t="str">
        <f>IF('Design Fee'!AY54&gt;0,2,"-")</f>
        <v>-</v>
      </c>
      <c r="AS54" s="386" t="str">
        <f>IF('Design Fee'!BA54&gt;0,2,"-")</f>
        <v>-</v>
      </c>
      <c r="AT54" s="386" t="str">
        <f>IF('Design Fee'!BB54&gt;0,2,"-")</f>
        <v>-</v>
      </c>
      <c r="AU54" s="386" t="str">
        <f>IF('Design Fee'!BC54&gt;0,2,"-")</f>
        <v>-</v>
      </c>
      <c r="AV54" s="386" t="str">
        <f>IF('Design Fee'!BD54&gt;0,2,"-")</f>
        <v>-</v>
      </c>
      <c r="AW54" s="386" t="str">
        <f>IF('Design Fee'!BE54&gt;0,2,"-")</f>
        <v>-</v>
      </c>
      <c r="AX54" s="195"/>
      <c r="AY54" s="197"/>
      <c r="AZ54" s="387"/>
      <c r="BA54" s="328" t="str">
        <f>IF('Design Fee'!CB54&gt;0,2,"-")</f>
        <v>-</v>
      </c>
      <c r="BB54" s="386" t="str">
        <f>IF('Design Fee'!CD54&gt;0,2,"-")</f>
        <v>-</v>
      </c>
      <c r="BC54" s="386" t="str">
        <f>IF('Design Fee'!CE54&gt;0,2,"-")</f>
        <v>-</v>
      </c>
      <c r="BD54" s="386" t="str">
        <f>IF('Design Fee'!CF54&gt;0,2,"-")</f>
        <v>-</v>
      </c>
      <c r="BE54" s="386" t="str">
        <f>IF('Design Fee'!CG54&gt;0,2,"-")</f>
        <v>-</v>
      </c>
      <c r="BF54" s="386" t="str">
        <f>IF('Design Fee'!CH54&gt;0,2,"-")</f>
        <v>-</v>
      </c>
      <c r="BG54" s="386" t="str">
        <f>IF('Design Fee'!CI54&gt;0,2,"-")</f>
        <v>-</v>
      </c>
      <c r="BH54" s="386" t="str">
        <f>IF('Design Fee'!CK54&gt;0,2,"-")</f>
        <v>-</v>
      </c>
      <c r="BI54" s="386" t="str">
        <f>IF('Design Fee'!CL54&gt;0,2,"-")</f>
        <v>-</v>
      </c>
      <c r="BJ54" s="386" t="str">
        <f>IF('Design Fee'!CM54&gt;0,2,"-")</f>
        <v>-</v>
      </c>
      <c r="BK54" s="386" t="str">
        <f>IF('Design Fee'!CN54&gt;0,2,"-")</f>
        <v>-</v>
      </c>
      <c r="BL54" s="386" t="str">
        <f>IF('Design Fee'!CO54&gt;0,2,"-")</f>
        <v>-</v>
      </c>
      <c r="BM54" s="195"/>
      <c r="BN54" s="197"/>
      <c r="BO54" s="387"/>
      <c r="BP54" s="328" t="str">
        <f>IF('Design Fee'!DL54&gt;0,2,"-")</f>
        <v>-</v>
      </c>
      <c r="BQ54" s="386" t="str">
        <f>IF('Design Fee'!DN54&gt;0,2,"-")</f>
        <v>-</v>
      </c>
      <c r="BR54" s="386" t="str">
        <f>IF('Design Fee'!DO54&gt;0,2,"-")</f>
        <v>-</v>
      </c>
      <c r="BS54" s="386" t="str">
        <f>IF('Design Fee'!DP54&gt;0,2,"-")</f>
        <v>-</v>
      </c>
      <c r="BT54" s="386" t="str">
        <f>IF('Design Fee'!DQ54&gt;0,2,"-")</f>
        <v>-</v>
      </c>
      <c r="BU54" s="386" t="str">
        <f>IF('Design Fee'!DR54&gt;0,2,"-")</f>
        <v>-</v>
      </c>
      <c r="BV54" s="386" t="str">
        <f>IF('Design Fee'!DS54&gt;0,2,"-")</f>
        <v>-</v>
      </c>
      <c r="BW54" s="386" t="str">
        <f>IF('Design Fee'!DU54&gt;0,2,"-")</f>
        <v>-</v>
      </c>
      <c r="BX54" s="386" t="str">
        <f>IF('Design Fee'!DV54&gt;0,2,"-")</f>
        <v>-</v>
      </c>
      <c r="BY54" s="386" t="str">
        <f>IF('Design Fee'!DW54&gt;0,2,"-")</f>
        <v>-</v>
      </c>
      <c r="BZ54" s="386" t="str">
        <f>IF('Design Fee'!DX54&gt;0,2,"-")</f>
        <v>-</v>
      </c>
      <c r="CA54" s="386" t="str">
        <f>IF('Design Fee'!DY54&gt;0,2,"-")</f>
        <v>-</v>
      </c>
      <c r="CB54" s="195"/>
    </row>
    <row r="55" spans="1:80" ht="11.85" customHeight="1" outlineLevel="2">
      <c r="A55" s="112"/>
      <c r="B55" s="162" t="s">
        <v>52</v>
      </c>
      <c r="C55" s="213">
        <v>4</v>
      </c>
      <c r="D55" s="214" t="s">
        <v>53</v>
      </c>
      <c r="E55" s="114"/>
      <c r="F55" s="197"/>
      <c r="G55" s="194"/>
      <c r="H55" s="328"/>
      <c r="I55" s="328"/>
      <c r="J55" s="328"/>
      <c r="K55" s="386"/>
      <c r="L55" s="386"/>
      <c r="M55" s="386"/>
      <c r="N55" s="386"/>
      <c r="O55" s="386"/>
      <c r="P55" s="386"/>
      <c r="Q55" s="386"/>
      <c r="R55" s="386"/>
      <c r="S55" s="386"/>
      <c r="T55" s="195"/>
      <c r="U55" s="197"/>
      <c r="V55" s="194"/>
      <c r="W55" s="328">
        <f>IF('Design Fee'!H55&gt;0,2,"-")</f>
        <v>2</v>
      </c>
      <c r="X55" s="386">
        <f>IF('Design Fee'!J55&gt;0,2,"-")</f>
        <v>2</v>
      </c>
      <c r="Y55" s="386" t="str">
        <f>IF('Design Fee'!K55&gt;0,2,"-")</f>
        <v>-</v>
      </c>
      <c r="Z55" s="386" t="str">
        <f>IF('Design Fee'!L55&gt;0,2,"-")</f>
        <v>-</v>
      </c>
      <c r="AA55" s="386" t="str">
        <f>IF('Design Fee'!M55&gt;0,2,"-")</f>
        <v>-</v>
      </c>
      <c r="AB55" s="386" t="str">
        <f>IF('Design Fee'!N55&gt;0,2,"-")</f>
        <v>-</v>
      </c>
      <c r="AC55" s="386" t="str">
        <f>IF('Design Fee'!O55&gt;0,2,"-")</f>
        <v>-</v>
      </c>
      <c r="AD55" s="386" t="str">
        <f>IF('Design Fee'!Q55&gt;0,2,"-")</f>
        <v>-</v>
      </c>
      <c r="AE55" s="386" t="str">
        <f>IF('Design Fee'!R55&gt;0,2,"-")</f>
        <v>-</v>
      </c>
      <c r="AF55" s="386" t="str">
        <f>IF('Design Fee'!S55&gt;0,2,"-")</f>
        <v>-</v>
      </c>
      <c r="AG55" s="386" t="str">
        <f>IF('Design Fee'!T55&gt;0,2,"-")</f>
        <v>-</v>
      </c>
      <c r="AH55" s="386" t="str">
        <f>IF('Design Fee'!U55&gt;0,2,"-")</f>
        <v>-</v>
      </c>
      <c r="AI55" s="195"/>
      <c r="AJ55" s="197"/>
      <c r="AK55" s="387"/>
      <c r="AL55" s="328">
        <f>IF('Design Fee'!AR55&gt;0,2,"-")</f>
        <v>2</v>
      </c>
      <c r="AM55" s="386">
        <f>IF('Design Fee'!AT55&gt;0,2,"-")</f>
        <v>2</v>
      </c>
      <c r="AN55" s="386" t="str">
        <f>IF('Design Fee'!AU55&gt;0,2,"-")</f>
        <v>-</v>
      </c>
      <c r="AO55" s="386" t="str">
        <f>IF('Design Fee'!AV55&gt;0,2,"-")</f>
        <v>-</v>
      </c>
      <c r="AP55" s="386" t="str">
        <f>IF('Design Fee'!AW55&gt;0,2,"-")</f>
        <v>-</v>
      </c>
      <c r="AQ55" s="386" t="str">
        <f>IF('Design Fee'!AX55&gt;0,2,"-")</f>
        <v>-</v>
      </c>
      <c r="AR55" s="386" t="str">
        <f>IF('Design Fee'!AY55&gt;0,2,"-")</f>
        <v>-</v>
      </c>
      <c r="AS55" s="386" t="str">
        <f>IF('Design Fee'!BA55&gt;0,2,"-")</f>
        <v>-</v>
      </c>
      <c r="AT55" s="386" t="str">
        <f>IF('Design Fee'!BB55&gt;0,2,"-")</f>
        <v>-</v>
      </c>
      <c r="AU55" s="386" t="str">
        <f>IF('Design Fee'!BC55&gt;0,2,"-")</f>
        <v>-</v>
      </c>
      <c r="AV55" s="386" t="str">
        <f>IF('Design Fee'!BD55&gt;0,2,"-")</f>
        <v>-</v>
      </c>
      <c r="AW55" s="386" t="str">
        <f>IF('Design Fee'!BE55&gt;0,2,"-")</f>
        <v>-</v>
      </c>
      <c r="AX55" s="195"/>
      <c r="AY55" s="197"/>
      <c r="AZ55" s="387"/>
      <c r="BA55" s="328">
        <f>IF('Design Fee'!CB55&gt;0,2,"-")</f>
        <v>2</v>
      </c>
      <c r="BB55" s="386" t="str">
        <f>IF('Design Fee'!CD55&gt;0,2,"-")</f>
        <v>-</v>
      </c>
      <c r="BC55" s="386">
        <f>IF('Design Fee'!CE55&gt;0,2,"-")</f>
        <v>2</v>
      </c>
      <c r="BD55" s="386">
        <f>IF('Design Fee'!CF55&gt;0,2,"-")</f>
        <v>2</v>
      </c>
      <c r="BE55" s="386" t="str">
        <f>IF('Design Fee'!CG55&gt;0,2,"-")</f>
        <v>-</v>
      </c>
      <c r="BF55" s="386" t="str">
        <f>IF('Design Fee'!CH55&gt;0,2,"-")</f>
        <v>-</v>
      </c>
      <c r="BG55" s="386" t="str">
        <f>IF('Design Fee'!CI55&gt;0,2,"-")</f>
        <v>-</v>
      </c>
      <c r="BH55" s="386">
        <f>IF('Design Fee'!CK55&gt;0,2,"-")</f>
        <v>2</v>
      </c>
      <c r="BI55" s="386">
        <f>IF('Design Fee'!CL55&gt;0,2,"-")</f>
        <v>2</v>
      </c>
      <c r="BJ55" s="386" t="str">
        <f>IF('Design Fee'!CM55&gt;0,2,"-")</f>
        <v>-</v>
      </c>
      <c r="BK55" s="386" t="str">
        <f>IF('Design Fee'!CN55&gt;0,2,"-")</f>
        <v>-</v>
      </c>
      <c r="BL55" s="386" t="str">
        <f>IF('Design Fee'!CO55&gt;0,2,"-")</f>
        <v>-</v>
      </c>
      <c r="BM55" s="195"/>
      <c r="BN55" s="197"/>
      <c r="BO55" s="387"/>
      <c r="BP55" s="328" t="str">
        <f>IF('Design Fee'!DL55&gt;0,2,"-")</f>
        <v>-</v>
      </c>
      <c r="BQ55" s="386" t="str">
        <f>IF('Design Fee'!DN55&gt;0,2,"-")</f>
        <v>-</v>
      </c>
      <c r="BR55" s="386" t="str">
        <f>IF('Design Fee'!DO55&gt;0,2,"-")</f>
        <v>-</v>
      </c>
      <c r="BS55" s="386" t="str">
        <f>IF('Design Fee'!DP55&gt;0,2,"-")</f>
        <v>-</v>
      </c>
      <c r="BT55" s="386" t="str">
        <f>IF('Design Fee'!DQ55&gt;0,2,"-")</f>
        <v>-</v>
      </c>
      <c r="BU55" s="386" t="str">
        <f>IF('Design Fee'!DR55&gt;0,2,"-")</f>
        <v>-</v>
      </c>
      <c r="BV55" s="386" t="str">
        <f>IF('Design Fee'!DS55&gt;0,2,"-")</f>
        <v>-</v>
      </c>
      <c r="BW55" s="386" t="str">
        <f>IF('Design Fee'!DU55&gt;0,2,"-")</f>
        <v>-</v>
      </c>
      <c r="BX55" s="386" t="str">
        <f>IF('Design Fee'!DV55&gt;0,2,"-")</f>
        <v>-</v>
      </c>
      <c r="BY55" s="386" t="str">
        <f>IF('Design Fee'!DW55&gt;0,2,"-")</f>
        <v>-</v>
      </c>
      <c r="BZ55" s="386" t="str">
        <f>IF('Design Fee'!DX55&gt;0,2,"-")</f>
        <v>-</v>
      </c>
      <c r="CA55" s="386" t="str">
        <f>IF('Design Fee'!DY55&gt;0,2,"-")</f>
        <v>-</v>
      </c>
      <c r="CB55" s="195"/>
    </row>
    <row r="56" spans="1:80" ht="11.85" customHeight="1" outlineLevel="2">
      <c r="A56" s="112"/>
      <c r="B56" s="162" t="s">
        <v>54</v>
      </c>
      <c r="C56" s="213">
        <v>5</v>
      </c>
      <c r="D56" s="214" t="s">
        <v>55</v>
      </c>
      <c r="E56" s="114"/>
      <c r="F56" s="197"/>
      <c r="G56" s="194"/>
      <c r="H56" s="328"/>
      <c r="I56" s="328"/>
      <c r="J56" s="328"/>
      <c r="K56" s="386"/>
      <c r="L56" s="386"/>
      <c r="M56" s="386"/>
      <c r="N56" s="386"/>
      <c r="O56" s="386"/>
      <c r="P56" s="386"/>
      <c r="Q56" s="386"/>
      <c r="R56" s="386"/>
      <c r="S56" s="386"/>
      <c r="T56" s="195"/>
      <c r="U56" s="197"/>
      <c r="V56" s="194"/>
      <c r="W56" s="328">
        <f>IF('Design Fee'!H56&gt;0,2,"-")</f>
        <v>2</v>
      </c>
      <c r="X56" s="386">
        <f>IF('Design Fee'!J56&gt;0,2,"-")</f>
        <v>2</v>
      </c>
      <c r="Y56" s="386" t="str">
        <f>IF('Design Fee'!K56&gt;0,2,"-")</f>
        <v>-</v>
      </c>
      <c r="Z56" s="386" t="str">
        <f>IF('Design Fee'!L56&gt;0,2,"-")</f>
        <v>-</v>
      </c>
      <c r="AA56" s="386" t="str">
        <f>IF('Design Fee'!M56&gt;0,2,"-")</f>
        <v>-</v>
      </c>
      <c r="AB56" s="386" t="str">
        <f>IF('Design Fee'!N56&gt;0,2,"-")</f>
        <v>-</v>
      </c>
      <c r="AC56" s="386" t="str">
        <f>IF('Design Fee'!O56&gt;0,2,"-")</f>
        <v>-</v>
      </c>
      <c r="AD56" s="386" t="str">
        <f>IF('Design Fee'!Q56&gt;0,2,"-")</f>
        <v>-</v>
      </c>
      <c r="AE56" s="386" t="str">
        <f>IF('Design Fee'!R56&gt;0,2,"-")</f>
        <v>-</v>
      </c>
      <c r="AF56" s="386" t="str">
        <f>IF('Design Fee'!S56&gt;0,2,"-")</f>
        <v>-</v>
      </c>
      <c r="AG56" s="386" t="str">
        <f>IF('Design Fee'!T56&gt;0,2,"-")</f>
        <v>-</v>
      </c>
      <c r="AH56" s="386" t="str">
        <f>IF('Design Fee'!U56&gt;0,2,"-")</f>
        <v>-</v>
      </c>
      <c r="AI56" s="195"/>
      <c r="AJ56" s="197"/>
      <c r="AK56" s="387"/>
      <c r="AL56" s="328">
        <f>IF('Design Fee'!AR56&gt;0,2,"-")</f>
        <v>2</v>
      </c>
      <c r="AM56" s="386">
        <f>IF('Design Fee'!AT56&gt;0,2,"-")</f>
        <v>2</v>
      </c>
      <c r="AN56" s="386" t="str">
        <f>IF('Design Fee'!AU56&gt;0,2,"-")</f>
        <v>-</v>
      </c>
      <c r="AO56" s="386" t="str">
        <f>IF('Design Fee'!AV56&gt;0,2,"-")</f>
        <v>-</v>
      </c>
      <c r="AP56" s="386" t="str">
        <f>IF('Design Fee'!AW56&gt;0,2,"-")</f>
        <v>-</v>
      </c>
      <c r="AQ56" s="386" t="str">
        <f>IF('Design Fee'!AX56&gt;0,2,"-")</f>
        <v>-</v>
      </c>
      <c r="AR56" s="386" t="str">
        <f>IF('Design Fee'!AY56&gt;0,2,"-")</f>
        <v>-</v>
      </c>
      <c r="AS56" s="386" t="str">
        <f>IF('Design Fee'!BA56&gt;0,2,"-")</f>
        <v>-</v>
      </c>
      <c r="AT56" s="386" t="str">
        <f>IF('Design Fee'!BB56&gt;0,2,"-")</f>
        <v>-</v>
      </c>
      <c r="AU56" s="386" t="str">
        <f>IF('Design Fee'!BC56&gt;0,2,"-")</f>
        <v>-</v>
      </c>
      <c r="AV56" s="386" t="str">
        <f>IF('Design Fee'!BD56&gt;0,2,"-")</f>
        <v>-</v>
      </c>
      <c r="AW56" s="386" t="str">
        <f>IF('Design Fee'!BE56&gt;0,2,"-")</f>
        <v>-</v>
      </c>
      <c r="AX56" s="195"/>
      <c r="AY56" s="197"/>
      <c r="AZ56" s="387"/>
      <c r="BA56" s="328" t="str">
        <f>IF('Design Fee'!CB56&gt;0,2,"-")</f>
        <v>-</v>
      </c>
      <c r="BB56" s="386" t="str">
        <f>IF('Design Fee'!CD56&gt;0,2,"-")</f>
        <v>-</v>
      </c>
      <c r="BC56" s="386" t="str">
        <f>IF('Design Fee'!CE56&gt;0,2,"-")</f>
        <v>-</v>
      </c>
      <c r="BD56" s="386" t="str">
        <f>IF('Design Fee'!CF56&gt;0,2,"-")</f>
        <v>-</v>
      </c>
      <c r="BE56" s="386" t="str">
        <f>IF('Design Fee'!CG56&gt;0,2,"-")</f>
        <v>-</v>
      </c>
      <c r="BF56" s="386" t="str">
        <f>IF('Design Fee'!CH56&gt;0,2,"-")</f>
        <v>-</v>
      </c>
      <c r="BG56" s="386" t="str">
        <f>IF('Design Fee'!CI56&gt;0,2,"-")</f>
        <v>-</v>
      </c>
      <c r="BH56" s="386" t="str">
        <f>IF('Design Fee'!CK56&gt;0,2,"-")</f>
        <v>-</v>
      </c>
      <c r="BI56" s="386" t="str">
        <f>IF('Design Fee'!CL56&gt;0,2,"-")</f>
        <v>-</v>
      </c>
      <c r="BJ56" s="386" t="str">
        <f>IF('Design Fee'!CM56&gt;0,2,"-")</f>
        <v>-</v>
      </c>
      <c r="BK56" s="386" t="str">
        <f>IF('Design Fee'!CN56&gt;0,2,"-")</f>
        <v>-</v>
      </c>
      <c r="BL56" s="386" t="str">
        <f>IF('Design Fee'!CO56&gt;0,2,"-")</f>
        <v>-</v>
      </c>
      <c r="BM56" s="195"/>
      <c r="BN56" s="197"/>
      <c r="BO56" s="387"/>
      <c r="BP56" s="328" t="str">
        <f>IF('Design Fee'!DL56&gt;0,2,"-")</f>
        <v>-</v>
      </c>
      <c r="BQ56" s="386" t="str">
        <f>IF('Design Fee'!DN56&gt;0,2,"-")</f>
        <v>-</v>
      </c>
      <c r="BR56" s="386" t="str">
        <f>IF('Design Fee'!DO56&gt;0,2,"-")</f>
        <v>-</v>
      </c>
      <c r="BS56" s="386" t="str">
        <f>IF('Design Fee'!DP56&gt;0,2,"-")</f>
        <v>-</v>
      </c>
      <c r="BT56" s="386" t="str">
        <f>IF('Design Fee'!DQ56&gt;0,2,"-")</f>
        <v>-</v>
      </c>
      <c r="BU56" s="386" t="str">
        <f>IF('Design Fee'!DR56&gt;0,2,"-")</f>
        <v>-</v>
      </c>
      <c r="BV56" s="386" t="str">
        <f>IF('Design Fee'!DS56&gt;0,2,"-")</f>
        <v>-</v>
      </c>
      <c r="BW56" s="386" t="str">
        <f>IF('Design Fee'!DU56&gt;0,2,"-")</f>
        <v>-</v>
      </c>
      <c r="BX56" s="386" t="str">
        <f>IF('Design Fee'!DV56&gt;0,2,"-")</f>
        <v>-</v>
      </c>
      <c r="BY56" s="386" t="str">
        <f>IF('Design Fee'!DW56&gt;0,2,"-")</f>
        <v>-</v>
      </c>
      <c r="BZ56" s="386" t="str">
        <f>IF('Design Fee'!DX56&gt;0,2,"-")</f>
        <v>-</v>
      </c>
      <c r="CA56" s="386" t="str">
        <f>IF('Design Fee'!DY56&gt;0,2,"-")</f>
        <v>-</v>
      </c>
      <c r="CB56" s="195"/>
    </row>
    <row r="57" spans="1:80" ht="11.85" customHeight="1" outlineLevel="2">
      <c r="A57" s="112"/>
      <c r="B57" s="162" t="s">
        <v>56</v>
      </c>
      <c r="C57" s="213">
        <v>6</v>
      </c>
      <c r="D57" s="214" t="s">
        <v>57</v>
      </c>
      <c r="E57" s="114"/>
      <c r="F57" s="197"/>
      <c r="G57" s="194"/>
      <c r="H57" s="328"/>
      <c r="I57" s="328"/>
      <c r="J57" s="328"/>
      <c r="K57" s="386"/>
      <c r="L57" s="386"/>
      <c r="M57" s="386"/>
      <c r="N57" s="386"/>
      <c r="O57" s="386"/>
      <c r="P57" s="386"/>
      <c r="Q57" s="386"/>
      <c r="R57" s="386"/>
      <c r="S57" s="386"/>
      <c r="T57" s="195"/>
      <c r="U57" s="197"/>
      <c r="V57" s="194"/>
      <c r="W57" s="328">
        <f>IF('Design Fee'!H57&gt;0,2,"-")</f>
        <v>2</v>
      </c>
      <c r="X57" s="386">
        <f>IF('Design Fee'!J57&gt;0,2,"-")</f>
        <v>2</v>
      </c>
      <c r="Y57" s="386" t="str">
        <f>IF('Design Fee'!K57&gt;0,2,"-")</f>
        <v>-</v>
      </c>
      <c r="Z57" s="386" t="str">
        <f>IF('Design Fee'!L57&gt;0,2,"-")</f>
        <v>-</v>
      </c>
      <c r="AA57" s="386" t="str">
        <f>IF('Design Fee'!M57&gt;0,2,"-")</f>
        <v>-</v>
      </c>
      <c r="AB57" s="386" t="str">
        <f>IF('Design Fee'!N57&gt;0,2,"-")</f>
        <v>-</v>
      </c>
      <c r="AC57" s="386" t="str">
        <f>IF('Design Fee'!O57&gt;0,2,"-")</f>
        <v>-</v>
      </c>
      <c r="AD57" s="386" t="str">
        <f>IF('Design Fee'!Q57&gt;0,2,"-")</f>
        <v>-</v>
      </c>
      <c r="AE57" s="386" t="str">
        <f>IF('Design Fee'!R57&gt;0,2,"-")</f>
        <v>-</v>
      </c>
      <c r="AF57" s="386" t="str">
        <f>IF('Design Fee'!S57&gt;0,2,"-")</f>
        <v>-</v>
      </c>
      <c r="AG57" s="386" t="str">
        <f>IF('Design Fee'!T57&gt;0,2,"-")</f>
        <v>-</v>
      </c>
      <c r="AH57" s="386" t="str">
        <f>IF('Design Fee'!U57&gt;0,2,"-")</f>
        <v>-</v>
      </c>
      <c r="AI57" s="195"/>
      <c r="AJ57" s="197"/>
      <c r="AK57" s="387"/>
      <c r="AL57" s="328">
        <f>IF('Design Fee'!AR57&gt;0,2,"-")</f>
        <v>2</v>
      </c>
      <c r="AM57" s="386" t="str">
        <f>IF('Design Fee'!AT57&gt;0,2,"-")</f>
        <v>-</v>
      </c>
      <c r="AN57" s="386">
        <f>IF('Design Fee'!AU57&gt;0,2,"-")</f>
        <v>2</v>
      </c>
      <c r="AO57" s="386">
        <f>IF('Design Fee'!AV57&gt;0,2,"-")</f>
        <v>2</v>
      </c>
      <c r="AP57" s="386" t="str">
        <f>IF('Design Fee'!AW57&gt;0,2,"-")</f>
        <v>-</v>
      </c>
      <c r="AQ57" s="386" t="str">
        <f>IF('Design Fee'!AX57&gt;0,2,"-")</f>
        <v>-</v>
      </c>
      <c r="AR57" s="386" t="str">
        <f>IF('Design Fee'!AY57&gt;0,2,"-")</f>
        <v>-</v>
      </c>
      <c r="AS57" s="386">
        <f>IF('Design Fee'!BA57&gt;0,2,"-")</f>
        <v>2</v>
      </c>
      <c r="AT57" s="386">
        <f>IF('Design Fee'!BB57&gt;0,2,"-")</f>
        <v>2</v>
      </c>
      <c r="AU57" s="386" t="str">
        <f>IF('Design Fee'!BC57&gt;0,2,"-")</f>
        <v>-</v>
      </c>
      <c r="AV57" s="386" t="str">
        <f>IF('Design Fee'!BD57&gt;0,2,"-")</f>
        <v>-</v>
      </c>
      <c r="AW57" s="386" t="str">
        <f>IF('Design Fee'!BE57&gt;0,2,"-")</f>
        <v>-</v>
      </c>
      <c r="AX57" s="195"/>
      <c r="AY57" s="197"/>
      <c r="AZ57" s="387"/>
      <c r="BA57" s="328" t="str">
        <f>IF('Design Fee'!CB57&gt;0,2,"-")</f>
        <v>-</v>
      </c>
      <c r="BB57" s="386" t="str">
        <f>IF('Design Fee'!CD57&gt;0,2,"-")</f>
        <v>-</v>
      </c>
      <c r="BC57" s="386" t="str">
        <f>IF('Design Fee'!CE57&gt;0,2,"-")</f>
        <v>-</v>
      </c>
      <c r="BD57" s="386" t="str">
        <f>IF('Design Fee'!CF57&gt;0,2,"-")</f>
        <v>-</v>
      </c>
      <c r="BE57" s="386" t="str">
        <f>IF('Design Fee'!CG57&gt;0,2,"-")</f>
        <v>-</v>
      </c>
      <c r="BF57" s="386" t="str">
        <f>IF('Design Fee'!CH57&gt;0,2,"-")</f>
        <v>-</v>
      </c>
      <c r="BG57" s="386" t="str">
        <f>IF('Design Fee'!CI57&gt;0,2,"-")</f>
        <v>-</v>
      </c>
      <c r="BH57" s="386" t="str">
        <f>IF('Design Fee'!CK57&gt;0,2,"-")</f>
        <v>-</v>
      </c>
      <c r="BI57" s="386" t="str">
        <f>IF('Design Fee'!CL57&gt;0,2,"-")</f>
        <v>-</v>
      </c>
      <c r="BJ57" s="386" t="str">
        <f>IF('Design Fee'!CM57&gt;0,2,"-")</f>
        <v>-</v>
      </c>
      <c r="BK57" s="386" t="str">
        <f>IF('Design Fee'!CN57&gt;0,2,"-")</f>
        <v>-</v>
      </c>
      <c r="BL57" s="386" t="str">
        <f>IF('Design Fee'!CO57&gt;0,2,"-")</f>
        <v>-</v>
      </c>
      <c r="BM57" s="195"/>
      <c r="BN57" s="197"/>
      <c r="BO57" s="387"/>
      <c r="BP57" s="328" t="str">
        <f>IF('Design Fee'!DL57&gt;0,2,"-")</f>
        <v>-</v>
      </c>
      <c r="BQ57" s="386" t="str">
        <f>IF('Design Fee'!DN57&gt;0,2,"-")</f>
        <v>-</v>
      </c>
      <c r="BR57" s="386" t="str">
        <f>IF('Design Fee'!DO57&gt;0,2,"-")</f>
        <v>-</v>
      </c>
      <c r="BS57" s="386" t="str">
        <f>IF('Design Fee'!DP57&gt;0,2,"-")</f>
        <v>-</v>
      </c>
      <c r="BT57" s="386" t="str">
        <f>IF('Design Fee'!DQ57&gt;0,2,"-")</f>
        <v>-</v>
      </c>
      <c r="BU57" s="386" t="str">
        <f>IF('Design Fee'!DR57&gt;0,2,"-")</f>
        <v>-</v>
      </c>
      <c r="BV57" s="386" t="str">
        <f>IF('Design Fee'!DS57&gt;0,2,"-")</f>
        <v>-</v>
      </c>
      <c r="BW57" s="386" t="str">
        <f>IF('Design Fee'!DU57&gt;0,2,"-")</f>
        <v>-</v>
      </c>
      <c r="BX57" s="386" t="str">
        <f>IF('Design Fee'!DV57&gt;0,2,"-")</f>
        <v>-</v>
      </c>
      <c r="BY57" s="386" t="str">
        <f>IF('Design Fee'!DW57&gt;0,2,"-")</f>
        <v>-</v>
      </c>
      <c r="BZ57" s="386" t="str">
        <f>IF('Design Fee'!DX57&gt;0,2,"-")</f>
        <v>-</v>
      </c>
      <c r="CA57" s="386" t="str">
        <f>IF('Design Fee'!DY57&gt;0,2,"-")</f>
        <v>-</v>
      </c>
      <c r="CB57" s="195"/>
    </row>
    <row r="58" spans="1:80" ht="11.85" customHeight="1" outlineLevel="2">
      <c r="A58" s="112"/>
      <c r="B58" s="162" t="s">
        <v>58</v>
      </c>
      <c r="C58" s="213">
        <v>7</v>
      </c>
      <c r="D58" s="214" t="s">
        <v>59</v>
      </c>
      <c r="E58" s="114"/>
      <c r="F58" s="197"/>
      <c r="G58" s="194"/>
      <c r="H58" s="328"/>
      <c r="I58" s="328"/>
      <c r="J58" s="328"/>
      <c r="K58" s="386"/>
      <c r="L58" s="386"/>
      <c r="M58" s="386"/>
      <c r="N58" s="386"/>
      <c r="O58" s="386"/>
      <c r="P58" s="386"/>
      <c r="Q58" s="386"/>
      <c r="R58" s="386"/>
      <c r="S58" s="386"/>
      <c r="T58" s="195"/>
      <c r="U58" s="197"/>
      <c r="V58" s="194"/>
      <c r="W58" s="328">
        <f>IF('Design Fee'!H58&gt;0,2,"-")</f>
        <v>2</v>
      </c>
      <c r="X58" s="386" t="str">
        <f>IF('Design Fee'!J58&gt;0,2,"-")</f>
        <v>-</v>
      </c>
      <c r="Y58" s="386">
        <f>IF('Design Fee'!K58&gt;0,2,"-")</f>
        <v>2</v>
      </c>
      <c r="Z58" s="386">
        <f>IF('Design Fee'!L58&gt;0,2,"-")</f>
        <v>2</v>
      </c>
      <c r="AA58" s="386" t="str">
        <f>IF('Design Fee'!M58&gt;0,2,"-")</f>
        <v>-</v>
      </c>
      <c r="AB58" s="386" t="str">
        <f>IF('Design Fee'!N58&gt;0,2,"-")</f>
        <v>-</v>
      </c>
      <c r="AC58" s="386" t="str">
        <f>IF('Design Fee'!O58&gt;0,2,"-")</f>
        <v>-</v>
      </c>
      <c r="AD58" s="386">
        <f>IF('Design Fee'!Q58&gt;0,2,"-")</f>
        <v>2</v>
      </c>
      <c r="AE58" s="386" t="str">
        <f>IF('Design Fee'!R58&gt;0,2,"-")</f>
        <v>-</v>
      </c>
      <c r="AF58" s="386">
        <f>IF('Design Fee'!S58&gt;0,2,"-")</f>
        <v>2</v>
      </c>
      <c r="AG58" s="386" t="str">
        <f>IF('Design Fee'!T58&gt;0,2,"-")</f>
        <v>-</v>
      </c>
      <c r="AH58" s="386" t="str">
        <f>IF('Design Fee'!U58&gt;0,2,"-")</f>
        <v>-</v>
      </c>
      <c r="AI58" s="195"/>
      <c r="AJ58" s="197"/>
      <c r="AK58" s="387"/>
      <c r="AL58" s="328" t="str">
        <f>IF('Design Fee'!AR58&gt;0,2,"-")</f>
        <v>-</v>
      </c>
      <c r="AM58" s="386" t="str">
        <f>IF('Design Fee'!AT58&gt;0,2,"-")</f>
        <v>-</v>
      </c>
      <c r="AN58" s="386" t="str">
        <f>IF('Design Fee'!AU58&gt;0,2,"-")</f>
        <v>-</v>
      </c>
      <c r="AO58" s="386" t="str">
        <f>IF('Design Fee'!AV58&gt;0,2,"-")</f>
        <v>-</v>
      </c>
      <c r="AP58" s="386" t="str">
        <f>IF('Design Fee'!AW58&gt;0,2,"-")</f>
        <v>-</v>
      </c>
      <c r="AQ58" s="386" t="str">
        <f>IF('Design Fee'!AX58&gt;0,2,"-")</f>
        <v>-</v>
      </c>
      <c r="AR58" s="386" t="str">
        <f>IF('Design Fee'!AY58&gt;0,2,"-")</f>
        <v>-</v>
      </c>
      <c r="AS58" s="386" t="str">
        <f>IF('Design Fee'!BA58&gt;0,2,"-")</f>
        <v>-</v>
      </c>
      <c r="AT58" s="386" t="str">
        <f>IF('Design Fee'!BB58&gt;0,2,"-")</f>
        <v>-</v>
      </c>
      <c r="AU58" s="386" t="str">
        <f>IF('Design Fee'!BC58&gt;0,2,"-")</f>
        <v>-</v>
      </c>
      <c r="AV58" s="386" t="str">
        <f>IF('Design Fee'!BD58&gt;0,2,"-")</f>
        <v>-</v>
      </c>
      <c r="AW58" s="386" t="str">
        <f>IF('Design Fee'!BE58&gt;0,2,"-")</f>
        <v>-</v>
      </c>
      <c r="AX58" s="195"/>
      <c r="AY58" s="197"/>
      <c r="AZ58" s="387"/>
      <c r="BA58" s="328">
        <f>IF('Design Fee'!CB58&gt;0,2,"-")</f>
        <v>2</v>
      </c>
      <c r="BB58" s="386" t="str">
        <f>IF('Design Fee'!CD58&gt;0,2,"-")</f>
        <v>-</v>
      </c>
      <c r="BC58" s="386">
        <f>IF('Design Fee'!CE58&gt;0,2,"-")</f>
        <v>2</v>
      </c>
      <c r="BD58" s="386">
        <f>IF('Design Fee'!CF58&gt;0,2,"-")</f>
        <v>2</v>
      </c>
      <c r="BE58" s="386" t="str">
        <f>IF('Design Fee'!CG58&gt;0,2,"-")</f>
        <v>-</v>
      </c>
      <c r="BF58" s="386" t="str">
        <f>IF('Design Fee'!CH58&gt;0,2,"-")</f>
        <v>-</v>
      </c>
      <c r="BG58" s="386" t="str">
        <f>IF('Design Fee'!CI58&gt;0,2,"-")</f>
        <v>-</v>
      </c>
      <c r="BH58" s="386">
        <f>IF('Design Fee'!CK58&gt;0,2,"-")</f>
        <v>2</v>
      </c>
      <c r="BI58" s="386" t="str">
        <f>IF('Design Fee'!CL58&gt;0,2,"-")</f>
        <v>-</v>
      </c>
      <c r="BJ58" s="386">
        <f>IF('Design Fee'!CM58&gt;0,2,"-")</f>
        <v>2</v>
      </c>
      <c r="BK58" s="386" t="str">
        <f>IF('Design Fee'!CN58&gt;0,2,"-")</f>
        <v>-</v>
      </c>
      <c r="BL58" s="386" t="str">
        <f>IF('Design Fee'!CO58&gt;0,2,"-")</f>
        <v>-</v>
      </c>
      <c r="BM58" s="195"/>
      <c r="BN58" s="197"/>
      <c r="BO58" s="387"/>
      <c r="BP58" s="328">
        <f>IF('Design Fee'!DL58&gt;0,2,"-")</f>
        <v>2</v>
      </c>
      <c r="BQ58" s="386" t="str">
        <f>IF('Design Fee'!DN58&gt;0,2,"-")</f>
        <v>-</v>
      </c>
      <c r="BR58" s="386">
        <f>IF('Design Fee'!DO58&gt;0,2,"-")</f>
        <v>2</v>
      </c>
      <c r="BS58" s="386">
        <f>IF('Design Fee'!DP58&gt;0,2,"-")</f>
        <v>2</v>
      </c>
      <c r="BT58" s="386" t="str">
        <f>IF('Design Fee'!DQ58&gt;0,2,"-")</f>
        <v>-</v>
      </c>
      <c r="BU58" s="386" t="str">
        <f>IF('Design Fee'!DR58&gt;0,2,"-")</f>
        <v>-</v>
      </c>
      <c r="BV58" s="386" t="str">
        <f>IF('Design Fee'!DS58&gt;0,2,"-")</f>
        <v>-</v>
      </c>
      <c r="BW58" s="386">
        <f>IF('Design Fee'!DU58&gt;0,2,"-")</f>
        <v>2</v>
      </c>
      <c r="BX58" s="386" t="str">
        <f>IF('Design Fee'!DV58&gt;0,2,"-")</f>
        <v>-</v>
      </c>
      <c r="BY58" s="386" t="str">
        <f>IF('Design Fee'!DW58&gt;0,2,"-")</f>
        <v>-</v>
      </c>
      <c r="BZ58" s="386">
        <f>IF('Design Fee'!DX58&gt;0,2,"-")</f>
        <v>2</v>
      </c>
      <c r="CA58" s="386" t="str">
        <f>IF('Design Fee'!DY58&gt;0,2,"-")</f>
        <v>-</v>
      </c>
      <c r="CB58" s="195"/>
    </row>
    <row r="59" spans="1:80" ht="11.85" customHeight="1" outlineLevel="2">
      <c r="A59" s="112"/>
      <c r="B59" s="162" t="s">
        <v>60</v>
      </c>
      <c r="C59" s="213">
        <v>8</v>
      </c>
      <c r="D59" s="214" t="s">
        <v>61</v>
      </c>
      <c r="E59" s="114"/>
      <c r="F59" s="197"/>
      <c r="G59" s="194"/>
      <c r="H59" s="328"/>
      <c r="I59" s="328"/>
      <c r="J59" s="328"/>
      <c r="K59" s="386"/>
      <c r="L59" s="386"/>
      <c r="M59" s="386"/>
      <c r="N59" s="386"/>
      <c r="O59" s="386"/>
      <c r="P59" s="386"/>
      <c r="Q59" s="386"/>
      <c r="R59" s="386"/>
      <c r="S59" s="386"/>
      <c r="T59" s="195"/>
      <c r="U59" s="197"/>
      <c r="V59" s="194"/>
      <c r="W59" s="328">
        <f>IF('Design Fee'!H59&gt;0,2,"-")</f>
        <v>2</v>
      </c>
      <c r="X59" s="386" t="str">
        <f>IF('Design Fee'!J59&gt;0,2,"-")</f>
        <v>-</v>
      </c>
      <c r="Y59" s="386">
        <f>IF('Design Fee'!K59&gt;0,2,"-")</f>
        <v>2</v>
      </c>
      <c r="Z59" s="386">
        <f>IF('Design Fee'!L59&gt;0,2,"-")</f>
        <v>2</v>
      </c>
      <c r="AA59" s="386" t="str">
        <f>IF('Design Fee'!M59&gt;0,2,"-")</f>
        <v>-</v>
      </c>
      <c r="AB59" s="386" t="str">
        <f>IF('Design Fee'!N59&gt;0,2,"-")</f>
        <v>-</v>
      </c>
      <c r="AC59" s="386" t="str">
        <f>IF('Design Fee'!O59&gt;0,2,"-")</f>
        <v>-</v>
      </c>
      <c r="AD59" s="386">
        <f>IF('Design Fee'!Q59&gt;0,2,"-")</f>
        <v>2</v>
      </c>
      <c r="AE59" s="386">
        <f>IF('Design Fee'!R59&gt;0,2,"-")</f>
        <v>2</v>
      </c>
      <c r="AF59" s="386" t="str">
        <f>IF('Design Fee'!S59&gt;0,2,"-")</f>
        <v>-</v>
      </c>
      <c r="AG59" s="386" t="str">
        <f>IF('Design Fee'!T59&gt;0,2,"-")</f>
        <v>-</v>
      </c>
      <c r="AH59" s="386" t="str">
        <f>IF('Design Fee'!U59&gt;0,2,"-")</f>
        <v>-</v>
      </c>
      <c r="AI59" s="195"/>
      <c r="AJ59" s="197"/>
      <c r="AK59" s="387"/>
      <c r="AL59" s="328">
        <f>IF('Design Fee'!AR59&gt;0,2,"-")</f>
        <v>2</v>
      </c>
      <c r="AM59" s="386" t="str">
        <f>IF('Design Fee'!AT59&gt;0,2,"-")</f>
        <v>-</v>
      </c>
      <c r="AN59" s="386">
        <f>IF('Design Fee'!AU59&gt;0,2,"-")</f>
        <v>2</v>
      </c>
      <c r="AO59" s="386">
        <f>IF('Design Fee'!AV59&gt;0,2,"-")</f>
        <v>2</v>
      </c>
      <c r="AP59" s="386" t="str">
        <f>IF('Design Fee'!AW59&gt;0,2,"-")</f>
        <v>-</v>
      </c>
      <c r="AQ59" s="386" t="str">
        <f>IF('Design Fee'!AX59&gt;0,2,"-")</f>
        <v>-</v>
      </c>
      <c r="AR59" s="386" t="str">
        <f>IF('Design Fee'!AY59&gt;0,2,"-")</f>
        <v>-</v>
      </c>
      <c r="AS59" s="386">
        <f>IF('Design Fee'!BA59&gt;0,2,"-")</f>
        <v>2</v>
      </c>
      <c r="AT59" s="386" t="str">
        <f>IF('Design Fee'!BB59&gt;0,2,"-")</f>
        <v>-</v>
      </c>
      <c r="AU59" s="386">
        <f>IF('Design Fee'!BC59&gt;0,2,"-")</f>
        <v>2</v>
      </c>
      <c r="AV59" s="386" t="str">
        <f>IF('Design Fee'!BD59&gt;0,2,"-")</f>
        <v>-</v>
      </c>
      <c r="AW59" s="386" t="str">
        <f>IF('Design Fee'!BE59&gt;0,2,"-")</f>
        <v>-</v>
      </c>
      <c r="AX59" s="195"/>
      <c r="AY59" s="197"/>
      <c r="AZ59" s="387"/>
      <c r="BA59" s="328">
        <f>IF('Design Fee'!CB59&gt;0,2,"-")</f>
        <v>2</v>
      </c>
      <c r="BB59" s="386" t="str">
        <f>IF('Design Fee'!CD59&gt;0,2,"-")</f>
        <v>-</v>
      </c>
      <c r="BC59" s="386">
        <f>IF('Design Fee'!CE59&gt;0,2,"-")</f>
        <v>2</v>
      </c>
      <c r="BD59" s="386">
        <f>IF('Design Fee'!CF59&gt;0,2,"-")</f>
        <v>2</v>
      </c>
      <c r="BE59" s="386" t="str">
        <f>IF('Design Fee'!CG59&gt;0,2,"-")</f>
        <v>-</v>
      </c>
      <c r="BF59" s="386" t="str">
        <f>IF('Design Fee'!CH59&gt;0,2,"-")</f>
        <v>-</v>
      </c>
      <c r="BG59" s="386" t="str">
        <f>IF('Design Fee'!CI59&gt;0,2,"-")</f>
        <v>-</v>
      </c>
      <c r="BH59" s="386">
        <f>IF('Design Fee'!CK59&gt;0,2,"-")</f>
        <v>2</v>
      </c>
      <c r="BI59" s="386">
        <f>IF('Design Fee'!CL59&gt;0,2,"-")</f>
        <v>2</v>
      </c>
      <c r="BJ59" s="386" t="str">
        <f>IF('Design Fee'!CM59&gt;0,2,"-")</f>
        <v>-</v>
      </c>
      <c r="BK59" s="386" t="str">
        <f>IF('Design Fee'!CN59&gt;0,2,"-")</f>
        <v>-</v>
      </c>
      <c r="BL59" s="386" t="str">
        <f>IF('Design Fee'!CO59&gt;0,2,"-")</f>
        <v>-</v>
      </c>
      <c r="BM59" s="195"/>
      <c r="BN59" s="197"/>
      <c r="BO59" s="387"/>
      <c r="BP59" s="328" t="str">
        <f>IF('Design Fee'!DL59&gt;0,2,"-")</f>
        <v>-</v>
      </c>
      <c r="BQ59" s="386" t="str">
        <f>IF('Design Fee'!DN59&gt;0,2,"-")</f>
        <v>-</v>
      </c>
      <c r="BR59" s="386" t="str">
        <f>IF('Design Fee'!DO59&gt;0,2,"-")</f>
        <v>-</v>
      </c>
      <c r="BS59" s="386" t="str">
        <f>IF('Design Fee'!DP59&gt;0,2,"-")</f>
        <v>-</v>
      </c>
      <c r="BT59" s="386" t="str">
        <f>IF('Design Fee'!DQ59&gt;0,2,"-")</f>
        <v>-</v>
      </c>
      <c r="BU59" s="386" t="str">
        <f>IF('Design Fee'!DR59&gt;0,2,"-")</f>
        <v>-</v>
      </c>
      <c r="BV59" s="386" t="str">
        <f>IF('Design Fee'!DS59&gt;0,2,"-")</f>
        <v>-</v>
      </c>
      <c r="BW59" s="386" t="str">
        <f>IF('Design Fee'!DU59&gt;0,2,"-")</f>
        <v>-</v>
      </c>
      <c r="BX59" s="386" t="str">
        <f>IF('Design Fee'!DV59&gt;0,2,"-")</f>
        <v>-</v>
      </c>
      <c r="BY59" s="386" t="str">
        <f>IF('Design Fee'!DW59&gt;0,2,"-")</f>
        <v>-</v>
      </c>
      <c r="BZ59" s="386" t="str">
        <f>IF('Design Fee'!DX59&gt;0,2,"-")</f>
        <v>-</v>
      </c>
      <c r="CA59" s="386" t="str">
        <f>IF('Design Fee'!DY59&gt;0,2,"-")</f>
        <v>-</v>
      </c>
      <c r="CB59" s="195"/>
    </row>
    <row r="60" spans="1:80" ht="11.85" customHeight="1" outlineLevel="2">
      <c r="A60" s="112"/>
      <c r="B60" s="162" t="s">
        <v>62</v>
      </c>
      <c r="C60" s="213">
        <v>9</v>
      </c>
      <c r="D60" s="214" t="s">
        <v>63</v>
      </c>
      <c r="E60" s="114"/>
      <c r="F60" s="197"/>
      <c r="G60" s="194"/>
      <c r="H60" s="328"/>
      <c r="I60" s="328"/>
      <c r="J60" s="328"/>
      <c r="K60" s="386"/>
      <c r="L60" s="386"/>
      <c r="M60" s="386"/>
      <c r="N60" s="386"/>
      <c r="O60" s="386"/>
      <c r="P60" s="386"/>
      <c r="Q60" s="386"/>
      <c r="R60" s="386"/>
      <c r="S60" s="386"/>
      <c r="T60" s="195"/>
      <c r="U60" s="197"/>
      <c r="V60" s="194"/>
      <c r="W60" s="328">
        <f>IF('Design Fee'!H60&gt;0,2,"-")</f>
        <v>2</v>
      </c>
      <c r="X60" s="386" t="str">
        <f>IF('Design Fee'!J60&gt;0,2,"-")</f>
        <v>-</v>
      </c>
      <c r="Y60" s="386">
        <f>IF('Design Fee'!K60&gt;0,2,"-")</f>
        <v>2</v>
      </c>
      <c r="Z60" s="386">
        <f>IF('Design Fee'!L60&gt;0,2,"-")</f>
        <v>2</v>
      </c>
      <c r="AA60" s="386" t="str">
        <f>IF('Design Fee'!M60&gt;0,2,"-")</f>
        <v>-</v>
      </c>
      <c r="AB60" s="386" t="str">
        <f>IF('Design Fee'!N60&gt;0,2,"-")</f>
        <v>-</v>
      </c>
      <c r="AC60" s="386" t="str">
        <f>IF('Design Fee'!O60&gt;0,2,"-")</f>
        <v>-</v>
      </c>
      <c r="AD60" s="386">
        <f>IF('Design Fee'!Q60&gt;0,2,"-")</f>
        <v>2</v>
      </c>
      <c r="AE60" s="386" t="str">
        <f>IF('Design Fee'!R60&gt;0,2,"-")</f>
        <v>-</v>
      </c>
      <c r="AF60" s="386">
        <f>IF('Design Fee'!S60&gt;0,2,"-")</f>
        <v>2</v>
      </c>
      <c r="AG60" s="386" t="str">
        <f>IF('Design Fee'!T60&gt;0,2,"-")</f>
        <v>-</v>
      </c>
      <c r="AH60" s="386" t="str">
        <f>IF('Design Fee'!U60&gt;0,2,"-")</f>
        <v>-</v>
      </c>
      <c r="AI60" s="195"/>
      <c r="AJ60" s="197"/>
      <c r="AK60" s="387"/>
      <c r="AL60" s="328" t="str">
        <f>IF('Design Fee'!AR60&gt;0,2,"-")</f>
        <v>-</v>
      </c>
      <c r="AM60" s="386" t="str">
        <f>IF('Design Fee'!AT60&gt;0,2,"-")</f>
        <v>-</v>
      </c>
      <c r="AN60" s="386" t="str">
        <f>IF('Design Fee'!AU60&gt;0,2,"-")</f>
        <v>-</v>
      </c>
      <c r="AO60" s="386" t="str">
        <f>IF('Design Fee'!AV60&gt;0,2,"-")</f>
        <v>-</v>
      </c>
      <c r="AP60" s="386" t="str">
        <f>IF('Design Fee'!AW60&gt;0,2,"-")</f>
        <v>-</v>
      </c>
      <c r="AQ60" s="386" t="str">
        <f>IF('Design Fee'!AX60&gt;0,2,"-")</f>
        <v>-</v>
      </c>
      <c r="AR60" s="386" t="str">
        <f>IF('Design Fee'!AY60&gt;0,2,"-")</f>
        <v>-</v>
      </c>
      <c r="AS60" s="386" t="str">
        <f>IF('Design Fee'!BA60&gt;0,2,"-")</f>
        <v>-</v>
      </c>
      <c r="AT60" s="386" t="str">
        <f>IF('Design Fee'!BB60&gt;0,2,"-")</f>
        <v>-</v>
      </c>
      <c r="AU60" s="386" t="str">
        <f>IF('Design Fee'!BC60&gt;0,2,"-")</f>
        <v>-</v>
      </c>
      <c r="AV60" s="386" t="str">
        <f>IF('Design Fee'!BD60&gt;0,2,"-")</f>
        <v>-</v>
      </c>
      <c r="AW60" s="386" t="str">
        <f>IF('Design Fee'!BE60&gt;0,2,"-")</f>
        <v>-</v>
      </c>
      <c r="AX60" s="195"/>
      <c r="AY60" s="197"/>
      <c r="AZ60" s="387"/>
      <c r="BA60" s="328" t="str">
        <f>IF('Design Fee'!CB60&gt;0,2,"-")</f>
        <v>-</v>
      </c>
      <c r="BB60" s="386" t="str">
        <f>IF('Design Fee'!CD60&gt;0,2,"-")</f>
        <v>-</v>
      </c>
      <c r="BC60" s="386" t="str">
        <f>IF('Design Fee'!CE60&gt;0,2,"-")</f>
        <v>-</v>
      </c>
      <c r="BD60" s="386" t="str">
        <f>IF('Design Fee'!CF60&gt;0,2,"-")</f>
        <v>-</v>
      </c>
      <c r="BE60" s="386" t="str">
        <f>IF('Design Fee'!CG60&gt;0,2,"-")</f>
        <v>-</v>
      </c>
      <c r="BF60" s="386" t="str">
        <f>IF('Design Fee'!CH60&gt;0,2,"-")</f>
        <v>-</v>
      </c>
      <c r="BG60" s="386" t="str">
        <f>IF('Design Fee'!CI60&gt;0,2,"-")</f>
        <v>-</v>
      </c>
      <c r="BH60" s="386" t="str">
        <f>IF('Design Fee'!CK60&gt;0,2,"-")</f>
        <v>-</v>
      </c>
      <c r="BI60" s="386" t="str">
        <f>IF('Design Fee'!CL60&gt;0,2,"-")</f>
        <v>-</v>
      </c>
      <c r="BJ60" s="386" t="str">
        <f>IF('Design Fee'!CM60&gt;0,2,"-")</f>
        <v>-</v>
      </c>
      <c r="BK60" s="386" t="str">
        <f>IF('Design Fee'!CN60&gt;0,2,"-")</f>
        <v>-</v>
      </c>
      <c r="BL60" s="386" t="str">
        <f>IF('Design Fee'!CO60&gt;0,2,"-")</f>
        <v>-</v>
      </c>
      <c r="BM60" s="195"/>
      <c r="BN60" s="197"/>
      <c r="BO60" s="387"/>
      <c r="BP60" s="328">
        <f>IF('Design Fee'!DL60&gt;0,2,"-")</f>
        <v>2</v>
      </c>
      <c r="BQ60" s="386" t="str">
        <f>IF('Design Fee'!DN60&gt;0,2,"-")</f>
        <v>-</v>
      </c>
      <c r="BR60" s="386">
        <f>IF('Design Fee'!DO60&gt;0,2,"-")</f>
        <v>2</v>
      </c>
      <c r="BS60" s="386">
        <f>IF('Design Fee'!DP60&gt;0,2,"-")</f>
        <v>2</v>
      </c>
      <c r="BT60" s="386" t="str">
        <f>IF('Design Fee'!DQ60&gt;0,2,"-")</f>
        <v>-</v>
      </c>
      <c r="BU60" s="386" t="str">
        <f>IF('Design Fee'!DR60&gt;0,2,"-")</f>
        <v>-</v>
      </c>
      <c r="BV60" s="386" t="str">
        <f>IF('Design Fee'!DS60&gt;0,2,"-")</f>
        <v>-</v>
      </c>
      <c r="BW60" s="386">
        <f>IF('Design Fee'!DU60&gt;0,2,"-")</f>
        <v>2</v>
      </c>
      <c r="BX60" s="386" t="str">
        <f>IF('Design Fee'!DV60&gt;0,2,"-")</f>
        <v>-</v>
      </c>
      <c r="BY60" s="386">
        <f>IF('Design Fee'!DW60&gt;0,2,"-")</f>
        <v>2</v>
      </c>
      <c r="BZ60" s="386" t="str">
        <f>IF('Design Fee'!DX60&gt;0,2,"-")</f>
        <v>-</v>
      </c>
      <c r="CA60" s="386" t="str">
        <f>IF('Design Fee'!DY60&gt;0,2,"-")</f>
        <v>-</v>
      </c>
      <c r="CB60" s="195"/>
    </row>
    <row r="61" spans="1:80" ht="3" customHeight="1" outlineLevel="1">
      <c r="A61" s="112"/>
      <c r="B61" s="163"/>
      <c r="C61" s="162"/>
      <c r="D61" s="114"/>
      <c r="E61" s="114"/>
      <c r="F61" s="115"/>
      <c r="G61" s="116"/>
      <c r="H61" s="124"/>
      <c r="I61" s="124"/>
      <c r="J61" s="124"/>
      <c r="K61" s="125"/>
      <c r="L61" s="125"/>
      <c r="M61" s="125"/>
      <c r="N61" s="125"/>
      <c r="O61" s="125"/>
      <c r="P61" s="125"/>
      <c r="Q61" s="125"/>
      <c r="R61" s="125"/>
      <c r="S61" s="125"/>
      <c r="T61" s="327"/>
      <c r="U61" s="327"/>
      <c r="V61" s="327"/>
      <c r="W61" s="327"/>
      <c r="X61" s="327"/>
      <c r="Y61" s="327"/>
      <c r="Z61" s="327"/>
      <c r="AA61" s="327"/>
      <c r="AB61" s="327"/>
      <c r="AC61" s="327"/>
      <c r="AD61" s="327"/>
      <c r="AE61" s="327"/>
      <c r="AF61" s="327"/>
      <c r="AG61" s="327"/>
      <c r="AH61" s="327"/>
      <c r="AI61" s="327"/>
      <c r="AJ61" s="327"/>
      <c r="AK61" s="327"/>
      <c r="AL61" s="327"/>
      <c r="AM61" s="327"/>
      <c r="AN61" s="327"/>
      <c r="AO61" s="327"/>
      <c r="AP61" s="327"/>
      <c r="AQ61" s="327"/>
      <c r="AR61" s="327"/>
      <c r="AS61" s="327"/>
      <c r="AT61" s="327"/>
      <c r="AU61" s="327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27"/>
      <c r="BH61" s="327"/>
      <c r="BI61" s="327"/>
      <c r="BJ61" s="327"/>
      <c r="BK61" s="327"/>
      <c r="BL61" s="327"/>
      <c r="BM61" s="327"/>
      <c r="BN61" s="327"/>
      <c r="BO61" s="327"/>
      <c r="BP61" s="327"/>
      <c r="BQ61" s="327"/>
      <c r="BR61" s="327"/>
      <c r="BS61" s="327"/>
      <c r="BT61" s="327"/>
      <c r="BU61" s="327"/>
      <c r="BV61" s="327"/>
      <c r="BW61" s="327"/>
      <c r="BX61" s="327"/>
      <c r="BY61" s="327"/>
      <c r="BZ61" s="327"/>
      <c r="CA61" s="327"/>
      <c r="CB61" s="347"/>
    </row>
    <row r="62" spans="1:80" ht="13.35" customHeight="1" outlineLevel="1">
      <c r="A62" s="112"/>
      <c r="B62" s="148"/>
      <c r="C62" s="212">
        <v>2</v>
      </c>
      <c r="D62" s="211" t="s">
        <v>64</v>
      </c>
      <c r="E62" s="149"/>
      <c r="F62" s="203"/>
      <c r="G62" s="188">
        <f t="shared" si="0"/>
        <v>9</v>
      </c>
      <c r="H62" s="203">
        <f t="shared" ref="H62:I62" si="57">W62+AL62+BA62+BP62</f>
        <v>18</v>
      </c>
      <c r="I62" s="203">
        <f t="shared" si="57"/>
        <v>9</v>
      </c>
      <c r="J62" s="203">
        <f>Y62+AN62+BC62+BR62</f>
        <v>9</v>
      </c>
      <c r="K62" s="203">
        <f t="shared" si="2"/>
        <v>9</v>
      </c>
      <c r="L62" s="203">
        <f t="shared" si="3"/>
        <v>0</v>
      </c>
      <c r="M62" s="203">
        <f t="shared" si="4"/>
        <v>0</v>
      </c>
      <c r="N62" s="203">
        <f t="shared" si="5"/>
        <v>0</v>
      </c>
      <c r="O62" s="203">
        <f t="shared" si="6"/>
        <v>9</v>
      </c>
      <c r="P62" s="203">
        <f t="shared" si="7"/>
        <v>6</v>
      </c>
      <c r="Q62" s="203">
        <f t="shared" si="8"/>
        <v>0</v>
      </c>
      <c r="R62" s="203">
        <f t="shared" si="9"/>
        <v>3</v>
      </c>
      <c r="S62" s="203">
        <f t="shared" si="16"/>
        <v>0</v>
      </c>
      <c r="T62" s="203">
        <f t="shared" ref="T62" si="58">COUNT(T63:T82)</f>
        <v>0</v>
      </c>
      <c r="U62" s="188"/>
      <c r="V62" s="188"/>
      <c r="W62" s="203">
        <f>COUNT(W63:W82)</f>
        <v>4</v>
      </c>
      <c r="X62" s="203">
        <f t="shared" ref="X62:AI62" si="59">COUNT(X63:X82)</f>
        <v>3</v>
      </c>
      <c r="Y62" s="203">
        <f t="shared" si="59"/>
        <v>1</v>
      </c>
      <c r="Z62" s="203">
        <f t="shared" si="59"/>
        <v>1</v>
      </c>
      <c r="AA62" s="203">
        <f t="shared" si="59"/>
        <v>0</v>
      </c>
      <c r="AB62" s="203">
        <f t="shared" si="59"/>
        <v>0</v>
      </c>
      <c r="AC62" s="203">
        <f t="shared" si="59"/>
        <v>0</v>
      </c>
      <c r="AD62" s="203">
        <f t="shared" si="59"/>
        <v>1</v>
      </c>
      <c r="AE62" s="203">
        <f t="shared" si="59"/>
        <v>1</v>
      </c>
      <c r="AF62" s="203">
        <f t="shared" si="59"/>
        <v>0</v>
      </c>
      <c r="AG62" s="203">
        <f t="shared" si="59"/>
        <v>0</v>
      </c>
      <c r="AH62" s="203">
        <f t="shared" si="59"/>
        <v>0</v>
      </c>
      <c r="AI62" s="203">
        <f t="shared" si="59"/>
        <v>0</v>
      </c>
      <c r="AJ62" s="188"/>
      <c r="AK62" s="188"/>
      <c r="AL62" s="203">
        <f>COUNT(AL63:AL82)</f>
        <v>10</v>
      </c>
      <c r="AM62" s="203">
        <f t="shared" ref="AM62" si="60">COUNT(AM63:AM82)</f>
        <v>6</v>
      </c>
      <c r="AN62" s="203">
        <f t="shared" ref="AN62" si="61">COUNT(AN63:AN82)</f>
        <v>4</v>
      </c>
      <c r="AO62" s="203">
        <f t="shared" ref="AO62" si="62">COUNT(AO63:AO82)</f>
        <v>4</v>
      </c>
      <c r="AP62" s="203">
        <f t="shared" ref="AP62" si="63">COUNT(AP63:AP82)</f>
        <v>0</v>
      </c>
      <c r="AQ62" s="203">
        <f t="shared" ref="AQ62" si="64">COUNT(AQ63:AQ82)</f>
        <v>0</v>
      </c>
      <c r="AR62" s="203">
        <f t="shared" ref="AR62" si="65">COUNT(AR63:AR82)</f>
        <v>0</v>
      </c>
      <c r="AS62" s="203">
        <f t="shared" ref="AS62" si="66">COUNT(AS63:AS82)</f>
        <v>4</v>
      </c>
      <c r="AT62" s="203">
        <f t="shared" ref="AT62" si="67">COUNT(AT63:AT82)</f>
        <v>4</v>
      </c>
      <c r="AU62" s="203">
        <f t="shared" ref="AU62" si="68">COUNT(AU63:AU82)</f>
        <v>0</v>
      </c>
      <c r="AV62" s="203">
        <f t="shared" ref="AV62" si="69">COUNT(AV63:AV82)</f>
        <v>0</v>
      </c>
      <c r="AW62" s="203">
        <f t="shared" ref="AW62" si="70">COUNT(AW63:AW82)</f>
        <v>0</v>
      </c>
      <c r="AX62" s="203">
        <f t="shared" ref="AX62" si="71">COUNT(AX63:AX82)</f>
        <v>0</v>
      </c>
      <c r="AY62" s="188"/>
      <c r="AZ62" s="188"/>
      <c r="BA62" s="203">
        <f>COUNT(BA63:BA82)</f>
        <v>4</v>
      </c>
      <c r="BB62" s="203">
        <f t="shared" ref="BB62" si="72">COUNT(BB63:BB82)</f>
        <v>0</v>
      </c>
      <c r="BC62" s="203">
        <f t="shared" ref="BC62" si="73">COUNT(BC63:BC82)</f>
        <v>4</v>
      </c>
      <c r="BD62" s="203">
        <f t="shared" ref="BD62" si="74">COUNT(BD63:BD82)</f>
        <v>4</v>
      </c>
      <c r="BE62" s="203">
        <f t="shared" ref="BE62" si="75">COUNT(BE63:BE82)</f>
        <v>0</v>
      </c>
      <c r="BF62" s="203">
        <f t="shared" ref="BF62" si="76">COUNT(BF63:BF82)</f>
        <v>0</v>
      </c>
      <c r="BG62" s="203">
        <f t="shared" ref="BG62" si="77">COUNT(BG63:BG82)</f>
        <v>0</v>
      </c>
      <c r="BH62" s="203">
        <f t="shared" ref="BH62" si="78">COUNT(BH63:BH82)</f>
        <v>4</v>
      </c>
      <c r="BI62" s="203">
        <f t="shared" ref="BI62" si="79">COUNT(BI63:BI82)</f>
        <v>1</v>
      </c>
      <c r="BJ62" s="203">
        <f t="shared" ref="BJ62" si="80">COUNT(BJ63:BJ82)</f>
        <v>0</v>
      </c>
      <c r="BK62" s="203">
        <f t="shared" ref="BK62" si="81">COUNT(BK63:BK82)</f>
        <v>3</v>
      </c>
      <c r="BL62" s="203">
        <f t="shared" ref="BL62" si="82">COUNT(BL63:BL82)</f>
        <v>0</v>
      </c>
      <c r="BM62" s="203">
        <f t="shared" ref="BM62" si="83">COUNT(BM63:BM82)</f>
        <v>0</v>
      </c>
      <c r="BN62" s="188"/>
      <c r="BO62" s="188"/>
      <c r="BP62" s="203">
        <f>COUNT(BP63:BP82)</f>
        <v>0</v>
      </c>
      <c r="BQ62" s="203">
        <f t="shared" ref="BQ62" si="84">COUNT(BQ63:BQ82)</f>
        <v>0</v>
      </c>
      <c r="BR62" s="203">
        <f t="shared" ref="BR62" si="85">COUNT(BR63:BR82)</f>
        <v>0</v>
      </c>
      <c r="BS62" s="203">
        <f t="shared" ref="BS62" si="86">COUNT(BS63:BS82)</f>
        <v>0</v>
      </c>
      <c r="BT62" s="203">
        <f t="shared" ref="BT62" si="87">COUNT(BT63:BT82)</f>
        <v>0</v>
      </c>
      <c r="BU62" s="203">
        <f t="shared" ref="BU62" si="88">COUNT(BU63:BU82)</f>
        <v>0</v>
      </c>
      <c r="BV62" s="203">
        <f t="shared" ref="BV62" si="89">COUNT(BV63:BV82)</f>
        <v>0</v>
      </c>
      <c r="BW62" s="203">
        <f t="shared" ref="BW62" si="90">COUNT(BW63:BW82)</f>
        <v>0</v>
      </c>
      <c r="BX62" s="203">
        <f t="shared" ref="BX62" si="91">COUNT(BX63:BX82)</f>
        <v>0</v>
      </c>
      <c r="BY62" s="203">
        <f t="shared" ref="BY62" si="92">COUNT(BY63:BY82)</f>
        <v>0</v>
      </c>
      <c r="BZ62" s="203">
        <f t="shared" ref="BZ62" si="93">COUNT(BZ63:BZ82)</f>
        <v>0</v>
      </c>
      <c r="CA62" s="203">
        <f t="shared" ref="CA62" si="94">COUNT(CA63:CA82)</f>
        <v>0</v>
      </c>
      <c r="CB62" s="203">
        <f t="shared" ref="CB62" si="95">COUNT(CB63:CB82)</f>
        <v>0</v>
      </c>
    </row>
    <row r="63" spans="1:80" ht="11.85" customHeight="1" outlineLevel="2">
      <c r="A63" s="112"/>
      <c r="B63" s="162" t="s">
        <v>65</v>
      </c>
      <c r="C63" s="213">
        <v>1</v>
      </c>
      <c r="D63" s="214" t="s">
        <v>66</v>
      </c>
      <c r="E63" s="114"/>
      <c r="F63" s="197"/>
      <c r="G63" s="194"/>
      <c r="H63" s="328"/>
      <c r="I63" s="328"/>
      <c r="J63" s="328"/>
      <c r="K63" s="386"/>
      <c r="L63" s="386"/>
      <c r="M63" s="386"/>
      <c r="N63" s="386"/>
      <c r="O63" s="386"/>
      <c r="P63" s="386"/>
      <c r="Q63" s="386"/>
      <c r="R63" s="386"/>
      <c r="S63" s="386"/>
      <c r="T63" s="195"/>
      <c r="U63" s="197"/>
      <c r="V63" s="194"/>
      <c r="W63" s="328" t="str">
        <f>IF('Design Fee'!H63&gt;0,2,"-")</f>
        <v>-</v>
      </c>
      <c r="X63" s="386" t="str">
        <f>IF('Design Fee'!J63&gt;0,2,"-")</f>
        <v>-</v>
      </c>
      <c r="Y63" s="386" t="str">
        <f>IF('Design Fee'!K63&gt;0,2,"-")</f>
        <v>-</v>
      </c>
      <c r="Z63" s="386" t="str">
        <f>IF('Design Fee'!L63&gt;0,2,"-")</f>
        <v>-</v>
      </c>
      <c r="AA63" s="386" t="str">
        <f>IF('Design Fee'!M63&gt;0,2,"-")</f>
        <v>-</v>
      </c>
      <c r="AB63" s="386" t="str">
        <f>IF('Design Fee'!N63&gt;0,2,"-")</f>
        <v>-</v>
      </c>
      <c r="AC63" s="386" t="str">
        <f>IF('Design Fee'!O63&gt;0,2,"-")</f>
        <v>-</v>
      </c>
      <c r="AD63" s="386" t="str">
        <f>IF('Design Fee'!Q63&gt;0,2,"-")</f>
        <v>-</v>
      </c>
      <c r="AE63" s="386" t="str">
        <f>IF('Design Fee'!R63&gt;0,2,"-")</f>
        <v>-</v>
      </c>
      <c r="AF63" s="386" t="str">
        <f>IF('Design Fee'!S63&gt;0,2,"-")</f>
        <v>-</v>
      </c>
      <c r="AG63" s="386" t="str">
        <f>IF('Design Fee'!T63&gt;0,2,"-")</f>
        <v>-</v>
      </c>
      <c r="AH63" s="386" t="str">
        <f>IF('Design Fee'!U63&gt;0,2,"-")</f>
        <v>-</v>
      </c>
      <c r="AI63" s="195"/>
      <c r="AJ63" s="197"/>
      <c r="AK63" s="387"/>
      <c r="AL63" s="328">
        <f>IF('Design Fee'!AR63&gt;0,2,"-")</f>
        <v>2</v>
      </c>
      <c r="AM63" s="386">
        <f>IF('Design Fee'!AT63&gt;0,2,"-")</f>
        <v>2</v>
      </c>
      <c r="AN63" s="386" t="str">
        <f>IF('Design Fee'!AU63&gt;0,2,"-")</f>
        <v>-</v>
      </c>
      <c r="AO63" s="386" t="str">
        <f>IF('Design Fee'!AV63&gt;0,2,"-")</f>
        <v>-</v>
      </c>
      <c r="AP63" s="386" t="str">
        <f>IF('Design Fee'!AW63&gt;0,2,"-")</f>
        <v>-</v>
      </c>
      <c r="AQ63" s="386" t="str">
        <f>IF('Design Fee'!AX63&gt;0,2,"-")</f>
        <v>-</v>
      </c>
      <c r="AR63" s="386" t="str">
        <f>IF('Design Fee'!AY63&gt;0,2,"-")</f>
        <v>-</v>
      </c>
      <c r="AS63" s="386" t="str">
        <f>IF('Design Fee'!BA63&gt;0,2,"-")</f>
        <v>-</v>
      </c>
      <c r="AT63" s="386" t="str">
        <f>IF('Design Fee'!BB63&gt;0,2,"-")</f>
        <v>-</v>
      </c>
      <c r="AU63" s="386" t="str">
        <f>IF('Design Fee'!BC63&gt;0,2,"-")</f>
        <v>-</v>
      </c>
      <c r="AV63" s="386" t="str">
        <f>IF('Design Fee'!BD63&gt;0,2,"-")</f>
        <v>-</v>
      </c>
      <c r="AW63" s="386" t="str">
        <f>IF('Design Fee'!BE63&gt;0,2,"-")</f>
        <v>-</v>
      </c>
      <c r="AX63" s="195"/>
      <c r="AY63" s="197"/>
      <c r="AZ63" s="387"/>
      <c r="BA63" s="328" t="str">
        <f>IF('Design Fee'!CB63&gt;0,2,"-")</f>
        <v>-</v>
      </c>
      <c r="BB63" s="386" t="str">
        <f>IF('Design Fee'!CD63&gt;0,2,"-")</f>
        <v>-</v>
      </c>
      <c r="BC63" s="386" t="str">
        <f>IF('Design Fee'!CE63&gt;0,2,"-")</f>
        <v>-</v>
      </c>
      <c r="BD63" s="386" t="str">
        <f>IF('Design Fee'!CF63&gt;0,2,"-")</f>
        <v>-</v>
      </c>
      <c r="BE63" s="386" t="str">
        <f>IF('Design Fee'!CG63&gt;0,2,"-")</f>
        <v>-</v>
      </c>
      <c r="BF63" s="386" t="str">
        <f>IF('Design Fee'!CH63&gt;0,2,"-")</f>
        <v>-</v>
      </c>
      <c r="BG63" s="386" t="str">
        <f>IF('Design Fee'!CI63&gt;0,2,"-")</f>
        <v>-</v>
      </c>
      <c r="BH63" s="386" t="str">
        <f>IF('Design Fee'!CK63&gt;0,2,"-")</f>
        <v>-</v>
      </c>
      <c r="BI63" s="386" t="str">
        <f>IF('Design Fee'!CL63&gt;0,2,"-")</f>
        <v>-</v>
      </c>
      <c r="BJ63" s="386" t="str">
        <f>IF('Design Fee'!CM63&gt;0,2,"-")</f>
        <v>-</v>
      </c>
      <c r="BK63" s="386" t="str">
        <f>IF('Design Fee'!CN63&gt;0,2,"-")</f>
        <v>-</v>
      </c>
      <c r="BL63" s="386" t="str">
        <f>IF('Design Fee'!CO63&gt;0,2,"-")</f>
        <v>-</v>
      </c>
      <c r="BM63" s="195"/>
      <c r="BN63" s="197"/>
      <c r="BO63" s="387"/>
      <c r="BP63" s="328" t="str">
        <f>IF('Design Fee'!DL63&gt;0,2,"-")</f>
        <v>-</v>
      </c>
      <c r="BQ63" s="386" t="str">
        <f>IF('Design Fee'!DN63&gt;0,2,"-")</f>
        <v>-</v>
      </c>
      <c r="BR63" s="386" t="str">
        <f>IF('Design Fee'!DO63&gt;0,2,"-")</f>
        <v>-</v>
      </c>
      <c r="BS63" s="386" t="str">
        <f>IF('Design Fee'!DP63&gt;0,2,"-")</f>
        <v>-</v>
      </c>
      <c r="BT63" s="386" t="str">
        <f>IF('Design Fee'!DQ63&gt;0,2,"-")</f>
        <v>-</v>
      </c>
      <c r="BU63" s="386" t="str">
        <f>IF('Design Fee'!DR63&gt;0,2,"-")</f>
        <v>-</v>
      </c>
      <c r="BV63" s="386" t="str">
        <f>IF('Design Fee'!DS63&gt;0,2,"-")</f>
        <v>-</v>
      </c>
      <c r="BW63" s="386" t="str">
        <f>IF('Design Fee'!DU63&gt;0,2,"-")</f>
        <v>-</v>
      </c>
      <c r="BX63" s="386" t="str">
        <f>IF('Design Fee'!DV63&gt;0,2,"-")</f>
        <v>-</v>
      </c>
      <c r="BY63" s="386" t="str">
        <f>IF('Design Fee'!DW63&gt;0,2,"-")</f>
        <v>-</v>
      </c>
      <c r="BZ63" s="386" t="str">
        <f>IF('Design Fee'!DX63&gt;0,2,"-")</f>
        <v>-</v>
      </c>
      <c r="CA63" s="386" t="str">
        <f>IF('Design Fee'!DY63&gt;0,2,"-")</f>
        <v>-</v>
      </c>
      <c r="CB63" s="195"/>
    </row>
    <row r="64" spans="1:80" ht="11.85" customHeight="1" outlineLevel="2">
      <c r="A64" s="112"/>
      <c r="B64" s="162" t="s">
        <v>67</v>
      </c>
      <c r="C64" s="213">
        <v>2</v>
      </c>
      <c r="D64" s="214" t="s">
        <v>68</v>
      </c>
      <c r="E64" s="114"/>
      <c r="F64" s="197"/>
      <c r="G64" s="194"/>
      <c r="H64" s="328"/>
      <c r="I64" s="328"/>
      <c r="J64" s="328"/>
      <c r="K64" s="386"/>
      <c r="L64" s="386"/>
      <c r="M64" s="386"/>
      <c r="N64" s="386"/>
      <c r="O64" s="386"/>
      <c r="P64" s="386"/>
      <c r="Q64" s="386"/>
      <c r="R64" s="386"/>
      <c r="S64" s="386"/>
      <c r="T64" s="195"/>
      <c r="U64" s="197"/>
      <c r="V64" s="194"/>
      <c r="W64" s="328">
        <f>IF('Design Fee'!H64&gt;0,2,"-")</f>
        <v>2</v>
      </c>
      <c r="X64" s="386">
        <f>IF('Design Fee'!J64&gt;0,2,"-")</f>
        <v>2</v>
      </c>
      <c r="Y64" s="386" t="str">
        <f>IF('Design Fee'!K64&gt;0,2,"-")</f>
        <v>-</v>
      </c>
      <c r="Z64" s="386" t="str">
        <f>IF('Design Fee'!L64&gt;0,2,"-")</f>
        <v>-</v>
      </c>
      <c r="AA64" s="386" t="str">
        <f>IF('Design Fee'!M64&gt;0,2,"-")</f>
        <v>-</v>
      </c>
      <c r="AB64" s="386" t="str">
        <f>IF('Design Fee'!N64&gt;0,2,"-")</f>
        <v>-</v>
      </c>
      <c r="AC64" s="386" t="str">
        <f>IF('Design Fee'!O64&gt;0,2,"-")</f>
        <v>-</v>
      </c>
      <c r="AD64" s="386" t="str">
        <f>IF('Design Fee'!Q64&gt;0,2,"-")</f>
        <v>-</v>
      </c>
      <c r="AE64" s="386" t="str">
        <f>IF('Design Fee'!R64&gt;0,2,"-")</f>
        <v>-</v>
      </c>
      <c r="AF64" s="386" t="str">
        <f>IF('Design Fee'!S64&gt;0,2,"-")</f>
        <v>-</v>
      </c>
      <c r="AG64" s="386" t="str">
        <f>IF('Design Fee'!T64&gt;0,2,"-")</f>
        <v>-</v>
      </c>
      <c r="AH64" s="386" t="str">
        <f>IF('Design Fee'!U64&gt;0,2,"-")</f>
        <v>-</v>
      </c>
      <c r="AI64" s="195"/>
      <c r="AJ64" s="197"/>
      <c r="AK64" s="387"/>
      <c r="AL64" s="201" t="str">
        <f>IF('Design Fee'!AR64&gt;0,2,"-")</f>
        <v>-</v>
      </c>
      <c r="AM64" s="204" t="str">
        <f>IF('Design Fee'!AT64&gt;0,2,"-")</f>
        <v>-</v>
      </c>
      <c r="AN64" s="204" t="str">
        <f>IF('Design Fee'!AU64&gt;0,2,"-")</f>
        <v>-</v>
      </c>
      <c r="AO64" s="386" t="str">
        <f>IF('Design Fee'!AV64&gt;0,2,"-")</f>
        <v>-</v>
      </c>
      <c r="AP64" s="386" t="str">
        <f>IF('Design Fee'!AW64&gt;0,2,"-")</f>
        <v>-</v>
      </c>
      <c r="AQ64" s="386" t="str">
        <f>IF('Design Fee'!AX64&gt;0,2,"-")</f>
        <v>-</v>
      </c>
      <c r="AR64" s="386" t="str">
        <f>IF('Design Fee'!AY64&gt;0,2,"-")</f>
        <v>-</v>
      </c>
      <c r="AS64" s="386" t="str">
        <f>IF('Design Fee'!BA64&gt;0,2,"-")</f>
        <v>-</v>
      </c>
      <c r="AT64" s="386" t="str">
        <f>IF('Design Fee'!BB64&gt;0,2,"-")</f>
        <v>-</v>
      </c>
      <c r="AU64" s="386" t="str">
        <f>IF('Design Fee'!BC64&gt;0,2,"-")</f>
        <v>-</v>
      </c>
      <c r="AV64" s="386" t="str">
        <f>IF('Design Fee'!BD64&gt;0,2,"-")</f>
        <v>-</v>
      </c>
      <c r="AW64" s="386" t="str">
        <f>IF('Design Fee'!BE64&gt;0,2,"-")</f>
        <v>-</v>
      </c>
      <c r="AX64" s="195"/>
      <c r="AY64" s="197"/>
      <c r="AZ64" s="387"/>
      <c r="BA64" s="328">
        <f>IF('Design Fee'!CB64&gt;0,2,"-")</f>
        <v>2</v>
      </c>
      <c r="BB64" s="386" t="str">
        <f>IF('Design Fee'!CD64&gt;0,2,"-")</f>
        <v>-</v>
      </c>
      <c r="BC64" s="386">
        <f>IF('Design Fee'!CE64&gt;0,2,"-")</f>
        <v>2</v>
      </c>
      <c r="BD64" s="386">
        <f>IF('Design Fee'!CF64&gt;0,2,"-")</f>
        <v>2</v>
      </c>
      <c r="BE64" s="386" t="str">
        <f>IF('Design Fee'!CG64&gt;0,2,"-")</f>
        <v>-</v>
      </c>
      <c r="BF64" s="386" t="str">
        <f>IF('Design Fee'!CH64&gt;0,2,"-")</f>
        <v>-</v>
      </c>
      <c r="BG64" s="386" t="str">
        <f>IF('Design Fee'!CI64&gt;0,2,"-")</f>
        <v>-</v>
      </c>
      <c r="BH64" s="386">
        <f>IF('Design Fee'!CK64&gt;0,2,"-")</f>
        <v>2</v>
      </c>
      <c r="BI64" s="386" t="str">
        <f>IF('Design Fee'!CL64&gt;0,2,"-")</f>
        <v>-</v>
      </c>
      <c r="BJ64" s="386" t="str">
        <f>IF('Design Fee'!CM64&gt;0,2,"-")</f>
        <v>-</v>
      </c>
      <c r="BK64" s="386">
        <f>IF('Design Fee'!CN64&gt;0,2,"-")</f>
        <v>2</v>
      </c>
      <c r="BL64" s="386" t="str">
        <f>IF('Design Fee'!CO64&gt;0,2,"-")</f>
        <v>-</v>
      </c>
      <c r="BM64" s="195"/>
      <c r="BN64" s="197"/>
      <c r="BO64" s="387"/>
      <c r="BP64" s="328" t="str">
        <f>IF('Design Fee'!DL64&gt;0,2,"-")</f>
        <v>-</v>
      </c>
      <c r="BQ64" s="386" t="str">
        <f>IF('Design Fee'!DN64&gt;0,2,"-")</f>
        <v>-</v>
      </c>
      <c r="BR64" s="386" t="str">
        <f>IF('Design Fee'!DO64&gt;0,2,"-")</f>
        <v>-</v>
      </c>
      <c r="BS64" s="386" t="str">
        <f>IF('Design Fee'!DP64&gt;0,2,"-")</f>
        <v>-</v>
      </c>
      <c r="BT64" s="386" t="str">
        <f>IF('Design Fee'!DQ64&gt;0,2,"-")</f>
        <v>-</v>
      </c>
      <c r="BU64" s="386" t="str">
        <f>IF('Design Fee'!DR64&gt;0,2,"-")</f>
        <v>-</v>
      </c>
      <c r="BV64" s="386" t="str">
        <f>IF('Design Fee'!DS64&gt;0,2,"-")</f>
        <v>-</v>
      </c>
      <c r="BW64" s="386" t="str">
        <f>IF('Design Fee'!DU64&gt;0,2,"-")</f>
        <v>-</v>
      </c>
      <c r="BX64" s="386" t="str">
        <f>IF('Design Fee'!DV64&gt;0,2,"-")</f>
        <v>-</v>
      </c>
      <c r="BY64" s="386" t="str">
        <f>IF('Design Fee'!DW64&gt;0,2,"-")</f>
        <v>-</v>
      </c>
      <c r="BZ64" s="386" t="str">
        <f>IF('Design Fee'!DX64&gt;0,2,"-")</f>
        <v>-</v>
      </c>
      <c r="CA64" s="386" t="str">
        <f>IF('Design Fee'!DY64&gt;0,2,"-")</f>
        <v>-</v>
      </c>
      <c r="CB64" s="195"/>
    </row>
    <row r="65" spans="1:80" s="376" customFormat="1" ht="11.85" customHeight="1" outlineLevel="2">
      <c r="A65" s="360"/>
      <c r="B65" s="361" t="s">
        <v>69</v>
      </c>
      <c r="C65" s="362">
        <v>3</v>
      </c>
      <c r="D65" s="363" t="s">
        <v>70</v>
      </c>
      <c r="E65" s="364"/>
      <c r="F65" s="365"/>
      <c r="G65" s="366"/>
      <c r="H65" s="367"/>
      <c r="I65" s="367"/>
      <c r="J65" s="367"/>
      <c r="K65" s="389"/>
      <c r="L65" s="389"/>
      <c r="M65" s="389"/>
      <c r="N65" s="389"/>
      <c r="O65" s="389"/>
      <c r="P65" s="389"/>
      <c r="Q65" s="389"/>
      <c r="R65" s="389"/>
      <c r="S65" s="389"/>
      <c r="T65" s="377"/>
      <c r="U65" s="365"/>
      <c r="V65" s="366"/>
      <c r="W65" s="367">
        <f>IF('Design Fee'!H65&gt;0,2,"-")</f>
        <v>2</v>
      </c>
      <c r="X65" s="389">
        <f>IF('Design Fee'!J65&gt;0,2,"-")</f>
        <v>2</v>
      </c>
      <c r="Y65" s="389" t="str">
        <f>IF('Design Fee'!K65&gt;0,2,"-")</f>
        <v>-</v>
      </c>
      <c r="Z65" s="389" t="str">
        <f>IF('Design Fee'!L65&gt;0,2,"-")</f>
        <v>-</v>
      </c>
      <c r="AA65" s="389" t="str">
        <f>IF('Design Fee'!M65&gt;0,2,"-")</f>
        <v>-</v>
      </c>
      <c r="AB65" s="389" t="str">
        <f>IF('Design Fee'!N65&gt;0,2,"-")</f>
        <v>-</v>
      </c>
      <c r="AC65" s="389" t="str">
        <f>IF('Design Fee'!O65&gt;0,2,"-")</f>
        <v>-</v>
      </c>
      <c r="AD65" s="389" t="str">
        <f>IF('Design Fee'!Q65&gt;0,2,"-")</f>
        <v>-</v>
      </c>
      <c r="AE65" s="389" t="str">
        <f>IF('Design Fee'!R65&gt;0,2,"-")</f>
        <v>-</v>
      </c>
      <c r="AF65" s="389" t="str">
        <f>IF('Design Fee'!S65&gt;0,2,"-")</f>
        <v>-</v>
      </c>
      <c r="AG65" s="389" t="str">
        <f>IF('Design Fee'!T65&gt;0,2,"-")</f>
        <v>-</v>
      </c>
      <c r="AH65" s="389" t="str">
        <f>IF('Design Fee'!U65&gt;0,2,"-")</f>
        <v>-</v>
      </c>
      <c r="AI65" s="377"/>
      <c r="AJ65" s="365"/>
      <c r="AK65" s="390"/>
      <c r="AL65" s="380" t="str">
        <f>IF('Design Fee'!AR65&gt;0,2,"-")</f>
        <v>-</v>
      </c>
      <c r="AM65" s="381" t="str">
        <f>IF('Design Fee'!AT65&gt;0,2,"-")</f>
        <v>-</v>
      </c>
      <c r="AN65" s="381" t="str">
        <f>IF('Design Fee'!AU65&gt;0,2,"-")</f>
        <v>-</v>
      </c>
      <c r="AO65" s="389" t="str">
        <f>IF('Design Fee'!AV65&gt;0,2,"-")</f>
        <v>-</v>
      </c>
      <c r="AP65" s="389" t="str">
        <f>IF('Design Fee'!AW65&gt;0,2,"-")</f>
        <v>-</v>
      </c>
      <c r="AQ65" s="389" t="str">
        <f>IF('Design Fee'!AX65&gt;0,2,"-")</f>
        <v>-</v>
      </c>
      <c r="AR65" s="389" t="str">
        <f>IF('Design Fee'!AY65&gt;0,2,"-")</f>
        <v>-</v>
      </c>
      <c r="AS65" s="389" t="str">
        <f>IF('Design Fee'!BA65&gt;0,2,"-")</f>
        <v>-</v>
      </c>
      <c r="AT65" s="389" t="str">
        <f>IF('Design Fee'!BB65&gt;0,2,"-")</f>
        <v>-</v>
      </c>
      <c r="AU65" s="389" t="str">
        <f>IF('Design Fee'!BC65&gt;0,2,"-")</f>
        <v>-</v>
      </c>
      <c r="AV65" s="389" t="str">
        <f>IF('Design Fee'!BD65&gt;0,2,"-")</f>
        <v>-</v>
      </c>
      <c r="AW65" s="389" t="str">
        <f>IF('Design Fee'!BE65&gt;0,2,"-")</f>
        <v>-</v>
      </c>
      <c r="AX65" s="377"/>
      <c r="AY65" s="365"/>
      <c r="AZ65" s="390"/>
      <c r="BA65" s="367">
        <f>IF('Design Fee'!CB65&gt;0,2,"-")</f>
        <v>2</v>
      </c>
      <c r="BB65" s="389" t="str">
        <f>IF('Design Fee'!CD65&gt;0,2,"-")</f>
        <v>-</v>
      </c>
      <c r="BC65" s="389">
        <f>IF('Design Fee'!CE65&gt;0,2,"-")</f>
        <v>2</v>
      </c>
      <c r="BD65" s="389">
        <f>IF('Design Fee'!CF65&gt;0,2,"-")</f>
        <v>2</v>
      </c>
      <c r="BE65" s="389" t="str">
        <f>IF('Design Fee'!CG65&gt;0,2,"-")</f>
        <v>-</v>
      </c>
      <c r="BF65" s="389" t="str">
        <f>IF('Design Fee'!CH65&gt;0,2,"-")</f>
        <v>-</v>
      </c>
      <c r="BG65" s="389" t="str">
        <f>IF('Design Fee'!CI65&gt;0,2,"-")</f>
        <v>-</v>
      </c>
      <c r="BH65" s="389">
        <f>IF('Design Fee'!CK65&gt;0,2,"-")</f>
        <v>2</v>
      </c>
      <c r="BI65" s="389" t="str">
        <f>IF('Design Fee'!CL65&gt;0,2,"-")</f>
        <v>-</v>
      </c>
      <c r="BJ65" s="389" t="str">
        <f>IF('Design Fee'!CM65&gt;0,2,"-")</f>
        <v>-</v>
      </c>
      <c r="BK65" s="389">
        <f>IF('Design Fee'!CN65&gt;0,2,"-")</f>
        <v>2</v>
      </c>
      <c r="BL65" s="389" t="str">
        <f>IF('Design Fee'!CO65&gt;0,2,"-")</f>
        <v>-</v>
      </c>
      <c r="BM65" s="377"/>
      <c r="BN65" s="365"/>
      <c r="BO65" s="390"/>
      <c r="BP65" s="367" t="str">
        <f>IF('Design Fee'!DL65&gt;0,2,"-")</f>
        <v>-</v>
      </c>
      <c r="BQ65" s="389" t="str">
        <f>IF('Design Fee'!DN65&gt;0,2,"-")</f>
        <v>-</v>
      </c>
      <c r="BR65" s="389" t="str">
        <f>IF('Design Fee'!DO65&gt;0,2,"-")</f>
        <v>-</v>
      </c>
      <c r="BS65" s="389" t="str">
        <f>IF('Design Fee'!DP65&gt;0,2,"-")</f>
        <v>-</v>
      </c>
      <c r="BT65" s="389" t="str">
        <f>IF('Design Fee'!DQ65&gt;0,2,"-")</f>
        <v>-</v>
      </c>
      <c r="BU65" s="389" t="str">
        <f>IF('Design Fee'!DR65&gt;0,2,"-")</f>
        <v>-</v>
      </c>
      <c r="BV65" s="389" t="str">
        <f>IF('Design Fee'!DS65&gt;0,2,"-")</f>
        <v>-</v>
      </c>
      <c r="BW65" s="389" t="str">
        <f>IF('Design Fee'!DU65&gt;0,2,"-")</f>
        <v>-</v>
      </c>
      <c r="BX65" s="389" t="str">
        <f>IF('Design Fee'!DV65&gt;0,2,"-")</f>
        <v>-</v>
      </c>
      <c r="BY65" s="389" t="str">
        <f>IF('Design Fee'!DW65&gt;0,2,"-")</f>
        <v>-</v>
      </c>
      <c r="BZ65" s="389" t="str">
        <f>IF('Design Fee'!DX65&gt;0,2,"-")</f>
        <v>-</v>
      </c>
      <c r="CA65" s="389" t="str">
        <f>IF('Design Fee'!DY65&gt;0,2,"-")</f>
        <v>-</v>
      </c>
      <c r="CB65" s="369"/>
    </row>
    <row r="66" spans="1:80" ht="11.85" customHeight="1" outlineLevel="2">
      <c r="A66" s="112"/>
      <c r="B66" s="162" t="s">
        <v>71</v>
      </c>
      <c r="C66" s="213">
        <v>4</v>
      </c>
      <c r="D66" s="214" t="s">
        <v>72</v>
      </c>
      <c r="E66" s="114"/>
      <c r="F66" s="197"/>
      <c r="G66" s="194"/>
      <c r="H66" s="328"/>
      <c r="I66" s="328"/>
      <c r="J66" s="328"/>
      <c r="K66" s="386"/>
      <c r="L66" s="386"/>
      <c r="M66" s="386"/>
      <c r="N66" s="386"/>
      <c r="O66" s="386"/>
      <c r="P66" s="386"/>
      <c r="Q66" s="386"/>
      <c r="R66" s="386"/>
      <c r="S66" s="386"/>
      <c r="T66" s="195"/>
      <c r="U66" s="197"/>
      <c r="V66" s="194"/>
      <c r="W66" s="328">
        <f>IF('Design Fee'!H66&gt;0,2,"-")</f>
        <v>2</v>
      </c>
      <c r="X66" s="386">
        <f>IF('Design Fee'!J66&gt;0,2,"-")</f>
        <v>2</v>
      </c>
      <c r="Y66" s="386" t="str">
        <f>IF('Design Fee'!K66&gt;0,2,"-")</f>
        <v>-</v>
      </c>
      <c r="Z66" s="386" t="str">
        <f>IF('Design Fee'!L66&gt;0,2,"-")</f>
        <v>-</v>
      </c>
      <c r="AA66" s="386" t="str">
        <f>IF('Design Fee'!M66&gt;0,2,"-")</f>
        <v>-</v>
      </c>
      <c r="AB66" s="386" t="str">
        <f>IF('Design Fee'!N66&gt;0,2,"-")</f>
        <v>-</v>
      </c>
      <c r="AC66" s="386" t="str">
        <f>IF('Design Fee'!O66&gt;0,2,"-")</f>
        <v>-</v>
      </c>
      <c r="AD66" s="386" t="str">
        <f>IF('Design Fee'!Q66&gt;0,2,"-")</f>
        <v>-</v>
      </c>
      <c r="AE66" s="386" t="str">
        <f>IF('Design Fee'!R66&gt;0,2,"-")</f>
        <v>-</v>
      </c>
      <c r="AF66" s="386" t="str">
        <f>IF('Design Fee'!S66&gt;0,2,"-")</f>
        <v>-</v>
      </c>
      <c r="AG66" s="386" t="str">
        <f>IF('Design Fee'!T66&gt;0,2,"-")</f>
        <v>-</v>
      </c>
      <c r="AH66" s="386" t="str">
        <f>IF('Design Fee'!U66&gt;0,2,"-")</f>
        <v>-</v>
      </c>
      <c r="AI66" s="195"/>
      <c r="AJ66" s="197"/>
      <c r="AK66" s="387"/>
      <c r="AL66" s="201" t="str">
        <f>IF('Design Fee'!AR66&gt;0,2,"-")</f>
        <v>-</v>
      </c>
      <c r="AM66" s="204" t="str">
        <f>IF('Design Fee'!AT66&gt;0,2,"-")</f>
        <v>-</v>
      </c>
      <c r="AN66" s="204" t="str">
        <f>IF('Design Fee'!AU66&gt;0,2,"-")</f>
        <v>-</v>
      </c>
      <c r="AO66" s="386" t="str">
        <f>IF('Design Fee'!AV66&gt;0,2,"-")</f>
        <v>-</v>
      </c>
      <c r="AP66" s="386" t="str">
        <f>IF('Design Fee'!AW66&gt;0,2,"-")</f>
        <v>-</v>
      </c>
      <c r="AQ66" s="386" t="str">
        <f>IF('Design Fee'!AX66&gt;0,2,"-")</f>
        <v>-</v>
      </c>
      <c r="AR66" s="386" t="str">
        <f>IF('Design Fee'!AY66&gt;0,2,"-")</f>
        <v>-</v>
      </c>
      <c r="AS66" s="386" t="str">
        <f>IF('Design Fee'!BA66&gt;0,2,"-")</f>
        <v>-</v>
      </c>
      <c r="AT66" s="386" t="str">
        <f>IF('Design Fee'!BB66&gt;0,2,"-")</f>
        <v>-</v>
      </c>
      <c r="AU66" s="386" t="str">
        <f>IF('Design Fee'!BC66&gt;0,2,"-")</f>
        <v>-</v>
      </c>
      <c r="AV66" s="386" t="str">
        <f>IF('Design Fee'!BD66&gt;0,2,"-")</f>
        <v>-</v>
      </c>
      <c r="AW66" s="386" t="str">
        <f>IF('Design Fee'!BE66&gt;0,2,"-")</f>
        <v>-</v>
      </c>
      <c r="AX66" s="195"/>
      <c r="AY66" s="197"/>
      <c r="AZ66" s="387"/>
      <c r="BA66" s="328">
        <f>IF('Design Fee'!CB66&gt;0,2,"-")</f>
        <v>2</v>
      </c>
      <c r="BB66" s="386" t="str">
        <f>IF('Design Fee'!CD66&gt;0,2,"-")</f>
        <v>-</v>
      </c>
      <c r="BC66" s="386">
        <f>IF('Design Fee'!CE66&gt;0,2,"-")</f>
        <v>2</v>
      </c>
      <c r="BD66" s="386">
        <f>IF('Design Fee'!CF66&gt;0,2,"-")</f>
        <v>2</v>
      </c>
      <c r="BE66" s="386" t="str">
        <f>IF('Design Fee'!CG66&gt;0,2,"-")</f>
        <v>-</v>
      </c>
      <c r="BF66" s="386" t="str">
        <f>IF('Design Fee'!CH66&gt;0,2,"-")</f>
        <v>-</v>
      </c>
      <c r="BG66" s="386" t="str">
        <f>IF('Design Fee'!CI66&gt;0,2,"-")</f>
        <v>-</v>
      </c>
      <c r="BH66" s="386">
        <f>IF('Design Fee'!CK66&gt;0,2,"-")</f>
        <v>2</v>
      </c>
      <c r="BI66" s="386" t="str">
        <f>IF('Design Fee'!CL66&gt;0,2,"-")</f>
        <v>-</v>
      </c>
      <c r="BJ66" s="386" t="str">
        <f>IF('Design Fee'!CM66&gt;0,2,"-")</f>
        <v>-</v>
      </c>
      <c r="BK66" s="386">
        <f>IF('Design Fee'!CN66&gt;0,2,"-")</f>
        <v>2</v>
      </c>
      <c r="BL66" s="386" t="str">
        <f>IF('Design Fee'!CO66&gt;0,2,"-")</f>
        <v>-</v>
      </c>
      <c r="BM66" s="195"/>
      <c r="BN66" s="197"/>
      <c r="BO66" s="387"/>
      <c r="BP66" s="328" t="str">
        <f>IF('Design Fee'!DL66&gt;0,2,"-")</f>
        <v>-</v>
      </c>
      <c r="BQ66" s="386" t="str">
        <f>IF('Design Fee'!DN66&gt;0,2,"-")</f>
        <v>-</v>
      </c>
      <c r="BR66" s="386" t="str">
        <f>IF('Design Fee'!DO66&gt;0,2,"-")</f>
        <v>-</v>
      </c>
      <c r="BS66" s="386" t="str">
        <f>IF('Design Fee'!DP66&gt;0,2,"-")</f>
        <v>-</v>
      </c>
      <c r="BT66" s="386" t="str">
        <f>IF('Design Fee'!DQ66&gt;0,2,"-")</f>
        <v>-</v>
      </c>
      <c r="BU66" s="386" t="str">
        <f>IF('Design Fee'!DR66&gt;0,2,"-")</f>
        <v>-</v>
      </c>
      <c r="BV66" s="386" t="str">
        <f>IF('Design Fee'!DS66&gt;0,2,"-")</f>
        <v>-</v>
      </c>
      <c r="BW66" s="386" t="str">
        <f>IF('Design Fee'!DU66&gt;0,2,"-")</f>
        <v>-</v>
      </c>
      <c r="BX66" s="386" t="str">
        <f>IF('Design Fee'!DV66&gt;0,2,"-")</f>
        <v>-</v>
      </c>
      <c r="BY66" s="386" t="str">
        <f>IF('Design Fee'!DW66&gt;0,2,"-")</f>
        <v>-</v>
      </c>
      <c r="BZ66" s="386" t="str">
        <f>IF('Design Fee'!DX66&gt;0,2,"-")</f>
        <v>-</v>
      </c>
      <c r="CA66" s="386" t="str">
        <f>IF('Design Fee'!DY66&gt;0,2,"-")</f>
        <v>-</v>
      </c>
      <c r="CB66" s="195"/>
    </row>
    <row r="67" spans="1:80" ht="11.85" customHeight="1" outlineLevel="2">
      <c r="A67" s="112"/>
      <c r="B67" s="162" t="s">
        <v>73</v>
      </c>
      <c r="C67" s="213">
        <v>5</v>
      </c>
      <c r="D67" s="214" t="s">
        <v>74</v>
      </c>
      <c r="E67" s="114"/>
      <c r="F67" s="197"/>
      <c r="G67" s="194"/>
      <c r="H67" s="328"/>
      <c r="I67" s="328"/>
      <c r="J67" s="328"/>
      <c r="K67" s="386"/>
      <c r="L67" s="386"/>
      <c r="M67" s="386"/>
      <c r="N67" s="386"/>
      <c r="O67" s="386"/>
      <c r="P67" s="386"/>
      <c r="Q67" s="386"/>
      <c r="R67" s="386"/>
      <c r="S67" s="386"/>
      <c r="T67" s="195"/>
      <c r="U67" s="197"/>
      <c r="V67" s="194"/>
      <c r="W67" s="328">
        <f>IF('Design Fee'!H67&gt;0,2,"-")</f>
        <v>2</v>
      </c>
      <c r="X67" s="386" t="str">
        <f>IF('Design Fee'!J67&gt;0,2,"-")</f>
        <v>-</v>
      </c>
      <c r="Y67" s="386">
        <f>IF('Design Fee'!K67&gt;0,2,"-")</f>
        <v>2</v>
      </c>
      <c r="Z67" s="386">
        <f>IF('Design Fee'!L67&gt;0,2,"-")</f>
        <v>2</v>
      </c>
      <c r="AA67" s="386" t="str">
        <f>IF('Design Fee'!M67&gt;0,2,"-")</f>
        <v>-</v>
      </c>
      <c r="AB67" s="386" t="str">
        <f>IF('Design Fee'!N67&gt;0,2,"-")</f>
        <v>-</v>
      </c>
      <c r="AC67" s="386" t="str">
        <f>IF('Design Fee'!O67&gt;0,2,"-")</f>
        <v>-</v>
      </c>
      <c r="AD67" s="386">
        <f>IF('Design Fee'!Q67&gt;0,2,"-")</f>
        <v>2</v>
      </c>
      <c r="AE67" s="386">
        <f>IF('Design Fee'!R67&gt;0,2,"-")</f>
        <v>2</v>
      </c>
      <c r="AF67" s="386" t="str">
        <f>IF('Design Fee'!S67&gt;0,2,"-")</f>
        <v>-</v>
      </c>
      <c r="AG67" s="386" t="str">
        <f>IF('Design Fee'!T67&gt;0,2,"-")</f>
        <v>-</v>
      </c>
      <c r="AH67" s="386" t="str">
        <f>IF('Design Fee'!U67&gt;0,2,"-")</f>
        <v>-</v>
      </c>
      <c r="AI67" s="195"/>
      <c r="AJ67" s="197"/>
      <c r="AK67" s="387"/>
      <c r="AL67" s="201" t="str">
        <f>IF('Design Fee'!AR67&gt;0,2,"-")</f>
        <v>-</v>
      </c>
      <c r="AM67" s="204" t="str">
        <f>IF('Design Fee'!AT67&gt;0,2,"-")</f>
        <v>-</v>
      </c>
      <c r="AN67" s="204" t="str">
        <f>IF('Design Fee'!AU67&gt;0,2,"-")</f>
        <v>-</v>
      </c>
      <c r="AO67" s="386" t="str">
        <f>IF('Design Fee'!AV67&gt;0,2,"-")</f>
        <v>-</v>
      </c>
      <c r="AP67" s="386" t="str">
        <f>IF('Design Fee'!AW67&gt;0,2,"-")</f>
        <v>-</v>
      </c>
      <c r="AQ67" s="386" t="str">
        <f>IF('Design Fee'!AX67&gt;0,2,"-")</f>
        <v>-</v>
      </c>
      <c r="AR67" s="386" t="str">
        <f>IF('Design Fee'!AY67&gt;0,2,"-")</f>
        <v>-</v>
      </c>
      <c r="AS67" s="386" t="str">
        <f>IF('Design Fee'!BA67&gt;0,2,"-")</f>
        <v>-</v>
      </c>
      <c r="AT67" s="386" t="str">
        <f>IF('Design Fee'!BB67&gt;0,2,"-")</f>
        <v>-</v>
      </c>
      <c r="AU67" s="386" t="str">
        <f>IF('Design Fee'!BC67&gt;0,2,"-")</f>
        <v>-</v>
      </c>
      <c r="AV67" s="386" t="str">
        <f>IF('Design Fee'!BD67&gt;0,2,"-")</f>
        <v>-</v>
      </c>
      <c r="AW67" s="386" t="str">
        <f>IF('Design Fee'!BE67&gt;0,2,"-")</f>
        <v>-</v>
      </c>
      <c r="AX67" s="195"/>
      <c r="AY67" s="197"/>
      <c r="AZ67" s="387"/>
      <c r="BA67" s="328">
        <f>IF('Design Fee'!CB67&gt;0,2,"-")</f>
        <v>2</v>
      </c>
      <c r="BB67" s="386" t="str">
        <f>IF('Design Fee'!CD67&gt;0,2,"-")</f>
        <v>-</v>
      </c>
      <c r="BC67" s="386">
        <f>IF('Design Fee'!CE67&gt;0,2,"-")</f>
        <v>2</v>
      </c>
      <c r="BD67" s="386">
        <f>IF('Design Fee'!CF67&gt;0,2,"-")</f>
        <v>2</v>
      </c>
      <c r="BE67" s="386" t="str">
        <f>IF('Design Fee'!CG67&gt;0,2,"-")</f>
        <v>-</v>
      </c>
      <c r="BF67" s="386" t="str">
        <f>IF('Design Fee'!CH67&gt;0,2,"-")</f>
        <v>-</v>
      </c>
      <c r="BG67" s="386" t="str">
        <f>IF('Design Fee'!CI67&gt;0,2,"-")</f>
        <v>-</v>
      </c>
      <c r="BH67" s="386">
        <f>IF('Design Fee'!CK67&gt;0,2,"-")</f>
        <v>2</v>
      </c>
      <c r="BI67" s="386">
        <f>IF('Design Fee'!CL67&gt;0,2,"-")</f>
        <v>2</v>
      </c>
      <c r="BJ67" s="386" t="str">
        <f>IF('Design Fee'!CM67&gt;0,2,"-")</f>
        <v>-</v>
      </c>
      <c r="BK67" s="386" t="str">
        <f>IF('Design Fee'!CN67&gt;0,2,"-")</f>
        <v>-</v>
      </c>
      <c r="BL67" s="386" t="str">
        <f>IF('Design Fee'!CO67&gt;0,2,"-")</f>
        <v>-</v>
      </c>
      <c r="BM67" s="195"/>
      <c r="BN67" s="197"/>
      <c r="BO67" s="387"/>
      <c r="BP67" s="328" t="str">
        <f>IF('Design Fee'!DL67&gt;0,2,"-")</f>
        <v>-</v>
      </c>
      <c r="BQ67" s="386" t="str">
        <f>IF('Design Fee'!DN67&gt;0,2,"-")</f>
        <v>-</v>
      </c>
      <c r="BR67" s="386" t="str">
        <f>IF('Design Fee'!DO67&gt;0,2,"-")</f>
        <v>-</v>
      </c>
      <c r="BS67" s="386" t="str">
        <f>IF('Design Fee'!DP67&gt;0,2,"-")</f>
        <v>-</v>
      </c>
      <c r="BT67" s="386" t="str">
        <f>IF('Design Fee'!DQ67&gt;0,2,"-")</f>
        <v>-</v>
      </c>
      <c r="BU67" s="386" t="str">
        <f>IF('Design Fee'!DR67&gt;0,2,"-")</f>
        <v>-</v>
      </c>
      <c r="BV67" s="386" t="str">
        <f>IF('Design Fee'!DS67&gt;0,2,"-")</f>
        <v>-</v>
      </c>
      <c r="BW67" s="386" t="str">
        <f>IF('Design Fee'!DU67&gt;0,2,"-")</f>
        <v>-</v>
      </c>
      <c r="BX67" s="386" t="str">
        <f>IF('Design Fee'!DV67&gt;0,2,"-")</f>
        <v>-</v>
      </c>
      <c r="BY67" s="386" t="str">
        <f>IF('Design Fee'!DW67&gt;0,2,"-")</f>
        <v>-</v>
      </c>
      <c r="BZ67" s="386" t="str">
        <f>IF('Design Fee'!DX67&gt;0,2,"-")</f>
        <v>-</v>
      </c>
      <c r="CA67" s="386" t="str">
        <f>IF('Design Fee'!DY67&gt;0,2,"-")</f>
        <v>-</v>
      </c>
      <c r="CB67" s="195"/>
    </row>
    <row r="68" spans="1:80" ht="3" customHeight="1" outlineLevel="2">
      <c r="A68" s="112"/>
      <c r="B68" s="165"/>
      <c r="C68" s="165"/>
      <c r="D68" s="114"/>
      <c r="E68" s="114"/>
      <c r="F68" s="115"/>
      <c r="G68" s="116"/>
      <c r="H68" s="124"/>
      <c r="I68" s="124"/>
      <c r="J68" s="124"/>
      <c r="K68" s="125"/>
      <c r="L68" s="125"/>
      <c r="M68" s="125"/>
      <c r="N68" s="125"/>
      <c r="O68" s="125"/>
      <c r="P68" s="125"/>
      <c r="Q68" s="125"/>
      <c r="R68" s="125"/>
      <c r="S68" s="125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327"/>
      <c r="AE68" s="327"/>
      <c r="AF68" s="327"/>
      <c r="AG68" s="327"/>
      <c r="AH68" s="327"/>
      <c r="AI68" s="327"/>
      <c r="AJ68" s="327"/>
      <c r="AK68" s="327"/>
      <c r="AL68" s="327"/>
      <c r="AM68" s="327"/>
      <c r="AN68" s="327"/>
      <c r="AO68" s="327"/>
      <c r="AP68" s="327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27"/>
      <c r="BH68" s="327"/>
      <c r="BI68" s="327"/>
      <c r="BJ68" s="327"/>
      <c r="BK68" s="327"/>
      <c r="BL68" s="327"/>
      <c r="BM68" s="327"/>
      <c r="BN68" s="327"/>
      <c r="BO68" s="327"/>
      <c r="BP68" s="327"/>
      <c r="BQ68" s="327"/>
      <c r="BR68" s="327"/>
      <c r="BS68" s="327"/>
      <c r="BT68" s="327"/>
      <c r="BU68" s="327"/>
      <c r="BV68" s="327"/>
      <c r="BW68" s="327"/>
      <c r="BX68" s="327"/>
      <c r="BY68" s="327"/>
      <c r="BZ68" s="327"/>
      <c r="CA68" s="327"/>
      <c r="CB68" s="195"/>
    </row>
    <row r="69" spans="1:80" ht="11.85" customHeight="1" outlineLevel="2">
      <c r="A69" s="112"/>
      <c r="B69" s="165">
        <v>3.1</v>
      </c>
      <c r="C69" s="165">
        <v>3.1</v>
      </c>
      <c r="D69" s="161" t="s">
        <v>75</v>
      </c>
      <c r="E69" s="114"/>
      <c r="F69" s="115"/>
      <c r="G69" s="116"/>
      <c r="H69" s="124"/>
      <c r="I69" s="124"/>
      <c r="J69" s="124"/>
      <c r="K69" s="125"/>
      <c r="L69" s="125"/>
      <c r="M69" s="125"/>
      <c r="N69" s="125"/>
      <c r="O69" s="125"/>
      <c r="P69" s="125"/>
      <c r="Q69" s="125"/>
      <c r="R69" s="125"/>
      <c r="S69" s="125"/>
      <c r="T69" s="195"/>
      <c r="U69" s="205"/>
      <c r="V69" s="205"/>
      <c r="W69" s="183"/>
      <c r="X69" s="386"/>
      <c r="Y69" s="386"/>
      <c r="Z69" s="386"/>
      <c r="AA69" s="386"/>
      <c r="AB69" s="386"/>
      <c r="AC69" s="386"/>
      <c r="AD69" s="386"/>
      <c r="AE69" s="386"/>
      <c r="AF69" s="386"/>
      <c r="AG69" s="386"/>
      <c r="AH69" s="386"/>
      <c r="AI69" s="195"/>
      <c r="AJ69" s="205"/>
      <c r="AK69" s="205"/>
      <c r="AL69" s="183"/>
      <c r="AM69" s="391"/>
      <c r="AN69" s="391"/>
      <c r="AO69" s="391"/>
      <c r="AP69" s="391"/>
      <c r="AQ69" s="391"/>
      <c r="AR69" s="391"/>
      <c r="AS69" s="391"/>
      <c r="AT69" s="391"/>
      <c r="AU69" s="391"/>
      <c r="AV69" s="391"/>
      <c r="AW69" s="391"/>
      <c r="AX69" s="195"/>
      <c r="AY69" s="205"/>
      <c r="AZ69" s="205"/>
      <c r="BA69" s="328"/>
      <c r="BB69" s="386"/>
      <c r="BC69" s="386"/>
      <c r="BD69" s="386"/>
      <c r="BE69" s="386"/>
      <c r="BF69" s="386"/>
      <c r="BG69" s="386"/>
      <c r="BH69" s="386"/>
      <c r="BI69" s="386"/>
      <c r="BJ69" s="386"/>
      <c r="BK69" s="386"/>
      <c r="BL69" s="386"/>
      <c r="BM69" s="195"/>
      <c r="BN69" s="205"/>
      <c r="BO69" s="205"/>
      <c r="BP69" s="328"/>
      <c r="BQ69" s="386"/>
      <c r="BR69" s="386"/>
      <c r="BS69" s="386"/>
      <c r="BT69" s="386"/>
      <c r="BU69" s="386"/>
      <c r="BV69" s="386"/>
      <c r="BW69" s="386"/>
      <c r="BX69" s="386"/>
      <c r="BY69" s="386"/>
      <c r="BZ69" s="386"/>
      <c r="CA69" s="386"/>
      <c r="CB69" s="195"/>
    </row>
    <row r="70" spans="1:80" ht="11.85" customHeight="1" outlineLevel="3">
      <c r="A70" s="112"/>
      <c r="B70" s="162" t="s">
        <v>76</v>
      </c>
      <c r="C70" s="213">
        <v>1</v>
      </c>
      <c r="D70" s="214" t="s">
        <v>68</v>
      </c>
      <c r="E70" s="114"/>
      <c r="F70" s="196"/>
      <c r="G70" s="194"/>
      <c r="H70" s="328"/>
      <c r="I70" s="328"/>
      <c r="J70" s="328"/>
      <c r="K70" s="386"/>
      <c r="L70" s="386"/>
      <c r="M70" s="386"/>
      <c r="N70" s="386"/>
      <c r="O70" s="386"/>
      <c r="P70" s="386"/>
      <c r="Q70" s="386"/>
      <c r="R70" s="386"/>
      <c r="S70" s="386"/>
      <c r="T70" s="195"/>
      <c r="U70" s="196"/>
      <c r="V70" s="194"/>
      <c r="W70" s="328" t="str">
        <f>IF('Design Fee'!H70&gt;0,2,"-")</f>
        <v>-</v>
      </c>
      <c r="X70" s="386" t="str">
        <f>IF('Design Fee'!J70&gt;0,2,"-")</f>
        <v>-</v>
      </c>
      <c r="Y70" s="386" t="str">
        <f>IF('Design Fee'!K70&gt;0,2,"-")</f>
        <v>-</v>
      </c>
      <c r="Z70" s="386" t="str">
        <f>IF('Design Fee'!L70&gt;0,2,"-")</f>
        <v>-</v>
      </c>
      <c r="AA70" s="386" t="str">
        <f>IF('Design Fee'!M70&gt;0,2,"-")</f>
        <v>-</v>
      </c>
      <c r="AB70" s="386" t="str">
        <f>IF('Design Fee'!N70&gt;0,2,"-")</f>
        <v>-</v>
      </c>
      <c r="AC70" s="386" t="str">
        <f>IF('Design Fee'!O70&gt;0,2,"-")</f>
        <v>-</v>
      </c>
      <c r="AD70" s="386" t="str">
        <f>IF('Design Fee'!Q70&gt;0,2,"-")</f>
        <v>-</v>
      </c>
      <c r="AE70" s="386" t="str">
        <f>IF('Design Fee'!R70&gt;0,2,"-")</f>
        <v>-</v>
      </c>
      <c r="AF70" s="386" t="str">
        <f>IF('Design Fee'!S70&gt;0,2,"-")</f>
        <v>-</v>
      </c>
      <c r="AG70" s="386" t="str">
        <f>IF('Design Fee'!T70&gt;0,2,"-")</f>
        <v>-</v>
      </c>
      <c r="AH70" s="386" t="str">
        <f>IF('Design Fee'!U70&gt;0,2,"-")</f>
        <v>-</v>
      </c>
      <c r="AI70" s="195"/>
      <c r="AJ70" s="196"/>
      <c r="AK70" s="387"/>
      <c r="AL70" s="328">
        <f>IF('Design Fee'!AR70&gt;0,2,"-")</f>
        <v>2</v>
      </c>
      <c r="AM70" s="386">
        <f>IF('Design Fee'!AT70&gt;0,2,"-")</f>
        <v>2</v>
      </c>
      <c r="AN70" s="386" t="str">
        <f>IF('Design Fee'!AU70&gt;0,2,"-")</f>
        <v>-</v>
      </c>
      <c r="AO70" s="386" t="str">
        <f>IF('Design Fee'!AV70&gt;0,2,"-")</f>
        <v>-</v>
      </c>
      <c r="AP70" s="386" t="str">
        <f>IF('Design Fee'!AW70&gt;0,2,"-")</f>
        <v>-</v>
      </c>
      <c r="AQ70" s="386" t="str">
        <f>IF('Design Fee'!AX70&gt;0,2,"-")</f>
        <v>-</v>
      </c>
      <c r="AR70" s="386" t="str">
        <f>IF('Design Fee'!AY70&gt;0,2,"-")</f>
        <v>-</v>
      </c>
      <c r="AS70" s="386" t="str">
        <f>IF('Design Fee'!BA70&gt;0,2,"-")</f>
        <v>-</v>
      </c>
      <c r="AT70" s="386" t="str">
        <f>IF('Design Fee'!BB70&gt;0,2,"-")</f>
        <v>-</v>
      </c>
      <c r="AU70" s="386" t="str">
        <f>IF('Design Fee'!BC70&gt;0,2,"-")</f>
        <v>-</v>
      </c>
      <c r="AV70" s="386" t="str">
        <f>IF('Design Fee'!BD70&gt;0,2,"-")</f>
        <v>-</v>
      </c>
      <c r="AW70" s="386" t="str">
        <f>IF('Design Fee'!BE70&gt;0,2,"-")</f>
        <v>-</v>
      </c>
      <c r="AX70" s="195"/>
      <c r="AY70" s="196"/>
      <c r="AZ70" s="387"/>
      <c r="BA70" s="328" t="str">
        <f>IF('Design Fee'!CB70&gt;0,2,"-")</f>
        <v>-</v>
      </c>
      <c r="BB70" s="386" t="str">
        <f>IF('Design Fee'!CD70&gt;0,2,"-")</f>
        <v>-</v>
      </c>
      <c r="BC70" s="386" t="str">
        <f>IF('Design Fee'!CE70&gt;0,2,"-")</f>
        <v>-</v>
      </c>
      <c r="BD70" s="386" t="str">
        <f>IF('Design Fee'!CF70&gt;0,2,"-")</f>
        <v>-</v>
      </c>
      <c r="BE70" s="386" t="str">
        <f>IF('Design Fee'!CG70&gt;0,2,"-")</f>
        <v>-</v>
      </c>
      <c r="BF70" s="386" t="str">
        <f>IF('Design Fee'!CH70&gt;0,2,"-")</f>
        <v>-</v>
      </c>
      <c r="BG70" s="386" t="str">
        <f>IF('Design Fee'!CI70&gt;0,2,"-")</f>
        <v>-</v>
      </c>
      <c r="BH70" s="386" t="str">
        <f>IF('Design Fee'!CK70&gt;0,2,"-")</f>
        <v>-</v>
      </c>
      <c r="BI70" s="386" t="str">
        <f>IF('Design Fee'!CL70&gt;0,2,"-")</f>
        <v>-</v>
      </c>
      <c r="BJ70" s="386" t="str">
        <f>IF('Design Fee'!CM70&gt;0,2,"-")</f>
        <v>-</v>
      </c>
      <c r="BK70" s="386" t="str">
        <f>IF('Design Fee'!CN70&gt;0,2,"-")</f>
        <v>-</v>
      </c>
      <c r="BL70" s="386" t="str">
        <f>IF('Design Fee'!CO70&gt;0,2,"-")</f>
        <v>-</v>
      </c>
      <c r="BM70" s="195"/>
      <c r="BN70" s="196"/>
      <c r="BO70" s="387"/>
      <c r="BP70" s="328" t="str">
        <f>IF('Design Fee'!DL70&gt;0,2,"-")</f>
        <v>-</v>
      </c>
      <c r="BQ70" s="386" t="str">
        <f>IF('Design Fee'!DN70&gt;0,2,"-")</f>
        <v>-</v>
      </c>
      <c r="BR70" s="386" t="str">
        <f>IF('Design Fee'!DO70&gt;0,2,"-")</f>
        <v>-</v>
      </c>
      <c r="BS70" s="386" t="str">
        <f>IF('Design Fee'!DP70&gt;0,2,"-")</f>
        <v>-</v>
      </c>
      <c r="BT70" s="386" t="str">
        <f>IF('Design Fee'!DQ70&gt;0,2,"-")</f>
        <v>-</v>
      </c>
      <c r="BU70" s="386" t="str">
        <f>IF('Design Fee'!DR70&gt;0,2,"-")</f>
        <v>-</v>
      </c>
      <c r="BV70" s="386" t="str">
        <f>IF('Design Fee'!DS70&gt;0,2,"-")</f>
        <v>-</v>
      </c>
      <c r="BW70" s="386" t="str">
        <f>IF('Design Fee'!DU70&gt;0,2,"-")</f>
        <v>-</v>
      </c>
      <c r="BX70" s="386" t="str">
        <f>IF('Design Fee'!DV70&gt;0,2,"-")</f>
        <v>-</v>
      </c>
      <c r="BY70" s="386" t="str">
        <f>IF('Design Fee'!DW70&gt;0,2,"-")</f>
        <v>-</v>
      </c>
      <c r="BZ70" s="386" t="str">
        <f>IF('Design Fee'!DX70&gt;0,2,"-")</f>
        <v>-</v>
      </c>
      <c r="CA70" s="386" t="str">
        <f>IF('Design Fee'!DY70&gt;0,2,"-")</f>
        <v>-</v>
      </c>
      <c r="CB70" s="195"/>
    </row>
    <row r="71" spans="1:80" ht="11.85" customHeight="1" outlineLevel="3">
      <c r="A71" s="112"/>
      <c r="B71" s="162" t="s">
        <v>77</v>
      </c>
      <c r="C71" s="213">
        <v>2</v>
      </c>
      <c r="D71" s="214" t="s">
        <v>70</v>
      </c>
      <c r="E71" s="114"/>
      <c r="F71" s="196"/>
      <c r="G71" s="194"/>
      <c r="H71" s="328"/>
      <c r="I71" s="328"/>
      <c r="J71" s="328"/>
      <c r="K71" s="386"/>
      <c r="L71" s="386"/>
      <c r="M71" s="386"/>
      <c r="N71" s="386"/>
      <c r="O71" s="386"/>
      <c r="P71" s="386"/>
      <c r="Q71" s="386"/>
      <c r="R71" s="386"/>
      <c r="S71" s="386"/>
      <c r="T71" s="195"/>
      <c r="U71" s="196"/>
      <c r="V71" s="194"/>
      <c r="W71" s="328" t="str">
        <f>IF('Design Fee'!H71&gt;0,2,"-")</f>
        <v>-</v>
      </c>
      <c r="X71" s="386" t="str">
        <f>IF('Design Fee'!J71&gt;0,2,"-")</f>
        <v>-</v>
      </c>
      <c r="Y71" s="386" t="str">
        <f>IF('Design Fee'!K71&gt;0,2,"-")</f>
        <v>-</v>
      </c>
      <c r="Z71" s="386" t="str">
        <f>IF('Design Fee'!L71&gt;0,2,"-")</f>
        <v>-</v>
      </c>
      <c r="AA71" s="386" t="str">
        <f>IF('Design Fee'!M71&gt;0,2,"-")</f>
        <v>-</v>
      </c>
      <c r="AB71" s="386" t="str">
        <f>IF('Design Fee'!N71&gt;0,2,"-")</f>
        <v>-</v>
      </c>
      <c r="AC71" s="386" t="str">
        <f>IF('Design Fee'!O71&gt;0,2,"-")</f>
        <v>-</v>
      </c>
      <c r="AD71" s="386" t="str">
        <f>IF('Design Fee'!Q71&gt;0,2,"-")</f>
        <v>-</v>
      </c>
      <c r="AE71" s="386" t="str">
        <f>IF('Design Fee'!R71&gt;0,2,"-")</f>
        <v>-</v>
      </c>
      <c r="AF71" s="386" t="str">
        <f>IF('Design Fee'!S71&gt;0,2,"-")</f>
        <v>-</v>
      </c>
      <c r="AG71" s="386" t="str">
        <f>IF('Design Fee'!T71&gt;0,2,"-")</f>
        <v>-</v>
      </c>
      <c r="AH71" s="386" t="str">
        <f>IF('Design Fee'!U71&gt;0,2,"-")</f>
        <v>-</v>
      </c>
      <c r="AI71" s="195"/>
      <c r="AJ71" s="196"/>
      <c r="AK71" s="387"/>
      <c r="AL71" s="328">
        <f>IF('Design Fee'!AR71&gt;0,2,"-")</f>
        <v>2</v>
      </c>
      <c r="AM71" s="386">
        <f>IF('Design Fee'!AT71&gt;0,2,"-")</f>
        <v>2</v>
      </c>
      <c r="AN71" s="386" t="str">
        <f>IF('Design Fee'!AU71&gt;0,2,"-")</f>
        <v>-</v>
      </c>
      <c r="AO71" s="386" t="str">
        <f>IF('Design Fee'!AV71&gt;0,2,"-")</f>
        <v>-</v>
      </c>
      <c r="AP71" s="386" t="str">
        <f>IF('Design Fee'!AW71&gt;0,2,"-")</f>
        <v>-</v>
      </c>
      <c r="AQ71" s="386" t="str">
        <f>IF('Design Fee'!AX71&gt;0,2,"-")</f>
        <v>-</v>
      </c>
      <c r="AR71" s="386" t="str">
        <f>IF('Design Fee'!AY71&gt;0,2,"-")</f>
        <v>-</v>
      </c>
      <c r="AS71" s="386" t="str">
        <f>IF('Design Fee'!BA71&gt;0,2,"-")</f>
        <v>-</v>
      </c>
      <c r="AT71" s="386" t="str">
        <f>IF('Design Fee'!BB71&gt;0,2,"-")</f>
        <v>-</v>
      </c>
      <c r="AU71" s="386" t="str">
        <f>IF('Design Fee'!BC71&gt;0,2,"-")</f>
        <v>-</v>
      </c>
      <c r="AV71" s="386" t="str">
        <f>IF('Design Fee'!BD71&gt;0,2,"-")</f>
        <v>-</v>
      </c>
      <c r="AW71" s="386" t="str">
        <f>IF('Design Fee'!BE71&gt;0,2,"-")</f>
        <v>-</v>
      </c>
      <c r="AX71" s="195"/>
      <c r="AY71" s="196"/>
      <c r="AZ71" s="387"/>
      <c r="BA71" s="328" t="str">
        <f>IF('Design Fee'!CB71&gt;0,2,"-")</f>
        <v>-</v>
      </c>
      <c r="BB71" s="386" t="str">
        <f>IF('Design Fee'!CD71&gt;0,2,"-")</f>
        <v>-</v>
      </c>
      <c r="BC71" s="386" t="str">
        <f>IF('Design Fee'!CE71&gt;0,2,"-")</f>
        <v>-</v>
      </c>
      <c r="BD71" s="386" t="str">
        <f>IF('Design Fee'!CF71&gt;0,2,"-")</f>
        <v>-</v>
      </c>
      <c r="BE71" s="386" t="str">
        <f>IF('Design Fee'!CG71&gt;0,2,"-")</f>
        <v>-</v>
      </c>
      <c r="BF71" s="386" t="str">
        <f>IF('Design Fee'!CH71&gt;0,2,"-")</f>
        <v>-</v>
      </c>
      <c r="BG71" s="386" t="str">
        <f>IF('Design Fee'!CI71&gt;0,2,"-")</f>
        <v>-</v>
      </c>
      <c r="BH71" s="386" t="str">
        <f>IF('Design Fee'!CK71&gt;0,2,"-")</f>
        <v>-</v>
      </c>
      <c r="BI71" s="386" t="str">
        <f>IF('Design Fee'!CL71&gt;0,2,"-")</f>
        <v>-</v>
      </c>
      <c r="BJ71" s="386" t="str">
        <f>IF('Design Fee'!CM71&gt;0,2,"-")</f>
        <v>-</v>
      </c>
      <c r="BK71" s="386" t="str">
        <f>IF('Design Fee'!CN71&gt;0,2,"-")</f>
        <v>-</v>
      </c>
      <c r="BL71" s="386" t="str">
        <f>IF('Design Fee'!CO71&gt;0,2,"-")</f>
        <v>-</v>
      </c>
      <c r="BM71" s="195"/>
      <c r="BN71" s="196"/>
      <c r="BO71" s="387"/>
      <c r="BP71" s="328" t="str">
        <f>IF('Design Fee'!DL71&gt;0,2,"-")</f>
        <v>-</v>
      </c>
      <c r="BQ71" s="386" t="str">
        <f>IF('Design Fee'!DN71&gt;0,2,"-")</f>
        <v>-</v>
      </c>
      <c r="BR71" s="386" t="str">
        <f>IF('Design Fee'!DO71&gt;0,2,"-")</f>
        <v>-</v>
      </c>
      <c r="BS71" s="386" t="str">
        <f>IF('Design Fee'!DP71&gt;0,2,"-")</f>
        <v>-</v>
      </c>
      <c r="BT71" s="386" t="str">
        <f>IF('Design Fee'!DQ71&gt;0,2,"-")</f>
        <v>-</v>
      </c>
      <c r="BU71" s="386" t="str">
        <f>IF('Design Fee'!DR71&gt;0,2,"-")</f>
        <v>-</v>
      </c>
      <c r="BV71" s="386" t="str">
        <f>IF('Design Fee'!DS71&gt;0,2,"-")</f>
        <v>-</v>
      </c>
      <c r="BW71" s="386" t="str">
        <f>IF('Design Fee'!DU71&gt;0,2,"-")</f>
        <v>-</v>
      </c>
      <c r="BX71" s="386" t="str">
        <f>IF('Design Fee'!DV71&gt;0,2,"-")</f>
        <v>-</v>
      </c>
      <c r="BY71" s="386" t="str">
        <f>IF('Design Fee'!DW71&gt;0,2,"-")</f>
        <v>-</v>
      </c>
      <c r="BZ71" s="386" t="str">
        <f>IF('Design Fee'!DX71&gt;0,2,"-")</f>
        <v>-</v>
      </c>
      <c r="CA71" s="386" t="str">
        <f>IF('Design Fee'!DY71&gt;0,2,"-")</f>
        <v>-</v>
      </c>
      <c r="CB71" s="195"/>
    </row>
    <row r="72" spans="1:80" ht="11.85" customHeight="1" outlineLevel="3">
      <c r="A72" s="112"/>
      <c r="B72" s="162" t="s">
        <v>78</v>
      </c>
      <c r="C72" s="213">
        <v>3</v>
      </c>
      <c r="D72" s="214" t="s">
        <v>72</v>
      </c>
      <c r="E72" s="114"/>
      <c r="F72" s="196"/>
      <c r="G72" s="194"/>
      <c r="H72" s="328"/>
      <c r="I72" s="328"/>
      <c r="J72" s="328"/>
      <c r="K72" s="386"/>
      <c r="L72" s="386"/>
      <c r="M72" s="386"/>
      <c r="N72" s="386"/>
      <c r="O72" s="386"/>
      <c r="P72" s="386"/>
      <c r="Q72" s="386"/>
      <c r="R72" s="386"/>
      <c r="S72" s="386"/>
      <c r="T72" s="195"/>
      <c r="U72" s="196"/>
      <c r="V72" s="194"/>
      <c r="W72" s="328" t="str">
        <f>IF('Design Fee'!H72&gt;0,2,"-")</f>
        <v>-</v>
      </c>
      <c r="X72" s="386" t="str">
        <f>IF('Design Fee'!J72&gt;0,2,"-")</f>
        <v>-</v>
      </c>
      <c r="Y72" s="386" t="str">
        <f>IF('Design Fee'!K72&gt;0,2,"-")</f>
        <v>-</v>
      </c>
      <c r="Z72" s="386" t="str">
        <f>IF('Design Fee'!L72&gt;0,2,"-")</f>
        <v>-</v>
      </c>
      <c r="AA72" s="386" t="str">
        <f>IF('Design Fee'!M72&gt;0,2,"-")</f>
        <v>-</v>
      </c>
      <c r="AB72" s="386" t="str">
        <f>IF('Design Fee'!N72&gt;0,2,"-")</f>
        <v>-</v>
      </c>
      <c r="AC72" s="386" t="str">
        <f>IF('Design Fee'!O72&gt;0,2,"-")</f>
        <v>-</v>
      </c>
      <c r="AD72" s="386" t="str">
        <f>IF('Design Fee'!Q72&gt;0,2,"-")</f>
        <v>-</v>
      </c>
      <c r="AE72" s="386" t="str">
        <f>IF('Design Fee'!R72&gt;0,2,"-")</f>
        <v>-</v>
      </c>
      <c r="AF72" s="386" t="str">
        <f>IF('Design Fee'!S72&gt;0,2,"-")</f>
        <v>-</v>
      </c>
      <c r="AG72" s="386" t="str">
        <f>IF('Design Fee'!T72&gt;0,2,"-")</f>
        <v>-</v>
      </c>
      <c r="AH72" s="386" t="str">
        <f>IF('Design Fee'!U72&gt;0,2,"-")</f>
        <v>-</v>
      </c>
      <c r="AI72" s="195"/>
      <c r="AJ72" s="196"/>
      <c r="AK72" s="387"/>
      <c r="AL72" s="328">
        <f>IF('Design Fee'!AR72&gt;0,2,"-")</f>
        <v>2</v>
      </c>
      <c r="AM72" s="386" t="str">
        <f>IF('Design Fee'!AT72&gt;0,2,"-")</f>
        <v>-</v>
      </c>
      <c r="AN72" s="386">
        <f>IF('Design Fee'!AU72&gt;0,2,"-")</f>
        <v>2</v>
      </c>
      <c r="AO72" s="386">
        <f>IF('Design Fee'!AV72&gt;0,2,"-")</f>
        <v>2</v>
      </c>
      <c r="AP72" s="386" t="str">
        <f>IF('Design Fee'!AW72&gt;0,2,"-")</f>
        <v>-</v>
      </c>
      <c r="AQ72" s="386" t="str">
        <f>IF('Design Fee'!AX72&gt;0,2,"-")</f>
        <v>-</v>
      </c>
      <c r="AR72" s="386" t="str">
        <f>IF('Design Fee'!AY72&gt;0,2,"-")</f>
        <v>-</v>
      </c>
      <c r="AS72" s="386">
        <f>IF('Design Fee'!BA72&gt;0,2,"-")</f>
        <v>2</v>
      </c>
      <c r="AT72" s="386">
        <f>IF('Design Fee'!BB72&gt;0,2,"-")</f>
        <v>2</v>
      </c>
      <c r="AU72" s="386" t="str">
        <f>IF('Design Fee'!BC72&gt;0,2,"-")</f>
        <v>-</v>
      </c>
      <c r="AV72" s="386" t="str">
        <f>IF('Design Fee'!BD72&gt;0,2,"-")</f>
        <v>-</v>
      </c>
      <c r="AW72" s="386" t="str">
        <f>IF('Design Fee'!BE72&gt;0,2,"-")</f>
        <v>-</v>
      </c>
      <c r="AX72" s="195"/>
      <c r="AY72" s="196"/>
      <c r="AZ72" s="387"/>
      <c r="BA72" s="328" t="str">
        <f>IF('Design Fee'!CB72&gt;0,2,"-")</f>
        <v>-</v>
      </c>
      <c r="BB72" s="386" t="str">
        <f>IF('Design Fee'!CD72&gt;0,2,"-")</f>
        <v>-</v>
      </c>
      <c r="BC72" s="386" t="str">
        <f>IF('Design Fee'!CE72&gt;0,2,"-")</f>
        <v>-</v>
      </c>
      <c r="BD72" s="386" t="str">
        <f>IF('Design Fee'!CF72&gt;0,2,"-")</f>
        <v>-</v>
      </c>
      <c r="BE72" s="386" t="str">
        <f>IF('Design Fee'!CG72&gt;0,2,"-")</f>
        <v>-</v>
      </c>
      <c r="BF72" s="386" t="str">
        <f>IF('Design Fee'!CH72&gt;0,2,"-")</f>
        <v>-</v>
      </c>
      <c r="BG72" s="386" t="str">
        <f>IF('Design Fee'!CI72&gt;0,2,"-")</f>
        <v>-</v>
      </c>
      <c r="BH72" s="386" t="str">
        <f>IF('Design Fee'!CK72&gt;0,2,"-")</f>
        <v>-</v>
      </c>
      <c r="BI72" s="386" t="str">
        <f>IF('Design Fee'!CL72&gt;0,2,"-")</f>
        <v>-</v>
      </c>
      <c r="BJ72" s="386" t="str">
        <f>IF('Design Fee'!CM72&gt;0,2,"-")</f>
        <v>-</v>
      </c>
      <c r="BK72" s="386" t="str">
        <f>IF('Design Fee'!CN72&gt;0,2,"-")</f>
        <v>-</v>
      </c>
      <c r="BL72" s="386" t="str">
        <f>IF('Design Fee'!CO72&gt;0,2,"-")</f>
        <v>-</v>
      </c>
      <c r="BM72" s="195"/>
      <c r="BN72" s="196"/>
      <c r="BO72" s="387"/>
      <c r="BP72" s="328" t="str">
        <f>IF('Design Fee'!DL72&gt;0,2,"-")</f>
        <v>-</v>
      </c>
      <c r="BQ72" s="386" t="str">
        <f>IF('Design Fee'!DN72&gt;0,2,"-")</f>
        <v>-</v>
      </c>
      <c r="BR72" s="386" t="str">
        <f>IF('Design Fee'!DO72&gt;0,2,"-")</f>
        <v>-</v>
      </c>
      <c r="BS72" s="386" t="str">
        <f>IF('Design Fee'!DP72&gt;0,2,"-")</f>
        <v>-</v>
      </c>
      <c r="BT72" s="386" t="str">
        <f>IF('Design Fee'!DQ72&gt;0,2,"-")</f>
        <v>-</v>
      </c>
      <c r="BU72" s="386" t="str">
        <f>IF('Design Fee'!DR72&gt;0,2,"-")</f>
        <v>-</v>
      </c>
      <c r="BV72" s="386" t="str">
        <f>IF('Design Fee'!DS72&gt;0,2,"-")</f>
        <v>-</v>
      </c>
      <c r="BW72" s="386" t="str">
        <f>IF('Design Fee'!DU72&gt;0,2,"-")</f>
        <v>-</v>
      </c>
      <c r="BX72" s="386" t="str">
        <f>IF('Design Fee'!DV72&gt;0,2,"-")</f>
        <v>-</v>
      </c>
      <c r="BY72" s="386" t="str">
        <f>IF('Design Fee'!DW72&gt;0,2,"-")</f>
        <v>-</v>
      </c>
      <c r="BZ72" s="386" t="str">
        <f>IF('Design Fee'!DX72&gt;0,2,"-")</f>
        <v>-</v>
      </c>
      <c r="CA72" s="386" t="str">
        <f>IF('Design Fee'!DY72&gt;0,2,"-")</f>
        <v>-</v>
      </c>
      <c r="CB72" s="195"/>
    </row>
    <row r="73" spans="1:80" ht="3" customHeight="1" outlineLevel="2">
      <c r="A73" s="112"/>
      <c r="B73" s="165"/>
      <c r="C73" s="165"/>
      <c r="D73" s="114"/>
      <c r="E73" s="114"/>
      <c r="F73" s="115"/>
      <c r="G73" s="116"/>
      <c r="H73" s="124"/>
      <c r="I73" s="124"/>
      <c r="J73" s="124"/>
      <c r="K73" s="125"/>
      <c r="L73" s="125"/>
      <c r="M73" s="125"/>
      <c r="N73" s="125"/>
      <c r="O73" s="125"/>
      <c r="P73" s="125"/>
      <c r="Q73" s="125"/>
      <c r="R73" s="125"/>
      <c r="S73" s="125"/>
      <c r="T73" s="327"/>
      <c r="U73" s="327"/>
      <c r="V73" s="327"/>
      <c r="W73" s="327"/>
      <c r="X73" s="327"/>
      <c r="Y73" s="327"/>
      <c r="Z73" s="327"/>
      <c r="AA73" s="327"/>
      <c r="AB73" s="327"/>
      <c r="AC73" s="327"/>
      <c r="AD73" s="327"/>
      <c r="AE73" s="327"/>
      <c r="AF73" s="327"/>
      <c r="AG73" s="327"/>
      <c r="AH73" s="327"/>
      <c r="AI73" s="327"/>
      <c r="AJ73" s="327"/>
      <c r="AK73" s="327"/>
      <c r="AL73" s="327"/>
      <c r="AM73" s="327"/>
      <c r="AN73" s="327"/>
      <c r="AO73" s="327"/>
      <c r="AP73" s="327"/>
      <c r="AQ73" s="327"/>
      <c r="AR73" s="327"/>
      <c r="AS73" s="327"/>
      <c r="AT73" s="327"/>
      <c r="AU73" s="327"/>
      <c r="AV73" s="327"/>
      <c r="AW73" s="327"/>
      <c r="AX73" s="327"/>
      <c r="AY73" s="327"/>
      <c r="AZ73" s="327"/>
      <c r="BA73" s="327"/>
      <c r="BB73" s="327"/>
      <c r="BC73" s="327"/>
      <c r="BD73" s="327"/>
      <c r="BE73" s="327"/>
      <c r="BF73" s="327"/>
      <c r="BG73" s="327"/>
      <c r="BH73" s="327"/>
      <c r="BI73" s="327"/>
      <c r="BJ73" s="327"/>
      <c r="BK73" s="327"/>
      <c r="BL73" s="327"/>
      <c r="BM73" s="327"/>
      <c r="BN73" s="327"/>
      <c r="BO73" s="327"/>
      <c r="BP73" s="327"/>
      <c r="BQ73" s="327"/>
      <c r="BR73" s="327"/>
      <c r="BS73" s="327"/>
      <c r="BT73" s="327"/>
      <c r="BU73" s="327"/>
      <c r="BV73" s="327"/>
      <c r="BW73" s="327"/>
      <c r="BX73" s="327"/>
      <c r="BY73" s="327"/>
      <c r="BZ73" s="327"/>
      <c r="CA73" s="327"/>
      <c r="CB73" s="195"/>
    </row>
    <row r="74" spans="1:80" ht="11.85" customHeight="1" outlineLevel="2">
      <c r="A74" s="112"/>
      <c r="B74" s="165">
        <v>3.2</v>
      </c>
      <c r="C74" s="165">
        <v>3.2</v>
      </c>
      <c r="D74" s="161" t="s">
        <v>79</v>
      </c>
      <c r="E74" s="114"/>
      <c r="F74" s="115"/>
      <c r="G74" s="116"/>
      <c r="H74" s="124"/>
      <c r="I74" s="124"/>
      <c r="J74" s="124"/>
      <c r="K74" s="125"/>
      <c r="L74" s="125"/>
      <c r="M74" s="125"/>
      <c r="N74" s="125"/>
      <c r="O74" s="125"/>
      <c r="P74" s="125"/>
      <c r="Q74" s="125"/>
      <c r="R74" s="125"/>
      <c r="S74" s="125"/>
      <c r="T74" s="195"/>
      <c r="U74" s="205"/>
      <c r="V74" s="205"/>
      <c r="W74" s="183"/>
      <c r="X74" s="386"/>
      <c r="Y74" s="386"/>
      <c r="Z74" s="386"/>
      <c r="AA74" s="386"/>
      <c r="AB74" s="386"/>
      <c r="AC74" s="386"/>
      <c r="AD74" s="386"/>
      <c r="AE74" s="386"/>
      <c r="AF74" s="386"/>
      <c r="AG74" s="386"/>
      <c r="AH74" s="386"/>
      <c r="AI74" s="195"/>
      <c r="AJ74" s="205"/>
      <c r="AK74" s="205"/>
      <c r="AL74" s="183"/>
      <c r="AM74" s="391"/>
      <c r="AN74" s="391"/>
      <c r="AO74" s="391"/>
      <c r="AP74" s="391"/>
      <c r="AQ74" s="391"/>
      <c r="AR74" s="391"/>
      <c r="AS74" s="391"/>
      <c r="AT74" s="391"/>
      <c r="AU74" s="391"/>
      <c r="AV74" s="391"/>
      <c r="AW74" s="391"/>
      <c r="AX74" s="195"/>
      <c r="AY74" s="205"/>
      <c r="AZ74" s="205"/>
      <c r="BA74" s="328"/>
      <c r="BB74" s="386"/>
      <c r="BC74" s="386"/>
      <c r="BD74" s="386"/>
      <c r="BE74" s="386"/>
      <c r="BF74" s="386"/>
      <c r="BG74" s="386"/>
      <c r="BH74" s="386"/>
      <c r="BI74" s="386"/>
      <c r="BJ74" s="386"/>
      <c r="BK74" s="386"/>
      <c r="BL74" s="386"/>
      <c r="BM74" s="195"/>
      <c r="BN74" s="205"/>
      <c r="BO74" s="205"/>
      <c r="BP74" s="328"/>
      <c r="BQ74" s="386"/>
      <c r="BR74" s="386"/>
      <c r="BS74" s="386"/>
      <c r="BT74" s="386"/>
      <c r="BU74" s="386"/>
      <c r="BV74" s="386"/>
      <c r="BW74" s="386"/>
      <c r="BX74" s="386"/>
      <c r="BY74" s="386"/>
      <c r="BZ74" s="386"/>
      <c r="CA74" s="386"/>
      <c r="CB74" s="195"/>
    </row>
    <row r="75" spans="1:80" ht="11.85" customHeight="1" outlineLevel="3">
      <c r="A75" s="112"/>
      <c r="B75" s="162" t="s">
        <v>80</v>
      </c>
      <c r="C75" s="213">
        <v>1</v>
      </c>
      <c r="D75" s="214" t="s">
        <v>68</v>
      </c>
      <c r="E75" s="114"/>
      <c r="F75" s="196"/>
      <c r="G75" s="194"/>
      <c r="H75" s="328"/>
      <c r="I75" s="328"/>
      <c r="J75" s="328"/>
      <c r="K75" s="386"/>
      <c r="L75" s="386"/>
      <c r="M75" s="386"/>
      <c r="N75" s="386"/>
      <c r="O75" s="386"/>
      <c r="P75" s="386"/>
      <c r="Q75" s="386"/>
      <c r="R75" s="386"/>
      <c r="S75" s="386"/>
      <c r="T75" s="195"/>
      <c r="U75" s="196"/>
      <c r="V75" s="194"/>
      <c r="W75" s="328" t="str">
        <f>IF('Design Fee'!H75&gt;0,2,"-")</f>
        <v>-</v>
      </c>
      <c r="X75" s="386" t="str">
        <f>IF('Design Fee'!J75&gt;0,2,"-")</f>
        <v>-</v>
      </c>
      <c r="Y75" s="386" t="str">
        <f>IF('Design Fee'!K75&gt;0,2,"-")</f>
        <v>-</v>
      </c>
      <c r="Z75" s="386" t="str">
        <f>IF('Design Fee'!L75&gt;0,2,"-")</f>
        <v>-</v>
      </c>
      <c r="AA75" s="386" t="str">
        <f>IF('Design Fee'!M75&gt;0,2,"-")</f>
        <v>-</v>
      </c>
      <c r="AB75" s="386" t="str">
        <f>IF('Design Fee'!N75&gt;0,2,"-")</f>
        <v>-</v>
      </c>
      <c r="AC75" s="386" t="str">
        <f>IF('Design Fee'!O75&gt;0,2,"-")</f>
        <v>-</v>
      </c>
      <c r="AD75" s="386" t="str">
        <f>IF('Design Fee'!Q75&gt;0,2,"-")</f>
        <v>-</v>
      </c>
      <c r="AE75" s="386" t="str">
        <f>IF('Design Fee'!R75&gt;0,2,"-")</f>
        <v>-</v>
      </c>
      <c r="AF75" s="386" t="str">
        <f>IF('Design Fee'!S75&gt;0,2,"-")</f>
        <v>-</v>
      </c>
      <c r="AG75" s="386" t="str">
        <f>IF('Design Fee'!T75&gt;0,2,"-")</f>
        <v>-</v>
      </c>
      <c r="AH75" s="386" t="str">
        <f>IF('Design Fee'!U75&gt;0,2,"-")</f>
        <v>-</v>
      </c>
      <c r="AI75" s="195"/>
      <c r="AJ75" s="196"/>
      <c r="AK75" s="387"/>
      <c r="AL75" s="328">
        <f>IF('Design Fee'!AR75&gt;0,2,"-")</f>
        <v>2</v>
      </c>
      <c r="AM75" s="386">
        <f>IF('Design Fee'!AT75&gt;0,2,"-")</f>
        <v>2</v>
      </c>
      <c r="AN75" s="386" t="str">
        <f>IF('Design Fee'!AU75&gt;0,2,"-")</f>
        <v>-</v>
      </c>
      <c r="AO75" s="386" t="str">
        <f>IF('Design Fee'!AV75&gt;0,2,"-")</f>
        <v>-</v>
      </c>
      <c r="AP75" s="386" t="str">
        <f>IF('Design Fee'!AW75&gt;0,2,"-")</f>
        <v>-</v>
      </c>
      <c r="AQ75" s="386" t="str">
        <f>IF('Design Fee'!AX75&gt;0,2,"-")</f>
        <v>-</v>
      </c>
      <c r="AR75" s="386" t="str">
        <f>IF('Design Fee'!AY75&gt;0,2,"-")</f>
        <v>-</v>
      </c>
      <c r="AS75" s="386" t="str">
        <f>IF('Design Fee'!BA75&gt;0,2,"-")</f>
        <v>-</v>
      </c>
      <c r="AT75" s="386" t="str">
        <f>IF('Design Fee'!BB75&gt;0,2,"-")</f>
        <v>-</v>
      </c>
      <c r="AU75" s="386" t="str">
        <f>IF('Design Fee'!BC75&gt;0,2,"-")</f>
        <v>-</v>
      </c>
      <c r="AV75" s="386" t="str">
        <f>IF('Design Fee'!BD75&gt;0,2,"-")</f>
        <v>-</v>
      </c>
      <c r="AW75" s="386" t="str">
        <f>IF('Design Fee'!BE75&gt;0,2,"-")</f>
        <v>-</v>
      </c>
      <c r="AX75" s="195"/>
      <c r="AY75" s="196"/>
      <c r="AZ75" s="387"/>
      <c r="BA75" s="328" t="str">
        <f>IF('Design Fee'!CB75&gt;0,2,"-")</f>
        <v>-</v>
      </c>
      <c r="BB75" s="386" t="str">
        <f>IF('Design Fee'!CD75&gt;0,2,"-")</f>
        <v>-</v>
      </c>
      <c r="BC75" s="386" t="str">
        <f>IF('Design Fee'!CE75&gt;0,2,"-")</f>
        <v>-</v>
      </c>
      <c r="BD75" s="386" t="str">
        <f>IF('Design Fee'!CF75&gt;0,2,"-")</f>
        <v>-</v>
      </c>
      <c r="BE75" s="386" t="str">
        <f>IF('Design Fee'!CG75&gt;0,2,"-")</f>
        <v>-</v>
      </c>
      <c r="BF75" s="386" t="str">
        <f>IF('Design Fee'!CH75&gt;0,2,"-")</f>
        <v>-</v>
      </c>
      <c r="BG75" s="386" t="str">
        <f>IF('Design Fee'!CI75&gt;0,2,"-")</f>
        <v>-</v>
      </c>
      <c r="BH75" s="386" t="str">
        <f>IF('Design Fee'!CK75&gt;0,2,"-")</f>
        <v>-</v>
      </c>
      <c r="BI75" s="386" t="str">
        <f>IF('Design Fee'!CL75&gt;0,2,"-")</f>
        <v>-</v>
      </c>
      <c r="BJ75" s="386" t="str">
        <f>IF('Design Fee'!CM75&gt;0,2,"-")</f>
        <v>-</v>
      </c>
      <c r="BK75" s="386" t="str">
        <f>IF('Design Fee'!CN75&gt;0,2,"-")</f>
        <v>-</v>
      </c>
      <c r="BL75" s="386" t="str">
        <f>IF('Design Fee'!CO75&gt;0,2,"-")</f>
        <v>-</v>
      </c>
      <c r="BM75" s="195"/>
      <c r="BN75" s="196"/>
      <c r="BO75" s="387"/>
      <c r="BP75" s="328" t="str">
        <f>IF('Design Fee'!DL75&gt;0,2,"-")</f>
        <v>-</v>
      </c>
      <c r="BQ75" s="386" t="str">
        <f>IF('Design Fee'!DN75&gt;0,2,"-")</f>
        <v>-</v>
      </c>
      <c r="BR75" s="386" t="str">
        <f>IF('Design Fee'!DO75&gt;0,2,"-")</f>
        <v>-</v>
      </c>
      <c r="BS75" s="386" t="str">
        <f>IF('Design Fee'!DP75&gt;0,2,"-")</f>
        <v>-</v>
      </c>
      <c r="BT75" s="386" t="str">
        <f>IF('Design Fee'!DQ75&gt;0,2,"-")</f>
        <v>-</v>
      </c>
      <c r="BU75" s="386" t="str">
        <f>IF('Design Fee'!DR75&gt;0,2,"-")</f>
        <v>-</v>
      </c>
      <c r="BV75" s="386" t="str">
        <f>IF('Design Fee'!DS75&gt;0,2,"-")</f>
        <v>-</v>
      </c>
      <c r="BW75" s="386" t="str">
        <f>IF('Design Fee'!DU75&gt;0,2,"-")</f>
        <v>-</v>
      </c>
      <c r="BX75" s="386" t="str">
        <f>IF('Design Fee'!DV75&gt;0,2,"-")</f>
        <v>-</v>
      </c>
      <c r="BY75" s="386" t="str">
        <f>IF('Design Fee'!DW75&gt;0,2,"-")</f>
        <v>-</v>
      </c>
      <c r="BZ75" s="386" t="str">
        <f>IF('Design Fee'!DX75&gt;0,2,"-")</f>
        <v>-</v>
      </c>
      <c r="CA75" s="386" t="str">
        <f>IF('Design Fee'!DY75&gt;0,2,"-")</f>
        <v>-</v>
      </c>
      <c r="CB75" s="195"/>
    </row>
    <row r="76" spans="1:80" ht="11.85" customHeight="1" outlineLevel="3">
      <c r="A76" s="112"/>
      <c r="B76" s="162" t="s">
        <v>81</v>
      </c>
      <c r="C76" s="213">
        <v>2</v>
      </c>
      <c r="D76" s="214" t="s">
        <v>70</v>
      </c>
      <c r="E76" s="114"/>
      <c r="F76" s="196"/>
      <c r="G76" s="194"/>
      <c r="H76" s="328"/>
      <c r="I76" s="328"/>
      <c r="J76" s="328"/>
      <c r="K76" s="386"/>
      <c r="L76" s="386"/>
      <c r="M76" s="386"/>
      <c r="N76" s="386"/>
      <c r="O76" s="386"/>
      <c r="P76" s="386"/>
      <c r="Q76" s="386"/>
      <c r="R76" s="386"/>
      <c r="S76" s="386"/>
      <c r="T76" s="195"/>
      <c r="U76" s="196"/>
      <c r="V76" s="194"/>
      <c r="W76" s="328" t="str">
        <f>IF('Design Fee'!H76&gt;0,2,"-")</f>
        <v>-</v>
      </c>
      <c r="X76" s="386" t="str">
        <f>IF('Design Fee'!J76&gt;0,2,"-")</f>
        <v>-</v>
      </c>
      <c r="Y76" s="386" t="str">
        <f>IF('Design Fee'!K76&gt;0,2,"-")</f>
        <v>-</v>
      </c>
      <c r="Z76" s="386" t="str">
        <f>IF('Design Fee'!L76&gt;0,2,"-")</f>
        <v>-</v>
      </c>
      <c r="AA76" s="386" t="str">
        <f>IF('Design Fee'!M76&gt;0,2,"-")</f>
        <v>-</v>
      </c>
      <c r="AB76" s="386" t="str">
        <f>IF('Design Fee'!N76&gt;0,2,"-")</f>
        <v>-</v>
      </c>
      <c r="AC76" s="386" t="str">
        <f>IF('Design Fee'!O76&gt;0,2,"-")</f>
        <v>-</v>
      </c>
      <c r="AD76" s="386" t="str">
        <f>IF('Design Fee'!Q76&gt;0,2,"-")</f>
        <v>-</v>
      </c>
      <c r="AE76" s="386" t="str">
        <f>IF('Design Fee'!R76&gt;0,2,"-")</f>
        <v>-</v>
      </c>
      <c r="AF76" s="386" t="str">
        <f>IF('Design Fee'!S76&gt;0,2,"-")</f>
        <v>-</v>
      </c>
      <c r="AG76" s="386" t="str">
        <f>IF('Design Fee'!T76&gt;0,2,"-")</f>
        <v>-</v>
      </c>
      <c r="AH76" s="386" t="str">
        <f>IF('Design Fee'!U76&gt;0,2,"-")</f>
        <v>-</v>
      </c>
      <c r="AI76" s="195"/>
      <c r="AJ76" s="196"/>
      <c r="AK76" s="387"/>
      <c r="AL76" s="328">
        <f>IF('Design Fee'!AR76&gt;0,2,"-")</f>
        <v>2</v>
      </c>
      <c r="AM76" s="386">
        <f>IF('Design Fee'!AT76&gt;0,2,"-")</f>
        <v>2</v>
      </c>
      <c r="AN76" s="386" t="str">
        <f>IF('Design Fee'!AU76&gt;0,2,"-")</f>
        <v>-</v>
      </c>
      <c r="AO76" s="386" t="str">
        <f>IF('Design Fee'!AV76&gt;0,2,"-")</f>
        <v>-</v>
      </c>
      <c r="AP76" s="386" t="str">
        <f>IF('Design Fee'!AW76&gt;0,2,"-")</f>
        <v>-</v>
      </c>
      <c r="AQ76" s="386" t="str">
        <f>IF('Design Fee'!AX76&gt;0,2,"-")</f>
        <v>-</v>
      </c>
      <c r="AR76" s="386" t="str">
        <f>IF('Design Fee'!AY76&gt;0,2,"-")</f>
        <v>-</v>
      </c>
      <c r="AS76" s="386" t="str">
        <f>IF('Design Fee'!BA76&gt;0,2,"-")</f>
        <v>-</v>
      </c>
      <c r="AT76" s="386" t="str">
        <f>IF('Design Fee'!BB76&gt;0,2,"-")</f>
        <v>-</v>
      </c>
      <c r="AU76" s="386" t="str">
        <f>IF('Design Fee'!BC76&gt;0,2,"-")</f>
        <v>-</v>
      </c>
      <c r="AV76" s="386" t="str">
        <f>IF('Design Fee'!BD76&gt;0,2,"-")</f>
        <v>-</v>
      </c>
      <c r="AW76" s="386" t="str">
        <f>IF('Design Fee'!BE76&gt;0,2,"-")</f>
        <v>-</v>
      </c>
      <c r="AX76" s="195"/>
      <c r="AY76" s="196"/>
      <c r="AZ76" s="387"/>
      <c r="BA76" s="328" t="str">
        <f>IF('Design Fee'!CB76&gt;0,2,"-")</f>
        <v>-</v>
      </c>
      <c r="BB76" s="386" t="str">
        <f>IF('Design Fee'!CD76&gt;0,2,"-")</f>
        <v>-</v>
      </c>
      <c r="BC76" s="386" t="str">
        <f>IF('Design Fee'!CE76&gt;0,2,"-")</f>
        <v>-</v>
      </c>
      <c r="BD76" s="386" t="str">
        <f>IF('Design Fee'!CF76&gt;0,2,"-")</f>
        <v>-</v>
      </c>
      <c r="BE76" s="386" t="str">
        <f>IF('Design Fee'!CG76&gt;0,2,"-")</f>
        <v>-</v>
      </c>
      <c r="BF76" s="386" t="str">
        <f>IF('Design Fee'!CH76&gt;0,2,"-")</f>
        <v>-</v>
      </c>
      <c r="BG76" s="386" t="str">
        <f>IF('Design Fee'!CI76&gt;0,2,"-")</f>
        <v>-</v>
      </c>
      <c r="BH76" s="386" t="str">
        <f>IF('Design Fee'!CK76&gt;0,2,"-")</f>
        <v>-</v>
      </c>
      <c r="BI76" s="386" t="str">
        <f>IF('Design Fee'!CL76&gt;0,2,"-")</f>
        <v>-</v>
      </c>
      <c r="BJ76" s="386" t="str">
        <f>IF('Design Fee'!CM76&gt;0,2,"-")</f>
        <v>-</v>
      </c>
      <c r="BK76" s="386" t="str">
        <f>IF('Design Fee'!CN76&gt;0,2,"-")</f>
        <v>-</v>
      </c>
      <c r="BL76" s="386" t="str">
        <f>IF('Design Fee'!CO76&gt;0,2,"-")</f>
        <v>-</v>
      </c>
      <c r="BM76" s="195"/>
      <c r="BN76" s="196"/>
      <c r="BO76" s="387"/>
      <c r="BP76" s="328" t="str">
        <f>IF('Design Fee'!DL76&gt;0,2,"-")</f>
        <v>-</v>
      </c>
      <c r="BQ76" s="386" t="str">
        <f>IF('Design Fee'!DN76&gt;0,2,"-")</f>
        <v>-</v>
      </c>
      <c r="BR76" s="386" t="str">
        <f>IF('Design Fee'!DO76&gt;0,2,"-")</f>
        <v>-</v>
      </c>
      <c r="BS76" s="386" t="str">
        <f>IF('Design Fee'!DP76&gt;0,2,"-")</f>
        <v>-</v>
      </c>
      <c r="BT76" s="386" t="str">
        <f>IF('Design Fee'!DQ76&gt;0,2,"-")</f>
        <v>-</v>
      </c>
      <c r="BU76" s="386" t="str">
        <f>IF('Design Fee'!DR76&gt;0,2,"-")</f>
        <v>-</v>
      </c>
      <c r="BV76" s="386" t="str">
        <f>IF('Design Fee'!DS76&gt;0,2,"-")</f>
        <v>-</v>
      </c>
      <c r="BW76" s="386" t="str">
        <f>IF('Design Fee'!DU76&gt;0,2,"-")</f>
        <v>-</v>
      </c>
      <c r="BX76" s="386" t="str">
        <f>IF('Design Fee'!DV76&gt;0,2,"-")</f>
        <v>-</v>
      </c>
      <c r="BY76" s="386" t="str">
        <f>IF('Design Fee'!DW76&gt;0,2,"-")</f>
        <v>-</v>
      </c>
      <c r="BZ76" s="386" t="str">
        <f>IF('Design Fee'!DX76&gt;0,2,"-")</f>
        <v>-</v>
      </c>
      <c r="CA76" s="386" t="str">
        <f>IF('Design Fee'!DY76&gt;0,2,"-")</f>
        <v>-</v>
      </c>
      <c r="CB76" s="195"/>
    </row>
    <row r="77" spans="1:80" ht="11.85" customHeight="1" outlineLevel="3">
      <c r="A77" s="112"/>
      <c r="B77" s="162" t="s">
        <v>82</v>
      </c>
      <c r="C77" s="213">
        <v>3</v>
      </c>
      <c r="D77" s="214" t="s">
        <v>72</v>
      </c>
      <c r="E77" s="114"/>
      <c r="F77" s="196"/>
      <c r="G77" s="194"/>
      <c r="H77" s="328"/>
      <c r="I77" s="328"/>
      <c r="J77" s="328"/>
      <c r="K77" s="386"/>
      <c r="L77" s="386"/>
      <c r="M77" s="386"/>
      <c r="N77" s="386"/>
      <c r="O77" s="386"/>
      <c r="P77" s="386"/>
      <c r="Q77" s="386"/>
      <c r="R77" s="386"/>
      <c r="S77" s="386"/>
      <c r="T77" s="195"/>
      <c r="U77" s="196"/>
      <c r="V77" s="194"/>
      <c r="W77" s="328" t="str">
        <f>IF('Design Fee'!H77&gt;0,2,"-")</f>
        <v>-</v>
      </c>
      <c r="X77" s="386" t="str">
        <f>IF('Design Fee'!J77&gt;0,2,"-")</f>
        <v>-</v>
      </c>
      <c r="Y77" s="386" t="str">
        <f>IF('Design Fee'!K77&gt;0,2,"-")</f>
        <v>-</v>
      </c>
      <c r="Z77" s="386" t="str">
        <f>IF('Design Fee'!L77&gt;0,2,"-")</f>
        <v>-</v>
      </c>
      <c r="AA77" s="386" t="str">
        <f>IF('Design Fee'!M77&gt;0,2,"-")</f>
        <v>-</v>
      </c>
      <c r="AB77" s="386" t="str">
        <f>IF('Design Fee'!N77&gt;0,2,"-")</f>
        <v>-</v>
      </c>
      <c r="AC77" s="386" t="str">
        <f>IF('Design Fee'!O77&gt;0,2,"-")</f>
        <v>-</v>
      </c>
      <c r="AD77" s="386" t="str">
        <f>IF('Design Fee'!Q77&gt;0,2,"-")</f>
        <v>-</v>
      </c>
      <c r="AE77" s="386" t="str">
        <f>IF('Design Fee'!R77&gt;0,2,"-")</f>
        <v>-</v>
      </c>
      <c r="AF77" s="386" t="str">
        <f>IF('Design Fee'!S77&gt;0,2,"-")</f>
        <v>-</v>
      </c>
      <c r="AG77" s="386" t="str">
        <f>IF('Design Fee'!T77&gt;0,2,"-")</f>
        <v>-</v>
      </c>
      <c r="AH77" s="386" t="str">
        <f>IF('Design Fee'!U77&gt;0,2,"-")</f>
        <v>-</v>
      </c>
      <c r="AI77" s="195"/>
      <c r="AJ77" s="196"/>
      <c r="AK77" s="387"/>
      <c r="AL77" s="328">
        <f>IF('Design Fee'!AR77&gt;0,2,"-")</f>
        <v>2</v>
      </c>
      <c r="AM77" s="386">
        <f>IF('Design Fee'!AT77&gt;0,2,"-")</f>
        <v>2</v>
      </c>
      <c r="AN77" s="386" t="str">
        <f>IF('Design Fee'!AU77&gt;0,2,"-")</f>
        <v>-</v>
      </c>
      <c r="AO77" s="386" t="str">
        <f>IF('Design Fee'!AV77&gt;0,2,"-")</f>
        <v>-</v>
      </c>
      <c r="AP77" s="386" t="str">
        <f>IF('Design Fee'!AW77&gt;0,2,"-")</f>
        <v>-</v>
      </c>
      <c r="AQ77" s="386" t="str">
        <f>IF('Design Fee'!AX77&gt;0,2,"-")</f>
        <v>-</v>
      </c>
      <c r="AR77" s="386" t="str">
        <f>IF('Design Fee'!AY77&gt;0,2,"-")</f>
        <v>-</v>
      </c>
      <c r="AS77" s="386" t="str">
        <f>IF('Design Fee'!BA77&gt;0,2,"-")</f>
        <v>-</v>
      </c>
      <c r="AT77" s="386" t="str">
        <f>IF('Design Fee'!BB77&gt;0,2,"-")</f>
        <v>-</v>
      </c>
      <c r="AU77" s="386" t="str">
        <f>IF('Design Fee'!BC77&gt;0,2,"-")</f>
        <v>-</v>
      </c>
      <c r="AV77" s="386" t="str">
        <f>IF('Design Fee'!BD77&gt;0,2,"-")</f>
        <v>-</v>
      </c>
      <c r="AW77" s="386" t="str">
        <f>IF('Design Fee'!BE77&gt;0,2,"-")</f>
        <v>-</v>
      </c>
      <c r="AX77" s="195"/>
      <c r="AY77" s="196"/>
      <c r="AZ77" s="387"/>
      <c r="BA77" s="328" t="str">
        <f>IF('Design Fee'!CB77&gt;0,2,"-")</f>
        <v>-</v>
      </c>
      <c r="BB77" s="386" t="str">
        <f>IF('Design Fee'!CD77&gt;0,2,"-")</f>
        <v>-</v>
      </c>
      <c r="BC77" s="386" t="str">
        <f>IF('Design Fee'!CE77&gt;0,2,"-")</f>
        <v>-</v>
      </c>
      <c r="BD77" s="386" t="str">
        <f>IF('Design Fee'!CF77&gt;0,2,"-")</f>
        <v>-</v>
      </c>
      <c r="BE77" s="386" t="str">
        <f>IF('Design Fee'!CG77&gt;0,2,"-")</f>
        <v>-</v>
      </c>
      <c r="BF77" s="386" t="str">
        <f>IF('Design Fee'!CH77&gt;0,2,"-")</f>
        <v>-</v>
      </c>
      <c r="BG77" s="386" t="str">
        <f>IF('Design Fee'!CI77&gt;0,2,"-")</f>
        <v>-</v>
      </c>
      <c r="BH77" s="386" t="str">
        <f>IF('Design Fee'!CK77&gt;0,2,"-")</f>
        <v>-</v>
      </c>
      <c r="BI77" s="386" t="str">
        <f>IF('Design Fee'!CL77&gt;0,2,"-")</f>
        <v>-</v>
      </c>
      <c r="BJ77" s="386" t="str">
        <f>IF('Design Fee'!CM77&gt;0,2,"-")</f>
        <v>-</v>
      </c>
      <c r="BK77" s="386" t="str">
        <f>IF('Design Fee'!CN77&gt;0,2,"-")</f>
        <v>-</v>
      </c>
      <c r="BL77" s="386" t="str">
        <f>IF('Design Fee'!CO77&gt;0,2,"-")</f>
        <v>-</v>
      </c>
      <c r="BM77" s="195"/>
      <c r="BN77" s="196"/>
      <c r="BO77" s="387"/>
      <c r="BP77" s="328" t="str">
        <f>IF('Design Fee'!DL77&gt;0,2,"-")</f>
        <v>-</v>
      </c>
      <c r="BQ77" s="386" t="str">
        <f>IF('Design Fee'!DN77&gt;0,2,"-")</f>
        <v>-</v>
      </c>
      <c r="BR77" s="386" t="str">
        <f>IF('Design Fee'!DO77&gt;0,2,"-")</f>
        <v>-</v>
      </c>
      <c r="BS77" s="386" t="str">
        <f>IF('Design Fee'!DP77&gt;0,2,"-")</f>
        <v>-</v>
      </c>
      <c r="BT77" s="386" t="str">
        <f>IF('Design Fee'!DQ77&gt;0,2,"-")</f>
        <v>-</v>
      </c>
      <c r="BU77" s="386" t="str">
        <f>IF('Design Fee'!DR77&gt;0,2,"-")</f>
        <v>-</v>
      </c>
      <c r="BV77" s="386" t="str">
        <f>IF('Design Fee'!DS77&gt;0,2,"-")</f>
        <v>-</v>
      </c>
      <c r="BW77" s="386" t="str">
        <f>IF('Design Fee'!DU77&gt;0,2,"-")</f>
        <v>-</v>
      </c>
      <c r="BX77" s="386" t="str">
        <f>IF('Design Fee'!DV77&gt;0,2,"-")</f>
        <v>-</v>
      </c>
      <c r="BY77" s="386" t="str">
        <f>IF('Design Fee'!DW77&gt;0,2,"-")</f>
        <v>-</v>
      </c>
      <c r="BZ77" s="386" t="str">
        <f>IF('Design Fee'!DX77&gt;0,2,"-")</f>
        <v>-</v>
      </c>
      <c r="CA77" s="386" t="str">
        <f>IF('Design Fee'!DY77&gt;0,2,"-")</f>
        <v>-</v>
      </c>
      <c r="CB77" s="195"/>
    </row>
    <row r="78" spans="1:80" ht="3" customHeight="1" outlineLevel="2">
      <c r="A78" s="112"/>
      <c r="B78" s="165"/>
      <c r="C78" s="165"/>
      <c r="D78" s="114"/>
      <c r="E78" s="114"/>
      <c r="F78" s="115"/>
      <c r="G78" s="116"/>
      <c r="H78" s="124"/>
      <c r="I78" s="124"/>
      <c r="J78" s="124"/>
      <c r="K78" s="125"/>
      <c r="L78" s="125"/>
      <c r="M78" s="125"/>
      <c r="N78" s="125"/>
      <c r="O78" s="125"/>
      <c r="P78" s="125"/>
      <c r="Q78" s="125"/>
      <c r="R78" s="125"/>
      <c r="S78" s="125"/>
      <c r="T78" s="327"/>
      <c r="U78" s="327"/>
      <c r="V78" s="327"/>
      <c r="W78" s="327"/>
      <c r="X78" s="327"/>
      <c r="Y78" s="327"/>
      <c r="Z78" s="327"/>
      <c r="AA78" s="327"/>
      <c r="AB78" s="327"/>
      <c r="AC78" s="327"/>
      <c r="AD78" s="327"/>
      <c r="AE78" s="327"/>
      <c r="AF78" s="327"/>
      <c r="AG78" s="327"/>
      <c r="AH78" s="327"/>
      <c r="AI78" s="327"/>
      <c r="AJ78" s="327"/>
      <c r="AK78" s="327"/>
      <c r="AL78" s="327"/>
      <c r="AM78" s="327"/>
      <c r="AN78" s="327"/>
      <c r="AO78" s="327"/>
      <c r="AP78" s="327"/>
      <c r="AQ78" s="327"/>
      <c r="AR78" s="327"/>
      <c r="AS78" s="327"/>
      <c r="AT78" s="327"/>
      <c r="AU78" s="327"/>
      <c r="AV78" s="327"/>
      <c r="AW78" s="327"/>
      <c r="AX78" s="327"/>
      <c r="AY78" s="327"/>
      <c r="AZ78" s="327"/>
      <c r="BA78" s="327"/>
      <c r="BB78" s="327"/>
      <c r="BC78" s="327"/>
      <c r="BD78" s="327"/>
      <c r="BE78" s="327"/>
      <c r="BF78" s="327"/>
      <c r="BG78" s="327"/>
      <c r="BH78" s="327"/>
      <c r="BI78" s="327"/>
      <c r="BJ78" s="327"/>
      <c r="BK78" s="327"/>
      <c r="BL78" s="327"/>
      <c r="BM78" s="327"/>
      <c r="BN78" s="327"/>
      <c r="BO78" s="327"/>
      <c r="BP78" s="327"/>
      <c r="BQ78" s="327"/>
      <c r="BR78" s="327"/>
      <c r="BS78" s="327"/>
      <c r="BT78" s="327"/>
      <c r="BU78" s="327"/>
      <c r="BV78" s="327"/>
      <c r="BW78" s="327"/>
      <c r="BX78" s="327"/>
      <c r="BY78" s="327"/>
      <c r="BZ78" s="327"/>
      <c r="CA78" s="327"/>
      <c r="CB78" s="195"/>
    </row>
    <row r="79" spans="1:80" ht="11.85" customHeight="1" outlineLevel="2">
      <c r="A79" s="112"/>
      <c r="B79" s="165">
        <v>3.3</v>
      </c>
      <c r="C79" s="165">
        <v>3.3</v>
      </c>
      <c r="D79" s="161" t="s">
        <v>83</v>
      </c>
      <c r="E79" s="114"/>
      <c r="F79" s="115"/>
      <c r="G79" s="116"/>
      <c r="H79" s="124"/>
      <c r="I79" s="124"/>
      <c r="J79" s="124"/>
      <c r="K79" s="125"/>
      <c r="L79" s="125"/>
      <c r="M79" s="125"/>
      <c r="N79" s="125"/>
      <c r="O79" s="125"/>
      <c r="P79" s="125"/>
      <c r="Q79" s="125"/>
      <c r="R79" s="125"/>
      <c r="S79" s="125"/>
      <c r="T79" s="195"/>
      <c r="U79" s="205"/>
      <c r="V79" s="205"/>
      <c r="W79" s="183"/>
      <c r="X79" s="386"/>
      <c r="Y79" s="386"/>
      <c r="Z79" s="386"/>
      <c r="AA79" s="386"/>
      <c r="AB79" s="386"/>
      <c r="AC79" s="386"/>
      <c r="AD79" s="386"/>
      <c r="AE79" s="386"/>
      <c r="AF79" s="386"/>
      <c r="AG79" s="386"/>
      <c r="AH79" s="386"/>
      <c r="AI79" s="195"/>
      <c r="AJ79" s="205"/>
      <c r="AK79" s="205"/>
      <c r="AL79" s="183"/>
      <c r="AM79" s="391"/>
      <c r="AN79" s="391"/>
      <c r="AO79" s="391"/>
      <c r="AP79" s="391"/>
      <c r="AQ79" s="391"/>
      <c r="AR79" s="391"/>
      <c r="AS79" s="391"/>
      <c r="AT79" s="391"/>
      <c r="AU79" s="391"/>
      <c r="AV79" s="391"/>
      <c r="AW79" s="391"/>
      <c r="AX79" s="195"/>
      <c r="AY79" s="205"/>
      <c r="AZ79" s="205"/>
      <c r="BA79" s="328"/>
      <c r="BB79" s="386"/>
      <c r="BC79" s="386"/>
      <c r="BD79" s="386"/>
      <c r="BE79" s="386"/>
      <c r="BF79" s="386"/>
      <c r="BG79" s="386"/>
      <c r="BH79" s="386"/>
      <c r="BI79" s="386"/>
      <c r="BJ79" s="386"/>
      <c r="BK79" s="386"/>
      <c r="BL79" s="386"/>
      <c r="BM79" s="195"/>
      <c r="BN79" s="205"/>
      <c r="BO79" s="205"/>
      <c r="BP79" s="328"/>
      <c r="BQ79" s="386"/>
      <c r="BR79" s="386"/>
      <c r="BS79" s="386"/>
      <c r="BT79" s="386"/>
      <c r="BU79" s="386"/>
      <c r="BV79" s="386"/>
      <c r="BW79" s="386"/>
      <c r="BX79" s="386"/>
      <c r="BY79" s="386"/>
      <c r="BZ79" s="386"/>
      <c r="CA79" s="386"/>
      <c r="CB79" s="195"/>
    </row>
    <row r="80" spans="1:80" ht="11.85" customHeight="1" outlineLevel="3">
      <c r="A80" s="112"/>
      <c r="B80" s="162" t="s">
        <v>84</v>
      </c>
      <c r="C80" s="213">
        <v>1</v>
      </c>
      <c r="D80" s="214" t="s">
        <v>68</v>
      </c>
      <c r="E80" s="114"/>
      <c r="F80" s="197"/>
      <c r="G80" s="194"/>
      <c r="H80" s="183"/>
      <c r="I80" s="183"/>
      <c r="J80" s="183"/>
      <c r="K80" s="391"/>
      <c r="L80" s="391"/>
      <c r="M80" s="386"/>
      <c r="N80" s="386"/>
      <c r="O80" s="386"/>
      <c r="P80" s="386"/>
      <c r="Q80" s="391"/>
      <c r="R80" s="386"/>
      <c r="S80" s="386"/>
      <c r="T80" s="347"/>
      <c r="U80" s="197"/>
      <c r="V80" s="194"/>
      <c r="W80" s="183" t="str">
        <f>IF('Design Fee'!H80&gt;0,2,"-")</f>
        <v>-</v>
      </c>
      <c r="X80" s="391" t="str">
        <f>IF('Design Fee'!J80&gt;0,2,"-")</f>
        <v>-</v>
      </c>
      <c r="Y80" s="391" t="str">
        <f>IF('Design Fee'!K80&gt;0,2,"-")</f>
        <v>-</v>
      </c>
      <c r="Z80" s="386" t="str">
        <f>IF('Design Fee'!L80&gt;0,2,"-")</f>
        <v>-</v>
      </c>
      <c r="AA80" s="386" t="str">
        <f>IF('Design Fee'!M80&gt;0,2,"-")</f>
        <v>-</v>
      </c>
      <c r="AB80" s="386" t="str">
        <f>IF('Design Fee'!N80&gt;0,2,"-")</f>
        <v>-</v>
      </c>
      <c r="AC80" s="386" t="str">
        <f>IF('Design Fee'!O80&gt;0,2,"-")</f>
        <v>-</v>
      </c>
      <c r="AD80" s="391" t="str">
        <f>IF('Design Fee'!Q80&gt;0,2,"-")</f>
        <v>-</v>
      </c>
      <c r="AE80" s="386" t="str">
        <f>IF('Design Fee'!R80&gt;0,2,"-")</f>
        <v>-</v>
      </c>
      <c r="AF80" s="386" t="str">
        <f>IF('Design Fee'!S80&gt;0,2,"-")</f>
        <v>-</v>
      </c>
      <c r="AG80" s="386" t="str">
        <f>IF('Design Fee'!T80&gt;0,2,"-")</f>
        <v>-</v>
      </c>
      <c r="AH80" s="386" t="str">
        <f>IF('Design Fee'!U80&gt;0,2,"-")</f>
        <v>-</v>
      </c>
      <c r="AI80" s="347"/>
      <c r="AJ80" s="197"/>
      <c r="AK80" s="387"/>
      <c r="AL80" s="328">
        <f>IF('Design Fee'!AR80&gt;0,2,"-")</f>
        <v>2</v>
      </c>
      <c r="AM80" s="386" t="str">
        <f>IF('Design Fee'!AT80&gt;0,2,"-")</f>
        <v>-</v>
      </c>
      <c r="AN80" s="386">
        <f>IF('Design Fee'!AU80&gt;0,2,"-")</f>
        <v>2</v>
      </c>
      <c r="AO80" s="386">
        <f>IF('Design Fee'!AV80&gt;0,2,"-")</f>
        <v>2</v>
      </c>
      <c r="AP80" s="386" t="str">
        <f>IF('Design Fee'!AW80&gt;0,2,"-")</f>
        <v>-</v>
      </c>
      <c r="AQ80" s="386" t="str">
        <f>IF('Design Fee'!AX80&gt;0,2,"-")</f>
        <v>-</v>
      </c>
      <c r="AR80" s="386" t="str">
        <f>IF('Design Fee'!AY80&gt;0,2,"-")</f>
        <v>-</v>
      </c>
      <c r="AS80" s="386">
        <f>IF('Design Fee'!BA80&gt;0,2,"-")</f>
        <v>2</v>
      </c>
      <c r="AT80" s="386">
        <f>IF('Design Fee'!BB80&gt;0,2,"-")</f>
        <v>2</v>
      </c>
      <c r="AU80" s="386" t="str">
        <f>IF('Design Fee'!BC80&gt;0,2,"-")</f>
        <v>-</v>
      </c>
      <c r="AV80" s="386" t="str">
        <f>IF('Design Fee'!BD80&gt;0,2,"-")</f>
        <v>-</v>
      </c>
      <c r="AW80" s="386" t="str">
        <f>IF('Design Fee'!BE80&gt;0,2,"-")</f>
        <v>-</v>
      </c>
      <c r="AX80" s="195"/>
      <c r="AY80" s="197"/>
      <c r="AZ80" s="387"/>
      <c r="BA80" s="183" t="str">
        <f>IF('Design Fee'!CB80&gt;0,2,"-")</f>
        <v>-</v>
      </c>
      <c r="BB80" s="391" t="str">
        <f>IF('Design Fee'!CD80&gt;0,2,"-")</f>
        <v>-</v>
      </c>
      <c r="BC80" s="391" t="str">
        <f>IF('Design Fee'!CE80&gt;0,2,"-")</f>
        <v>-</v>
      </c>
      <c r="BD80" s="386" t="str">
        <f>IF('Design Fee'!CF80&gt;0,2,"-")</f>
        <v>-</v>
      </c>
      <c r="BE80" s="386" t="str">
        <f>IF('Design Fee'!CG80&gt;0,2,"-")</f>
        <v>-</v>
      </c>
      <c r="BF80" s="386" t="str">
        <f>IF('Design Fee'!CH80&gt;0,2,"-")</f>
        <v>-</v>
      </c>
      <c r="BG80" s="386" t="str">
        <f>IF('Design Fee'!CI80&gt;0,2,"-")</f>
        <v>-</v>
      </c>
      <c r="BH80" s="386" t="str">
        <f>IF('Design Fee'!CK80&gt;0,2,"-")</f>
        <v>-</v>
      </c>
      <c r="BI80" s="386" t="str">
        <f>IF('Design Fee'!CL80&gt;0,2,"-")</f>
        <v>-</v>
      </c>
      <c r="BJ80" s="386" t="str">
        <f>IF('Design Fee'!CM80&gt;0,2,"-")</f>
        <v>-</v>
      </c>
      <c r="BK80" s="386" t="str">
        <f>IF('Design Fee'!CN80&gt;0,2,"-")</f>
        <v>-</v>
      </c>
      <c r="BL80" s="386" t="str">
        <f>IF('Design Fee'!CO80&gt;0,2,"-")</f>
        <v>-</v>
      </c>
      <c r="BM80" s="347"/>
      <c r="BN80" s="197"/>
      <c r="BO80" s="387"/>
      <c r="BP80" s="183" t="str">
        <f>IF('Design Fee'!DL80&gt;0,2,"-")</f>
        <v>-</v>
      </c>
      <c r="BQ80" s="391" t="str">
        <f>IF('Design Fee'!DN80&gt;0,2,"-")</f>
        <v>-</v>
      </c>
      <c r="BR80" s="391" t="str">
        <f>IF('Design Fee'!DO80&gt;0,2,"-")</f>
        <v>-</v>
      </c>
      <c r="BS80" s="392" t="str">
        <f>IF('Design Fee'!DP80&gt;0,2,"-")</f>
        <v>-</v>
      </c>
      <c r="BT80" s="392" t="str">
        <f>IF('Design Fee'!DQ80&gt;0,2,"-")</f>
        <v>-</v>
      </c>
      <c r="BU80" s="392" t="str">
        <f>IF('Design Fee'!DR80&gt;0,2,"-")</f>
        <v>-</v>
      </c>
      <c r="BV80" s="392" t="str">
        <f>IF('Design Fee'!DS80&gt;0,2,"-")</f>
        <v>-</v>
      </c>
      <c r="BW80" s="386" t="str">
        <f>IF('Design Fee'!DU80&gt;0,2,"-")</f>
        <v>-</v>
      </c>
      <c r="BX80" s="386" t="str">
        <f>IF('Design Fee'!DV80&gt;0,2,"-")</f>
        <v>-</v>
      </c>
      <c r="BY80" s="386" t="str">
        <f>IF('Design Fee'!DW80&gt;0,2,"-")</f>
        <v>-</v>
      </c>
      <c r="BZ80" s="386" t="str">
        <f>IF('Design Fee'!DX80&gt;0,2,"-")</f>
        <v>-</v>
      </c>
      <c r="CA80" s="386" t="str">
        <f>IF('Design Fee'!DY80&gt;0,2,"-")</f>
        <v>-</v>
      </c>
      <c r="CB80" s="347"/>
    </row>
    <row r="81" spans="1:80" ht="11.85" customHeight="1" outlineLevel="3">
      <c r="A81" s="112"/>
      <c r="B81" s="162" t="s">
        <v>85</v>
      </c>
      <c r="C81" s="213">
        <v>2</v>
      </c>
      <c r="D81" s="214" t="s">
        <v>70</v>
      </c>
      <c r="E81" s="114"/>
      <c r="F81" s="197"/>
      <c r="G81" s="194"/>
      <c r="H81" s="328"/>
      <c r="I81" s="328"/>
      <c r="J81" s="328"/>
      <c r="K81" s="386"/>
      <c r="L81" s="386"/>
      <c r="M81" s="386"/>
      <c r="N81" s="386"/>
      <c r="O81" s="386"/>
      <c r="P81" s="386"/>
      <c r="Q81" s="386"/>
      <c r="R81" s="386"/>
      <c r="S81" s="386"/>
      <c r="T81" s="347"/>
      <c r="U81" s="197"/>
      <c r="V81" s="194"/>
      <c r="W81" s="328" t="str">
        <f>IF('Design Fee'!H81&gt;0,2,"-")</f>
        <v>-</v>
      </c>
      <c r="X81" s="386" t="str">
        <f>IF('Design Fee'!J81&gt;0,2,"-")</f>
        <v>-</v>
      </c>
      <c r="Y81" s="386" t="str">
        <f>IF('Design Fee'!K81&gt;0,2,"-")</f>
        <v>-</v>
      </c>
      <c r="Z81" s="386" t="str">
        <f>IF('Design Fee'!L81&gt;0,2,"-")</f>
        <v>-</v>
      </c>
      <c r="AA81" s="386" t="str">
        <f>IF('Design Fee'!M81&gt;0,2,"-")</f>
        <v>-</v>
      </c>
      <c r="AB81" s="386" t="str">
        <f>IF('Design Fee'!N81&gt;0,2,"-")</f>
        <v>-</v>
      </c>
      <c r="AC81" s="386" t="str">
        <f>IF('Design Fee'!O81&gt;0,2,"-")</f>
        <v>-</v>
      </c>
      <c r="AD81" s="386" t="str">
        <f>IF('Design Fee'!Q81&gt;0,2,"-")</f>
        <v>-</v>
      </c>
      <c r="AE81" s="386" t="str">
        <f>IF('Design Fee'!R81&gt;0,2,"-")</f>
        <v>-</v>
      </c>
      <c r="AF81" s="386" t="str">
        <f>IF('Design Fee'!S81&gt;0,2,"-")</f>
        <v>-</v>
      </c>
      <c r="AG81" s="386" t="str">
        <f>IF('Design Fee'!T81&gt;0,2,"-")</f>
        <v>-</v>
      </c>
      <c r="AH81" s="386" t="str">
        <f>IF('Design Fee'!U81&gt;0,2,"-")</f>
        <v>-</v>
      </c>
      <c r="AI81" s="347"/>
      <c r="AJ81" s="197"/>
      <c r="AK81" s="387"/>
      <c r="AL81" s="328">
        <f>IF('Design Fee'!AR81&gt;0,2,"-")</f>
        <v>2</v>
      </c>
      <c r="AM81" s="386" t="str">
        <f>IF('Design Fee'!AT81&gt;0,2,"-")</f>
        <v>-</v>
      </c>
      <c r="AN81" s="386">
        <f>IF('Design Fee'!AU81&gt;0,2,"-")</f>
        <v>2</v>
      </c>
      <c r="AO81" s="386">
        <f>IF('Design Fee'!AV81&gt;0,2,"-")</f>
        <v>2</v>
      </c>
      <c r="AP81" s="386" t="str">
        <f>IF('Design Fee'!AW81&gt;0,2,"-")</f>
        <v>-</v>
      </c>
      <c r="AQ81" s="386" t="str">
        <f>IF('Design Fee'!AX81&gt;0,2,"-")</f>
        <v>-</v>
      </c>
      <c r="AR81" s="386" t="str">
        <f>IF('Design Fee'!AY81&gt;0,2,"-")</f>
        <v>-</v>
      </c>
      <c r="AS81" s="386">
        <f>IF('Design Fee'!BA81&gt;0,2,"-")</f>
        <v>2</v>
      </c>
      <c r="AT81" s="386">
        <f>IF('Design Fee'!BB81&gt;0,2,"-")</f>
        <v>2</v>
      </c>
      <c r="AU81" s="386" t="str">
        <f>IF('Design Fee'!BC81&gt;0,2,"-")</f>
        <v>-</v>
      </c>
      <c r="AV81" s="386" t="str">
        <f>IF('Design Fee'!BD81&gt;0,2,"-")</f>
        <v>-</v>
      </c>
      <c r="AW81" s="386" t="str">
        <f>IF('Design Fee'!BE81&gt;0,2,"-")</f>
        <v>-</v>
      </c>
      <c r="AX81" s="195"/>
      <c r="AY81" s="197"/>
      <c r="AZ81" s="387"/>
      <c r="BA81" s="328" t="str">
        <f>IF('Design Fee'!CB81&gt;0,2,"-")</f>
        <v>-</v>
      </c>
      <c r="BB81" s="386" t="str">
        <f>IF('Design Fee'!CD81&gt;0,2,"-")</f>
        <v>-</v>
      </c>
      <c r="BC81" s="386" t="str">
        <f>IF('Design Fee'!CE81&gt;0,2,"-")</f>
        <v>-</v>
      </c>
      <c r="BD81" s="386" t="str">
        <f>IF('Design Fee'!CF81&gt;0,2,"-")</f>
        <v>-</v>
      </c>
      <c r="BE81" s="386" t="str">
        <f>IF('Design Fee'!CG81&gt;0,2,"-")</f>
        <v>-</v>
      </c>
      <c r="BF81" s="386" t="str">
        <f>IF('Design Fee'!CH81&gt;0,2,"-")</f>
        <v>-</v>
      </c>
      <c r="BG81" s="386" t="str">
        <f>IF('Design Fee'!CI81&gt;0,2,"-")</f>
        <v>-</v>
      </c>
      <c r="BH81" s="386" t="str">
        <f>IF('Design Fee'!CK81&gt;0,2,"-")</f>
        <v>-</v>
      </c>
      <c r="BI81" s="386" t="str">
        <f>IF('Design Fee'!CL81&gt;0,2,"-")</f>
        <v>-</v>
      </c>
      <c r="BJ81" s="386" t="str">
        <f>IF('Design Fee'!CM81&gt;0,2,"-")</f>
        <v>-</v>
      </c>
      <c r="BK81" s="386" t="str">
        <f>IF('Design Fee'!CN81&gt;0,2,"-")</f>
        <v>-</v>
      </c>
      <c r="BL81" s="386" t="str">
        <f>IF('Design Fee'!CO81&gt;0,2,"-")</f>
        <v>-</v>
      </c>
      <c r="BM81" s="347"/>
      <c r="BN81" s="197"/>
      <c r="BO81" s="387"/>
      <c r="BP81" s="328" t="str">
        <f>IF('Design Fee'!DL81&gt;0,2,"-")</f>
        <v>-</v>
      </c>
      <c r="BQ81" s="386" t="str">
        <f>IF('Design Fee'!DN81&gt;0,2,"-")</f>
        <v>-</v>
      </c>
      <c r="BR81" s="386" t="str">
        <f>IF('Design Fee'!DO81&gt;0,2,"-")</f>
        <v>-</v>
      </c>
      <c r="BS81" s="386" t="str">
        <f>IF('Design Fee'!DP81&gt;0,2,"-")</f>
        <v>-</v>
      </c>
      <c r="BT81" s="386" t="str">
        <f>IF('Design Fee'!DQ81&gt;0,2,"-")</f>
        <v>-</v>
      </c>
      <c r="BU81" s="386" t="str">
        <f>IF('Design Fee'!DR81&gt;0,2,"-")</f>
        <v>-</v>
      </c>
      <c r="BV81" s="386" t="str">
        <f>IF('Design Fee'!DS81&gt;0,2,"-")</f>
        <v>-</v>
      </c>
      <c r="BW81" s="386" t="str">
        <f>IF('Design Fee'!DU81&gt;0,2,"-")</f>
        <v>-</v>
      </c>
      <c r="BX81" s="386" t="str">
        <f>IF('Design Fee'!DV81&gt;0,2,"-")</f>
        <v>-</v>
      </c>
      <c r="BY81" s="386" t="str">
        <f>IF('Design Fee'!DW81&gt;0,2,"-")</f>
        <v>-</v>
      </c>
      <c r="BZ81" s="386" t="str">
        <f>IF('Design Fee'!DX81&gt;0,2,"-")</f>
        <v>-</v>
      </c>
      <c r="CA81" s="386" t="str">
        <f>IF('Design Fee'!DY81&gt;0,2,"-")</f>
        <v>-</v>
      </c>
      <c r="CB81" s="347"/>
    </row>
    <row r="82" spans="1:80" ht="11.85" customHeight="1" outlineLevel="3">
      <c r="A82" s="112"/>
      <c r="B82" s="162" t="s">
        <v>86</v>
      </c>
      <c r="C82" s="213">
        <v>3</v>
      </c>
      <c r="D82" s="214" t="s">
        <v>72</v>
      </c>
      <c r="E82" s="114"/>
      <c r="F82" s="197"/>
      <c r="G82" s="194"/>
      <c r="H82" s="328"/>
      <c r="I82" s="328"/>
      <c r="J82" s="328"/>
      <c r="K82" s="386"/>
      <c r="L82" s="386"/>
      <c r="M82" s="386"/>
      <c r="N82" s="386"/>
      <c r="O82" s="386"/>
      <c r="P82" s="386"/>
      <c r="Q82" s="386"/>
      <c r="R82" s="386"/>
      <c r="S82" s="386"/>
      <c r="T82" s="195"/>
      <c r="U82" s="197"/>
      <c r="V82" s="194"/>
      <c r="W82" s="328" t="str">
        <f>IF('Design Fee'!H82&gt;0,2,"-")</f>
        <v>-</v>
      </c>
      <c r="X82" s="386" t="str">
        <f>IF('Design Fee'!J82&gt;0,2,"-")</f>
        <v>-</v>
      </c>
      <c r="Y82" s="386" t="str">
        <f>IF('Design Fee'!K82&gt;0,2,"-")</f>
        <v>-</v>
      </c>
      <c r="Z82" s="386" t="str">
        <f>IF('Design Fee'!L82&gt;0,2,"-")</f>
        <v>-</v>
      </c>
      <c r="AA82" s="386" t="str">
        <f>IF('Design Fee'!M82&gt;0,2,"-")</f>
        <v>-</v>
      </c>
      <c r="AB82" s="386" t="str">
        <f>IF('Design Fee'!N82&gt;0,2,"-")</f>
        <v>-</v>
      </c>
      <c r="AC82" s="386" t="str">
        <f>IF('Design Fee'!O82&gt;0,2,"-")</f>
        <v>-</v>
      </c>
      <c r="AD82" s="386" t="str">
        <f>IF('Design Fee'!Q82&gt;0,2,"-")</f>
        <v>-</v>
      </c>
      <c r="AE82" s="386" t="str">
        <f>IF('Design Fee'!R82&gt;0,2,"-")</f>
        <v>-</v>
      </c>
      <c r="AF82" s="386" t="str">
        <f>IF('Design Fee'!S82&gt;0,2,"-")</f>
        <v>-</v>
      </c>
      <c r="AG82" s="386" t="str">
        <f>IF('Design Fee'!T82&gt;0,2,"-")</f>
        <v>-</v>
      </c>
      <c r="AH82" s="386" t="str">
        <f>IF('Design Fee'!U82&gt;0,2,"-")</f>
        <v>-</v>
      </c>
      <c r="AI82" s="195"/>
      <c r="AJ82" s="197"/>
      <c r="AK82" s="387"/>
      <c r="AL82" s="328">
        <f>IF('Design Fee'!AR82&gt;0,2,"-")</f>
        <v>2</v>
      </c>
      <c r="AM82" s="386" t="str">
        <f>IF('Design Fee'!AT82&gt;0,2,"-")</f>
        <v>-</v>
      </c>
      <c r="AN82" s="386">
        <f>IF('Design Fee'!AU82&gt;0,2,"-")</f>
        <v>2</v>
      </c>
      <c r="AO82" s="386">
        <f>IF('Design Fee'!AV82&gt;0,2,"-")</f>
        <v>2</v>
      </c>
      <c r="AP82" s="386" t="str">
        <f>IF('Design Fee'!AW82&gt;0,2,"-")</f>
        <v>-</v>
      </c>
      <c r="AQ82" s="386" t="str">
        <f>IF('Design Fee'!AX82&gt;0,2,"-")</f>
        <v>-</v>
      </c>
      <c r="AR82" s="386" t="str">
        <f>IF('Design Fee'!AY82&gt;0,2,"-")</f>
        <v>-</v>
      </c>
      <c r="AS82" s="386">
        <f>IF('Design Fee'!BA82&gt;0,2,"-")</f>
        <v>2</v>
      </c>
      <c r="AT82" s="386">
        <f>IF('Design Fee'!BB82&gt;0,2,"-")</f>
        <v>2</v>
      </c>
      <c r="AU82" s="386" t="str">
        <f>IF('Design Fee'!BC82&gt;0,2,"-")</f>
        <v>-</v>
      </c>
      <c r="AV82" s="386" t="str">
        <f>IF('Design Fee'!BD82&gt;0,2,"-")</f>
        <v>-</v>
      </c>
      <c r="AW82" s="386" t="str">
        <f>IF('Design Fee'!BE82&gt;0,2,"-")</f>
        <v>-</v>
      </c>
      <c r="AX82" s="195"/>
      <c r="AY82" s="197"/>
      <c r="AZ82" s="387"/>
      <c r="BA82" s="328" t="str">
        <f>IF('Design Fee'!CB82&gt;0,2,"-")</f>
        <v>-</v>
      </c>
      <c r="BB82" s="386" t="str">
        <f>IF('Design Fee'!CD82&gt;0,2,"-")</f>
        <v>-</v>
      </c>
      <c r="BC82" s="386" t="str">
        <f>IF('Design Fee'!CE82&gt;0,2,"-")</f>
        <v>-</v>
      </c>
      <c r="BD82" s="386" t="str">
        <f>IF('Design Fee'!CF82&gt;0,2,"-")</f>
        <v>-</v>
      </c>
      <c r="BE82" s="386" t="str">
        <f>IF('Design Fee'!CG82&gt;0,2,"-")</f>
        <v>-</v>
      </c>
      <c r="BF82" s="386" t="str">
        <f>IF('Design Fee'!CH82&gt;0,2,"-")</f>
        <v>-</v>
      </c>
      <c r="BG82" s="386" t="str">
        <f>IF('Design Fee'!CI82&gt;0,2,"-")</f>
        <v>-</v>
      </c>
      <c r="BH82" s="386" t="str">
        <f>IF('Design Fee'!CK82&gt;0,2,"-")</f>
        <v>-</v>
      </c>
      <c r="BI82" s="386" t="str">
        <f>IF('Design Fee'!CL82&gt;0,2,"-")</f>
        <v>-</v>
      </c>
      <c r="BJ82" s="386" t="str">
        <f>IF('Design Fee'!CM82&gt;0,2,"-")</f>
        <v>-</v>
      </c>
      <c r="BK82" s="386" t="str">
        <f>IF('Design Fee'!CN82&gt;0,2,"-")</f>
        <v>-</v>
      </c>
      <c r="BL82" s="386" t="str">
        <f>IF('Design Fee'!CO82&gt;0,2,"-")</f>
        <v>-</v>
      </c>
      <c r="BM82" s="195"/>
      <c r="BN82" s="197"/>
      <c r="BO82" s="387"/>
      <c r="BP82" s="328" t="str">
        <f>IF('Design Fee'!DL82&gt;0,2,"-")</f>
        <v>-</v>
      </c>
      <c r="BQ82" s="386" t="str">
        <f>IF('Design Fee'!DN82&gt;0,2,"-")</f>
        <v>-</v>
      </c>
      <c r="BR82" s="386" t="str">
        <f>IF('Design Fee'!DO82&gt;0,2,"-")</f>
        <v>-</v>
      </c>
      <c r="BS82" s="386" t="str">
        <f>IF('Design Fee'!DP82&gt;0,2,"-")</f>
        <v>-</v>
      </c>
      <c r="BT82" s="386" t="str">
        <f>IF('Design Fee'!DQ82&gt;0,2,"-")</f>
        <v>-</v>
      </c>
      <c r="BU82" s="386" t="str">
        <f>IF('Design Fee'!DR82&gt;0,2,"-")</f>
        <v>-</v>
      </c>
      <c r="BV82" s="386" t="str">
        <f>IF('Design Fee'!DS82&gt;0,2,"-")</f>
        <v>-</v>
      </c>
      <c r="BW82" s="386" t="str">
        <f>IF('Design Fee'!DU82&gt;0,2,"-")</f>
        <v>-</v>
      </c>
      <c r="BX82" s="386" t="str">
        <f>IF('Design Fee'!DV82&gt;0,2,"-")</f>
        <v>-</v>
      </c>
      <c r="BY82" s="386" t="str">
        <f>IF('Design Fee'!DW82&gt;0,2,"-")</f>
        <v>-</v>
      </c>
      <c r="BZ82" s="386" t="str">
        <f>IF('Design Fee'!DX82&gt;0,2,"-")</f>
        <v>-</v>
      </c>
      <c r="CA82" s="386" t="str">
        <f>IF('Design Fee'!DY82&gt;0,2,"-")</f>
        <v>-</v>
      </c>
      <c r="CB82" s="195"/>
    </row>
    <row r="83" spans="1:80" ht="3" customHeight="1" outlineLevel="1">
      <c r="A83" s="112"/>
      <c r="B83" s="165"/>
      <c r="C83" s="165"/>
      <c r="D83" s="114"/>
      <c r="E83" s="114"/>
      <c r="F83" s="115"/>
      <c r="G83" s="116"/>
      <c r="H83" s="124"/>
      <c r="I83" s="124"/>
      <c r="J83" s="124"/>
      <c r="K83" s="125"/>
      <c r="L83" s="125"/>
      <c r="M83" s="125"/>
      <c r="N83" s="125"/>
      <c r="O83" s="125"/>
      <c r="P83" s="125"/>
      <c r="Q83" s="125"/>
      <c r="R83" s="125"/>
      <c r="S83" s="125"/>
      <c r="T83" s="327"/>
      <c r="U83" s="327"/>
      <c r="V83" s="327"/>
      <c r="W83" s="327"/>
      <c r="X83" s="327"/>
      <c r="Y83" s="327"/>
      <c r="Z83" s="327"/>
      <c r="AA83" s="327"/>
      <c r="AB83" s="327"/>
      <c r="AC83" s="327"/>
      <c r="AD83" s="327"/>
      <c r="AE83" s="327"/>
      <c r="AF83" s="327"/>
      <c r="AG83" s="327"/>
      <c r="AH83" s="327"/>
      <c r="AI83" s="327"/>
      <c r="AJ83" s="327"/>
      <c r="AK83" s="327"/>
      <c r="AL83" s="327"/>
      <c r="AM83" s="327"/>
      <c r="AN83" s="327"/>
      <c r="AO83" s="327"/>
      <c r="AP83" s="327"/>
      <c r="AQ83" s="327"/>
      <c r="AR83" s="327"/>
      <c r="AS83" s="327"/>
      <c r="AT83" s="327"/>
      <c r="AU83" s="327"/>
      <c r="AV83" s="327"/>
      <c r="AW83" s="327"/>
      <c r="AX83" s="327"/>
      <c r="AY83" s="327"/>
      <c r="AZ83" s="327"/>
      <c r="BA83" s="327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  <c r="BM83" s="327"/>
      <c r="BN83" s="327"/>
      <c r="BO83" s="327"/>
      <c r="BP83" s="327"/>
      <c r="BQ83" s="327"/>
      <c r="BR83" s="327"/>
      <c r="BS83" s="327"/>
      <c r="BT83" s="327"/>
      <c r="BU83" s="327"/>
      <c r="BV83" s="327"/>
      <c r="BW83" s="327"/>
      <c r="BX83" s="327"/>
      <c r="BY83" s="327"/>
      <c r="BZ83" s="327"/>
      <c r="CA83" s="327"/>
      <c r="CB83" s="195"/>
    </row>
    <row r="84" spans="1:80" ht="13.2" outlineLevel="1">
      <c r="A84" s="112"/>
      <c r="B84" s="148"/>
      <c r="C84" s="212">
        <v>3</v>
      </c>
      <c r="D84" s="211" t="s">
        <v>87</v>
      </c>
      <c r="E84" s="149"/>
      <c r="F84" s="203"/>
      <c r="G84" s="188">
        <f t="shared" ref="G84:G92" si="96">X84+AM84+BB84+BQ84</f>
        <v>1</v>
      </c>
      <c r="H84" s="203">
        <f t="shared" ref="H84" si="97">W84+AL84+BA84+BP84</f>
        <v>10</v>
      </c>
      <c r="I84" s="203">
        <f t="shared" ref="I84" si="98">X84+AM84+BB84+BQ84</f>
        <v>1</v>
      </c>
      <c r="J84" s="203">
        <f t="shared" ref="J84:J92" si="99">Y84+AN84+BC84+BR84</f>
        <v>9</v>
      </c>
      <c r="K84" s="203">
        <f t="shared" ref="K84:K92" si="100">Z84+AO84+BD84+BS84</f>
        <v>9</v>
      </c>
      <c r="L84" s="203">
        <f t="shared" ref="L84:L92" si="101">AA84+AP84+BE84+BT84</f>
        <v>0</v>
      </c>
      <c r="M84" s="203">
        <f t="shared" ref="M84:M92" si="102">AB84+AQ84+BF84+BU84</f>
        <v>0</v>
      </c>
      <c r="N84" s="203">
        <f t="shared" ref="N84:N92" si="103">AC84+AR84+BG84+BV84</f>
        <v>0</v>
      </c>
      <c r="O84" s="203">
        <f t="shared" ref="O84:O92" si="104">AD84+AS84+BH84+BW84</f>
        <v>8</v>
      </c>
      <c r="P84" s="203">
        <f t="shared" ref="P84:P92" si="105">AE84+AT84+BI84+BX84</f>
        <v>3</v>
      </c>
      <c r="Q84" s="203">
        <f t="shared" ref="Q84:Q92" si="106">AF84+AU84+BJ84+BY84</f>
        <v>4</v>
      </c>
      <c r="R84" s="203">
        <f t="shared" ref="R84:R92" si="107">AG84+AV84+BK84+BZ84</f>
        <v>1</v>
      </c>
      <c r="S84" s="203">
        <f t="shared" ref="S84:S92" si="108">AH84+AW84+BL84+CA84</f>
        <v>0</v>
      </c>
      <c r="T84" s="385">
        <v>0</v>
      </c>
      <c r="U84" s="188"/>
      <c r="V84" s="188"/>
      <c r="W84" s="203">
        <f>COUNT(W85:W88)</f>
        <v>4</v>
      </c>
      <c r="X84" s="203">
        <f t="shared" ref="X84:AI84" si="109">COUNT(X85:X88)</f>
        <v>1</v>
      </c>
      <c r="Y84" s="203">
        <f t="shared" si="109"/>
        <v>3</v>
      </c>
      <c r="Z84" s="203">
        <f t="shared" si="109"/>
        <v>3</v>
      </c>
      <c r="AA84" s="203">
        <f t="shared" si="109"/>
        <v>0</v>
      </c>
      <c r="AB84" s="203">
        <f t="shared" si="109"/>
        <v>0</v>
      </c>
      <c r="AC84" s="203">
        <f t="shared" si="109"/>
        <v>0</v>
      </c>
      <c r="AD84" s="203">
        <f t="shared" si="109"/>
        <v>3</v>
      </c>
      <c r="AE84" s="203">
        <f t="shared" si="109"/>
        <v>1</v>
      </c>
      <c r="AF84" s="203">
        <f t="shared" si="109"/>
        <v>1</v>
      </c>
      <c r="AG84" s="203">
        <f t="shared" si="109"/>
        <v>1</v>
      </c>
      <c r="AH84" s="203">
        <f t="shared" si="109"/>
        <v>0</v>
      </c>
      <c r="AI84" s="203">
        <f t="shared" si="109"/>
        <v>0</v>
      </c>
      <c r="AJ84" s="188"/>
      <c r="AK84" s="188"/>
      <c r="AL84" s="203">
        <f>COUNT(AL85:AL88)</f>
        <v>2</v>
      </c>
      <c r="AM84" s="203">
        <f t="shared" ref="AM84" si="110">COUNT(AM85:AM88)</f>
        <v>0</v>
      </c>
      <c r="AN84" s="203">
        <f t="shared" ref="AN84" si="111">COUNT(AN85:AN88)</f>
        <v>2</v>
      </c>
      <c r="AO84" s="203">
        <f t="shared" ref="AO84" si="112">COUNT(AO85:AO88)</f>
        <v>2</v>
      </c>
      <c r="AP84" s="203">
        <f t="shared" ref="AP84" si="113">COUNT(AP85:AP88)</f>
        <v>0</v>
      </c>
      <c r="AQ84" s="203">
        <f t="shared" ref="AQ84" si="114">COUNT(AQ85:AQ88)</f>
        <v>0</v>
      </c>
      <c r="AR84" s="203">
        <f t="shared" ref="AR84" si="115">COUNT(AR85:AR88)</f>
        <v>0</v>
      </c>
      <c r="AS84" s="203">
        <f t="shared" ref="AS84" si="116">COUNT(AS85:AS88)</f>
        <v>2</v>
      </c>
      <c r="AT84" s="203">
        <f t="shared" ref="AT84" si="117">COUNT(AT85:AT88)</f>
        <v>1</v>
      </c>
      <c r="AU84" s="203">
        <f t="shared" ref="AU84" si="118">COUNT(AU85:AU88)</f>
        <v>1</v>
      </c>
      <c r="AV84" s="203">
        <f t="shared" ref="AV84" si="119">COUNT(AV85:AV88)</f>
        <v>0</v>
      </c>
      <c r="AW84" s="203">
        <f t="shared" ref="AW84" si="120">COUNT(AW85:AW88)</f>
        <v>0</v>
      </c>
      <c r="AX84" s="203">
        <f t="shared" ref="AX84" si="121">COUNT(AX85:AX88)</f>
        <v>0</v>
      </c>
      <c r="AY84" s="188"/>
      <c r="AZ84" s="188"/>
      <c r="BA84" s="203">
        <f>COUNT(BA85:BA88)</f>
        <v>2</v>
      </c>
      <c r="BB84" s="203">
        <f t="shared" ref="BB84" si="122">COUNT(BB85:BB88)</f>
        <v>0</v>
      </c>
      <c r="BC84" s="203">
        <f t="shared" ref="BC84" si="123">COUNT(BC85:BC88)</f>
        <v>2</v>
      </c>
      <c r="BD84" s="203">
        <f t="shared" ref="BD84" si="124">COUNT(BD85:BD88)</f>
        <v>2</v>
      </c>
      <c r="BE84" s="203">
        <f t="shared" ref="BE84" si="125">COUNT(BE85:BE88)</f>
        <v>0</v>
      </c>
      <c r="BF84" s="203">
        <f t="shared" ref="BF84" si="126">COUNT(BF85:BF88)</f>
        <v>0</v>
      </c>
      <c r="BG84" s="203">
        <f t="shared" ref="BG84" si="127">COUNT(BG85:BG88)</f>
        <v>0</v>
      </c>
      <c r="BH84" s="203">
        <f t="shared" ref="BH84" si="128">COUNT(BH85:BH88)</f>
        <v>1</v>
      </c>
      <c r="BI84" s="203">
        <f t="shared" ref="BI84" si="129">COUNT(BI85:BI88)</f>
        <v>1</v>
      </c>
      <c r="BJ84" s="203">
        <f t="shared" ref="BJ84" si="130">COUNT(BJ85:BJ88)</f>
        <v>0</v>
      </c>
      <c r="BK84" s="203">
        <f t="shared" ref="BK84" si="131">COUNT(BK85:BK88)</f>
        <v>0</v>
      </c>
      <c r="BL84" s="203">
        <f t="shared" ref="BL84" si="132">COUNT(BL85:BL88)</f>
        <v>0</v>
      </c>
      <c r="BM84" s="203">
        <f t="shared" ref="BM84" si="133">COUNT(BM85:BM88)</f>
        <v>0</v>
      </c>
      <c r="BN84" s="188"/>
      <c r="BO84" s="188"/>
      <c r="BP84" s="203">
        <f>COUNT(BP85:BP88)</f>
        <v>2</v>
      </c>
      <c r="BQ84" s="203">
        <f t="shared" ref="BQ84" si="134">COUNT(BQ85:BQ88)</f>
        <v>0</v>
      </c>
      <c r="BR84" s="203">
        <f t="shared" ref="BR84" si="135">COUNT(BR85:BR88)</f>
        <v>2</v>
      </c>
      <c r="BS84" s="203">
        <f t="shared" ref="BS84" si="136">COUNT(BS85:BS88)</f>
        <v>2</v>
      </c>
      <c r="BT84" s="203">
        <f t="shared" ref="BT84" si="137">COUNT(BT85:BT88)</f>
        <v>0</v>
      </c>
      <c r="BU84" s="203">
        <f t="shared" ref="BU84" si="138">COUNT(BU85:BU88)</f>
        <v>0</v>
      </c>
      <c r="BV84" s="203">
        <f t="shared" ref="BV84" si="139">COUNT(BV85:BV88)</f>
        <v>0</v>
      </c>
      <c r="BW84" s="203">
        <f t="shared" ref="BW84" si="140">COUNT(BW85:BW88)</f>
        <v>2</v>
      </c>
      <c r="BX84" s="203">
        <f t="shared" ref="BX84" si="141">COUNT(BX85:BX88)</f>
        <v>0</v>
      </c>
      <c r="BY84" s="203">
        <f t="shared" ref="BY84" si="142">COUNT(BY85:BY88)</f>
        <v>2</v>
      </c>
      <c r="BZ84" s="203">
        <f t="shared" ref="BZ84" si="143">COUNT(BZ85:BZ88)</f>
        <v>0</v>
      </c>
      <c r="CA84" s="203">
        <f t="shared" ref="CA84" si="144">COUNT(CA85:CA88)</f>
        <v>0</v>
      </c>
      <c r="CB84" s="203">
        <f t="shared" ref="CB84" si="145">COUNT(CB85:CB88)</f>
        <v>0</v>
      </c>
    </row>
    <row r="85" spans="1:80" ht="11.85" customHeight="1" outlineLevel="2">
      <c r="A85" s="112"/>
      <c r="B85" s="162" t="s">
        <v>88</v>
      </c>
      <c r="C85" s="213">
        <v>1</v>
      </c>
      <c r="D85" s="455" t="s">
        <v>22</v>
      </c>
      <c r="E85" s="114"/>
      <c r="F85" s="197"/>
      <c r="G85" s="194"/>
      <c r="H85" s="328"/>
      <c r="I85" s="328"/>
      <c r="J85" s="328"/>
      <c r="K85" s="386"/>
      <c r="L85" s="386"/>
      <c r="M85" s="386"/>
      <c r="N85" s="386"/>
      <c r="O85" s="386"/>
      <c r="P85" s="386"/>
      <c r="Q85" s="386"/>
      <c r="R85" s="386"/>
      <c r="S85" s="386"/>
      <c r="T85" s="195"/>
      <c r="U85" s="197"/>
      <c r="V85" s="194"/>
      <c r="W85" s="328">
        <f>IF('Design Fee'!H86&gt;0,2,"-")</f>
        <v>2</v>
      </c>
      <c r="X85" s="386">
        <f>IF('Design Fee'!J86&gt;0,2,"-")</f>
        <v>2</v>
      </c>
      <c r="Y85" s="386" t="str">
        <f>IF('Design Fee'!K86&gt;0,2,"-")</f>
        <v>-</v>
      </c>
      <c r="Z85" s="386" t="str">
        <f>IF('Design Fee'!L86&gt;0,2,"-")</f>
        <v>-</v>
      </c>
      <c r="AA85" s="386" t="str">
        <f>IF('Design Fee'!M86&gt;0,2,"-")</f>
        <v>-</v>
      </c>
      <c r="AB85" s="386" t="str">
        <f>IF('Design Fee'!N86&gt;0,2,"-")</f>
        <v>-</v>
      </c>
      <c r="AC85" s="386" t="str">
        <f>IF('Design Fee'!O86&gt;0,2,"-")</f>
        <v>-</v>
      </c>
      <c r="AD85" s="386" t="str">
        <f>IF('Design Fee'!Q86&gt;0,2,"-")</f>
        <v>-</v>
      </c>
      <c r="AE85" s="386" t="str">
        <f>IF('Design Fee'!R86&gt;0,2,"-")</f>
        <v>-</v>
      </c>
      <c r="AF85" s="386" t="str">
        <f>IF('Design Fee'!S86&gt;0,2,"-")</f>
        <v>-</v>
      </c>
      <c r="AG85" s="386" t="str">
        <f>IF('Design Fee'!T86&gt;0,2,"-")</f>
        <v>-</v>
      </c>
      <c r="AH85" s="386" t="str">
        <f>IF('Design Fee'!U86&gt;0,2,"-")</f>
        <v>-</v>
      </c>
      <c r="AI85" s="195"/>
      <c r="AJ85" s="197"/>
      <c r="AK85" s="387"/>
      <c r="AL85" s="328" t="str">
        <f>IF('Design Fee'!AR86&gt;0,2,"-")</f>
        <v>-</v>
      </c>
      <c r="AM85" s="386" t="str">
        <f>IF('Design Fee'!AT86&gt;0,2,"-")</f>
        <v>-</v>
      </c>
      <c r="AN85" s="386" t="str">
        <f>IF('Design Fee'!AU86&gt;0,2,"-")</f>
        <v>-</v>
      </c>
      <c r="AO85" s="386" t="str">
        <f>IF('Design Fee'!AV86&gt;0,2,"-")</f>
        <v>-</v>
      </c>
      <c r="AP85" s="386" t="str">
        <f>IF('Design Fee'!AW86&gt;0,2,"-")</f>
        <v>-</v>
      </c>
      <c r="AQ85" s="386" t="str">
        <f>IF('Design Fee'!AX86&gt;0,2,"-")</f>
        <v>-</v>
      </c>
      <c r="AR85" s="386" t="str">
        <f>IF('Design Fee'!AY86&gt;0,2,"-")</f>
        <v>-</v>
      </c>
      <c r="AS85" s="386" t="str">
        <f>IF('Design Fee'!BA86&gt;0,2,"-")</f>
        <v>-</v>
      </c>
      <c r="AT85" s="386" t="str">
        <f>IF('Design Fee'!BB86&gt;0,2,"-")</f>
        <v>-</v>
      </c>
      <c r="AU85" s="386" t="str">
        <f>IF('Design Fee'!BC86&gt;0,2,"-")</f>
        <v>-</v>
      </c>
      <c r="AV85" s="386" t="str">
        <f>IF('Design Fee'!BD86&gt;0,2,"-")</f>
        <v>-</v>
      </c>
      <c r="AW85" s="386" t="str">
        <f>IF('Design Fee'!BE86&gt;0,2,"-")</f>
        <v>-</v>
      </c>
      <c r="AX85" s="195"/>
      <c r="AY85" s="197"/>
      <c r="AZ85" s="387"/>
      <c r="BA85" s="328">
        <f>IF('Design Fee'!CB86&gt;0,2,"-")</f>
        <v>2</v>
      </c>
      <c r="BB85" s="386" t="str">
        <f>IF('Design Fee'!CD86&gt;0,2,"-")</f>
        <v>-</v>
      </c>
      <c r="BC85" s="386">
        <f>IF('Design Fee'!CE86&gt;0,2,"-")</f>
        <v>2</v>
      </c>
      <c r="BD85" s="386">
        <f>IF('Design Fee'!CF86&gt;0,2,"-")</f>
        <v>2</v>
      </c>
      <c r="BE85" s="386" t="str">
        <f>IF('Design Fee'!CG86&gt;0,2,"-")</f>
        <v>-</v>
      </c>
      <c r="BF85" s="386" t="str">
        <f>IF('Design Fee'!CH86&gt;0,2,"-")</f>
        <v>-</v>
      </c>
      <c r="BG85" s="386" t="str">
        <f>IF('Design Fee'!CI86&gt;0,2,"-")</f>
        <v>-</v>
      </c>
      <c r="BH85" s="386" t="str">
        <f>IF('Design Fee'!CK86&gt;0,2,"-")</f>
        <v>-</v>
      </c>
      <c r="BI85" s="386" t="str">
        <f>IF('Design Fee'!CL86&gt;0,2,"-")</f>
        <v>-</v>
      </c>
      <c r="BJ85" s="386" t="str">
        <f>IF('Design Fee'!CM86&gt;0,2,"-")</f>
        <v>-</v>
      </c>
      <c r="BK85" s="386" t="str">
        <f>IF('Design Fee'!CN86&gt;0,2,"-")</f>
        <v>-</v>
      </c>
      <c r="BL85" s="386" t="str">
        <f>IF('Design Fee'!CO86&gt;0,2,"-")</f>
        <v>-</v>
      </c>
      <c r="BM85" s="195"/>
      <c r="BN85" s="197"/>
      <c r="BO85" s="387"/>
      <c r="BP85" s="328">
        <f>IF('Design Fee'!DL86&gt;0,2,"-")</f>
        <v>2</v>
      </c>
      <c r="BQ85" s="386" t="str">
        <f>IF('Design Fee'!DN86&gt;0,2,"-")</f>
        <v>-</v>
      </c>
      <c r="BR85" s="386">
        <f>IF('Design Fee'!DO86&gt;0,2,"-")</f>
        <v>2</v>
      </c>
      <c r="BS85" s="386">
        <f>IF('Design Fee'!DP86&gt;0,2,"-")</f>
        <v>2</v>
      </c>
      <c r="BT85" s="386" t="str">
        <f>IF('Design Fee'!DQ86&gt;0,2,"-")</f>
        <v>-</v>
      </c>
      <c r="BU85" s="386" t="str">
        <f>IF('Design Fee'!DR86&gt;0,2,"-")</f>
        <v>-</v>
      </c>
      <c r="BV85" s="386" t="str">
        <f>IF('Design Fee'!DS86&gt;0,2,"-")</f>
        <v>-</v>
      </c>
      <c r="BW85" s="386">
        <f>IF('Design Fee'!DU86&gt;0,2,"-")</f>
        <v>2</v>
      </c>
      <c r="BX85" s="386" t="str">
        <f>IF('Design Fee'!DV86&gt;0,2,"-")</f>
        <v>-</v>
      </c>
      <c r="BY85" s="386">
        <f>IF('Design Fee'!DW86&gt;0,2,"-")</f>
        <v>2</v>
      </c>
      <c r="BZ85" s="386" t="str">
        <f>IF('Design Fee'!DX86&gt;0,2,"-")</f>
        <v>-</v>
      </c>
      <c r="CA85" s="386" t="str">
        <f>IF('Design Fee'!DY86&gt;0,2,"-")</f>
        <v>-</v>
      </c>
      <c r="CB85" s="195"/>
    </row>
    <row r="86" spans="1:80" ht="11.85" customHeight="1" outlineLevel="2">
      <c r="A86" s="112"/>
      <c r="B86" s="162" t="s">
        <v>89</v>
      </c>
      <c r="C86" s="213">
        <v>2</v>
      </c>
      <c r="D86" s="455" t="s">
        <v>90</v>
      </c>
      <c r="E86" s="114"/>
      <c r="F86" s="197"/>
      <c r="G86" s="194"/>
      <c r="H86" s="328"/>
      <c r="I86" s="328"/>
      <c r="J86" s="328"/>
      <c r="K86" s="386"/>
      <c r="L86" s="386"/>
      <c r="M86" s="386"/>
      <c r="N86" s="386"/>
      <c r="O86" s="386"/>
      <c r="P86" s="386"/>
      <c r="Q86" s="386"/>
      <c r="R86" s="386"/>
      <c r="S86" s="386"/>
      <c r="T86" s="195"/>
      <c r="U86" s="197"/>
      <c r="V86" s="194"/>
      <c r="W86" s="328">
        <f>IF('Design Fee'!H87&gt;0,2,"-")</f>
        <v>2</v>
      </c>
      <c r="X86" s="386" t="str">
        <f>IF('Design Fee'!J87&gt;0,2,"-")</f>
        <v>-</v>
      </c>
      <c r="Y86" s="386">
        <f>IF('Design Fee'!K87&gt;0,2,"-")</f>
        <v>2</v>
      </c>
      <c r="Z86" s="386">
        <f>IF('Design Fee'!L87&gt;0,2,"-")</f>
        <v>2</v>
      </c>
      <c r="AA86" s="386" t="str">
        <f>IF('Design Fee'!M87&gt;0,2,"-")</f>
        <v>-</v>
      </c>
      <c r="AB86" s="386" t="str">
        <f>IF('Design Fee'!N87&gt;0,2,"-")</f>
        <v>-</v>
      </c>
      <c r="AC86" s="386" t="str">
        <f>IF('Design Fee'!O87&gt;0,2,"-")</f>
        <v>-</v>
      </c>
      <c r="AD86" s="386">
        <f>IF('Design Fee'!Q87&gt;0,2,"-")</f>
        <v>2</v>
      </c>
      <c r="AE86" s="386" t="str">
        <f>IF('Design Fee'!R87&gt;0,2,"-")</f>
        <v>-</v>
      </c>
      <c r="AF86" s="386" t="str">
        <f>IF('Design Fee'!S87&gt;0,2,"-")</f>
        <v>-</v>
      </c>
      <c r="AG86" s="386">
        <f>IF('Design Fee'!T87&gt;0,2,"-")</f>
        <v>2</v>
      </c>
      <c r="AH86" s="386" t="str">
        <f>IF('Design Fee'!U87&gt;0,2,"-")</f>
        <v>-</v>
      </c>
      <c r="AI86" s="195"/>
      <c r="AJ86" s="197"/>
      <c r="AK86" s="387"/>
      <c r="AL86" s="328">
        <f>IF('Design Fee'!AR87&gt;0,2,"-")</f>
        <v>2</v>
      </c>
      <c r="AM86" s="386" t="str">
        <f>IF('Design Fee'!AT87&gt;0,2,"-")</f>
        <v>-</v>
      </c>
      <c r="AN86" s="386">
        <f>IF('Design Fee'!AU87&gt;0,2,"-")</f>
        <v>2</v>
      </c>
      <c r="AO86" s="386">
        <f>IF('Design Fee'!AV87&gt;0,2,"-")</f>
        <v>2</v>
      </c>
      <c r="AP86" s="386" t="str">
        <f>IF('Design Fee'!AW87&gt;0,2,"-")</f>
        <v>-</v>
      </c>
      <c r="AQ86" s="386" t="str">
        <f>IF('Design Fee'!AX87&gt;0,2,"-")</f>
        <v>-</v>
      </c>
      <c r="AR86" s="386" t="str">
        <f>IF('Design Fee'!AY87&gt;0,2,"-")</f>
        <v>-</v>
      </c>
      <c r="AS86" s="386">
        <f>IF('Design Fee'!BA87&gt;0,2,"-")</f>
        <v>2</v>
      </c>
      <c r="AT86" s="386" t="str">
        <f>IF('Design Fee'!BB87&gt;0,2,"-")</f>
        <v>-</v>
      </c>
      <c r="AU86" s="386">
        <f>IF('Design Fee'!BC87&gt;0,2,"-")</f>
        <v>2</v>
      </c>
      <c r="AV86" s="386" t="str">
        <f>IF('Design Fee'!BD87&gt;0,2,"-")</f>
        <v>-</v>
      </c>
      <c r="AW86" s="386" t="str">
        <f>IF('Design Fee'!BE87&gt;0,2,"-")</f>
        <v>-</v>
      </c>
      <c r="AX86" s="195"/>
      <c r="AY86" s="197"/>
      <c r="AZ86" s="387"/>
      <c r="BA86" s="328" t="str">
        <f>IF('Design Fee'!CB87&gt;0,2,"-")</f>
        <v>-</v>
      </c>
      <c r="BB86" s="386" t="str">
        <f>IF('Design Fee'!CD87&gt;0,2,"-")</f>
        <v>-</v>
      </c>
      <c r="BC86" s="386" t="str">
        <f>IF('Design Fee'!CE87&gt;0,2,"-")</f>
        <v>-</v>
      </c>
      <c r="BD86" s="386" t="str">
        <f>IF('Design Fee'!CF87&gt;0,2,"-")</f>
        <v>-</v>
      </c>
      <c r="BE86" s="386" t="str">
        <f>IF('Design Fee'!CG87&gt;0,2,"-")</f>
        <v>-</v>
      </c>
      <c r="BF86" s="386" t="str">
        <f>IF('Design Fee'!CH87&gt;0,2,"-")</f>
        <v>-</v>
      </c>
      <c r="BG86" s="386" t="str">
        <f>IF('Design Fee'!CI87&gt;0,2,"-")</f>
        <v>-</v>
      </c>
      <c r="BH86" s="386" t="str">
        <f>IF('Design Fee'!CK87&gt;0,2,"-")</f>
        <v>-</v>
      </c>
      <c r="BI86" s="386" t="str">
        <f>IF('Design Fee'!CL87&gt;0,2,"-")</f>
        <v>-</v>
      </c>
      <c r="BJ86" s="386" t="str">
        <f>IF('Design Fee'!CM87&gt;0,2,"-")</f>
        <v>-</v>
      </c>
      <c r="BK86" s="386" t="str">
        <f>IF('Design Fee'!CN87&gt;0,2,"-")</f>
        <v>-</v>
      </c>
      <c r="BL86" s="386" t="str">
        <f>IF('Design Fee'!CO87&gt;0,2,"-")</f>
        <v>-</v>
      </c>
      <c r="BM86" s="195"/>
      <c r="BN86" s="197"/>
      <c r="BO86" s="387"/>
      <c r="BP86" s="328" t="str">
        <f>IF('Design Fee'!DL87&gt;0,2,"-")</f>
        <v>-</v>
      </c>
      <c r="BQ86" s="386" t="str">
        <f>IF('Design Fee'!DN87&gt;0,2,"-")</f>
        <v>-</v>
      </c>
      <c r="BR86" s="386" t="str">
        <f>IF('Design Fee'!DO87&gt;0,2,"-")</f>
        <v>-</v>
      </c>
      <c r="BS86" s="386" t="str">
        <f>IF('Design Fee'!DP87&gt;0,2,"-")</f>
        <v>-</v>
      </c>
      <c r="BT86" s="386" t="str">
        <f>IF('Design Fee'!DQ87&gt;0,2,"-")</f>
        <v>-</v>
      </c>
      <c r="BU86" s="386" t="str">
        <f>IF('Design Fee'!DR87&gt;0,2,"-")</f>
        <v>-</v>
      </c>
      <c r="BV86" s="386" t="str">
        <f>IF('Design Fee'!DS87&gt;0,2,"-")</f>
        <v>-</v>
      </c>
      <c r="BW86" s="386" t="str">
        <f>IF('Design Fee'!DU87&gt;0,2,"-")</f>
        <v>-</v>
      </c>
      <c r="BX86" s="386" t="str">
        <f>IF('Design Fee'!DV87&gt;0,2,"-")</f>
        <v>-</v>
      </c>
      <c r="BY86" s="386" t="str">
        <f>IF('Design Fee'!DW87&gt;0,2,"-")</f>
        <v>-</v>
      </c>
      <c r="BZ86" s="386" t="str">
        <f>IF('Design Fee'!DX87&gt;0,2,"-")</f>
        <v>-</v>
      </c>
      <c r="CA86" s="386" t="str">
        <f>IF('Design Fee'!DY87&gt;0,2,"-")</f>
        <v>-</v>
      </c>
      <c r="CB86" s="195"/>
    </row>
    <row r="87" spans="1:80" ht="11.85" customHeight="1" outlineLevel="2">
      <c r="A87" s="112"/>
      <c r="B87" s="162" t="s">
        <v>91</v>
      </c>
      <c r="C87" s="213">
        <v>3</v>
      </c>
      <c r="D87" s="455" t="s">
        <v>92</v>
      </c>
      <c r="E87" s="114"/>
      <c r="F87" s="197"/>
      <c r="G87" s="194"/>
      <c r="H87" s="328"/>
      <c r="I87" s="328"/>
      <c r="J87" s="328"/>
      <c r="K87" s="386"/>
      <c r="L87" s="386"/>
      <c r="M87" s="386"/>
      <c r="N87" s="386"/>
      <c r="O87" s="386"/>
      <c r="P87" s="386"/>
      <c r="Q87" s="386"/>
      <c r="R87" s="386"/>
      <c r="S87" s="386"/>
      <c r="T87" s="195"/>
      <c r="U87" s="197"/>
      <c r="V87" s="194"/>
      <c r="W87" s="328">
        <f>IF('Design Fee'!H88&gt;0,2,"-")</f>
        <v>2</v>
      </c>
      <c r="X87" s="386" t="str">
        <f>IF('Design Fee'!J88&gt;0,2,"-")</f>
        <v>-</v>
      </c>
      <c r="Y87" s="386">
        <f>IF('Design Fee'!K88&gt;0,2,"-")</f>
        <v>2</v>
      </c>
      <c r="Z87" s="386">
        <f>IF('Design Fee'!L88&gt;0,2,"-")</f>
        <v>2</v>
      </c>
      <c r="AA87" s="386" t="str">
        <f>IF('Design Fee'!M88&gt;0,2,"-")</f>
        <v>-</v>
      </c>
      <c r="AB87" s="386" t="str">
        <f>IF('Design Fee'!N88&gt;0,2,"-")</f>
        <v>-</v>
      </c>
      <c r="AC87" s="386" t="str">
        <f>IF('Design Fee'!O88&gt;0,2,"-")</f>
        <v>-</v>
      </c>
      <c r="AD87" s="386">
        <f>IF('Design Fee'!Q88&gt;0,2,"-")</f>
        <v>2</v>
      </c>
      <c r="AE87" s="386" t="str">
        <f>IF('Design Fee'!R88&gt;0,2,"-")</f>
        <v>-</v>
      </c>
      <c r="AF87" s="386">
        <f>IF('Design Fee'!S88&gt;0,2,"-")</f>
        <v>2</v>
      </c>
      <c r="AG87" s="386" t="str">
        <f>IF('Design Fee'!T88&gt;0,2,"-")</f>
        <v>-</v>
      </c>
      <c r="AH87" s="386" t="str">
        <f>IF('Design Fee'!U88&gt;0,2,"-")</f>
        <v>-</v>
      </c>
      <c r="AI87" s="195"/>
      <c r="AJ87" s="197"/>
      <c r="AK87" s="387"/>
      <c r="AL87" s="328">
        <f>IF('Design Fee'!AR88&gt;0,2,"-")</f>
        <v>2</v>
      </c>
      <c r="AM87" s="386" t="str">
        <f>IF('Design Fee'!AT88&gt;0,2,"-")</f>
        <v>-</v>
      </c>
      <c r="AN87" s="386">
        <f>IF('Design Fee'!AU88&gt;0,2,"-")</f>
        <v>2</v>
      </c>
      <c r="AO87" s="386">
        <f>IF('Design Fee'!AV88&gt;0,2,"-")</f>
        <v>2</v>
      </c>
      <c r="AP87" s="386" t="str">
        <f>IF('Design Fee'!AW88&gt;0,2,"-")</f>
        <v>-</v>
      </c>
      <c r="AQ87" s="386" t="str">
        <f>IF('Design Fee'!AX88&gt;0,2,"-")</f>
        <v>-</v>
      </c>
      <c r="AR87" s="386" t="str">
        <f>IF('Design Fee'!AY88&gt;0,2,"-")</f>
        <v>-</v>
      </c>
      <c r="AS87" s="386">
        <f>IF('Design Fee'!BA88&gt;0,2,"-")</f>
        <v>2</v>
      </c>
      <c r="AT87" s="386">
        <f>IF('Design Fee'!BB88&gt;0,2,"-")</f>
        <v>2</v>
      </c>
      <c r="AU87" s="386" t="str">
        <f>IF('Design Fee'!BC88&gt;0,2,"-")</f>
        <v>-</v>
      </c>
      <c r="AV87" s="386" t="str">
        <f>IF('Design Fee'!BD88&gt;0,2,"-")</f>
        <v>-</v>
      </c>
      <c r="AW87" s="386" t="str">
        <f>IF('Design Fee'!BE88&gt;0,2,"-")</f>
        <v>-</v>
      </c>
      <c r="AX87" s="195"/>
      <c r="AY87" s="197"/>
      <c r="AZ87" s="387"/>
      <c r="BA87" s="328">
        <f>IF('Design Fee'!CB88&gt;0,2,"-")</f>
        <v>2</v>
      </c>
      <c r="BB87" s="386" t="str">
        <f>IF('Design Fee'!CD88&gt;0,2,"-")</f>
        <v>-</v>
      </c>
      <c r="BC87" s="386">
        <f>IF('Design Fee'!CE88&gt;0,2,"-")</f>
        <v>2</v>
      </c>
      <c r="BD87" s="386">
        <f>IF('Design Fee'!CF88&gt;0,2,"-")</f>
        <v>2</v>
      </c>
      <c r="BE87" s="386" t="str">
        <f>IF('Design Fee'!CG88&gt;0,2,"-")</f>
        <v>-</v>
      </c>
      <c r="BF87" s="386" t="str">
        <f>IF('Design Fee'!CH88&gt;0,2,"-")</f>
        <v>-</v>
      </c>
      <c r="BG87" s="386" t="str">
        <f>IF('Design Fee'!CI88&gt;0,2,"-")</f>
        <v>-</v>
      </c>
      <c r="BH87" s="386">
        <f>IF('Design Fee'!CK88&gt;0,2,"-")</f>
        <v>2</v>
      </c>
      <c r="BI87" s="386">
        <f>IF('Design Fee'!CL88&gt;0,2,"-")</f>
        <v>2</v>
      </c>
      <c r="BJ87" s="386" t="str">
        <f>IF('Design Fee'!CM88&gt;0,2,"-")</f>
        <v>-</v>
      </c>
      <c r="BK87" s="386" t="str">
        <f>IF('Design Fee'!CN88&gt;0,2,"-")</f>
        <v>-</v>
      </c>
      <c r="BL87" s="386" t="str">
        <f>IF('Design Fee'!CO88&gt;0,2,"-")</f>
        <v>-</v>
      </c>
      <c r="BM87" s="195"/>
      <c r="BN87" s="197"/>
      <c r="BO87" s="387"/>
      <c r="BP87" s="328" t="str">
        <f>IF('Design Fee'!DL88&gt;0,2,"-")</f>
        <v>-</v>
      </c>
      <c r="BQ87" s="386" t="str">
        <f>IF('Design Fee'!DN88&gt;0,2,"-")</f>
        <v>-</v>
      </c>
      <c r="BR87" s="386" t="str">
        <f>IF('Design Fee'!DO88&gt;0,2,"-")</f>
        <v>-</v>
      </c>
      <c r="BS87" s="386" t="str">
        <f>IF('Design Fee'!DP88&gt;0,2,"-")</f>
        <v>-</v>
      </c>
      <c r="BT87" s="386" t="str">
        <f>IF('Design Fee'!DQ88&gt;0,2,"-")</f>
        <v>-</v>
      </c>
      <c r="BU87" s="386" t="str">
        <f>IF('Design Fee'!DR88&gt;0,2,"-")</f>
        <v>-</v>
      </c>
      <c r="BV87" s="386" t="str">
        <f>IF('Design Fee'!DS88&gt;0,2,"-")</f>
        <v>-</v>
      </c>
      <c r="BW87" s="386" t="str">
        <f>IF('Design Fee'!DU88&gt;0,2,"-")</f>
        <v>-</v>
      </c>
      <c r="BX87" s="386" t="str">
        <f>IF('Design Fee'!DV88&gt;0,2,"-")</f>
        <v>-</v>
      </c>
      <c r="BY87" s="386" t="str">
        <f>IF('Design Fee'!DW88&gt;0,2,"-")</f>
        <v>-</v>
      </c>
      <c r="BZ87" s="386" t="str">
        <f>IF('Design Fee'!DX88&gt;0,2,"-")</f>
        <v>-</v>
      </c>
      <c r="CA87" s="386" t="str">
        <f>IF('Design Fee'!DY88&gt;0,2,"-")</f>
        <v>-</v>
      </c>
      <c r="CB87" s="195"/>
    </row>
    <row r="88" spans="1:80" ht="11.85" customHeight="1" outlineLevel="2">
      <c r="A88" s="112"/>
      <c r="B88" s="162" t="s">
        <v>93</v>
      </c>
      <c r="C88" s="213">
        <v>4</v>
      </c>
      <c r="D88" s="455" t="s">
        <v>94</v>
      </c>
      <c r="E88" s="114"/>
      <c r="F88" s="197"/>
      <c r="G88" s="194"/>
      <c r="H88" s="328"/>
      <c r="I88" s="328"/>
      <c r="J88" s="328"/>
      <c r="K88" s="386"/>
      <c r="L88" s="386"/>
      <c r="M88" s="386"/>
      <c r="N88" s="386"/>
      <c r="O88" s="386"/>
      <c r="P88" s="386"/>
      <c r="Q88" s="386"/>
      <c r="R88" s="386"/>
      <c r="S88" s="386"/>
      <c r="T88" s="195"/>
      <c r="U88" s="197"/>
      <c r="V88" s="194"/>
      <c r="W88" s="328">
        <f>IF('Design Fee'!H89&gt;0,2,"-")</f>
        <v>2</v>
      </c>
      <c r="X88" s="386" t="str">
        <f>IF('Design Fee'!J89&gt;0,2,"-")</f>
        <v>-</v>
      </c>
      <c r="Y88" s="386">
        <f>IF('Design Fee'!K89&gt;0,2,"-")</f>
        <v>2</v>
      </c>
      <c r="Z88" s="386">
        <f>IF('Design Fee'!L89&gt;0,2,"-")</f>
        <v>2</v>
      </c>
      <c r="AA88" s="386" t="str">
        <f>IF('Design Fee'!M89&gt;0,2,"-")</f>
        <v>-</v>
      </c>
      <c r="AB88" s="386" t="str">
        <f>IF('Design Fee'!N89&gt;0,2,"-")</f>
        <v>-</v>
      </c>
      <c r="AC88" s="386" t="str">
        <f>IF('Design Fee'!O89&gt;0,2,"-")</f>
        <v>-</v>
      </c>
      <c r="AD88" s="386">
        <f>IF('Design Fee'!Q89&gt;0,2,"-")</f>
        <v>2</v>
      </c>
      <c r="AE88" s="386">
        <f>IF('Design Fee'!R89&gt;0,2,"-")</f>
        <v>2</v>
      </c>
      <c r="AF88" s="386" t="str">
        <f>IF('Design Fee'!S89&gt;0,2,"-")</f>
        <v>-</v>
      </c>
      <c r="AG88" s="386" t="str">
        <f>IF('Design Fee'!T89&gt;0,2,"-")</f>
        <v>-</v>
      </c>
      <c r="AH88" s="386" t="str">
        <f>IF('Design Fee'!U89&gt;0,2,"-")</f>
        <v>-</v>
      </c>
      <c r="AI88" s="195"/>
      <c r="AJ88" s="197"/>
      <c r="AK88" s="387"/>
      <c r="AL88" s="328" t="str">
        <f>IF('Design Fee'!AR89&gt;0,2,"-")</f>
        <v>-</v>
      </c>
      <c r="AM88" s="386" t="str">
        <f>IF('Design Fee'!AT89&gt;0,2,"-")</f>
        <v>-</v>
      </c>
      <c r="AN88" s="386" t="str">
        <f>IF('Design Fee'!AU89&gt;0,2,"-")</f>
        <v>-</v>
      </c>
      <c r="AO88" s="386" t="str">
        <f>IF('Design Fee'!AV89&gt;0,2,"-")</f>
        <v>-</v>
      </c>
      <c r="AP88" s="386" t="str">
        <f>IF('Design Fee'!AW89&gt;0,2,"-")</f>
        <v>-</v>
      </c>
      <c r="AQ88" s="386" t="str">
        <f>IF('Design Fee'!AX89&gt;0,2,"-")</f>
        <v>-</v>
      </c>
      <c r="AR88" s="386" t="str">
        <f>IF('Design Fee'!AY89&gt;0,2,"-")</f>
        <v>-</v>
      </c>
      <c r="AS88" s="386" t="str">
        <f>IF('Design Fee'!BA89&gt;0,2,"-")</f>
        <v>-</v>
      </c>
      <c r="AT88" s="386" t="str">
        <f>IF('Design Fee'!BB89&gt;0,2,"-")</f>
        <v>-</v>
      </c>
      <c r="AU88" s="386" t="str">
        <f>IF('Design Fee'!BC89&gt;0,2,"-")</f>
        <v>-</v>
      </c>
      <c r="AV88" s="386" t="str">
        <f>IF('Design Fee'!BD89&gt;0,2,"-")</f>
        <v>-</v>
      </c>
      <c r="AW88" s="386" t="str">
        <f>IF('Design Fee'!BE89&gt;0,2,"-")</f>
        <v>-</v>
      </c>
      <c r="AX88" s="195"/>
      <c r="AY88" s="197"/>
      <c r="AZ88" s="387"/>
      <c r="BA88" s="328" t="str">
        <f>IF('Design Fee'!CB89&gt;0,2,"-")</f>
        <v>-</v>
      </c>
      <c r="BB88" s="386" t="str">
        <f>IF('Design Fee'!CD89&gt;0,2,"-")</f>
        <v>-</v>
      </c>
      <c r="BC88" s="386" t="str">
        <f>IF('Design Fee'!CE89&gt;0,2,"-")</f>
        <v>-</v>
      </c>
      <c r="BD88" s="386" t="str">
        <f>IF('Design Fee'!CF89&gt;0,2,"-")</f>
        <v>-</v>
      </c>
      <c r="BE88" s="386" t="str">
        <f>IF('Design Fee'!CG89&gt;0,2,"-")</f>
        <v>-</v>
      </c>
      <c r="BF88" s="386" t="str">
        <f>IF('Design Fee'!CH89&gt;0,2,"-")</f>
        <v>-</v>
      </c>
      <c r="BG88" s="386" t="str">
        <f>IF('Design Fee'!CI89&gt;0,2,"-")</f>
        <v>-</v>
      </c>
      <c r="BH88" s="386" t="str">
        <f>IF('Design Fee'!CK89&gt;0,2,"-")</f>
        <v>-</v>
      </c>
      <c r="BI88" s="386" t="str">
        <f>IF('Design Fee'!CL89&gt;0,2,"-")</f>
        <v>-</v>
      </c>
      <c r="BJ88" s="386" t="str">
        <f>IF('Design Fee'!CM89&gt;0,2,"-")</f>
        <v>-</v>
      </c>
      <c r="BK88" s="386" t="str">
        <f>IF('Design Fee'!CN89&gt;0,2,"-")</f>
        <v>-</v>
      </c>
      <c r="BL88" s="386" t="str">
        <f>IF('Design Fee'!CO89&gt;0,2,"-")</f>
        <v>-</v>
      </c>
      <c r="BM88" s="195"/>
      <c r="BN88" s="197"/>
      <c r="BO88" s="387"/>
      <c r="BP88" s="328">
        <f>IF('Design Fee'!DL89&gt;0,2,"-")</f>
        <v>2</v>
      </c>
      <c r="BQ88" s="386" t="str">
        <f>IF('Design Fee'!DN89&gt;0,2,"-")</f>
        <v>-</v>
      </c>
      <c r="BR88" s="386">
        <f>IF('Design Fee'!DO89&gt;0,2,"-")</f>
        <v>2</v>
      </c>
      <c r="BS88" s="386">
        <f>IF('Design Fee'!DP89&gt;0,2,"-")</f>
        <v>2</v>
      </c>
      <c r="BT88" s="386" t="str">
        <f>IF('Design Fee'!DQ89&gt;0,2,"-")</f>
        <v>-</v>
      </c>
      <c r="BU88" s="386" t="str">
        <f>IF('Design Fee'!DR89&gt;0,2,"-")</f>
        <v>-</v>
      </c>
      <c r="BV88" s="386" t="str">
        <f>IF('Design Fee'!DS89&gt;0,2,"-")</f>
        <v>-</v>
      </c>
      <c r="BW88" s="386">
        <f>IF('Design Fee'!DU89&gt;0,2,"-")</f>
        <v>2</v>
      </c>
      <c r="BX88" s="386" t="str">
        <f>IF('Design Fee'!DV89&gt;0,2,"-")</f>
        <v>-</v>
      </c>
      <c r="BY88" s="386">
        <f>IF('Design Fee'!DW89&gt;0,2,"-")</f>
        <v>2</v>
      </c>
      <c r="BZ88" s="386" t="str">
        <f>IF('Design Fee'!DX89&gt;0,2,"-")</f>
        <v>-</v>
      </c>
      <c r="CA88" s="386" t="str">
        <f>IF('Design Fee'!DY89&gt;0,2,"-")</f>
        <v>-</v>
      </c>
      <c r="CB88" s="195"/>
    </row>
    <row r="89" spans="1:80" ht="3" customHeight="1">
      <c r="A89" s="112"/>
      <c r="B89" s="113"/>
      <c r="C89" s="113"/>
      <c r="D89" s="114"/>
      <c r="E89" s="114"/>
      <c r="F89" s="115"/>
      <c r="G89" s="116"/>
      <c r="H89" s="124"/>
      <c r="I89" s="124"/>
      <c r="J89" s="124"/>
      <c r="K89" s="125"/>
      <c r="L89" s="125"/>
      <c r="M89" s="125"/>
      <c r="N89" s="125"/>
      <c r="O89" s="125"/>
      <c r="P89" s="125"/>
      <c r="Q89" s="125"/>
      <c r="R89" s="125"/>
      <c r="S89" s="125"/>
      <c r="T89" s="327"/>
      <c r="U89" s="327"/>
      <c r="V89" s="327"/>
      <c r="W89" s="327"/>
      <c r="X89" s="327"/>
      <c r="Y89" s="327"/>
      <c r="Z89" s="327"/>
      <c r="AA89" s="327"/>
      <c r="AB89" s="327"/>
      <c r="AC89" s="327"/>
      <c r="AD89" s="327"/>
      <c r="AE89" s="327"/>
      <c r="AF89" s="327"/>
      <c r="AG89" s="327"/>
      <c r="AH89" s="327"/>
      <c r="AI89" s="327"/>
      <c r="AJ89" s="327"/>
      <c r="AK89" s="327"/>
      <c r="AL89" s="327"/>
      <c r="AM89" s="327"/>
      <c r="AN89" s="327"/>
      <c r="AO89" s="327"/>
      <c r="AP89" s="327"/>
      <c r="AQ89" s="327"/>
      <c r="AR89" s="327"/>
      <c r="AS89" s="327"/>
      <c r="AT89" s="327"/>
      <c r="AU89" s="327"/>
      <c r="AV89" s="327"/>
      <c r="AW89" s="327"/>
      <c r="AX89" s="327"/>
      <c r="AY89" s="327"/>
      <c r="AZ89" s="327"/>
      <c r="BA89" s="327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  <c r="BM89" s="327"/>
      <c r="BN89" s="327"/>
      <c r="BO89" s="327"/>
      <c r="BP89" s="327"/>
      <c r="BQ89" s="327"/>
      <c r="BR89" s="327"/>
      <c r="BS89" s="327"/>
      <c r="BT89" s="327"/>
      <c r="BU89" s="327"/>
      <c r="BV89" s="327"/>
      <c r="BW89" s="327"/>
      <c r="BX89" s="327"/>
      <c r="BY89" s="327"/>
      <c r="BZ89" s="327"/>
      <c r="CA89" s="327"/>
      <c r="CB89" s="119"/>
    </row>
    <row r="90" spans="1:80" ht="17.399999999999999">
      <c r="A90" s="112"/>
      <c r="B90" s="112"/>
      <c r="C90" s="497" t="s">
        <v>95</v>
      </c>
      <c r="D90" s="497"/>
      <c r="E90" s="132"/>
      <c r="F90" s="115"/>
      <c r="G90" s="116"/>
      <c r="H90" s="124"/>
      <c r="I90" s="124"/>
      <c r="J90" s="124"/>
      <c r="K90" s="125"/>
      <c r="L90" s="125"/>
      <c r="M90" s="125"/>
      <c r="N90" s="125"/>
      <c r="O90" s="125"/>
      <c r="P90" s="125"/>
      <c r="Q90" s="125"/>
      <c r="R90" s="125"/>
      <c r="S90" s="125"/>
      <c r="T90" s="327"/>
      <c r="U90" s="327"/>
      <c r="V90" s="327"/>
      <c r="W90" s="327"/>
      <c r="X90" s="327"/>
      <c r="Y90" s="327"/>
      <c r="Z90" s="327"/>
      <c r="AA90" s="327"/>
      <c r="AB90" s="327"/>
      <c r="AC90" s="327"/>
      <c r="AD90" s="327"/>
      <c r="AE90" s="327"/>
      <c r="AF90" s="327"/>
      <c r="AG90" s="327"/>
      <c r="AH90" s="327"/>
      <c r="AI90" s="327"/>
      <c r="AJ90" s="327"/>
      <c r="AK90" s="327"/>
      <c r="AL90" s="327"/>
      <c r="AM90" s="327"/>
      <c r="AN90" s="327"/>
      <c r="AO90" s="327"/>
      <c r="AP90" s="327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  <c r="BM90" s="327"/>
      <c r="BN90" s="327"/>
      <c r="BO90" s="327"/>
      <c r="BP90" s="327"/>
      <c r="BQ90" s="327"/>
      <c r="BR90" s="327"/>
      <c r="BS90" s="327"/>
      <c r="BT90" s="327"/>
      <c r="BU90" s="327"/>
      <c r="BV90" s="327"/>
      <c r="BW90" s="327"/>
      <c r="BX90" s="327"/>
      <c r="BY90" s="327"/>
      <c r="BZ90" s="327"/>
      <c r="CA90" s="327"/>
      <c r="CB90" s="134"/>
    </row>
    <row r="91" spans="1:80" ht="3" customHeight="1" outlineLevel="1">
      <c r="A91" s="112"/>
      <c r="B91" s="113"/>
      <c r="C91" s="113"/>
      <c r="D91" s="131"/>
      <c r="E91" s="132"/>
      <c r="F91" s="115"/>
      <c r="G91" s="116"/>
      <c r="H91" s="124"/>
      <c r="I91" s="124"/>
      <c r="J91" s="124"/>
      <c r="K91" s="125"/>
      <c r="L91" s="125"/>
      <c r="M91" s="125"/>
      <c r="N91" s="125"/>
      <c r="O91" s="125"/>
      <c r="P91" s="125"/>
      <c r="Q91" s="125"/>
      <c r="R91" s="125"/>
      <c r="S91" s="125"/>
      <c r="T91" s="327"/>
      <c r="U91" s="327"/>
      <c r="V91" s="327"/>
      <c r="W91" s="327"/>
      <c r="X91" s="327"/>
      <c r="Y91" s="327"/>
      <c r="Z91" s="327"/>
      <c r="AA91" s="327"/>
      <c r="AB91" s="327"/>
      <c r="AC91" s="327"/>
      <c r="AD91" s="327"/>
      <c r="AE91" s="327"/>
      <c r="AF91" s="327"/>
      <c r="AG91" s="327"/>
      <c r="AH91" s="327"/>
      <c r="AI91" s="327"/>
      <c r="AJ91" s="327"/>
      <c r="AK91" s="327"/>
      <c r="AL91" s="327"/>
      <c r="AM91" s="327"/>
      <c r="AN91" s="327"/>
      <c r="AO91" s="327"/>
      <c r="AP91" s="327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  <c r="BM91" s="327"/>
      <c r="BN91" s="327"/>
      <c r="BO91" s="327"/>
      <c r="BP91" s="327"/>
      <c r="BQ91" s="327"/>
      <c r="BR91" s="327"/>
      <c r="BS91" s="327"/>
      <c r="BT91" s="327"/>
      <c r="BU91" s="327"/>
      <c r="BV91" s="327"/>
      <c r="BW91" s="327"/>
      <c r="BX91" s="327"/>
      <c r="BY91" s="327"/>
      <c r="BZ91" s="327"/>
      <c r="CA91" s="327"/>
      <c r="CB91" s="134"/>
    </row>
    <row r="92" spans="1:80" ht="11.85" customHeight="1" outlineLevel="1" collapsed="1">
      <c r="A92" s="112"/>
      <c r="B92" s="148">
        <v>1</v>
      </c>
      <c r="C92" s="148">
        <v>1</v>
      </c>
      <c r="D92" s="149" t="s">
        <v>96</v>
      </c>
      <c r="E92" s="149"/>
      <c r="F92" s="203"/>
      <c r="G92" s="188">
        <f t="shared" si="96"/>
        <v>0</v>
      </c>
      <c r="H92" s="203">
        <f t="shared" ref="H92" si="146">W92+AL92+BA92+BP92</f>
        <v>4</v>
      </c>
      <c r="I92" s="203">
        <f t="shared" ref="I92" si="147">X92+AM92+BB92+BQ92</f>
        <v>0</v>
      </c>
      <c r="J92" s="203">
        <f t="shared" si="99"/>
        <v>4</v>
      </c>
      <c r="K92" s="203">
        <f t="shared" si="100"/>
        <v>0</v>
      </c>
      <c r="L92" s="203">
        <f t="shared" si="101"/>
        <v>4</v>
      </c>
      <c r="M92" s="203">
        <f t="shared" si="102"/>
        <v>0</v>
      </c>
      <c r="N92" s="203">
        <f t="shared" si="103"/>
        <v>0</v>
      </c>
      <c r="O92" s="203">
        <f t="shared" si="104"/>
        <v>0</v>
      </c>
      <c r="P92" s="203">
        <f t="shared" si="105"/>
        <v>0</v>
      </c>
      <c r="Q92" s="203">
        <f t="shared" si="106"/>
        <v>0</v>
      </c>
      <c r="R92" s="203">
        <f t="shared" si="107"/>
        <v>0</v>
      </c>
      <c r="S92" s="203">
        <f t="shared" si="108"/>
        <v>0</v>
      </c>
      <c r="T92" s="191"/>
      <c r="U92" s="188"/>
      <c r="V92" s="188"/>
      <c r="W92" s="203">
        <f>COUNT(W93)</f>
        <v>1</v>
      </c>
      <c r="X92" s="203">
        <f t="shared" ref="X92:AH92" si="148">COUNT(X93)</f>
        <v>0</v>
      </c>
      <c r="Y92" s="203">
        <f t="shared" si="148"/>
        <v>1</v>
      </c>
      <c r="Z92" s="203">
        <f t="shared" si="148"/>
        <v>0</v>
      </c>
      <c r="AA92" s="203">
        <f t="shared" si="148"/>
        <v>1</v>
      </c>
      <c r="AB92" s="203">
        <f t="shared" si="148"/>
        <v>0</v>
      </c>
      <c r="AC92" s="203">
        <f t="shared" si="148"/>
        <v>0</v>
      </c>
      <c r="AD92" s="203">
        <f t="shared" si="148"/>
        <v>0</v>
      </c>
      <c r="AE92" s="203">
        <f t="shared" si="148"/>
        <v>0</v>
      </c>
      <c r="AF92" s="203">
        <f t="shared" si="148"/>
        <v>0</v>
      </c>
      <c r="AG92" s="203">
        <f t="shared" si="148"/>
        <v>0</v>
      </c>
      <c r="AH92" s="203">
        <f t="shared" si="148"/>
        <v>0</v>
      </c>
      <c r="AI92" s="191"/>
      <c r="AJ92" s="188"/>
      <c r="AK92" s="188"/>
      <c r="AL92" s="203">
        <f>COUNT(AL93)</f>
        <v>1</v>
      </c>
      <c r="AM92" s="203">
        <f t="shared" ref="AM92" si="149">COUNT(AM93)</f>
        <v>0</v>
      </c>
      <c r="AN92" s="203">
        <f t="shared" ref="AN92" si="150">COUNT(AN93)</f>
        <v>1</v>
      </c>
      <c r="AO92" s="203">
        <f t="shared" ref="AO92" si="151">COUNT(AO93)</f>
        <v>0</v>
      </c>
      <c r="AP92" s="203">
        <f t="shared" ref="AP92" si="152">COUNT(AP93)</f>
        <v>1</v>
      </c>
      <c r="AQ92" s="203">
        <f t="shared" ref="AQ92" si="153">COUNT(AQ93)</f>
        <v>0</v>
      </c>
      <c r="AR92" s="203">
        <f t="shared" ref="AR92" si="154">COUNT(AR93)</f>
        <v>0</v>
      </c>
      <c r="AS92" s="203">
        <f t="shared" ref="AS92" si="155">COUNT(AS93)</f>
        <v>0</v>
      </c>
      <c r="AT92" s="203">
        <f t="shared" ref="AT92" si="156">COUNT(AT93)</f>
        <v>0</v>
      </c>
      <c r="AU92" s="203">
        <f t="shared" ref="AU92" si="157">COUNT(AU93)</f>
        <v>0</v>
      </c>
      <c r="AV92" s="203">
        <f t="shared" ref="AV92" si="158">COUNT(AV93)</f>
        <v>0</v>
      </c>
      <c r="AW92" s="203">
        <f t="shared" ref="AW92" si="159">COUNT(AW93)</f>
        <v>0</v>
      </c>
      <c r="AX92" s="191"/>
      <c r="AY92" s="188"/>
      <c r="AZ92" s="188"/>
      <c r="BA92" s="203">
        <f>COUNT(BA93)</f>
        <v>1</v>
      </c>
      <c r="BB92" s="203">
        <f t="shared" ref="BB92" si="160">COUNT(BB93)</f>
        <v>0</v>
      </c>
      <c r="BC92" s="203">
        <f t="shared" ref="BC92" si="161">COUNT(BC93)</f>
        <v>1</v>
      </c>
      <c r="BD92" s="203">
        <f t="shared" ref="BD92" si="162">COUNT(BD93)</f>
        <v>0</v>
      </c>
      <c r="BE92" s="203">
        <f t="shared" ref="BE92" si="163">COUNT(BE93)</f>
        <v>1</v>
      </c>
      <c r="BF92" s="203">
        <f t="shared" ref="BF92" si="164">COUNT(BF93)</f>
        <v>0</v>
      </c>
      <c r="BG92" s="203">
        <f t="shared" ref="BG92" si="165">COUNT(BG93)</f>
        <v>0</v>
      </c>
      <c r="BH92" s="203">
        <f t="shared" ref="BH92" si="166">COUNT(BH93)</f>
        <v>0</v>
      </c>
      <c r="BI92" s="203">
        <f t="shared" ref="BI92" si="167">COUNT(BI93)</f>
        <v>0</v>
      </c>
      <c r="BJ92" s="203">
        <f t="shared" ref="BJ92" si="168">COUNT(BJ93)</f>
        <v>0</v>
      </c>
      <c r="BK92" s="203">
        <f t="shared" ref="BK92" si="169">COUNT(BK93)</f>
        <v>0</v>
      </c>
      <c r="BL92" s="203">
        <f t="shared" ref="BL92" si="170">COUNT(BL93)</f>
        <v>0</v>
      </c>
      <c r="BM92" s="191"/>
      <c r="BN92" s="188"/>
      <c r="BO92" s="188"/>
      <c r="BP92" s="203">
        <f>COUNT(BP93)</f>
        <v>1</v>
      </c>
      <c r="BQ92" s="203">
        <f t="shared" ref="BQ92" si="171">COUNT(BQ93)</f>
        <v>0</v>
      </c>
      <c r="BR92" s="203">
        <f t="shared" ref="BR92" si="172">COUNT(BR93)</f>
        <v>1</v>
      </c>
      <c r="BS92" s="203">
        <f t="shared" ref="BS92" si="173">COUNT(BS93)</f>
        <v>0</v>
      </c>
      <c r="BT92" s="203">
        <f t="shared" ref="BT92" si="174">COUNT(BT93)</f>
        <v>1</v>
      </c>
      <c r="BU92" s="203">
        <f t="shared" ref="BU92" si="175">COUNT(BU93)</f>
        <v>0</v>
      </c>
      <c r="BV92" s="203">
        <f t="shared" ref="BV92" si="176">COUNT(BV93)</f>
        <v>0</v>
      </c>
      <c r="BW92" s="203">
        <f t="shared" ref="BW92" si="177">COUNT(BW93)</f>
        <v>0</v>
      </c>
      <c r="BX92" s="203">
        <f t="shared" ref="BX92" si="178">COUNT(BX93)</f>
        <v>0</v>
      </c>
      <c r="BY92" s="203">
        <f t="shared" ref="BY92" si="179">COUNT(BY93)</f>
        <v>0</v>
      </c>
      <c r="BZ92" s="203">
        <f t="shared" ref="BZ92" si="180">COUNT(BZ93)</f>
        <v>0</v>
      </c>
      <c r="CA92" s="203">
        <f t="shared" ref="CA92" si="181">COUNT(CA93)</f>
        <v>0</v>
      </c>
      <c r="CB92" s="157"/>
    </row>
    <row r="93" spans="1:80" ht="11.85" hidden="1" customHeight="1" outlineLevel="2">
      <c r="A93" s="112"/>
      <c r="B93" s="162">
        <v>1</v>
      </c>
      <c r="C93" s="162">
        <v>1</v>
      </c>
      <c r="D93" s="114" t="s">
        <v>97</v>
      </c>
      <c r="E93" s="114"/>
      <c r="F93" s="115"/>
      <c r="G93" s="116"/>
      <c r="H93" s="116"/>
      <c r="I93" s="116"/>
      <c r="J93" s="124"/>
      <c r="K93" s="125"/>
      <c r="L93" s="125"/>
      <c r="M93" s="125"/>
      <c r="N93" s="125"/>
      <c r="O93" s="125"/>
      <c r="P93" s="125"/>
      <c r="Q93" s="125"/>
      <c r="R93" s="125"/>
      <c r="S93" s="125"/>
      <c r="T93" s="195"/>
      <c r="U93" s="197"/>
      <c r="V93" s="194"/>
      <c r="W93" s="328">
        <f>IF('Design Fee'!H94&gt;0,2,"-")</f>
        <v>2</v>
      </c>
      <c r="X93" s="386" t="str">
        <f>IF('Design Fee'!J94&gt;0,2,"-")</f>
        <v>-</v>
      </c>
      <c r="Y93" s="386">
        <f>IF('Design Fee'!K94&gt;0,2,"-")</f>
        <v>2</v>
      </c>
      <c r="Z93" s="386" t="str">
        <f>IF('Design Fee'!L94&gt;0,2,"-")</f>
        <v>-</v>
      </c>
      <c r="AA93" s="386">
        <f>IF('Design Fee'!M94&gt;0,2,"-")</f>
        <v>2</v>
      </c>
      <c r="AB93" s="386" t="str">
        <f>IF('Design Fee'!N94&gt;0,2,"-")</f>
        <v>-</v>
      </c>
      <c r="AC93" s="386" t="str">
        <f>IF('Design Fee'!O94&gt;0,2,"-")</f>
        <v>-</v>
      </c>
      <c r="AD93" s="386" t="str">
        <f>IF('Design Fee'!Q94&gt;0,2,"-")</f>
        <v>-</v>
      </c>
      <c r="AE93" s="386" t="str">
        <f>IF('Design Fee'!R94&gt;0,2,"-")</f>
        <v>-</v>
      </c>
      <c r="AF93" s="386" t="str">
        <f>IF('Design Fee'!S94&gt;0,2,"-")</f>
        <v>-</v>
      </c>
      <c r="AG93" s="386" t="str">
        <f>IF('Design Fee'!T94&gt;0,2,"-")</f>
        <v>-</v>
      </c>
      <c r="AH93" s="386" t="str">
        <f>IF('Design Fee'!U94&gt;0,2,"-")</f>
        <v>-</v>
      </c>
      <c r="AI93" s="195"/>
      <c r="AJ93" s="197"/>
      <c r="AK93" s="387"/>
      <c r="AL93" s="328">
        <f>IF('Design Fee'!AR94&gt;0,2,"-")</f>
        <v>2</v>
      </c>
      <c r="AM93" s="386" t="str">
        <f>IF('Design Fee'!AT94&gt;0,2,"-")</f>
        <v>-</v>
      </c>
      <c r="AN93" s="386">
        <f>IF('Design Fee'!AU94&gt;0,2,"-")</f>
        <v>2</v>
      </c>
      <c r="AO93" s="386" t="str">
        <f>IF('Design Fee'!AV94&gt;0,2,"-")</f>
        <v>-</v>
      </c>
      <c r="AP93" s="386">
        <f>IF('Design Fee'!AW94&gt;0,2,"-")</f>
        <v>2</v>
      </c>
      <c r="AQ93" s="386" t="str">
        <f>IF('Design Fee'!AX94&gt;0,2,"-")</f>
        <v>-</v>
      </c>
      <c r="AR93" s="386" t="str">
        <f>IF('Design Fee'!AY94&gt;0,2,"-")</f>
        <v>-</v>
      </c>
      <c r="AS93" s="386" t="str">
        <f>IF('Design Fee'!BA94&gt;0,2,"-")</f>
        <v>-</v>
      </c>
      <c r="AT93" s="386" t="str">
        <f>IF('Design Fee'!BB94&gt;0,2,"-")</f>
        <v>-</v>
      </c>
      <c r="AU93" s="386" t="str">
        <f>IF('Design Fee'!BC94&gt;0,2,"-")</f>
        <v>-</v>
      </c>
      <c r="AV93" s="386" t="str">
        <f>IF('Design Fee'!BD94&gt;0,2,"-")</f>
        <v>-</v>
      </c>
      <c r="AW93" s="386" t="str">
        <f>IF('Design Fee'!BE94&gt;0,2,"-")</f>
        <v>-</v>
      </c>
      <c r="AX93" s="195"/>
      <c r="AY93" s="197"/>
      <c r="AZ93" s="387"/>
      <c r="BA93" s="328">
        <f>IF('Design Fee'!CB94&gt;0,2,"-")</f>
        <v>2</v>
      </c>
      <c r="BB93" s="386" t="str">
        <f>IF('Design Fee'!CD94&gt;0,2,"-")</f>
        <v>-</v>
      </c>
      <c r="BC93" s="328">
        <f>IF('Design Fee'!CE94&gt;0,2,"-")</f>
        <v>2</v>
      </c>
      <c r="BD93" s="386" t="str">
        <f>IF('Design Fee'!CF94&gt;0,2,"-")</f>
        <v>-</v>
      </c>
      <c r="BE93" s="386">
        <f>IF('Design Fee'!CG94&gt;0,2,"-")</f>
        <v>2</v>
      </c>
      <c r="BF93" s="386" t="str">
        <f>IF('Design Fee'!CH94&gt;0,2,"-")</f>
        <v>-</v>
      </c>
      <c r="BG93" s="386" t="str">
        <f>IF('Design Fee'!CI94&gt;0,2,"-")</f>
        <v>-</v>
      </c>
      <c r="BH93" s="386" t="str">
        <f>IF('Design Fee'!CK94&gt;0,2,"-")</f>
        <v>-</v>
      </c>
      <c r="BI93" s="386" t="str">
        <f>IF('Design Fee'!CL94&gt;0,2,"-")</f>
        <v>-</v>
      </c>
      <c r="BJ93" s="386" t="str">
        <f>IF('Design Fee'!CM94&gt;0,2,"-")</f>
        <v>-</v>
      </c>
      <c r="BK93" s="386" t="str">
        <f>IF('Design Fee'!CN94&gt;0,2,"-")</f>
        <v>-</v>
      </c>
      <c r="BL93" s="386" t="str">
        <f>IF('Design Fee'!CO94&gt;0,2,"-")</f>
        <v>-</v>
      </c>
      <c r="BM93" s="195"/>
      <c r="BN93" s="197"/>
      <c r="BO93" s="387"/>
      <c r="BP93" s="328">
        <f>IF('Design Fee'!DL94&gt;0,2,"-")</f>
        <v>2</v>
      </c>
      <c r="BQ93" s="393" t="str">
        <f>IF('Design Fee'!DN94&gt;0,2,"-")</f>
        <v>-</v>
      </c>
      <c r="BR93" s="393">
        <f>IF('Design Fee'!DO94&gt;0,2,"-")</f>
        <v>2</v>
      </c>
      <c r="BS93" s="393" t="str">
        <f>IF('Design Fee'!DP94&gt;0,2,"-")</f>
        <v>-</v>
      </c>
      <c r="BT93" s="393">
        <f>IF('Design Fee'!DQ94&gt;0,2,"-")</f>
        <v>2</v>
      </c>
      <c r="BU93" s="393" t="str">
        <f>IF('Design Fee'!DR94&gt;0,2,"-")</f>
        <v>-</v>
      </c>
      <c r="BV93" s="393" t="str">
        <f>IF('Design Fee'!DS94&gt;0,2,"-")</f>
        <v>-</v>
      </c>
      <c r="BW93" s="386" t="str">
        <f>IF('Design Fee'!DU94&gt;0,2,"-")</f>
        <v>-</v>
      </c>
      <c r="BX93" s="386" t="str">
        <f>IF('Design Fee'!DV94&gt;0,2,"-")</f>
        <v>-</v>
      </c>
      <c r="BY93" s="386" t="str">
        <f>IF('Design Fee'!DW94&gt;0,2,"-")</f>
        <v>-</v>
      </c>
      <c r="BZ93" s="386" t="str">
        <f>IF('Design Fee'!DX94&gt;0,2,"-")</f>
        <v>-</v>
      </c>
      <c r="CA93" s="386" t="str">
        <f>IF('Design Fee'!DY94&gt;0,2,"-")</f>
        <v>-</v>
      </c>
      <c r="CB93" s="155"/>
    </row>
    <row r="94" spans="1:80" ht="3" customHeight="1">
      <c r="A94" s="112"/>
      <c r="B94" s="113"/>
      <c r="C94" s="113"/>
      <c r="D94" s="114"/>
      <c r="E94" s="112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7"/>
      <c r="X94" s="327"/>
      <c r="Y94" s="327"/>
      <c r="Z94" s="327"/>
      <c r="AA94" s="327"/>
      <c r="AB94" s="327"/>
      <c r="AC94" s="327"/>
      <c r="AD94" s="327"/>
      <c r="AE94" s="327"/>
      <c r="AF94" s="327"/>
      <c r="AG94" s="327"/>
      <c r="AH94" s="327"/>
      <c r="AI94" s="327"/>
      <c r="AJ94" s="327"/>
      <c r="AK94" s="327"/>
      <c r="AL94" s="327"/>
      <c r="AM94" s="327"/>
      <c r="AN94" s="327"/>
      <c r="AO94" s="327"/>
      <c r="AP94" s="327"/>
      <c r="AQ94" s="327"/>
      <c r="AR94" s="327"/>
      <c r="AS94" s="327"/>
      <c r="AT94" s="327"/>
      <c r="AU94" s="327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  <c r="BM94" s="327"/>
      <c r="BN94" s="327"/>
      <c r="BO94" s="327"/>
      <c r="BP94" s="327"/>
      <c r="BQ94" s="327"/>
      <c r="BR94" s="327"/>
      <c r="BS94" s="327"/>
      <c r="BT94" s="327"/>
      <c r="BU94" s="327"/>
      <c r="BV94" s="327"/>
      <c r="BW94" s="327"/>
      <c r="BX94" s="327"/>
      <c r="BY94" s="327"/>
      <c r="BZ94" s="327"/>
      <c r="CA94" s="327"/>
      <c r="CB94" s="119"/>
    </row>
    <row r="95" spans="1:80" s="172" customFormat="1" ht="3" customHeight="1">
      <c r="A95" s="166"/>
      <c r="B95" s="137"/>
      <c r="C95" s="137"/>
      <c r="D95" s="167"/>
      <c r="E95" s="168"/>
      <c r="F95" s="169"/>
      <c r="G95" s="169"/>
      <c r="H95" s="169"/>
      <c r="I95" s="169"/>
      <c r="J95" s="170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70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71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71"/>
      <c r="BB95" s="169"/>
      <c r="BC95" s="169"/>
      <c r="BD95" s="169"/>
      <c r="BE95" s="169"/>
      <c r="BF95" s="169"/>
      <c r="BG95" s="169"/>
      <c r="BH95" s="169"/>
      <c r="BI95" s="169"/>
      <c r="BJ95" s="169"/>
      <c r="BK95" s="169"/>
      <c r="BL95" s="169"/>
      <c r="BM95" s="169"/>
      <c r="BN95" s="169"/>
      <c r="BO95" s="169"/>
      <c r="BP95" s="171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</row>
    <row r="96" spans="1:80" ht="3" customHeight="1">
      <c r="A96" s="112"/>
      <c r="B96" s="113"/>
      <c r="C96" s="113"/>
      <c r="D96" s="114"/>
      <c r="E96" s="112"/>
      <c r="F96" s="115"/>
      <c r="G96" s="116"/>
      <c r="H96" s="116"/>
      <c r="I96" s="116"/>
      <c r="J96" s="117"/>
      <c r="K96" s="118"/>
      <c r="L96" s="118"/>
      <c r="M96" s="118"/>
      <c r="N96" s="118"/>
      <c r="O96" s="118"/>
      <c r="P96" s="118"/>
      <c r="Q96" s="118"/>
      <c r="R96" s="118"/>
      <c r="S96" s="118"/>
      <c r="T96" s="119"/>
      <c r="U96" s="115"/>
      <c r="V96" s="116"/>
      <c r="W96" s="117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9"/>
      <c r="AJ96" s="115"/>
      <c r="AK96" s="116"/>
      <c r="AL96" s="123"/>
      <c r="AM96" s="118"/>
      <c r="AN96" s="118"/>
      <c r="AO96" s="118"/>
      <c r="AP96" s="118"/>
      <c r="AQ96" s="118"/>
      <c r="AR96" s="118"/>
      <c r="AS96" s="118"/>
      <c r="AT96" s="118"/>
      <c r="AU96" s="118"/>
      <c r="AV96" s="118"/>
      <c r="AW96" s="118"/>
      <c r="AX96" s="119"/>
      <c r="AY96" s="115"/>
      <c r="AZ96" s="116"/>
      <c r="BA96" s="123"/>
      <c r="BB96" s="118"/>
      <c r="BC96" s="118"/>
      <c r="BD96" s="118"/>
      <c r="BE96" s="118"/>
      <c r="BF96" s="118"/>
      <c r="BG96" s="118"/>
      <c r="BH96" s="118"/>
      <c r="BI96" s="118"/>
      <c r="BJ96" s="118"/>
      <c r="BK96" s="118"/>
      <c r="BL96" s="118"/>
      <c r="BM96" s="119"/>
      <c r="BN96" s="115"/>
      <c r="BO96" s="116"/>
      <c r="BP96" s="123"/>
      <c r="BQ96" s="118"/>
      <c r="BR96" s="118"/>
      <c r="BS96" s="118"/>
      <c r="BT96" s="118"/>
      <c r="BU96" s="118"/>
      <c r="BV96" s="118"/>
      <c r="BW96" s="118"/>
      <c r="BX96" s="118"/>
      <c r="BY96" s="118"/>
      <c r="BZ96" s="118"/>
      <c r="CA96" s="118"/>
      <c r="CB96" s="119"/>
    </row>
    <row r="97" spans="2:80" s="172" customFormat="1" ht="11.85" customHeight="1">
      <c r="B97" s="173"/>
      <c r="C97" s="173"/>
      <c r="D97" s="91"/>
      <c r="E97" s="92"/>
      <c r="F97" s="174"/>
      <c r="G97" s="93"/>
      <c r="H97" s="93"/>
      <c r="I97" s="93"/>
      <c r="J97" s="175"/>
      <c r="K97" s="176"/>
      <c r="L97" s="176"/>
      <c r="M97" s="176"/>
      <c r="N97" s="176"/>
      <c r="O97" s="176"/>
      <c r="P97" s="176"/>
      <c r="Q97" s="176"/>
      <c r="R97" s="176"/>
      <c r="S97" s="176"/>
      <c r="T97" s="177"/>
      <c r="U97" s="174"/>
      <c r="V97" s="93"/>
      <c r="W97" s="175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7"/>
      <c r="AJ97" s="174"/>
      <c r="AK97" s="93"/>
      <c r="AL97" s="181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7"/>
      <c r="AY97" s="174"/>
      <c r="AZ97" s="93"/>
      <c r="BA97" s="181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7"/>
      <c r="BN97" s="174"/>
      <c r="BO97" s="93"/>
      <c r="BP97" s="181"/>
      <c r="BQ97" s="176"/>
      <c r="BR97" s="176"/>
      <c r="BS97" s="176"/>
      <c r="BT97" s="176"/>
      <c r="BU97" s="176"/>
      <c r="BV97" s="176"/>
      <c r="BW97" s="176"/>
      <c r="BX97" s="176"/>
      <c r="BY97" s="176"/>
      <c r="BZ97" s="176"/>
      <c r="CA97" s="176"/>
      <c r="CB97" s="177"/>
    </row>
    <row r="98" spans="2:80" s="172" customFormat="1" ht="11.85" customHeight="1">
      <c r="B98" s="173"/>
      <c r="C98" s="173"/>
      <c r="D98" s="91"/>
      <c r="E98" s="92"/>
      <c r="F98" s="174"/>
      <c r="G98" s="93"/>
      <c r="H98" s="93"/>
      <c r="I98" s="93"/>
      <c r="J98" s="175"/>
      <c r="K98" s="176"/>
      <c r="L98" s="176"/>
      <c r="M98" s="176"/>
      <c r="N98" s="176"/>
      <c r="O98" s="176"/>
      <c r="P98" s="176"/>
      <c r="Q98" s="176"/>
      <c r="R98" s="176"/>
      <c r="S98" s="176"/>
      <c r="T98" s="177"/>
      <c r="U98" s="174"/>
      <c r="V98" s="93"/>
      <c r="W98" s="175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7"/>
      <c r="AJ98" s="174"/>
      <c r="AK98" s="93"/>
      <c r="AL98" s="181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7"/>
      <c r="AY98" s="174"/>
      <c r="AZ98" s="93"/>
      <c r="BA98" s="181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7"/>
      <c r="BN98" s="174"/>
      <c r="BO98" s="93"/>
      <c r="BP98" s="181"/>
      <c r="BQ98" s="176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7"/>
    </row>
  </sheetData>
  <autoFilter ref="A1:CB98" xr:uid="{44F5A2B9-A960-4D31-8C66-B6A172052F1E}"/>
  <mergeCells count="9">
    <mergeCell ref="C90:D90"/>
    <mergeCell ref="C9:D9"/>
    <mergeCell ref="C49:D49"/>
    <mergeCell ref="BN4:BN5"/>
    <mergeCell ref="AY4:AY5"/>
    <mergeCell ref="AJ4:AJ5"/>
    <mergeCell ref="C4:D5"/>
    <mergeCell ref="U4:U5"/>
    <mergeCell ref="F4:F5"/>
  </mergeCells>
  <conditionalFormatting sqref="T93 T11:T50 T52:T61 T63:T83 T85:T91 H11:S15 H52:S60 H63:S67 H85:S88 H17:S21 H23:S28 H30:S37 H39:S47 H70:S72 H75:S77 H80:S82">
    <cfRule type="iconSet" priority="4">
      <iconSet iconSet="3Symbols2" showValue="0">
        <cfvo type="percent" val="0"/>
        <cfvo type="num" val="0" gte="0"/>
        <cfvo type="num" val="1"/>
      </iconSet>
    </cfRule>
  </conditionalFormatting>
  <conditionalFormatting sqref="W85:CA91 W11:CA48 W52:CA61 W63:CA83 W50:CA50 AI49:AK49 AX49:AZ49 BM49:BO49 W93:CA93">
    <cfRule type="iconSet" priority="5">
      <iconSet iconSet="3Symbols2" showValue="0">
        <cfvo type="percent" val="0"/>
        <cfvo type="num" val="0" gte="0"/>
        <cfvo type="num" val="1"/>
      </iconSet>
    </cfRule>
  </conditionalFormatting>
  <printOptions horizontalCentered="1"/>
  <pageMargins left="0.19685039370078741" right="7.874015748031496E-2" top="0.74803149606299213" bottom="0.74803149606299213" header="0.31496062992125984" footer="0.31496062992125984"/>
  <pageSetup paperSize="8" scale="6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A2B9-A960-4D31-8C66-B6A172052F1E}">
  <sheetPr codeName="Sheet1" filterMode="1">
    <outlinePr summaryBelow="0" summaryRight="0"/>
  </sheetPr>
  <dimension ref="A1:EU139"/>
  <sheetViews>
    <sheetView zoomScale="130" zoomScaleNormal="130" zoomScaleSheetLayoutView="115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B5" sqref="CB5"/>
    </sheetView>
  </sheetViews>
  <sheetFormatPr defaultColWidth="11.44140625" defaultRowHeight="11.85" customHeight="1" outlineLevelRow="3" outlineLevelCol="1"/>
  <cols>
    <col min="1" max="1" width="0.5546875" style="92" customWidth="1"/>
    <col min="2" max="2" width="5.5546875" style="173" customWidth="1"/>
    <col min="3" max="3" width="4.44140625" style="173" customWidth="1"/>
    <col min="4" max="4" width="48.88671875" style="91" customWidth="1"/>
    <col min="5" max="5" width="0.44140625" style="92" customWidth="1"/>
    <col min="6" max="6" width="7.5546875" style="174" customWidth="1"/>
    <col min="7" max="7" width="0.5546875" style="93" customWidth="1"/>
    <col min="8" max="8" width="7.44140625" style="175" customWidth="1"/>
    <col min="9" max="9" width="11" style="175" customWidth="1"/>
    <col min="10" max="10" width="9.44140625" style="176" customWidth="1" collapsed="1"/>
    <col min="11" max="11" width="15" style="176" hidden="1" customWidth="1" outlineLevel="1"/>
    <col min="12" max="13" width="7" style="176" hidden="1" customWidth="1" outlineLevel="1"/>
    <col min="14" max="15" width="5.88671875" style="176" hidden="1" customWidth="1" outlineLevel="1"/>
    <col min="16" max="16" width="0.5546875" style="176" hidden="1" customWidth="1" outlineLevel="1"/>
    <col min="17" max="17" width="13.88671875" style="176" hidden="1" customWidth="1" outlineLevel="1"/>
    <col min="18" max="19" width="7" style="176" hidden="1" customWidth="1" outlineLevel="1"/>
    <col min="20" max="20" width="6.44140625" style="176" hidden="1" customWidth="1" outlineLevel="1"/>
    <col min="21" max="21" width="5.88671875" style="176" hidden="1" customWidth="1" outlineLevel="1"/>
    <col min="22" max="22" width="0.44140625" style="177" hidden="1" customWidth="1" outlineLevel="1"/>
    <col min="23" max="23" width="12.33203125" style="176" hidden="1" customWidth="1" outlineLevel="1"/>
    <col min="24" max="24" width="6.88671875" style="176" hidden="1" customWidth="1" outlineLevel="1"/>
    <col min="25" max="25" width="8.5546875" style="176" hidden="1" customWidth="1" outlineLevel="1"/>
    <col min="26" max="26" width="0.44140625" style="178" hidden="1" customWidth="1" outlineLevel="1"/>
    <col min="27" max="27" width="12.5546875" style="179" hidden="1" customWidth="1" outlineLevel="1"/>
    <col min="28" max="28" width="9.44140625" style="179" hidden="1" customWidth="1" outlineLevel="1"/>
    <col min="29" max="29" width="12.44140625" style="179" hidden="1" customWidth="1" outlineLevel="1"/>
    <col min="30" max="30" width="8.5546875" style="176" hidden="1" customWidth="1" outlineLevel="1"/>
    <col min="31" max="33" width="6.44140625" style="176" hidden="1" customWidth="1" outlineLevel="1"/>
    <col min="34" max="34" width="0.5546875" style="176" hidden="1" customWidth="1" outlineLevel="1"/>
    <col min="35" max="35" width="12.44140625" style="179" hidden="1" customWidth="1" outlineLevel="1"/>
    <col min="36" max="36" width="8.44140625" style="176" hidden="1" customWidth="1" outlineLevel="1"/>
    <col min="37" max="37" width="7.88671875" style="176" hidden="1" customWidth="1" outlineLevel="1"/>
    <col min="38" max="38" width="7" style="176" hidden="1" customWidth="1" outlineLevel="1"/>
    <col min="39" max="39" width="6.44140625" style="176" hidden="1" customWidth="1" outlineLevel="1"/>
    <col min="40" max="41" width="0.5546875" style="179" customWidth="1"/>
    <col min="42" max="42" width="6.44140625" style="180" customWidth="1"/>
    <col min="43" max="43" width="0.5546875" style="93" customWidth="1"/>
    <col min="44" max="44" width="7.44140625" style="181" customWidth="1"/>
    <col min="45" max="45" width="11" style="175" customWidth="1"/>
    <col min="46" max="46" width="11.44140625" style="176" customWidth="1" collapsed="1"/>
    <col min="47" max="47" width="14.88671875" style="176" hidden="1" customWidth="1" outlineLevel="1"/>
    <col min="48" max="51" width="11.44140625" style="176" hidden="1" customWidth="1" outlineLevel="1"/>
    <col min="52" max="52" width="0.5546875" style="176" hidden="1" customWidth="1" outlineLevel="1"/>
    <col min="53" max="53" width="12.88671875" style="176" hidden="1" customWidth="1" outlineLevel="1"/>
    <col min="54" max="57" width="11.44140625" style="176" hidden="1" customWidth="1" outlineLevel="1"/>
    <col min="58" max="58" width="0.5546875" style="177" hidden="1" customWidth="1" outlineLevel="1"/>
    <col min="59" max="61" width="11.44140625" style="176" hidden="1" customWidth="1" outlineLevel="1"/>
    <col min="62" max="62" width="0.5546875" style="178" hidden="1" customWidth="1" outlineLevel="1"/>
    <col min="63" max="65" width="11.44140625" style="179" hidden="1" customWidth="1" outlineLevel="1"/>
    <col min="66" max="69" width="11.44140625" style="176" hidden="1" customWidth="1" outlineLevel="1"/>
    <col min="70" max="70" width="0.5546875" style="176" hidden="1" customWidth="1" outlineLevel="1"/>
    <col min="71" max="71" width="11.44140625" style="179" hidden="1" customWidth="1" outlineLevel="1"/>
    <col min="72" max="75" width="11.44140625" style="176" hidden="1" customWidth="1" outlineLevel="1"/>
    <col min="76" max="77" width="0.5546875" style="93" customWidth="1"/>
    <col min="78" max="78" width="6.44140625" style="180" customWidth="1"/>
    <col min="79" max="79" width="0.5546875" style="93" customWidth="1"/>
    <col min="80" max="80" width="7.5546875" style="181" customWidth="1"/>
    <col min="81" max="81" width="11" style="175" customWidth="1"/>
    <col min="82" max="82" width="9.44140625" style="176" customWidth="1" collapsed="1"/>
    <col min="83" max="83" width="14.109375" style="176" hidden="1" customWidth="1" outlineLevel="1"/>
    <col min="84" max="84" width="6.5546875" style="176" hidden="1" customWidth="1" outlineLevel="1"/>
    <col min="85" max="87" width="5.44140625" style="176" hidden="1" customWidth="1" outlineLevel="1"/>
    <col min="88" max="88" width="1" style="176" hidden="1" customWidth="1" outlineLevel="1"/>
    <col min="89" max="89" width="12.88671875" style="176" hidden="1" customWidth="1" outlineLevel="1"/>
    <col min="90" max="90" width="7.6640625" style="176" hidden="1" customWidth="1" outlineLevel="1"/>
    <col min="91" max="91" width="7.5546875" style="176" hidden="1" customWidth="1" outlineLevel="1"/>
    <col min="92" max="93" width="7.6640625" style="176" hidden="1" customWidth="1" outlineLevel="1"/>
    <col min="94" max="94" width="0.5546875" style="177" hidden="1" customWidth="1" outlineLevel="1"/>
    <col min="95" max="95" width="10.44140625" style="176" hidden="1" customWidth="1" outlineLevel="1"/>
    <col min="96" max="96" width="6.88671875" style="176" hidden="1" customWidth="1" outlineLevel="1"/>
    <col min="97" max="97" width="5.44140625" style="176" hidden="1" customWidth="1" outlineLevel="1"/>
    <col min="98" max="98" width="0.5546875" style="178" hidden="1" customWidth="1" outlineLevel="1"/>
    <col min="99" max="99" width="8.5546875" style="179" hidden="1" customWidth="1" outlineLevel="1"/>
    <col min="100" max="100" width="9.44140625" style="179" hidden="1" customWidth="1" outlineLevel="1"/>
    <col min="101" max="101" width="7.5546875" style="179" hidden="1" customWidth="1" outlineLevel="1"/>
    <col min="102" max="102" width="7.5546875" style="176" hidden="1" customWidth="1" outlineLevel="1"/>
    <col min="103" max="105" width="5.44140625" style="176" hidden="1" customWidth="1" outlineLevel="1"/>
    <col min="106" max="106" width="0.5546875" style="176" hidden="1" customWidth="1" outlineLevel="1"/>
    <col min="107" max="107" width="8.109375" style="179" hidden="1" customWidth="1" outlineLevel="1"/>
    <col min="108" max="108" width="7.5546875" style="176" hidden="1" customWidth="1" outlineLevel="1"/>
    <col min="109" max="111" width="5.44140625" style="176" hidden="1" customWidth="1" outlineLevel="1"/>
    <col min="112" max="113" width="0.5546875" style="93" customWidth="1"/>
    <col min="114" max="114" width="6.44140625" style="174" customWidth="1"/>
    <col min="115" max="115" width="0.5546875" style="93" customWidth="1"/>
    <col min="116" max="116" width="15.88671875" style="181" customWidth="1"/>
    <col min="117" max="117" width="11" style="175" customWidth="1"/>
    <col min="118" max="118" width="11.5546875" style="176" customWidth="1" collapsed="1"/>
    <col min="119" max="119" width="16.5546875" style="176" hidden="1" customWidth="1" outlineLevel="1"/>
    <col min="120" max="120" width="7" style="176" hidden="1" customWidth="1" outlineLevel="1"/>
    <col min="121" max="121" width="5.88671875" style="176" hidden="1" customWidth="1" outlineLevel="1"/>
    <col min="122" max="123" width="5.44140625" style="176" hidden="1" customWidth="1" outlineLevel="1"/>
    <col min="124" max="124" width="0.5546875" style="176" hidden="1" customWidth="1" outlineLevel="1"/>
    <col min="125" max="125" width="12.5546875" style="176" hidden="1" customWidth="1" outlineLevel="1"/>
    <col min="126" max="127" width="7.6640625" style="176" hidden="1" customWidth="1" outlineLevel="1"/>
    <col min="128" max="128" width="7.5546875" style="176" hidden="1" customWidth="1" outlineLevel="1"/>
    <col min="129" max="129" width="7.6640625" style="176" hidden="1" customWidth="1" outlineLevel="1"/>
    <col min="130" max="130" width="0.5546875" style="177" hidden="1" customWidth="1" outlineLevel="1"/>
    <col min="131" max="133" width="10.44140625" style="176" hidden="1" customWidth="1" outlineLevel="1"/>
    <col min="134" max="134" width="0.44140625" style="178" hidden="1" customWidth="1" outlineLevel="1"/>
    <col min="135" max="135" width="8.44140625" style="179" hidden="1" customWidth="1" outlineLevel="1"/>
    <col min="136" max="137" width="9.44140625" style="179" hidden="1" customWidth="1" outlineLevel="1"/>
    <col min="138" max="138" width="7.5546875" style="176" hidden="1" customWidth="1" outlineLevel="1"/>
    <col min="139" max="141" width="5.44140625" style="176" hidden="1" customWidth="1" outlineLevel="1"/>
    <col min="142" max="142" width="0.5546875" style="176" hidden="1" customWidth="1" outlineLevel="1"/>
    <col min="143" max="143" width="8.5546875" style="179" hidden="1" customWidth="1" outlineLevel="1"/>
    <col min="144" max="144" width="5.44140625" style="176" hidden="1" customWidth="1" outlineLevel="1"/>
    <col min="145" max="146" width="7.44140625" style="176" hidden="1" customWidth="1" outlineLevel="1"/>
    <col min="147" max="147" width="5.44140625" style="176" hidden="1" customWidth="1" outlineLevel="1"/>
    <col min="148" max="148" width="0.5546875" style="92" customWidth="1"/>
    <col min="149" max="149" width="17.44140625" style="92" customWidth="1"/>
    <col min="150" max="150" width="0.5546875" style="92" customWidth="1"/>
    <col min="151" max="151" width="0.44140625" style="92" customWidth="1"/>
    <col min="152" max="152" width="11.44140625" style="92" customWidth="1"/>
    <col min="153" max="16384" width="11.44140625" style="92"/>
  </cols>
  <sheetData>
    <row r="1" spans="1:150" ht="3" customHeight="1">
      <c r="A1" s="112"/>
      <c r="B1" s="113"/>
      <c r="C1" s="113"/>
      <c r="D1" s="114"/>
      <c r="E1" s="112"/>
      <c r="F1" s="115"/>
      <c r="G1" s="116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20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2"/>
      <c r="AQ1" s="116"/>
      <c r="AR1" s="123"/>
      <c r="AS1" s="123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20"/>
      <c r="BK1" s="121"/>
      <c r="BL1" s="121"/>
      <c r="BM1" s="396"/>
      <c r="BN1" s="118"/>
      <c r="BO1" s="118"/>
      <c r="BP1" s="118"/>
      <c r="BQ1" s="118"/>
      <c r="BR1" s="118"/>
      <c r="BS1" s="396"/>
      <c r="BT1" s="118"/>
      <c r="BU1" s="118"/>
      <c r="BV1" s="118"/>
      <c r="BW1" s="118"/>
      <c r="BX1" s="116"/>
      <c r="BY1" s="116"/>
      <c r="BZ1" s="122"/>
      <c r="CA1" s="116"/>
      <c r="CB1" s="123"/>
      <c r="CC1" s="123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20"/>
      <c r="CU1" s="121"/>
      <c r="CV1" s="121"/>
      <c r="CW1" s="121"/>
      <c r="CX1" s="118"/>
      <c r="CY1" s="118"/>
      <c r="CZ1" s="118"/>
      <c r="DA1" s="118"/>
      <c r="DB1" s="118"/>
      <c r="DC1" s="121"/>
      <c r="DD1" s="118"/>
      <c r="DE1" s="118"/>
      <c r="DF1" s="118"/>
      <c r="DG1" s="118"/>
      <c r="DH1" s="116"/>
      <c r="DI1" s="116"/>
      <c r="DJ1" s="115"/>
      <c r="DK1" s="116"/>
      <c r="DL1" s="123"/>
      <c r="DM1" s="123"/>
      <c r="DN1" s="118"/>
      <c r="DO1" s="118"/>
      <c r="DP1" s="118"/>
      <c r="DQ1" s="118"/>
      <c r="DR1" s="118"/>
      <c r="DS1" s="118"/>
      <c r="DT1" s="118"/>
      <c r="DU1" s="118"/>
      <c r="DV1" s="118"/>
      <c r="DW1" s="118"/>
      <c r="DX1" s="118"/>
      <c r="DY1" s="118"/>
      <c r="DZ1" s="118"/>
      <c r="EA1" s="118"/>
      <c r="EB1" s="118"/>
      <c r="EC1" s="118"/>
      <c r="ED1" s="120"/>
      <c r="EE1" s="121"/>
      <c r="EF1" s="121"/>
      <c r="EG1" s="121"/>
      <c r="EH1" s="118"/>
      <c r="EI1" s="118"/>
      <c r="EJ1" s="118"/>
      <c r="EK1" s="118"/>
      <c r="EL1" s="118"/>
      <c r="EM1" s="121"/>
      <c r="EN1" s="118"/>
      <c r="EO1" s="118"/>
      <c r="EP1" s="118"/>
      <c r="EQ1" s="118"/>
      <c r="ER1" s="112"/>
      <c r="ES1" s="112"/>
      <c r="ET1" s="112"/>
    </row>
    <row r="2" spans="1:150" s="406" customFormat="1" ht="15">
      <c r="A2" s="397"/>
      <c r="B2" s="398"/>
      <c r="C2" s="398"/>
      <c r="D2" s="399" t="s">
        <v>0</v>
      </c>
      <c r="E2" s="397"/>
      <c r="F2" s="397"/>
      <c r="G2" s="397"/>
      <c r="H2" s="400">
        <f>COUNTIF(H75:H77,"&gt;0")+COUNTIF(H52:H60,"&gt;0")+COUNTIF(H80:H82,"&gt;0")+COUNTIF(H70:H72,"&gt;0")+COUNTIF(H86:H89,"&gt;0")+COUNTIFS(H63:H67,"&gt;0")+COUNTIFS(H11,"&gt;0")+COUNTIFS(H17,"&gt;0")+COUNTIFS(H23,"&gt;0")+COUNTIFS(H30,"&gt;0")+COUNTIFS(H39,"&gt;0")+COUNTIFS(H94,"&gt;0")</f>
        <v>23</v>
      </c>
      <c r="I2" s="400">
        <f t="shared" ref="I2:U2" si="0">COUNTIF(I75:I77,"&gt;0")+COUNTIF(I52:I60,"&gt;0")+COUNTIF(I80:I82,"&gt;0")+COUNTIF(I70:I72,"&gt;0")+COUNTIF(I86:I89,"&gt;0")+COUNTIFS(I63:I67,"&gt;0")+COUNTIFS(I11,"&gt;0")+COUNTIFS(I17,"&gt;0")+COUNTIFS(I23,"&gt;0")+COUNTIFS(I30,"&gt;0")+COUNTIFS(I39,"&gt;0")+COUNTIFS(I94,"&gt;0")</f>
        <v>22</v>
      </c>
      <c r="J2" s="400">
        <f t="shared" si="0"/>
        <v>14</v>
      </c>
      <c r="K2" s="400">
        <f t="shared" si="0"/>
        <v>9</v>
      </c>
      <c r="L2" s="400">
        <f t="shared" si="0"/>
        <v>8</v>
      </c>
      <c r="M2" s="400">
        <f t="shared" si="0"/>
        <v>1</v>
      </c>
      <c r="N2" s="400">
        <f t="shared" si="0"/>
        <v>0</v>
      </c>
      <c r="O2" s="400">
        <f t="shared" si="0"/>
        <v>0</v>
      </c>
      <c r="P2" s="401"/>
      <c r="Q2" s="400">
        <f>COUNTIF(Q75:Q77,"&gt;0")+COUNTIF(Q52:Q60,"&gt;0")+COUNTIF(Q80:Q82,"&gt;0")+COUNTIF(Q70:Q72,"&gt;0")+COUNTIF(Q86:Q89,"&gt;0")+COUNTIFS(Q63:Q67,"&gt;0")+COUNTIFS(Q11,"&gt;0")+COUNTIFS(Q17,"&gt;0")+COUNTIFS(Q23,"&gt;0")+COUNTIFS(Q30,"&gt;0")+COUNTIFS(Q39,"&gt;0")+COUNTIFS(Q94,"&gt;0")</f>
        <v>8</v>
      </c>
      <c r="R2" s="400">
        <f>COUNTIF(R75:R77,"&gt;0")+COUNTIF(R52:R60,"&gt;0")+COUNTIF(R80:R82,"&gt;0")+COUNTIF(R70:R72,"&gt;0")+COUNTIF(R86:R89,"&gt;0")+COUNTIFS(R63:R67,"&gt;0")+COUNTIFS(R11,"&gt;0")+COUNTIFS(R17,"&gt;0")+COUNTIFS(R23,"&gt;0")+COUNTIFS(R30,"&gt;0")+COUNTIFS(R39,"&gt;0")+COUNTIFS(R94,"&gt;0")</f>
        <v>4</v>
      </c>
      <c r="S2" s="400">
        <f t="shared" si="0"/>
        <v>3</v>
      </c>
      <c r="T2" s="400">
        <f t="shared" si="0"/>
        <v>1</v>
      </c>
      <c r="U2" s="400">
        <f t="shared" si="0"/>
        <v>0</v>
      </c>
      <c r="V2" s="402"/>
      <c r="W2" s="511" t="s">
        <v>98</v>
      </c>
      <c r="X2" s="512"/>
      <c r="Y2" s="513"/>
      <c r="Z2" s="402"/>
      <c r="AA2" s="508" t="s">
        <v>99</v>
      </c>
      <c r="AB2" s="509"/>
      <c r="AC2" s="510"/>
      <c r="AD2" s="400"/>
      <c r="AE2" s="400"/>
      <c r="AF2" s="400"/>
      <c r="AG2" s="400"/>
      <c r="AH2" s="403"/>
      <c r="AI2" s="400"/>
      <c r="AJ2" s="400"/>
      <c r="AK2" s="400"/>
      <c r="AL2" s="400"/>
      <c r="AM2" s="400"/>
      <c r="AN2" s="402"/>
      <c r="AO2" s="404"/>
      <c r="AP2" s="400"/>
      <c r="AQ2" s="402"/>
      <c r="AR2" s="400">
        <f t="shared" ref="AR2:BE2" si="1">COUNTIF(AR75:AR77,"&gt;0")+COUNTIF(AR52:AR60,"&gt;0")+COUNTIF(AR80:AR82,"&gt;0")+COUNTIF(AR70:AR72,"&gt;0")+COUNTIF(AR86:AR89,"&gt;0")+COUNTIFS(AR63:AR67,"&gt;0")+COUNTIFS(AR11,"&gt;0")+COUNTIFS(AR17,"&gt;0")+COUNTIFS(AR23,"&gt;0")+COUNTIFS(AR30,"&gt;0")+COUNTIFS(AR39,"&gt;0")+COUNTIFS(AR94,"&gt;0")</f>
        <v>21</v>
      </c>
      <c r="AS2" s="400">
        <f t="shared" si="1"/>
        <v>20</v>
      </c>
      <c r="AT2" s="400">
        <f t="shared" si="1"/>
        <v>11</v>
      </c>
      <c r="AU2" s="400">
        <f t="shared" si="1"/>
        <v>10</v>
      </c>
      <c r="AV2" s="400">
        <f t="shared" si="1"/>
        <v>9</v>
      </c>
      <c r="AW2" s="400">
        <f t="shared" si="1"/>
        <v>1</v>
      </c>
      <c r="AX2" s="400">
        <f t="shared" si="1"/>
        <v>0</v>
      </c>
      <c r="AY2" s="400">
        <f t="shared" si="1"/>
        <v>0</v>
      </c>
      <c r="AZ2" s="401"/>
      <c r="BA2" s="400">
        <f t="shared" si="1"/>
        <v>9</v>
      </c>
      <c r="BB2" s="400">
        <f t="shared" si="1"/>
        <v>7</v>
      </c>
      <c r="BC2" s="400">
        <f t="shared" si="1"/>
        <v>2</v>
      </c>
      <c r="BD2" s="400">
        <f t="shared" si="1"/>
        <v>0</v>
      </c>
      <c r="BE2" s="400">
        <f t="shared" si="1"/>
        <v>0</v>
      </c>
      <c r="BF2" s="402"/>
      <c r="BG2" s="511" t="s">
        <v>98</v>
      </c>
      <c r="BH2" s="512"/>
      <c r="BI2" s="513"/>
      <c r="BJ2" s="402"/>
      <c r="BK2" s="508" t="s">
        <v>99</v>
      </c>
      <c r="BL2" s="509"/>
      <c r="BM2" s="510"/>
      <c r="BN2" s="400"/>
      <c r="BO2" s="400"/>
      <c r="BP2" s="400"/>
      <c r="BQ2" s="400"/>
      <c r="BR2" s="400"/>
      <c r="BS2" s="400"/>
      <c r="BT2" s="400"/>
      <c r="BU2" s="400"/>
      <c r="BV2" s="400"/>
      <c r="BW2" s="400"/>
      <c r="BX2" s="402"/>
      <c r="BY2" s="404"/>
      <c r="BZ2" s="400"/>
      <c r="CA2" s="402"/>
      <c r="CB2" s="400">
        <f>COUNTIF(CB75:CB77,"&gt;0")+COUNTIF(CB52:CB60,"&gt;0")+COUNTIF(CB80:CB82,"&gt;0")+COUNTIF(CB70:CB72,"&gt;0")+COUNTIF(CB86:CB89,"&gt;0")+COUNTIFS(CB63:CB67,"&gt;0")+COUNTIFS(CB11,"&gt;0")+COUNTIFS(CB17,"&gt;0")+COUNTIFS(CB23,"&gt;0")+COUNTIFS(CB30,"&gt;0")+COUNTIFS(CB39,"&gt;0")+COUNTIFS(CB94,"&gt;0")</f>
        <v>14</v>
      </c>
      <c r="CC2" s="400">
        <f t="shared" ref="CC2:CO2" si="2">COUNTIF(CC75:CC77,"&gt;0")+COUNTIF(CC52:CC60,"&gt;0")+COUNTIF(CC80:CC82,"&gt;0")+COUNTIF(CC70:CC72,"&gt;0")+COUNTIF(CC86:CC89,"&gt;0")+COUNTIFS(CC63:CC67,"&gt;0")+COUNTIFS(CC11,"&gt;0")+COUNTIFS(CC17,"&gt;0")+COUNTIFS(CC23,"&gt;0")+COUNTIFS(CC30,"&gt;0")+COUNTIFS(CC39,"&gt;0")+COUNTIFS(CC94,"&gt;0")</f>
        <v>12</v>
      </c>
      <c r="CD2" s="400">
        <f t="shared" si="2"/>
        <v>4</v>
      </c>
      <c r="CE2" s="400">
        <f>COUNTIF(CE75:CE77,"&gt;0")+COUNTIF(CE52:CE60,"&gt;0")+COUNTIF(CE80:CE82,"&gt;0")+COUNTIF(CE70:CE72,"&gt;0")+COUNTIF(CE86:CE89,"&gt;0")+COUNTIFS(CE63:CE67,"&gt;0")+COUNTIFS(CE11,"&gt;0")+COUNTIFS(CE17,"&gt;0")+COUNTIFS(CE23,"&gt;0")+COUNTIFS(CE30,"&gt;0")+COUNTIFS(CE39,"&gt;0")+COUNTIFS(CE94,"&gt;0")</f>
        <v>10</v>
      </c>
      <c r="CF2" s="400">
        <f t="shared" si="2"/>
        <v>9</v>
      </c>
      <c r="CG2" s="400">
        <f t="shared" si="2"/>
        <v>1</v>
      </c>
      <c r="CH2" s="400">
        <f t="shared" si="2"/>
        <v>0</v>
      </c>
      <c r="CI2" s="400">
        <f t="shared" si="2"/>
        <v>0</v>
      </c>
      <c r="CJ2" s="401"/>
      <c r="CK2" s="400">
        <f t="shared" si="2"/>
        <v>8</v>
      </c>
      <c r="CL2" s="400">
        <f t="shared" si="2"/>
        <v>4</v>
      </c>
      <c r="CM2" s="400">
        <f t="shared" si="2"/>
        <v>1</v>
      </c>
      <c r="CN2" s="400">
        <f t="shared" si="2"/>
        <v>3</v>
      </c>
      <c r="CO2" s="400">
        <f t="shared" si="2"/>
        <v>0</v>
      </c>
      <c r="CP2" s="402"/>
      <c r="CQ2" s="511" t="s">
        <v>98</v>
      </c>
      <c r="CR2" s="512"/>
      <c r="CS2" s="513"/>
      <c r="CT2" s="402"/>
      <c r="CU2" s="508" t="s">
        <v>99</v>
      </c>
      <c r="CV2" s="509"/>
      <c r="CW2" s="510"/>
      <c r="CX2" s="400"/>
      <c r="CY2" s="400"/>
      <c r="CZ2" s="400"/>
      <c r="DA2" s="400"/>
      <c r="DB2" s="400"/>
      <c r="DC2" s="400"/>
      <c r="DD2" s="400"/>
      <c r="DE2" s="400"/>
      <c r="DF2" s="400"/>
      <c r="DG2" s="400"/>
      <c r="DH2" s="402"/>
      <c r="DI2" s="404"/>
      <c r="DJ2" s="400"/>
      <c r="DK2" s="400"/>
      <c r="DL2" s="400">
        <f t="shared" ref="DL2:DY2" si="3">COUNTIF(DL75:DL77,"&gt;0")+COUNTIF(DL52:DL60,"&gt;0")+COUNTIF(DL80:DL82,"&gt;0")+COUNTIF(DL70:DL72,"&gt;0")+COUNTIF(DL86:DL89,"&gt;0")+COUNTIFS(DL63:DL67,"&gt;0")+COUNTIFS(DL11,"&gt;0")+COUNTIFS(DL17,"&gt;0")+COUNTIFS(DL23,"&gt;0")+COUNTIFS(DL30,"&gt;0")+COUNTIFS(DL39,"&gt;0")+COUNTIFS(DL94,"&gt;0")</f>
        <v>9</v>
      </c>
      <c r="DM2" s="400">
        <f t="shared" si="3"/>
        <v>8</v>
      </c>
      <c r="DN2" s="400">
        <f t="shared" si="3"/>
        <v>4</v>
      </c>
      <c r="DO2" s="400">
        <f t="shared" si="3"/>
        <v>5</v>
      </c>
      <c r="DP2" s="400">
        <f t="shared" si="3"/>
        <v>4</v>
      </c>
      <c r="DQ2" s="400">
        <f t="shared" si="3"/>
        <v>1</v>
      </c>
      <c r="DR2" s="400">
        <f t="shared" si="3"/>
        <v>0</v>
      </c>
      <c r="DS2" s="400">
        <f t="shared" si="3"/>
        <v>0</v>
      </c>
      <c r="DT2" s="400"/>
      <c r="DU2" s="400">
        <f t="shared" si="3"/>
        <v>4</v>
      </c>
      <c r="DV2" s="400">
        <f t="shared" si="3"/>
        <v>0</v>
      </c>
      <c r="DW2" s="400">
        <f t="shared" si="3"/>
        <v>3</v>
      </c>
      <c r="DX2" s="400">
        <f t="shared" si="3"/>
        <v>1</v>
      </c>
      <c r="DY2" s="400">
        <f t="shared" si="3"/>
        <v>0</v>
      </c>
      <c r="DZ2" s="402"/>
      <c r="EA2" s="511" t="s">
        <v>98</v>
      </c>
      <c r="EB2" s="512"/>
      <c r="EC2" s="513"/>
      <c r="ED2" s="402"/>
      <c r="EE2" s="508" t="s">
        <v>99</v>
      </c>
      <c r="EF2" s="509"/>
      <c r="EG2" s="510"/>
      <c r="EH2" s="400"/>
      <c r="EI2" s="400"/>
      <c r="EJ2" s="400"/>
      <c r="EK2" s="400"/>
      <c r="EL2" s="400"/>
      <c r="EM2" s="400"/>
      <c r="EN2" s="400"/>
      <c r="EO2" s="400"/>
      <c r="EP2" s="400"/>
      <c r="EQ2" s="400"/>
      <c r="ER2" s="402"/>
      <c r="ES2" s="405"/>
      <c r="ET2" s="397"/>
    </row>
    <row r="3" spans="1:150" s="407" customFormat="1" ht="43.5" hidden="1" customHeight="1">
      <c r="C3" s="507" t="s">
        <v>1</v>
      </c>
      <c r="D3" s="507"/>
      <c r="E3" s="408"/>
      <c r="F3" s="503" t="s">
        <v>11</v>
      </c>
      <c r="G3" s="409"/>
      <c r="H3" s="410" t="s">
        <v>100</v>
      </c>
      <c r="I3" s="411" t="s">
        <v>101</v>
      </c>
      <c r="J3" s="411" t="s">
        <v>102</v>
      </c>
      <c r="K3" s="464" t="s">
        <v>103</v>
      </c>
      <c r="L3" s="412" t="s">
        <v>6</v>
      </c>
      <c r="M3" s="412" t="s">
        <v>7</v>
      </c>
      <c r="N3" s="412" t="s">
        <v>8</v>
      </c>
      <c r="O3" s="412" t="s">
        <v>9</v>
      </c>
      <c r="P3" s="413"/>
      <c r="Q3" s="465" t="s">
        <v>104</v>
      </c>
      <c r="R3" s="412" t="s">
        <v>6</v>
      </c>
      <c r="S3" s="412" t="s">
        <v>7</v>
      </c>
      <c r="T3" s="412" t="s">
        <v>8</v>
      </c>
      <c r="U3" s="412" t="s">
        <v>9</v>
      </c>
      <c r="V3" s="414"/>
      <c r="W3" s="466" t="s">
        <v>105</v>
      </c>
      <c r="X3" s="415" t="s">
        <v>106</v>
      </c>
      <c r="Y3" s="466" t="s">
        <v>107</v>
      </c>
      <c r="Z3" s="414"/>
      <c r="AA3" s="415" t="s">
        <v>2</v>
      </c>
      <c r="AB3" s="466" t="s">
        <v>108</v>
      </c>
      <c r="AC3" s="415" t="s">
        <v>109</v>
      </c>
      <c r="AD3" s="410" t="s">
        <v>6</v>
      </c>
      <c r="AE3" s="410" t="s">
        <v>7</v>
      </c>
      <c r="AF3" s="410" t="s">
        <v>8</v>
      </c>
      <c r="AG3" s="410" t="s">
        <v>9</v>
      </c>
      <c r="AH3" s="416"/>
      <c r="AI3" s="466" t="s">
        <v>110</v>
      </c>
      <c r="AJ3" s="410" t="s">
        <v>6</v>
      </c>
      <c r="AK3" s="410" t="s">
        <v>7</v>
      </c>
      <c r="AL3" s="410" t="s">
        <v>8</v>
      </c>
      <c r="AM3" s="410" t="s">
        <v>9</v>
      </c>
      <c r="AN3" s="414"/>
      <c r="AO3" s="417"/>
      <c r="AP3" s="503" t="s">
        <v>12</v>
      </c>
      <c r="AQ3" s="414"/>
      <c r="AR3" s="410" t="s">
        <v>100</v>
      </c>
      <c r="AS3" s="411" t="s">
        <v>101</v>
      </c>
      <c r="AT3" s="411" t="s">
        <v>102</v>
      </c>
      <c r="AU3" s="464" t="s">
        <v>103</v>
      </c>
      <c r="AV3" s="412" t="s">
        <v>6</v>
      </c>
      <c r="AW3" s="412" t="s">
        <v>7</v>
      </c>
      <c r="AX3" s="412" t="s">
        <v>8</v>
      </c>
      <c r="AY3" s="412" t="s">
        <v>9</v>
      </c>
      <c r="AZ3" s="413"/>
      <c r="BA3" s="465" t="s">
        <v>104</v>
      </c>
      <c r="BB3" s="412" t="s">
        <v>6</v>
      </c>
      <c r="BC3" s="412" t="s">
        <v>7</v>
      </c>
      <c r="BD3" s="412" t="s">
        <v>8</v>
      </c>
      <c r="BE3" s="412" t="s">
        <v>9</v>
      </c>
      <c r="BF3" s="414"/>
      <c r="BG3" s="466" t="s">
        <v>105</v>
      </c>
      <c r="BH3" s="415" t="s">
        <v>106</v>
      </c>
      <c r="BI3" s="466" t="s">
        <v>107</v>
      </c>
      <c r="BJ3" s="414"/>
      <c r="BK3" s="415" t="s">
        <v>2</v>
      </c>
      <c r="BL3" s="466" t="s">
        <v>108</v>
      </c>
      <c r="BM3" s="415" t="s">
        <v>109</v>
      </c>
      <c r="BN3" s="410" t="s">
        <v>6</v>
      </c>
      <c r="BO3" s="410" t="s">
        <v>7</v>
      </c>
      <c r="BP3" s="410" t="s">
        <v>8</v>
      </c>
      <c r="BQ3" s="410" t="s">
        <v>9</v>
      </c>
      <c r="BR3" s="416"/>
      <c r="BS3" s="466" t="s">
        <v>110</v>
      </c>
      <c r="BT3" s="410" t="s">
        <v>6</v>
      </c>
      <c r="BU3" s="410" t="s">
        <v>7</v>
      </c>
      <c r="BV3" s="410" t="s">
        <v>8</v>
      </c>
      <c r="BW3" s="410" t="s">
        <v>9</v>
      </c>
      <c r="BX3" s="414"/>
      <c r="BY3" s="417"/>
      <c r="BZ3" s="503" t="s">
        <v>13</v>
      </c>
      <c r="CA3" s="414"/>
      <c r="CB3" s="410" t="s">
        <v>100</v>
      </c>
      <c r="CC3" s="411" t="s">
        <v>101</v>
      </c>
      <c r="CD3" s="411" t="s">
        <v>102</v>
      </c>
      <c r="CE3" s="464" t="s">
        <v>103</v>
      </c>
      <c r="CF3" s="412" t="s">
        <v>6</v>
      </c>
      <c r="CG3" s="412" t="s">
        <v>7</v>
      </c>
      <c r="CH3" s="412" t="s">
        <v>8</v>
      </c>
      <c r="CI3" s="412" t="s">
        <v>9</v>
      </c>
      <c r="CJ3" s="413"/>
      <c r="CK3" s="465" t="s">
        <v>104</v>
      </c>
      <c r="CL3" s="412" t="s">
        <v>6</v>
      </c>
      <c r="CM3" s="412" t="s">
        <v>7</v>
      </c>
      <c r="CN3" s="412" t="s">
        <v>8</v>
      </c>
      <c r="CO3" s="412" t="s">
        <v>9</v>
      </c>
      <c r="CP3" s="414"/>
      <c r="CQ3" s="466" t="s">
        <v>105</v>
      </c>
      <c r="CR3" s="415" t="s">
        <v>106</v>
      </c>
      <c r="CS3" s="466" t="s">
        <v>111</v>
      </c>
      <c r="CT3" s="414"/>
      <c r="CU3" s="415" t="s">
        <v>2</v>
      </c>
      <c r="CV3" s="466" t="s">
        <v>108</v>
      </c>
      <c r="CW3" s="415" t="s">
        <v>112</v>
      </c>
      <c r="CX3" s="410" t="s">
        <v>6</v>
      </c>
      <c r="CY3" s="410" t="s">
        <v>7</v>
      </c>
      <c r="CZ3" s="410" t="s">
        <v>8</v>
      </c>
      <c r="DA3" s="410" t="s">
        <v>9</v>
      </c>
      <c r="DB3" s="416"/>
      <c r="DC3" s="466" t="s">
        <v>113</v>
      </c>
      <c r="DD3" s="410" t="s">
        <v>6</v>
      </c>
      <c r="DE3" s="410" t="s">
        <v>7</v>
      </c>
      <c r="DF3" s="410" t="s">
        <v>8</v>
      </c>
      <c r="DG3" s="410" t="s">
        <v>9</v>
      </c>
      <c r="DH3" s="414"/>
      <c r="DI3" s="417"/>
      <c r="DJ3" s="503" t="s">
        <v>14</v>
      </c>
      <c r="DK3" s="414"/>
      <c r="DL3" s="410" t="s">
        <v>100</v>
      </c>
      <c r="DM3" s="411" t="s">
        <v>101</v>
      </c>
      <c r="DN3" s="411" t="s">
        <v>102</v>
      </c>
      <c r="DO3" s="464" t="s">
        <v>103</v>
      </c>
      <c r="DP3" s="412" t="s">
        <v>6</v>
      </c>
      <c r="DQ3" s="412" t="s">
        <v>7</v>
      </c>
      <c r="DR3" s="412" t="s">
        <v>8</v>
      </c>
      <c r="DS3" s="412" t="s">
        <v>9</v>
      </c>
      <c r="DT3" s="413"/>
      <c r="DU3" s="465" t="s">
        <v>104</v>
      </c>
      <c r="DV3" s="412" t="s">
        <v>6</v>
      </c>
      <c r="DW3" s="412" t="s">
        <v>7</v>
      </c>
      <c r="DX3" s="412" t="s">
        <v>8</v>
      </c>
      <c r="DY3" s="412" t="s">
        <v>9</v>
      </c>
      <c r="DZ3" s="414"/>
      <c r="EA3" s="466" t="s">
        <v>105</v>
      </c>
      <c r="EB3" s="415" t="s">
        <v>106</v>
      </c>
      <c r="EC3" s="466" t="s">
        <v>111</v>
      </c>
      <c r="ED3" s="414"/>
      <c r="EE3" s="415" t="s">
        <v>2</v>
      </c>
      <c r="EF3" s="466" t="s">
        <v>114</v>
      </c>
      <c r="EG3" s="415" t="s">
        <v>115</v>
      </c>
      <c r="EH3" s="410" t="s">
        <v>6</v>
      </c>
      <c r="EI3" s="410" t="s">
        <v>7</v>
      </c>
      <c r="EJ3" s="410" t="s">
        <v>8</v>
      </c>
      <c r="EK3" s="410" t="s">
        <v>9</v>
      </c>
      <c r="EL3" s="416"/>
      <c r="EM3" s="466" t="s">
        <v>116</v>
      </c>
      <c r="EN3" s="410" t="s">
        <v>6</v>
      </c>
      <c r="EO3" s="410" t="s">
        <v>7</v>
      </c>
      <c r="EP3" s="410" t="s">
        <v>8</v>
      </c>
      <c r="EQ3" s="410" t="s">
        <v>9</v>
      </c>
      <c r="ER3" s="414"/>
      <c r="ES3" s="467" t="s">
        <v>117</v>
      </c>
    </row>
    <row r="4" spans="1:150" s="418" customFormat="1" ht="3" hidden="1" customHeight="1">
      <c r="C4" s="507"/>
      <c r="D4" s="507"/>
      <c r="E4" s="419"/>
      <c r="F4" s="503"/>
      <c r="G4" s="420"/>
      <c r="H4" s="421"/>
      <c r="I4" s="422"/>
      <c r="J4" s="422"/>
      <c r="K4" s="423"/>
      <c r="L4" s="424"/>
      <c r="M4" s="424"/>
      <c r="N4" s="424"/>
      <c r="O4" s="424"/>
      <c r="P4" s="425"/>
      <c r="Q4" s="423"/>
      <c r="R4" s="424"/>
      <c r="S4" s="424"/>
      <c r="T4" s="424"/>
      <c r="U4" s="424"/>
      <c r="V4" s="426"/>
      <c r="W4" s="427"/>
      <c r="X4" s="427"/>
      <c r="Y4" s="427"/>
      <c r="Z4" s="426"/>
      <c r="AA4" s="428"/>
      <c r="AB4" s="427"/>
      <c r="AC4" s="427"/>
      <c r="AD4" s="421"/>
      <c r="AE4" s="421"/>
      <c r="AF4" s="421"/>
      <c r="AG4" s="421"/>
      <c r="AH4" s="429"/>
      <c r="AI4" s="427"/>
      <c r="AJ4" s="421"/>
      <c r="AK4" s="421"/>
      <c r="AL4" s="421"/>
      <c r="AM4" s="421"/>
      <c r="AN4" s="426"/>
      <c r="AO4" s="504"/>
      <c r="AP4" s="503"/>
      <c r="AQ4" s="426"/>
      <c r="AR4" s="421"/>
      <c r="AS4" s="422"/>
      <c r="AT4" s="422"/>
      <c r="AU4" s="423"/>
      <c r="AV4" s="424"/>
      <c r="AW4" s="424"/>
      <c r="AX4" s="424"/>
      <c r="AY4" s="424"/>
      <c r="AZ4" s="425"/>
      <c r="BA4" s="423"/>
      <c r="BB4" s="424"/>
      <c r="BC4" s="424"/>
      <c r="BD4" s="424"/>
      <c r="BE4" s="424"/>
      <c r="BF4" s="426"/>
      <c r="BG4" s="427"/>
      <c r="BH4" s="427"/>
      <c r="BI4" s="427"/>
      <c r="BJ4" s="426"/>
      <c r="BK4" s="428"/>
      <c r="BL4" s="427"/>
      <c r="BM4" s="427"/>
      <c r="BN4" s="421"/>
      <c r="BO4" s="421"/>
      <c r="BP4" s="421"/>
      <c r="BQ4" s="421"/>
      <c r="BR4" s="429"/>
      <c r="BS4" s="427"/>
      <c r="BT4" s="421"/>
      <c r="BU4" s="421"/>
      <c r="BV4" s="421"/>
      <c r="BW4" s="421"/>
      <c r="BX4" s="426"/>
      <c r="BY4" s="504"/>
      <c r="BZ4" s="503"/>
      <c r="CA4" s="426"/>
      <c r="CB4" s="421"/>
      <c r="CC4" s="422"/>
      <c r="CD4" s="422"/>
      <c r="CE4" s="423"/>
      <c r="CF4" s="424"/>
      <c r="CG4" s="424"/>
      <c r="CH4" s="424"/>
      <c r="CI4" s="424"/>
      <c r="CJ4" s="425"/>
      <c r="CK4" s="423"/>
      <c r="CL4" s="424"/>
      <c r="CM4" s="424"/>
      <c r="CN4" s="424"/>
      <c r="CO4" s="424"/>
      <c r="CP4" s="426"/>
      <c r="CQ4" s="427"/>
      <c r="CR4" s="427"/>
      <c r="CS4" s="427"/>
      <c r="CT4" s="426"/>
      <c r="CU4" s="428"/>
      <c r="CV4" s="427"/>
      <c r="CW4" s="427"/>
      <c r="CX4" s="421"/>
      <c r="CY4" s="421"/>
      <c r="CZ4" s="421"/>
      <c r="DA4" s="421"/>
      <c r="DB4" s="429"/>
      <c r="DC4" s="427"/>
      <c r="DD4" s="421"/>
      <c r="DE4" s="421"/>
      <c r="DF4" s="421"/>
      <c r="DG4" s="421"/>
      <c r="DH4" s="426"/>
      <c r="DI4" s="504"/>
      <c r="DJ4" s="503"/>
      <c r="DK4" s="426"/>
      <c r="DL4" s="421"/>
      <c r="DM4" s="422"/>
      <c r="DN4" s="422"/>
      <c r="DO4" s="423"/>
      <c r="DP4" s="424"/>
      <c r="DQ4" s="424"/>
      <c r="DR4" s="424"/>
      <c r="DS4" s="424"/>
      <c r="DT4" s="425"/>
      <c r="DU4" s="423"/>
      <c r="DV4" s="424"/>
      <c r="DW4" s="424"/>
      <c r="DX4" s="424"/>
      <c r="DY4" s="424"/>
      <c r="DZ4" s="426"/>
      <c r="EA4" s="427"/>
      <c r="EB4" s="427"/>
      <c r="EC4" s="427"/>
      <c r="ED4" s="426"/>
      <c r="EE4" s="428"/>
      <c r="EF4" s="427"/>
      <c r="EG4" s="427"/>
      <c r="EH4" s="421"/>
      <c r="EI4" s="421"/>
      <c r="EJ4" s="421"/>
      <c r="EK4" s="421"/>
      <c r="EL4" s="429"/>
      <c r="EM4" s="427"/>
      <c r="EN4" s="421"/>
      <c r="EO4" s="421"/>
      <c r="EP4" s="421"/>
      <c r="EQ4" s="421"/>
      <c r="ER4" s="426"/>
      <c r="ES4" s="501"/>
    </row>
    <row r="5" spans="1:150" s="130" customFormat="1" ht="17.25" customHeight="1">
      <c r="A5" s="430"/>
      <c r="B5" s="430"/>
      <c r="C5" s="507"/>
      <c r="D5" s="507"/>
      <c r="E5" s="456"/>
      <c r="F5" s="503"/>
      <c r="G5" s="457"/>
      <c r="H5" s="458">
        <f t="shared" ref="H5:U5" si="4">H9+H49+H91</f>
        <v>7.2803000000000013</v>
      </c>
      <c r="I5" s="459">
        <f>J5+Q5</f>
        <v>6.916285000000002</v>
      </c>
      <c r="J5" s="458">
        <f t="shared" si="4"/>
        <v>4.8237850000000009</v>
      </c>
      <c r="K5" s="458">
        <f t="shared" si="4"/>
        <v>2.4565150000000009</v>
      </c>
      <c r="L5" s="458">
        <f t="shared" si="4"/>
        <v>2.0925000000000007</v>
      </c>
      <c r="M5" s="458">
        <f t="shared" si="4"/>
        <v>0.36401500000000009</v>
      </c>
      <c r="N5" s="458">
        <f t="shared" si="4"/>
        <v>0</v>
      </c>
      <c r="O5" s="458">
        <f t="shared" si="4"/>
        <v>0</v>
      </c>
      <c r="P5" s="460"/>
      <c r="Q5" s="458">
        <f t="shared" si="4"/>
        <v>2.0925000000000007</v>
      </c>
      <c r="R5" s="458">
        <f t="shared" si="4"/>
        <v>0.98194000000000015</v>
      </c>
      <c r="S5" s="458">
        <f t="shared" si="4"/>
        <v>0.99524000000000024</v>
      </c>
      <c r="T5" s="458">
        <f t="shared" si="4"/>
        <v>0.11532000000000001</v>
      </c>
      <c r="U5" s="458">
        <f t="shared" si="4"/>
        <v>0</v>
      </c>
      <c r="V5" s="461"/>
      <c r="W5" s="431"/>
      <c r="X5" s="431"/>
      <c r="Y5" s="432"/>
      <c r="Z5" s="461"/>
      <c r="AA5" s="458">
        <f t="shared" ref="AA5:AC5" si="5">AA9+AA49+AA91</f>
        <v>229</v>
      </c>
      <c r="AB5" s="458">
        <f t="shared" si="5"/>
        <v>191</v>
      </c>
      <c r="AC5" s="458">
        <f t="shared" si="5"/>
        <v>38</v>
      </c>
      <c r="AD5" s="458">
        <f>AD9+AD49+AD91</f>
        <v>38</v>
      </c>
      <c r="AE5" s="458">
        <f>AE9+AE49+AE91</f>
        <v>0</v>
      </c>
      <c r="AF5" s="458">
        <f>AF9+AF49+AF91</f>
        <v>0</v>
      </c>
      <c r="AG5" s="458">
        <f>AG9+AG49+AG91</f>
        <v>0</v>
      </c>
      <c r="AH5" s="433"/>
      <c r="AI5" s="458"/>
      <c r="AJ5" s="458">
        <f>AJ9+AJ49+AJ91</f>
        <v>21</v>
      </c>
      <c r="AK5" s="458">
        <f>AK9+AK49+AK91</f>
        <v>10</v>
      </c>
      <c r="AL5" s="458">
        <f>AL9+AL49+AL91</f>
        <v>7</v>
      </c>
      <c r="AM5" s="458">
        <f>AM9+AM49+AM91</f>
        <v>0</v>
      </c>
      <c r="AN5" s="461"/>
      <c r="AO5" s="505"/>
      <c r="AP5" s="503"/>
      <c r="AQ5" s="461"/>
      <c r="AR5" s="458">
        <f t="shared" ref="AR5:BE5" si="6">AR9+AR49+AR91</f>
        <v>2.7079110000000002</v>
      </c>
      <c r="AS5" s="462">
        <f>AT5+BA5</f>
        <v>2.57251545</v>
      </c>
      <c r="AT5" s="458">
        <f t="shared" si="6"/>
        <v>1.7363517562499999</v>
      </c>
      <c r="AU5" s="458">
        <f t="shared" si="6"/>
        <v>0.97155924375000002</v>
      </c>
      <c r="AV5" s="458">
        <f t="shared" si="6"/>
        <v>0.83616369374999999</v>
      </c>
      <c r="AW5" s="458">
        <f t="shared" si="6"/>
        <v>0.13539555</v>
      </c>
      <c r="AX5" s="458">
        <f t="shared" si="6"/>
        <v>0</v>
      </c>
      <c r="AY5" s="458">
        <f t="shared" si="6"/>
        <v>0</v>
      </c>
      <c r="AZ5" s="460"/>
      <c r="BA5" s="458">
        <f t="shared" si="6"/>
        <v>0.83616369374999999</v>
      </c>
      <c r="BB5" s="458">
        <f t="shared" si="6"/>
        <v>0.5513430937499999</v>
      </c>
      <c r="BC5" s="458">
        <f t="shared" si="6"/>
        <v>0.28482059999999998</v>
      </c>
      <c r="BD5" s="458">
        <f t="shared" si="6"/>
        <v>0</v>
      </c>
      <c r="BE5" s="458">
        <f t="shared" si="6"/>
        <v>0</v>
      </c>
      <c r="BF5" s="461"/>
      <c r="BG5" s="458"/>
      <c r="BH5" s="458"/>
      <c r="BI5" s="458"/>
      <c r="BJ5" s="461"/>
      <c r="BK5" s="458">
        <f t="shared" ref="BK5:BM5" si="7">BK9+BK49+BK91</f>
        <v>75</v>
      </c>
      <c r="BL5" s="458">
        <f t="shared" si="7"/>
        <v>45</v>
      </c>
      <c r="BM5" s="458">
        <f t="shared" si="7"/>
        <v>30</v>
      </c>
      <c r="BN5" s="458">
        <f>BN9+BN49+BN91</f>
        <v>30</v>
      </c>
      <c r="BO5" s="458">
        <f>BO9+BO49+BO91</f>
        <v>0</v>
      </c>
      <c r="BP5" s="458">
        <f>BP9+BP49+BP91</f>
        <v>0</v>
      </c>
      <c r="BQ5" s="458">
        <f>BQ9+BQ49+BQ91</f>
        <v>0</v>
      </c>
      <c r="BR5" s="433"/>
      <c r="BS5" s="458"/>
      <c r="BT5" s="458">
        <f>BT9+BT49+BT91</f>
        <v>22</v>
      </c>
      <c r="BU5" s="458">
        <f>BU9+BU49+BU91</f>
        <v>8</v>
      </c>
      <c r="BV5" s="458">
        <f>BV9+BV49+BV91</f>
        <v>0</v>
      </c>
      <c r="BW5" s="458">
        <f>BW9+BW49+BW91</f>
        <v>0</v>
      </c>
      <c r="BX5" s="461"/>
      <c r="BY5" s="505"/>
      <c r="BZ5" s="503"/>
      <c r="CA5" s="461"/>
      <c r="CB5" s="458">
        <f t="shared" ref="CB5:CO5" si="8">CB9+CB49+CB91</f>
        <v>0.94920172765050415</v>
      </c>
      <c r="CC5" s="462">
        <f>CD5+CK5</f>
        <v>0.85765976336040328</v>
      </c>
      <c r="CD5" s="458">
        <f t="shared" si="8"/>
        <v>0.33869123265515128</v>
      </c>
      <c r="CE5" s="458">
        <f t="shared" si="8"/>
        <v>0.61051049499535293</v>
      </c>
      <c r="CF5" s="458">
        <f t="shared" si="8"/>
        <v>0.56305040861282774</v>
      </c>
      <c r="CG5" s="458">
        <f t="shared" si="8"/>
        <v>4.7460086382525211E-2</v>
      </c>
      <c r="CH5" s="458">
        <f t="shared" si="8"/>
        <v>0</v>
      </c>
      <c r="CI5" s="458">
        <f t="shared" si="8"/>
        <v>0</v>
      </c>
      <c r="CJ5" s="460"/>
      <c r="CK5" s="458">
        <f t="shared" si="8"/>
        <v>0.51896853070525206</v>
      </c>
      <c r="CL5" s="458">
        <f t="shared" si="8"/>
        <v>0.38006476016525204</v>
      </c>
      <c r="CM5" s="458">
        <f t="shared" si="8"/>
        <v>8.0896071540000017E-2</v>
      </c>
      <c r="CN5" s="458">
        <f t="shared" si="8"/>
        <v>5.8007699000000003E-2</v>
      </c>
      <c r="CO5" s="458">
        <f t="shared" si="8"/>
        <v>0</v>
      </c>
      <c r="CP5" s="461"/>
      <c r="CQ5" s="434"/>
      <c r="CR5" s="434"/>
      <c r="CS5" s="434"/>
      <c r="CT5" s="461"/>
      <c r="CU5" s="458">
        <f t="shared" ref="CU5:CW5" si="9">CU9+CU49+CU91</f>
        <v>125</v>
      </c>
      <c r="CV5" s="458">
        <f t="shared" si="9"/>
        <v>35</v>
      </c>
      <c r="CW5" s="458">
        <f t="shared" si="9"/>
        <v>90</v>
      </c>
      <c r="CX5" s="458">
        <f>CX9+CX49+CX91</f>
        <v>90</v>
      </c>
      <c r="CY5" s="458">
        <f>CY9+CY49+CY91</f>
        <v>0</v>
      </c>
      <c r="CZ5" s="458">
        <f>CZ9+CZ49+CZ91</f>
        <v>0</v>
      </c>
      <c r="DA5" s="458">
        <f>DA9+DA49+DA91</f>
        <v>0</v>
      </c>
      <c r="DB5" s="433"/>
      <c r="DC5" s="458"/>
      <c r="DD5" s="458">
        <f>DD9+DD49+DD91</f>
        <v>81</v>
      </c>
      <c r="DE5" s="458">
        <f>DE9+DE49+DE91</f>
        <v>2</v>
      </c>
      <c r="DF5" s="458">
        <f>DF9+DF49+DF91</f>
        <v>3</v>
      </c>
      <c r="DG5" s="458">
        <f>DG9+DG49+DG91</f>
        <v>0</v>
      </c>
      <c r="DH5" s="461"/>
      <c r="DI5" s="505"/>
      <c r="DJ5" s="503"/>
      <c r="DK5" s="461"/>
      <c r="DL5" s="458">
        <f t="shared" ref="DL5:DY5" si="10">DL9+DL49+DL91</f>
        <v>7.3395000000000016E-2</v>
      </c>
      <c r="DM5" s="462">
        <f>DN5+DU5</f>
        <v>6.9725250000000003E-2</v>
      </c>
      <c r="DN5" s="458">
        <f t="shared" si="10"/>
        <v>2.9358000000000002E-2</v>
      </c>
      <c r="DO5" s="458">
        <f t="shared" si="10"/>
        <v>4.036725E-2</v>
      </c>
      <c r="DP5" s="458">
        <f t="shared" si="10"/>
        <v>4.036725E-2</v>
      </c>
      <c r="DQ5" s="458">
        <f t="shared" si="10"/>
        <v>0</v>
      </c>
      <c r="DR5" s="458">
        <f t="shared" si="10"/>
        <v>0</v>
      </c>
      <c r="DS5" s="458">
        <f t="shared" si="10"/>
        <v>0</v>
      </c>
      <c r="DT5" s="460"/>
      <c r="DU5" s="458">
        <f t="shared" si="10"/>
        <v>4.036725E-2</v>
      </c>
      <c r="DV5" s="458">
        <f t="shared" si="10"/>
        <v>0</v>
      </c>
      <c r="DW5" s="458">
        <f t="shared" si="10"/>
        <v>2.3744000000000001E-2</v>
      </c>
      <c r="DX5" s="458">
        <f t="shared" si="10"/>
        <v>1.6623249999999999E-2</v>
      </c>
      <c r="DY5" s="458">
        <f t="shared" si="10"/>
        <v>0</v>
      </c>
      <c r="DZ5" s="461"/>
      <c r="EA5" s="434"/>
      <c r="EB5" s="434"/>
      <c r="EC5" s="434"/>
      <c r="ED5" s="461"/>
      <c r="EE5" s="458">
        <f t="shared" ref="EE5:EG5" si="11">EE9+EE49+EE91</f>
        <v>30</v>
      </c>
      <c r="EF5" s="458">
        <f t="shared" si="11"/>
        <v>0</v>
      </c>
      <c r="EG5" s="458">
        <f t="shared" si="11"/>
        <v>30</v>
      </c>
      <c r="EH5" s="458">
        <f>EH9+EH49+EH91</f>
        <v>30</v>
      </c>
      <c r="EI5" s="458">
        <f>EI9+EI49+EI91</f>
        <v>0</v>
      </c>
      <c r="EJ5" s="458">
        <f>EJ9+EJ49+EJ91</f>
        <v>0</v>
      </c>
      <c r="EK5" s="458">
        <f>EK9+EK49+EK91</f>
        <v>0</v>
      </c>
      <c r="EL5" s="433"/>
      <c r="EM5" s="458"/>
      <c r="EN5" s="458">
        <f>EN9+EN49+EN91</f>
        <v>0</v>
      </c>
      <c r="EO5" s="458">
        <f>EO9+EO49+EO91</f>
        <v>12</v>
      </c>
      <c r="EP5" s="458">
        <f>EP9+EP49+EP91</f>
        <v>18</v>
      </c>
      <c r="EQ5" s="458">
        <f>EQ9+EQ49+EQ91</f>
        <v>0</v>
      </c>
      <c r="ER5" s="461"/>
      <c r="ES5" s="502"/>
      <c r="ET5" s="430"/>
    </row>
    <row r="6" spans="1:150" ht="3" customHeight="1">
      <c r="A6" s="112"/>
      <c r="B6" s="113"/>
      <c r="C6" s="113"/>
      <c r="D6" s="131"/>
      <c r="E6" s="132"/>
      <c r="F6" s="115"/>
      <c r="G6" s="435"/>
      <c r="H6" s="183"/>
      <c r="I6" s="183">
        <f t="shared" ref="I6:I69" si="12">J6+Q6</f>
        <v>0</v>
      </c>
      <c r="J6" s="436"/>
      <c r="K6" s="436"/>
      <c r="L6" s="436"/>
      <c r="M6" s="436"/>
      <c r="N6" s="436"/>
      <c r="O6" s="437"/>
      <c r="P6" s="437"/>
      <c r="Q6" s="436"/>
      <c r="R6" s="436"/>
      <c r="S6" s="436"/>
      <c r="T6" s="436"/>
      <c r="U6" s="437"/>
      <c r="V6" s="437"/>
      <c r="W6" s="135"/>
      <c r="X6" s="135"/>
      <c r="Y6" s="135"/>
      <c r="Z6" s="134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438"/>
      <c r="AQ6" s="435"/>
      <c r="AR6" s="123"/>
      <c r="AS6" s="187">
        <f t="shared" ref="AS6:AS69" si="13">AT6+BA6</f>
        <v>0</v>
      </c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5"/>
      <c r="BH6" s="135"/>
      <c r="BI6" s="135"/>
      <c r="BJ6" s="134"/>
      <c r="BK6" s="136"/>
      <c r="BL6" s="136"/>
      <c r="BM6" s="439"/>
      <c r="BN6" s="133"/>
      <c r="BO6" s="133"/>
      <c r="BP6" s="133"/>
      <c r="BQ6" s="133"/>
      <c r="BR6" s="133"/>
      <c r="BS6" s="439"/>
      <c r="BT6" s="133"/>
      <c r="BU6" s="133"/>
      <c r="BV6" s="133"/>
      <c r="BW6" s="133"/>
      <c r="BX6" s="435"/>
      <c r="BY6" s="435"/>
      <c r="BZ6" s="438"/>
      <c r="CA6" s="435"/>
      <c r="CB6" s="123"/>
      <c r="CC6" s="187">
        <f t="shared" ref="CC6:CC69" si="14">CD6+CK6</f>
        <v>0</v>
      </c>
      <c r="CD6" s="133"/>
      <c r="CE6" s="133"/>
      <c r="CF6" s="133"/>
      <c r="CG6" s="133"/>
      <c r="CH6" s="133"/>
      <c r="CI6" s="133"/>
      <c r="CJ6" s="133"/>
      <c r="CK6" s="472"/>
      <c r="CL6" s="472"/>
      <c r="CM6" s="472"/>
      <c r="CN6" s="472"/>
      <c r="CO6" s="472"/>
      <c r="CP6" s="133"/>
      <c r="CQ6" s="135"/>
      <c r="CR6" s="135"/>
      <c r="CS6" s="135"/>
      <c r="CT6" s="134"/>
      <c r="CU6" s="136"/>
      <c r="CV6" s="136"/>
      <c r="CW6" s="136"/>
      <c r="CX6" s="133"/>
      <c r="CY6" s="133"/>
      <c r="CZ6" s="133"/>
      <c r="DA6" s="133"/>
      <c r="DB6" s="133"/>
      <c r="DC6" s="136"/>
      <c r="DD6" s="133"/>
      <c r="DE6" s="133"/>
      <c r="DF6" s="133"/>
      <c r="DG6" s="133"/>
      <c r="DH6" s="435"/>
      <c r="DI6" s="435"/>
      <c r="DJ6" s="115"/>
      <c r="DK6" s="435"/>
      <c r="DL6" s="123"/>
      <c r="DM6" s="187">
        <f t="shared" ref="DM6:DM69" si="15">DN6+DU6</f>
        <v>0</v>
      </c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5"/>
      <c r="EB6" s="135"/>
      <c r="EC6" s="135"/>
      <c r="ED6" s="134"/>
      <c r="EE6" s="136"/>
      <c r="EF6" s="136"/>
      <c r="EG6" s="136"/>
      <c r="EH6" s="133"/>
      <c r="EI6" s="133"/>
      <c r="EJ6" s="133"/>
      <c r="EK6" s="133"/>
      <c r="EL6" s="133"/>
      <c r="EM6" s="136"/>
      <c r="EN6" s="133"/>
      <c r="EO6" s="133"/>
      <c r="EP6" s="133"/>
      <c r="EQ6" s="133"/>
      <c r="ER6" s="132"/>
      <c r="ES6" s="112"/>
      <c r="ET6" s="112"/>
    </row>
    <row r="7" spans="1:150" ht="3" customHeight="1">
      <c r="A7" s="112"/>
      <c r="B7" s="137"/>
      <c r="C7" s="137"/>
      <c r="D7" s="138"/>
      <c r="E7" s="139"/>
      <c r="F7" s="140"/>
      <c r="G7" s="140"/>
      <c r="H7" s="335"/>
      <c r="I7" s="335">
        <f t="shared" si="12"/>
        <v>0</v>
      </c>
      <c r="J7" s="336"/>
      <c r="K7" s="336"/>
      <c r="L7" s="336"/>
      <c r="M7" s="336"/>
      <c r="N7" s="336"/>
      <c r="O7" s="141"/>
      <c r="P7" s="141"/>
      <c r="Q7" s="336"/>
      <c r="R7" s="336"/>
      <c r="S7" s="336"/>
      <c r="T7" s="336"/>
      <c r="U7" s="141"/>
      <c r="V7" s="141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440"/>
      <c r="AS7" s="441">
        <f t="shared" si="13"/>
        <v>0</v>
      </c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0"/>
      <c r="BH7" s="140"/>
      <c r="BI7" s="140"/>
      <c r="BJ7" s="140"/>
      <c r="BK7" s="140"/>
      <c r="BL7" s="140"/>
      <c r="BM7" s="140"/>
      <c r="BN7" s="141"/>
      <c r="BO7" s="141"/>
      <c r="BP7" s="141"/>
      <c r="BQ7" s="141"/>
      <c r="BR7" s="141"/>
      <c r="BS7" s="140"/>
      <c r="BT7" s="141"/>
      <c r="BU7" s="141"/>
      <c r="BV7" s="141"/>
      <c r="BW7" s="141"/>
      <c r="BX7" s="442"/>
      <c r="BY7" s="442"/>
      <c r="BZ7" s="443"/>
      <c r="CA7" s="140"/>
      <c r="CB7" s="440"/>
      <c r="CC7" s="441">
        <f t="shared" si="14"/>
        <v>0</v>
      </c>
      <c r="CD7" s="141"/>
      <c r="CE7" s="141"/>
      <c r="CF7" s="141"/>
      <c r="CG7" s="141"/>
      <c r="CH7" s="141"/>
      <c r="CI7" s="141"/>
      <c r="CJ7" s="141"/>
      <c r="CK7" s="473"/>
      <c r="CL7" s="473"/>
      <c r="CM7" s="473"/>
      <c r="CN7" s="473"/>
      <c r="CO7" s="473"/>
      <c r="CP7" s="141"/>
      <c r="CQ7" s="140"/>
      <c r="CR7" s="140"/>
      <c r="CS7" s="140"/>
      <c r="CT7" s="140"/>
      <c r="CU7" s="140"/>
      <c r="CV7" s="140"/>
      <c r="CW7" s="140"/>
      <c r="CX7" s="141"/>
      <c r="CY7" s="141"/>
      <c r="CZ7" s="141"/>
      <c r="DA7" s="141"/>
      <c r="DB7" s="141"/>
      <c r="DC7" s="140"/>
      <c r="DD7" s="141"/>
      <c r="DE7" s="141"/>
      <c r="DF7" s="141"/>
      <c r="DG7" s="141"/>
      <c r="DH7" s="442"/>
      <c r="DI7" s="442"/>
      <c r="DJ7" s="140"/>
      <c r="DK7" s="140"/>
      <c r="DL7" s="440"/>
      <c r="DM7" s="441">
        <f t="shared" si="15"/>
        <v>0</v>
      </c>
      <c r="DN7" s="141"/>
      <c r="DO7" s="141"/>
      <c r="DP7" s="141"/>
      <c r="DQ7" s="141"/>
      <c r="DR7" s="141"/>
      <c r="DS7" s="141"/>
      <c r="DT7" s="141"/>
      <c r="DU7" s="141"/>
      <c r="DV7" s="141"/>
      <c r="DW7" s="141"/>
      <c r="DX7" s="141"/>
      <c r="DY7" s="141"/>
      <c r="DZ7" s="141"/>
      <c r="EA7" s="140"/>
      <c r="EB7" s="140"/>
      <c r="EC7" s="140"/>
      <c r="ED7" s="140"/>
      <c r="EE7" s="140"/>
      <c r="EF7" s="140"/>
      <c r="EG7" s="140"/>
      <c r="EH7" s="141"/>
      <c r="EI7" s="141"/>
      <c r="EJ7" s="141"/>
      <c r="EK7" s="141"/>
      <c r="EL7" s="141"/>
      <c r="EM7" s="140"/>
      <c r="EN7" s="141"/>
      <c r="EO7" s="141"/>
      <c r="EP7" s="141"/>
      <c r="EQ7" s="141"/>
      <c r="ER7" s="140"/>
      <c r="ES7" s="140"/>
      <c r="ET7" s="112"/>
    </row>
    <row r="8" spans="1:150" ht="3" customHeight="1">
      <c r="A8" s="112"/>
      <c r="B8" s="113"/>
      <c r="C8" s="113"/>
      <c r="D8" s="131"/>
      <c r="E8" s="132"/>
      <c r="F8" s="327"/>
      <c r="G8" s="435"/>
      <c r="H8" s="183"/>
      <c r="I8" s="183">
        <f t="shared" si="12"/>
        <v>0</v>
      </c>
      <c r="J8" s="184"/>
      <c r="K8" s="184"/>
      <c r="L8" s="184"/>
      <c r="M8" s="184"/>
      <c r="N8" s="184"/>
      <c r="O8" s="142"/>
      <c r="P8" s="142"/>
      <c r="Q8" s="184"/>
      <c r="R8" s="184"/>
      <c r="S8" s="184"/>
      <c r="T8" s="184"/>
      <c r="U8" s="142"/>
      <c r="V8" s="142"/>
      <c r="W8" s="134"/>
      <c r="X8" s="134"/>
      <c r="Y8" s="134"/>
      <c r="Z8" s="134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438"/>
      <c r="AQ8" s="435"/>
      <c r="AR8" s="444"/>
      <c r="AS8" s="187">
        <f t="shared" si="13"/>
        <v>0</v>
      </c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34"/>
      <c r="BH8" s="134"/>
      <c r="BI8" s="134"/>
      <c r="BJ8" s="134"/>
      <c r="BK8" s="143"/>
      <c r="BL8" s="143"/>
      <c r="BM8" s="445"/>
      <c r="BN8" s="142"/>
      <c r="BO8" s="142"/>
      <c r="BP8" s="142"/>
      <c r="BQ8" s="142"/>
      <c r="BR8" s="142"/>
      <c r="BS8" s="445"/>
      <c r="BT8" s="142"/>
      <c r="BU8" s="142"/>
      <c r="BV8" s="142"/>
      <c r="BW8" s="142"/>
      <c r="BX8" s="435"/>
      <c r="BY8" s="435"/>
      <c r="BZ8" s="438"/>
      <c r="CA8" s="435"/>
      <c r="CB8" s="444"/>
      <c r="CC8" s="187">
        <f t="shared" si="14"/>
        <v>0</v>
      </c>
      <c r="CD8" s="142"/>
      <c r="CE8" s="142"/>
      <c r="CF8" s="142"/>
      <c r="CG8" s="142"/>
      <c r="CH8" s="142"/>
      <c r="CI8" s="142"/>
      <c r="CJ8" s="142"/>
      <c r="CK8" s="474"/>
      <c r="CL8" s="474"/>
      <c r="CM8" s="474"/>
      <c r="CN8" s="474"/>
      <c r="CO8" s="474"/>
      <c r="CP8" s="142"/>
      <c r="CQ8" s="134"/>
      <c r="CR8" s="134"/>
      <c r="CS8" s="134"/>
      <c r="CT8" s="134"/>
      <c r="CU8" s="143"/>
      <c r="CV8" s="143"/>
      <c r="CW8" s="143"/>
      <c r="CX8" s="142"/>
      <c r="CY8" s="142"/>
      <c r="CZ8" s="142"/>
      <c r="DA8" s="142"/>
      <c r="DB8" s="142"/>
      <c r="DC8" s="143"/>
      <c r="DD8" s="142"/>
      <c r="DE8" s="142"/>
      <c r="DF8" s="142"/>
      <c r="DG8" s="142"/>
      <c r="DH8" s="435"/>
      <c r="DI8" s="435"/>
      <c r="DJ8" s="115"/>
      <c r="DK8" s="435"/>
      <c r="DL8" s="444"/>
      <c r="DM8" s="187">
        <f t="shared" si="15"/>
        <v>0</v>
      </c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34"/>
      <c r="EB8" s="134"/>
      <c r="EC8" s="134"/>
      <c r="ED8" s="134"/>
      <c r="EE8" s="143"/>
      <c r="EF8" s="143"/>
      <c r="EG8" s="143"/>
      <c r="EH8" s="142"/>
      <c r="EI8" s="142"/>
      <c r="EJ8" s="142"/>
      <c r="EK8" s="142"/>
      <c r="EL8" s="142"/>
      <c r="EM8" s="143"/>
      <c r="EN8" s="142"/>
      <c r="EO8" s="142"/>
      <c r="EP8" s="142"/>
      <c r="EQ8" s="142"/>
      <c r="ER8" s="132"/>
      <c r="ES8" s="112"/>
      <c r="ET8" s="112"/>
    </row>
    <row r="9" spans="1:150" ht="22.5" customHeight="1">
      <c r="A9" s="112"/>
      <c r="B9" s="112"/>
      <c r="C9" s="497" t="s">
        <v>15</v>
      </c>
      <c r="D9" s="497"/>
      <c r="E9" s="132"/>
      <c r="F9" s="327"/>
      <c r="G9" s="182"/>
      <c r="H9" s="187">
        <f t="shared" ref="H9:AG9" si="16">H11+H17+H30+H39+H23</f>
        <v>3.2761350000000009</v>
      </c>
      <c r="I9" s="187">
        <f t="shared" si="12"/>
        <v>3.2761350000000009</v>
      </c>
      <c r="J9" s="187">
        <f>J11+J17+J30+J39+J23</f>
        <v>3.2761350000000009</v>
      </c>
      <c r="K9" s="187">
        <f t="shared" ref="K9:M9" si="17">K11+K17+K30+K39+K23</f>
        <v>0</v>
      </c>
      <c r="L9" s="187">
        <f t="shared" si="17"/>
        <v>0</v>
      </c>
      <c r="M9" s="187">
        <f t="shared" si="17"/>
        <v>0</v>
      </c>
      <c r="N9" s="187">
        <f t="shared" si="16"/>
        <v>0</v>
      </c>
      <c r="O9" s="187">
        <f t="shared" si="16"/>
        <v>0</v>
      </c>
      <c r="P9" s="187"/>
      <c r="Q9" s="187">
        <f t="shared" si="16"/>
        <v>0</v>
      </c>
      <c r="R9" s="187">
        <f t="shared" si="16"/>
        <v>0</v>
      </c>
      <c r="S9" s="187">
        <f t="shared" si="16"/>
        <v>0</v>
      </c>
      <c r="T9" s="187">
        <f t="shared" ref="T9:U9" si="18">T11+T17+T30+T39+T23</f>
        <v>0</v>
      </c>
      <c r="U9" s="187">
        <f t="shared" si="18"/>
        <v>0</v>
      </c>
      <c r="V9" s="187">
        <f t="shared" si="16"/>
        <v>0</v>
      </c>
      <c r="W9" s="187"/>
      <c r="X9" s="187"/>
      <c r="Y9" s="187"/>
      <c r="Z9" s="187">
        <f t="shared" si="16"/>
        <v>0</v>
      </c>
      <c r="AA9" s="187">
        <f t="shared" si="16"/>
        <v>0</v>
      </c>
      <c r="AB9" s="187">
        <f t="shared" si="16"/>
        <v>0</v>
      </c>
      <c r="AC9" s="187">
        <f t="shared" si="16"/>
        <v>0</v>
      </c>
      <c r="AD9" s="187">
        <f t="shared" si="16"/>
        <v>0</v>
      </c>
      <c r="AE9" s="187">
        <f t="shared" si="16"/>
        <v>0</v>
      </c>
      <c r="AF9" s="187">
        <f t="shared" si="16"/>
        <v>0</v>
      </c>
      <c r="AG9" s="187">
        <f t="shared" si="16"/>
        <v>0</v>
      </c>
      <c r="AH9" s="187"/>
      <c r="AI9" s="187">
        <f t="shared" ref="AI9:AM9" si="19">AI11+AI17+AI30+AI39+AI23</f>
        <v>0</v>
      </c>
      <c r="AJ9" s="187">
        <f t="shared" si="19"/>
        <v>0</v>
      </c>
      <c r="AK9" s="187">
        <f t="shared" si="19"/>
        <v>0</v>
      </c>
      <c r="AL9" s="187">
        <f t="shared" si="19"/>
        <v>0</v>
      </c>
      <c r="AM9" s="187">
        <f t="shared" si="19"/>
        <v>0</v>
      </c>
      <c r="AN9" s="338"/>
      <c r="AO9" s="338"/>
      <c r="AP9" s="331"/>
      <c r="AQ9" s="182"/>
      <c r="AR9" s="187">
        <f>AR11+AR17+AR30+AR39+AR23</f>
        <v>1.0831644</v>
      </c>
      <c r="AS9" s="187">
        <f t="shared" si="13"/>
        <v>1.0831644</v>
      </c>
      <c r="AT9" s="187">
        <f>AT11+AT17+AT30+AT39+AT23</f>
        <v>1.0831644</v>
      </c>
      <c r="AU9" s="187">
        <f>AU11+AU17+AU30+AU39+AU23</f>
        <v>0</v>
      </c>
      <c r="AV9" s="187">
        <f t="shared" ref="AV9:BE9" si="20">AV11+AV17+AV30+AV39+AV23</f>
        <v>0</v>
      </c>
      <c r="AW9" s="187">
        <f t="shared" si="20"/>
        <v>0</v>
      </c>
      <c r="AX9" s="187">
        <f t="shared" si="20"/>
        <v>0</v>
      </c>
      <c r="AY9" s="187">
        <f t="shared" si="20"/>
        <v>0</v>
      </c>
      <c r="AZ9" s="187"/>
      <c r="BA9" s="187">
        <f t="shared" si="20"/>
        <v>0</v>
      </c>
      <c r="BB9" s="187">
        <f t="shared" si="20"/>
        <v>0</v>
      </c>
      <c r="BC9" s="187">
        <f t="shared" si="20"/>
        <v>0</v>
      </c>
      <c r="BD9" s="187">
        <f t="shared" si="20"/>
        <v>0</v>
      </c>
      <c r="BE9" s="187">
        <f t="shared" si="20"/>
        <v>0</v>
      </c>
      <c r="BF9" s="187">
        <f t="shared" ref="BF9:BQ9" si="21">BF11+BF17+BF30+BF39+BF23</f>
        <v>0</v>
      </c>
      <c r="BG9" s="187"/>
      <c r="BH9" s="187"/>
      <c r="BI9" s="187"/>
      <c r="BJ9" s="187">
        <f t="shared" si="21"/>
        <v>0</v>
      </c>
      <c r="BK9" s="187">
        <f t="shared" si="21"/>
        <v>0</v>
      </c>
      <c r="BL9" s="187">
        <f t="shared" si="21"/>
        <v>0</v>
      </c>
      <c r="BM9" s="187">
        <f t="shared" si="21"/>
        <v>0</v>
      </c>
      <c r="BN9" s="187">
        <f t="shared" si="21"/>
        <v>0</v>
      </c>
      <c r="BO9" s="187">
        <f t="shared" si="21"/>
        <v>0</v>
      </c>
      <c r="BP9" s="187">
        <f t="shared" si="21"/>
        <v>0</v>
      </c>
      <c r="BQ9" s="187">
        <f t="shared" si="21"/>
        <v>0</v>
      </c>
      <c r="BR9" s="187"/>
      <c r="BS9" s="187">
        <f t="shared" ref="BS9:BW9" si="22">BS11+BS17+BS30+BS39+BS23</f>
        <v>0</v>
      </c>
      <c r="BT9" s="187">
        <f t="shared" si="22"/>
        <v>0</v>
      </c>
      <c r="BU9" s="187">
        <f t="shared" si="22"/>
        <v>0</v>
      </c>
      <c r="BV9" s="187">
        <f t="shared" si="22"/>
        <v>0</v>
      </c>
      <c r="BW9" s="187">
        <f t="shared" si="22"/>
        <v>0</v>
      </c>
      <c r="BX9" s="182"/>
      <c r="BY9" s="182"/>
      <c r="BZ9" s="331"/>
      <c r="CA9" s="182"/>
      <c r="CB9" s="187">
        <f>CB11+CB17+CB30+CB39+CB23</f>
        <v>0.28476051829515125</v>
      </c>
      <c r="CC9" s="187">
        <f t="shared" si="14"/>
        <v>0.28476051829515125</v>
      </c>
      <c r="CD9" s="187">
        <f>CD11+CD17+CD30+CD39+CD23</f>
        <v>0.28476051829515125</v>
      </c>
      <c r="CE9" s="187">
        <f t="shared" ref="CE9:DA9" si="23">CE11+CE17+CE30+CE39+CE23</f>
        <v>0</v>
      </c>
      <c r="CF9" s="187">
        <f t="shared" si="23"/>
        <v>0</v>
      </c>
      <c r="CG9" s="187">
        <f t="shared" si="23"/>
        <v>0</v>
      </c>
      <c r="CH9" s="187">
        <f t="shared" si="23"/>
        <v>0</v>
      </c>
      <c r="CI9" s="187">
        <f t="shared" si="23"/>
        <v>0</v>
      </c>
      <c r="CJ9" s="187"/>
      <c r="CK9" s="475">
        <f t="shared" si="23"/>
        <v>0</v>
      </c>
      <c r="CL9" s="475">
        <f t="shared" si="23"/>
        <v>0</v>
      </c>
      <c r="CM9" s="475">
        <f t="shared" si="23"/>
        <v>0</v>
      </c>
      <c r="CN9" s="475">
        <f t="shared" si="23"/>
        <v>0</v>
      </c>
      <c r="CO9" s="475">
        <f t="shared" si="23"/>
        <v>0</v>
      </c>
      <c r="CP9" s="187">
        <f t="shared" si="23"/>
        <v>0</v>
      </c>
      <c r="CQ9" s="187">
        <f t="shared" si="23"/>
        <v>0</v>
      </c>
      <c r="CR9" s="187">
        <f t="shared" si="23"/>
        <v>0</v>
      </c>
      <c r="CS9" s="187">
        <f t="shared" si="23"/>
        <v>0</v>
      </c>
      <c r="CT9" s="187">
        <f t="shared" si="23"/>
        <v>0</v>
      </c>
      <c r="CU9" s="187">
        <f t="shared" si="23"/>
        <v>0</v>
      </c>
      <c r="CV9" s="187">
        <f t="shared" si="23"/>
        <v>0</v>
      </c>
      <c r="CW9" s="187">
        <f t="shared" si="23"/>
        <v>0</v>
      </c>
      <c r="CX9" s="187">
        <f t="shared" si="23"/>
        <v>0</v>
      </c>
      <c r="CY9" s="187">
        <f t="shared" si="23"/>
        <v>0</v>
      </c>
      <c r="CZ9" s="187">
        <f t="shared" si="23"/>
        <v>0</v>
      </c>
      <c r="DA9" s="187">
        <f t="shared" si="23"/>
        <v>0</v>
      </c>
      <c r="DB9" s="187"/>
      <c r="DC9" s="187">
        <f t="shared" ref="DC9:DG9" si="24">DC11+DC17+DC30+DC39+DC23</f>
        <v>0</v>
      </c>
      <c r="DD9" s="187">
        <f t="shared" si="24"/>
        <v>0</v>
      </c>
      <c r="DE9" s="187">
        <f t="shared" si="24"/>
        <v>0</v>
      </c>
      <c r="DF9" s="187">
        <f t="shared" si="24"/>
        <v>0</v>
      </c>
      <c r="DG9" s="187">
        <f t="shared" si="24"/>
        <v>0</v>
      </c>
      <c r="DH9" s="182"/>
      <c r="DI9" s="182"/>
      <c r="DJ9" s="327"/>
      <c r="DK9" s="182"/>
      <c r="DL9" s="187">
        <f>DL11+DL17+DL30+DL39+DL23</f>
        <v>2.9358000000000002E-2</v>
      </c>
      <c r="DM9" s="187">
        <f t="shared" si="15"/>
        <v>2.9358000000000002E-2</v>
      </c>
      <c r="DN9" s="187">
        <f>DN11+DN17+DN30+DN39+DN23</f>
        <v>2.9358000000000002E-2</v>
      </c>
      <c r="DO9" s="187">
        <f>DO11+DO17+DO30+DO39+DO23</f>
        <v>0</v>
      </c>
      <c r="DP9" s="187"/>
      <c r="DQ9" s="187"/>
      <c r="DR9" s="187"/>
      <c r="DS9" s="187"/>
      <c r="DT9" s="187"/>
      <c r="DU9" s="187">
        <f t="shared" ref="DU9:DY9" si="25">DU11+DU17+DU30+DU39+DU23</f>
        <v>0</v>
      </c>
      <c r="DV9" s="187">
        <f t="shared" si="25"/>
        <v>0</v>
      </c>
      <c r="DW9" s="187">
        <f t="shared" si="25"/>
        <v>0</v>
      </c>
      <c r="DX9" s="187">
        <f t="shared" si="25"/>
        <v>0</v>
      </c>
      <c r="DY9" s="187">
        <f t="shared" si="25"/>
        <v>0</v>
      </c>
      <c r="DZ9" s="330"/>
      <c r="EA9" s="330"/>
      <c r="EB9" s="330"/>
      <c r="EC9" s="330"/>
      <c r="ED9" s="330"/>
      <c r="EE9" s="338"/>
      <c r="EF9" s="338"/>
      <c r="EG9" s="338"/>
      <c r="EH9" s="187"/>
      <c r="EI9" s="187"/>
      <c r="EJ9" s="187"/>
      <c r="EK9" s="187"/>
      <c r="EL9" s="187"/>
      <c r="EM9" s="338"/>
      <c r="EN9" s="187"/>
      <c r="EO9" s="187"/>
      <c r="EP9" s="187"/>
      <c r="EQ9" s="187"/>
      <c r="ER9" s="132"/>
      <c r="ES9" s="145"/>
      <c r="ET9" s="112"/>
    </row>
    <row r="10" spans="1:150" ht="3" customHeight="1" outlineLevel="1">
      <c r="A10" s="112"/>
      <c r="B10" s="113"/>
      <c r="C10" s="113"/>
      <c r="D10" s="131"/>
      <c r="E10" s="132"/>
      <c r="F10" s="327"/>
      <c r="G10" s="182"/>
      <c r="H10" s="183"/>
      <c r="I10" s="183">
        <f t="shared" si="12"/>
        <v>0</v>
      </c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330"/>
      <c r="W10" s="330"/>
      <c r="X10" s="330"/>
      <c r="Y10" s="330"/>
      <c r="Z10" s="330"/>
      <c r="AA10" s="338"/>
      <c r="AB10" s="338"/>
      <c r="AC10" s="338"/>
      <c r="AD10" s="184"/>
      <c r="AE10" s="184"/>
      <c r="AF10" s="184"/>
      <c r="AG10" s="184"/>
      <c r="AH10" s="184"/>
      <c r="AI10" s="338"/>
      <c r="AJ10" s="184"/>
      <c r="AK10" s="184"/>
      <c r="AL10" s="184"/>
      <c r="AM10" s="184"/>
      <c r="AN10" s="338"/>
      <c r="AO10" s="338"/>
      <c r="AP10" s="331"/>
      <c r="AQ10" s="182"/>
      <c r="AR10" s="185"/>
      <c r="AS10" s="183">
        <f t="shared" si="13"/>
        <v>0</v>
      </c>
      <c r="AT10" s="184"/>
      <c r="AU10" s="184"/>
      <c r="AV10" s="186"/>
      <c r="AW10" s="186"/>
      <c r="AX10" s="186"/>
      <c r="AY10" s="186"/>
      <c r="AZ10" s="186"/>
      <c r="BA10" s="184"/>
      <c r="BB10" s="184"/>
      <c r="BC10" s="184"/>
      <c r="BD10" s="184"/>
      <c r="BE10" s="184"/>
      <c r="BF10" s="330"/>
      <c r="BG10" s="330"/>
      <c r="BH10" s="330"/>
      <c r="BI10" s="330"/>
      <c r="BJ10" s="330"/>
      <c r="BK10" s="338"/>
      <c r="BL10" s="338"/>
      <c r="BM10" s="338"/>
      <c r="BN10" s="186"/>
      <c r="BO10" s="186"/>
      <c r="BP10" s="186"/>
      <c r="BQ10" s="186"/>
      <c r="BR10" s="186"/>
      <c r="BS10" s="338"/>
      <c r="BT10" s="186"/>
      <c r="BU10" s="186"/>
      <c r="BV10" s="186"/>
      <c r="BW10" s="186"/>
      <c r="BX10" s="182"/>
      <c r="BY10" s="182"/>
      <c r="BZ10" s="331"/>
      <c r="CA10" s="182"/>
      <c r="CB10" s="185"/>
      <c r="CC10" s="183">
        <f t="shared" si="14"/>
        <v>0</v>
      </c>
      <c r="CD10" s="184"/>
      <c r="CE10" s="184"/>
      <c r="CF10" s="186"/>
      <c r="CG10" s="186"/>
      <c r="CH10" s="186"/>
      <c r="CI10" s="186"/>
      <c r="CJ10" s="186"/>
      <c r="CK10" s="476"/>
      <c r="CL10" s="476"/>
      <c r="CM10" s="476"/>
      <c r="CN10" s="476"/>
      <c r="CO10" s="476"/>
      <c r="CP10" s="330"/>
      <c r="CQ10" s="330"/>
      <c r="CR10" s="330"/>
      <c r="CS10" s="330"/>
      <c r="CT10" s="330"/>
      <c r="CU10" s="338"/>
      <c r="CV10" s="338"/>
      <c r="CW10" s="338"/>
      <c r="CX10" s="186"/>
      <c r="CY10" s="186"/>
      <c r="CZ10" s="186"/>
      <c r="DA10" s="186"/>
      <c r="DB10" s="186"/>
      <c r="DC10" s="338"/>
      <c r="DD10" s="186"/>
      <c r="DE10" s="186"/>
      <c r="DF10" s="186"/>
      <c r="DG10" s="186"/>
      <c r="DH10" s="182"/>
      <c r="DI10" s="182"/>
      <c r="DJ10" s="327"/>
      <c r="DK10" s="182"/>
      <c r="DL10" s="185"/>
      <c r="DM10" s="183">
        <f t="shared" si="15"/>
        <v>0</v>
      </c>
      <c r="DN10" s="184"/>
      <c r="DO10" s="184"/>
      <c r="DP10" s="186"/>
      <c r="DQ10" s="186"/>
      <c r="DR10" s="186"/>
      <c r="DS10" s="186"/>
      <c r="DT10" s="186"/>
      <c r="DU10" s="184"/>
      <c r="DV10" s="184"/>
      <c r="DW10" s="184"/>
      <c r="DX10" s="184"/>
      <c r="DY10" s="184"/>
      <c r="DZ10" s="330"/>
      <c r="EA10" s="330"/>
      <c r="EB10" s="330"/>
      <c r="EC10" s="330"/>
      <c r="ED10" s="330"/>
      <c r="EE10" s="338"/>
      <c r="EF10" s="338"/>
      <c r="EG10" s="338"/>
      <c r="EH10" s="186"/>
      <c r="EI10" s="186"/>
      <c r="EJ10" s="186"/>
      <c r="EK10" s="186"/>
      <c r="EL10" s="186"/>
      <c r="EM10" s="338"/>
      <c r="EN10" s="186"/>
      <c r="EO10" s="186"/>
      <c r="EP10" s="186"/>
      <c r="EQ10" s="186"/>
      <c r="ER10" s="132"/>
      <c r="ES10" s="146"/>
      <c r="ET10" s="112"/>
    </row>
    <row r="11" spans="1:150" ht="13.2" outlineLevel="1">
      <c r="A11" s="112"/>
      <c r="B11" s="147">
        <v>1</v>
      </c>
      <c r="C11" s="212">
        <v>1</v>
      </c>
      <c r="D11" s="211" t="s">
        <v>16</v>
      </c>
      <c r="E11" s="150"/>
      <c r="F11" s="188">
        <v>0.1</v>
      </c>
      <c r="G11" s="188"/>
      <c r="H11" s="189">
        <f>F11*(5%*'BOQ COST'!$E$4)*1</f>
        <v>0.72803000000000018</v>
      </c>
      <c r="I11" s="189">
        <f t="shared" si="12"/>
        <v>0.72803000000000018</v>
      </c>
      <c r="J11" s="190">
        <f>H11</f>
        <v>0.72803000000000018</v>
      </c>
      <c r="K11" s="190">
        <f t="shared" ref="K11:O11" si="26">SUM(K12:K15)</f>
        <v>0</v>
      </c>
      <c r="L11" s="190">
        <f t="shared" si="26"/>
        <v>0</v>
      </c>
      <c r="M11" s="190">
        <f t="shared" si="26"/>
        <v>0</v>
      </c>
      <c r="N11" s="190">
        <f t="shared" si="26"/>
        <v>0</v>
      </c>
      <c r="O11" s="190">
        <f t="shared" si="26"/>
        <v>0</v>
      </c>
      <c r="P11" s="190"/>
      <c r="Q11" s="190">
        <f t="shared" ref="Q11:U11" si="27">SUM(Q12:Q15)</f>
        <v>0</v>
      </c>
      <c r="R11" s="190">
        <f t="shared" si="27"/>
        <v>0</v>
      </c>
      <c r="S11" s="190">
        <f t="shared" si="27"/>
        <v>0</v>
      </c>
      <c r="T11" s="190">
        <f t="shared" si="27"/>
        <v>0</v>
      </c>
      <c r="U11" s="190">
        <f t="shared" si="27"/>
        <v>0</v>
      </c>
      <c r="V11" s="191"/>
      <c r="W11" s="339"/>
      <c r="X11" s="339"/>
      <c r="Y11" s="339"/>
      <c r="Z11" s="340"/>
      <c r="AA11" s="341"/>
      <c r="AB11" s="342"/>
      <c r="AC11" s="342"/>
      <c r="AD11" s="190"/>
      <c r="AE11" s="190"/>
      <c r="AF11" s="190"/>
      <c r="AG11" s="190"/>
      <c r="AH11" s="190"/>
      <c r="AI11" s="342"/>
      <c r="AJ11" s="190"/>
      <c r="AK11" s="190"/>
      <c r="AL11" s="190"/>
      <c r="AM11" s="190"/>
      <c r="AN11" s="342"/>
      <c r="AO11" s="342"/>
      <c r="AP11" s="188">
        <v>0</v>
      </c>
      <c r="AQ11" s="188"/>
      <c r="AR11" s="192"/>
      <c r="AS11" s="189">
        <f t="shared" si="13"/>
        <v>0</v>
      </c>
      <c r="AT11" s="190">
        <f>SUM(AT12:AT15)</f>
        <v>0</v>
      </c>
      <c r="AU11" s="190">
        <f>SUM(AU12:AU15)</f>
        <v>0</v>
      </c>
      <c r="AV11" s="190"/>
      <c r="AW11" s="190"/>
      <c r="AX11" s="190"/>
      <c r="AY11" s="190"/>
      <c r="AZ11" s="190"/>
      <c r="BA11" s="190">
        <f t="shared" ref="BA11:BE11" si="28">SUM(BA12:BA15)</f>
        <v>0</v>
      </c>
      <c r="BB11" s="190">
        <f t="shared" si="28"/>
        <v>0</v>
      </c>
      <c r="BC11" s="190">
        <f t="shared" si="28"/>
        <v>0</v>
      </c>
      <c r="BD11" s="190">
        <f t="shared" si="28"/>
        <v>0</v>
      </c>
      <c r="BE11" s="190">
        <f t="shared" si="28"/>
        <v>0</v>
      </c>
      <c r="BF11" s="191"/>
      <c r="BG11" s="339"/>
      <c r="BH11" s="339"/>
      <c r="BI11" s="339"/>
      <c r="BJ11" s="340"/>
      <c r="BK11" s="341"/>
      <c r="BL11" s="342"/>
      <c r="BM11" s="342"/>
      <c r="BN11" s="190"/>
      <c r="BO11" s="190"/>
      <c r="BP11" s="190"/>
      <c r="BQ11" s="190"/>
      <c r="BR11" s="190"/>
      <c r="BS11" s="342"/>
      <c r="BT11" s="190"/>
      <c r="BU11" s="190"/>
      <c r="BV11" s="190"/>
      <c r="BW11" s="190"/>
      <c r="BX11" s="188"/>
      <c r="BY11" s="188"/>
      <c r="BZ11" s="188">
        <v>0</v>
      </c>
      <c r="CA11" s="188"/>
      <c r="CB11" s="192">
        <v>0</v>
      </c>
      <c r="CC11" s="189">
        <f t="shared" si="14"/>
        <v>0</v>
      </c>
      <c r="CD11" s="190">
        <f>SUM(CD12:CD15)</f>
        <v>0</v>
      </c>
      <c r="CE11" s="190">
        <f>SUM(CE12:CE15)</f>
        <v>0</v>
      </c>
      <c r="CF11" s="190"/>
      <c r="CG11" s="190"/>
      <c r="CH11" s="190"/>
      <c r="CI11" s="190"/>
      <c r="CJ11" s="190"/>
      <c r="CK11" s="477">
        <f t="shared" ref="CK11:CO11" si="29">SUM(CK12:CK15)</f>
        <v>0</v>
      </c>
      <c r="CL11" s="477">
        <f t="shared" si="29"/>
        <v>0</v>
      </c>
      <c r="CM11" s="477">
        <f t="shared" si="29"/>
        <v>0</v>
      </c>
      <c r="CN11" s="477">
        <f t="shared" si="29"/>
        <v>0</v>
      </c>
      <c r="CO11" s="477">
        <f t="shared" si="29"/>
        <v>0</v>
      </c>
      <c r="CP11" s="191"/>
      <c r="CQ11" s="339"/>
      <c r="CR11" s="339"/>
      <c r="CS11" s="339"/>
      <c r="CT11" s="340"/>
      <c r="CU11" s="341"/>
      <c r="CV11" s="342"/>
      <c r="CW11" s="342"/>
      <c r="CX11" s="190"/>
      <c r="CY11" s="190"/>
      <c r="CZ11" s="190"/>
      <c r="DA11" s="190"/>
      <c r="DB11" s="190"/>
      <c r="DC11" s="342"/>
      <c r="DD11" s="190"/>
      <c r="DE11" s="190"/>
      <c r="DF11" s="190"/>
      <c r="DG11" s="190"/>
      <c r="DH11" s="188"/>
      <c r="DI11" s="188"/>
      <c r="DJ11" s="188">
        <v>0</v>
      </c>
      <c r="DK11" s="188"/>
      <c r="DL11" s="192">
        <v>0</v>
      </c>
      <c r="DM11" s="189">
        <f t="shared" si="15"/>
        <v>0</v>
      </c>
      <c r="DN11" s="190">
        <f>DL11</f>
        <v>0</v>
      </c>
      <c r="DO11" s="190">
        <f>SUM(DO12:DO15)</f>
        <v>0</v>
      </c>
      <c r="DP11" s="190"/>
      <c r="DQ11" s="190"/>
      <c r="DR11" s="190"/>
      <c r="DS11" s="190"/>
      <c r="DT11" s="190"/>
      <c r="DU11" s="190">
        <f t="shared" ref="DU11:DY11" si="30">SUM(DU12:DU15)</f>
        <v>0</v>
      </c>
      <c r="DV11" s="190">
        <f t="shared" si="30"/>
        <v>0</v>
      </c>
      <c r="DW11" s="190">
        <f t="shared" si="30"/>
        <v>0</v>
      </c>
      <c r="DX11" s="190">
        <f t="shared" si="30"/>
        <v>0</v>
      </c>
      <c r="DY11" s="190">
        <f t="shared" si="30"/>
        <v>0</v>
      </c>
      <c r="DZ11" s="191"/>
      <c r="EA11" s="339"/>
      <c r="EB11" s="339"/>
      <c r="EC11" s="339"/>
      <c r="ED11" s="340"/>
      <c r="EE11" s="342"/>
      <c r="EF11" s="342"/>
      <c r="EG11" s="342"/>
      <c r="EH11" s="190"/>
      <c r="EI11" s="190"/>
      <c r="EJ11" s="190"/>
      <c r="EK11" s="190"/>
      <c r="EL11" s="190"/>
      <c r="EM11" s="342"/>
      <c r="EN11" s="190"/>
      <c r="EO11" s="190"/>
      <c r="EP11" s="190"/>
      <c r="EQ11" s="190"/>
      <c r="ER11" s="112"/>
      <c r="ES11" s="498" t="s">
        <v>118</v>
      </c>
      <c r="ET11" s="112"/>
    </row>
    <row r="12" spans="1:150" ht="11.85" customHeight="1" outlineLevel="2">
      <c r="A12" s="112"/>
      <c r="B12" s="153">
        <v>1</v>
      </c>
      <c r="C12" s="213">
        <v>1</v>
      </c>
      <c r="D12" s="214" t="s">
        <v>17</v>
      </c>
      <c r="E12" s="114"/>
      <c r="F12" s="193"/>
      <c r="G12" s="194"/>
      <c r="H12" s="328"/>
      <c r="I12" s="328">
        <f t="shared" si="12"/>
        <v>0</v>
      </c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195"/>
      <c r="W12" s="344"/>
      <c r="X12" s="344"/>
      <c r="Y12" s="344"/>
      <c r="Z12" s="345"/>
      <c r="AA12" s="338"/>
      <c r="AB12" s="338"/>
      <c r="AC12" s="338"/>
      <c r="AD12" s="343"/>
      <c r="AE12" s="343"/>
      <c r="AF12" s="343"/>
      <c r="AG12" s="343"/>
      <c r="AH12" s="343"/>
      <c r="AI12" s="338"/>
      <c r="AJ12" s="343"/>
      <c r="AK12" s="343"/>
      <c r="AL12" s="343"/>
      <c r="AM12" s="343"/>
      <c r="AN12" s="338"/>
      <c r="AO12" s="338"/>
      <c r="AP12" s="196"/>
      <c r="AQ12" s="194"/>
      <c r="AR12" s="332"/>
      <c r="AS12" s="328">
        <f t="shared" si="13"/>
        <v>0</v>
      </c>
      <c r="AT12" s="343"/>
      <c r="AU12" s="343"/>
      <c r="AV12" s="343"/>
      <c r="AW12" s="343"/>
      <c r="AX12" s="343"/>
      <c r="AY12" s="343"/>
      <c r="AZ12" s="343"/>
      <c r="BA12" s="343"/>
      <c r="BB12" s="343"/>
      <c r="BC12" s="343"/>
      <c r="BD12" s="343"/>
      <c r="BE12" s="343"/>
      <c r="BF12" s="195"/>
      <c r="BG12" s="344"/>
      <c r="BH12" s="344"/>
      <c r="BI12" s="344"/>
      <c r="BJ12" s="345"/>
      <c r="BK12" s="338"/>
      <c r="BL12" s="338"/>
      <c r="BM12" s="338"/>
      <c r="BN12" s="343"/>
      <c r="BO12" s="343"/>
      <c r="BP12" s="343"/>
      <c r="BQ12" s="343"/>
      <c r="BR12" s="343"/>
      <c r="BS12" s="338"/>
      <c r="BT12" s="343"/>
      <c r="BU12" s="343"/>
      <c r="BV12" s="343"/>
      <c r="BW12" s="343"/>
      <c r="BX12" s="194"/>
      <c r="BY12" s="194"/>
      <c r="BZ12" s="196"/>
      <c r="CA12" s="194"/>
      <c r="CB12" s="332"/>
      <c r="CC12" s="328">
        <f t="shared" si="14"/>
        <v>0</v>
      </c>
      <c r="CD12" s="343"/>
      <c r="CE12" s="343"/>
      <c r="CF12" s="343"/>
      <c r="CG12" s="343"/>
      <c r="CH12" s="343"/>
      <c r="CI12" s="343"/>
      <c r="CJ12" s="343"/>
      <c r="CK12" s="478"/>
      <c r="CL12" s="478"/>
      <c r="CM12" s="478"/>
      <c r="CN12" s="478"/>
      <c r="CO12" s="478"/>
      <c r="CP12" s="195"/>
      <c r="CQ12" s="344"/>
      <c r="CR12" s="344"/>
      <c r="CS12" s="344"/>
      <c r="CT12" s="345"/>
      <c r="CU12" s="338"/>
      <c r="CV12" s="338"/>
      <c r="CW12" s="338"/>
      <c r="CX12" s="343"/>
      <c r="CY12" s="343"/>
      <c r="CZ12" s="343"/>
      <c r="DA12" s="343"/>
      <c r="DB12" s="343"/>
      <c r="DC12" s="338"/>
      <c r="DD12" s="343"/>
      <c r="DE12" s="343"/>
      <c r="DF12" s="343"/>
      <c r="DG12" s="343"/>
      <c r="DH12" s="194"/>
      <c r="DI12" s="194"/>
      <c r="DJ12" s="196"/>
      <c r="DK12" s="194"/>
      <c r="DL12" s="332"/>
      <c r="DM12" s="328">
        <f t="shared" si="15"/>
        <v>0</v>
      </c>
      <c r="DN12" s="343">
        <f>IFERROR(IF(EA12=100%,DL12,0),0)</f>
        <v>0</v>
      </c>
      <c r="DO12" s="343">
        <f>IFERROR(IF(AND((EA12+EB12)=100%,EA12&lt;1),DL12,0),0)</f>
        <v>0</v>
      </c>
      <c r="DP12" s="343"/>
      <c r="DQ12" s="343"/>
      <c r="DR12" s="343"/>
      <c r="DS12" s="343"/>
      <c r="DT12" s="343"/>
      <c r="DU12" s="343"/>
      <c r="DV12" s="343"/>
      <c r="DW12" s="343"/>
      <c r="DX12" s="343"/>
      <c r="DY12" s="343"/>
      <c r="DZ12" s="195"/>
      <c r="EA12" s="344"/>
      <c r="EB12" s="344"/>
      <c r="EC12" s="344"/>
      <c r="ED12" s="345"/>
      <c r="EE12" s="338"/>
      <c r="EF12" s="338"/>
      <c r="EG12" s="338"/>
      <c r="EH12" s="343"/>
      <c r="EI12" s="343"/>
      <c r="EJ12" s="343"/>
      <c r="EK12" s="343"/>
      <c r="EL12" s="343"/>
      <c r="EM12" s="338"/>
      <c r="EN12" s="343"/>
      <c r="EO12" s="343"/>
      <c r="EP12" s="343"/>
      <c r="EQ12" s="343"/>
      <c r="ER12" s="114"/>
      <c r="ES12" s="499"/>
      <c r="ET12" s="112"/>
    </row>
    <row r="13" spans="1:150" ht="11.85" customHeight="1" outlineLevel="2">
      <c r="A13" s="112"/>
      <c r="B13" s="153">
        <v>2</v>
      </c>
      <c r="C13" s="213">
        <v>2</v>
      </c>
      <c r="D13" s="214" t="s">
        <v>18</v>
      </c>
      <c r="E13" s="114"/>
      <c r="F13" s="193"/>
      <c r="G13" s="194"/>
      <c r="H13" s="328"/>
      <c r="I13" s="328">
        <f t="shared" si="12"/>
        <v>0</v>
      </c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195"/>
      <c r="W13" s="344"/>
      <c r="X13" s="344"/>
      <c r="Y13" s="344"/>
      <c r="Z13" s="345"/>
      <c r="AA13" s="338"/>
      <c r="AB13" s="338"/>
      <c r="AC13" s="338"/>
      <c r="AD13" s="343"/>
      <c r="AE13" s="343"/>
      <c r="AF13" s="343"/>
      <c r="AG13" s="343"/>
      <c r="AH13" s="343"/>
      <c r="AI13" s="338"/>
      <c r="AJ13" s="343"/>
      <c r="AK13" s="343"/>
      <c r="AL13" s="343"/>
      <c r="AM13" s="343"/>
      <c r="AN13" s="338"/>
      <c r="AO13" s="338"/>
      <c r="AP13" s="196"/>
      <c r="AQ13" s="194"/>
      <c r="AR13" s="332"/>
      <c r="AS13" s="328">
        <f t="shared" si="13"/>
        <v>0</v>
      </c>
      <c r="AT13" s="343"/>
      <c r="AU13" s="343"/>
      <c r="AV13" s="343"/>
      <c r="AW13" s="343"/>
      <c r="AX13" s="343"/>
      <c r="AY13" s="343"/>
      <c r="AZ13" s="343"/>
      <c r="BA13" s="343"/>
      <c r="BB13" s="343"/>
      <c r="BC13" s="343"/>
      <c r="BD13" s="343"/>
      <c r="BE13" s="343"/>
      <c r="BF13" s="195"/>
      <c r="BG13" s="344"/>
      <c r="BH13" s="344"/>
      <c r="BI13" s="344"/>
      <c r="BJ13" s="345"/>
      <c r="BK13" s="338"/>
      <c r="BL13" s="338"/>
      <c r="BM13" s="338"/>
      <c r="BN13" s="343"/>
      <c r="BO13" s="343"/>
      <c r="BP13" s="343"/>
      <c r="BQ13" s="343"/>
      <c r="BR13" s="343"/>
      <c r="BS13" s="338"/>
      <c r="BT13" s="343"/>
      <c r="BU13" s="343"/>
      <c r="BV13" s="343"/>
      <c r="BW13" s="343"/>
      <c r="BX13" s="194"/>
      <c r="BY13" s="194"/>
      <c r="BZ13" s="196"/>
      <c r="CA13" s="194"/>
      <c r="CB13" s="332"/>
      <c r="CC13" s="328">
        <f t="shared" si="14"/>
        <v>0</v>
      </c>
      <c r="CD13" s="343"/>
      <c r="CE13" s="343"/>
      <c r="CF13" s="343"/>
      <c r="CG13" s="343"/>
      <c r="CH13" s="343"/>
      <c r="CI13" s="343"/>
      <c r="CJ13" s="343"/>
      <c r="CK13" s="478"/>
      <c r="CL13" s="478"/>
      <c r="CM13" s="478"/>
      <c r="CN13" s="478"/>
      <c r="CO13" s="478"/>
      <c r="CP13" s="195"/>
      <c r="CQ13" s="344"/>
      <c r="CR13" s="344"/>
      <c r="CS13" s="344"/>
      <c r="CT13" s="345"/>
      <c r="CU13" s="338"/>
      <c r="CV13" s="338"/>
      <c r="CW13" s="338"/>
      <c r="CX13" s="343"/>
      <c r="CY13" s="343"/>
      <c r="CZ13" s="343"/>
      <c r="DA13" s="343"/>
      <c r="DB13" s="343"/>
      <c r="DC13" s="338"/>
      <c r="DD13" s="343"/>
      <c r="DE13" s="343"/>
      <c r="DF13" s="343"/>
      <c r="DG13" s="343"/>
      <c r="DH13" s="194"/>
      <c r="DI13" s="194"/>
      <c r="DJ13" s="196"/>
      <c r="DK13" s="194"/>
      <c r="DL13" s="332"/>
      <c r="DM13" s="328">
        <f t="shared" si="15"/>
        <v>0</v>
      </c>
      <c r="DN13" s="343">
        <f>IFERROR(IF(EA13=100%,DL13,0),0)</f>
        <v>0</v>
      </c>
      <c r="DO13" s="343">
        <f>IFERROR(IF(AND((EA13+EB13)=100%,EA13&lt;1),DL13,0),0)</f>
        <v>0</v>
      </c>
      <c r="DP13" s="343"/>
      <c r="DQ13" s="343"/>
      <c r="DR13" s="343"/>
      <c r="DS13" s="343"/>
      <c r="DT13" s="343"/>
      <c r="DU13" s="343"/>
      <c r="DV13" s="343"/>
      <c r="DW13" s="343"/>
      <c r="DX13" s="343"/>
      <c r="DY13" s="343"/>
      <c r="DZ13" s="195"/>
      <c r="EA13" s="344"/>
      <c r="EB13" s="344"/>
      <c r="EC13" s="344"/>
      <c r="ED13" s="345"/>
      <c r="EE13" s="338"/>
      <c r="EF13" s="338"/>
      <c r="EG13" s="338"/>
      <c r="EH13" s="343"/>
      <c r="EI13" s="343"/>
      <c r="EJ13" s="343"/>
      <c r="EK13" s="343"/>
      <c r="EL13" s="343"/>
      <c r="EM13" s="338"/>
      <c r="EN13" s="343"/>
      <c r="EO13" s="343"/>
      <c r="EP13" s="343"/>
      <c r="EQ13" s="343"/>
      <c r="ER13" s="114"/>
      <c r="ES13" s="499"/>
      <c r="ET13" s="112"/>
    </row>
    <row r="14" spans="1:150" ht="11.85" customHeight="1" outlineLevel="2">
      <c r="A14" s="112"/>
      <c r="B14" s="153">
        <v>3</v>
      </c>
      <c r="C14" s="213">
        <v>3</v>
      </c>
      <c r="D14" s="214" t="s">
        <v>19</v>
      </c>
      <c r="E14" s="114"/>
      <c r="F14" s="193"/>
      <c r="G14" s="194"/>
      <c r="H14" s="328"/>
      <c r="I14" s="328">
        <f t="shared" si="12"/>
        <v>0</v>
      </c>
      <c r="J14" s="343"/>
      <c r="K14" s="343"/>
      <c r="L14" s="343"/>
      <c r="M14" s="343"/>
      <c r="N14" s="343"/>
      <c r="O14" s="343"/>
      <c r="P14" s="343"/>
      <c r="Q14" s="343"/>
      <c r="R14" s="343"/>
      <c r="S14" s="343"/>
      <c r="T14" s="343"/>
      <c r="U14" s="343"/>
      <c r="V14" s="195"/>
      <c r="W14" s="344"/>
      <c r="X14" s="344"/>
      <c r="Y14" s="344"/>
      <c r="Z14" s="345"/>
      <c r="AA14" s="338"/>
      <c r="AB14" s="338"/>
      <c r="AC14" s="338"/>
      <c r="AD14" s="343"/>
      <c r="AE14" s="343"/>
      <c r="AF14" s="343"/>
      <c r="AG14" s="343"/>
      <c r="AH14" s="343"/>
      <c r="AI14" s="338"/>
      <c r="AJ14" s="343"/>
      <c r="AK14" s="343"/>
      <c r="AL14" s="343"/>
      <c r="AM14" s="343"/>
      <c r="AN14" s="338"/>
      <c r="AO14" s="338"/>
      <c r="AP14" s="196"/>
      <c r="AQ14" s="194"/>
      <c r="AR14" s="332"/>
      <c r="AS14" s="328">
        <f t="shared" si="13"/>
        <v>0</v>
      </c>
      <c r="AT14" s="343"/>
      <c r="AU14" s="343"/>
      <c r="AV14" s="343"/>
      <c r="AW14" s="343"/>
      <c r="AX14" s="343"/>
      <c r="AY14" s="343"/>
      <c r="AZ14" s="343"/>
      <c r="BA14" s="343"/>
      <c r="BB14" s="343"/>
      <c r="BC14" s="343"/>
      <c r="BD14" s="343"/>
      <c r="BE14" s="343"/>
      <c r="BF14" s="195"/>
      <c r="BG14" s="344"/>
      <c r="BH14" s="344"/>
      <c r="BI14" s="344"/>
      <c r="BJ14" s="345"/>
      <c r="BK14" s="338"/>
      <c r="BL14" s="338"/>
      <c r="BM14" s="338"/>
      <c r="BN14" s="343"/>
      <c r="BO14" s="343"/>
      <c r="BP14" s="343"/>
      <c r="BQ14" s="343"/>
      <c r="BR14" s="343"/>
      <c r="BS14" s="338"/>
      <c r="BT14" s="343"/>
      <c r="BU14" s="343"/>
      <c r="BV14" s="343"/>
      <c r="BW14" s="343"/>
      <c r="BX14" s="194"/>
      <c r="BY14" s="194"/>
      <c r="BZ14" s="196"/>
      <c r="CA14" s="194"/>
      <c r="CB14" s="332"/>
      <c r="CC14" s="328">
        <f t="shared" si="14"/>
        <v>0</v>
      </c>
      <c r="CD14" s="343"/>
      <c r="CE14" s="343"/>
      <c r="CF14" s="343"/>
      <c r="CG14" s="343"/>
      <c r="CH14" s="343"/>
      <c r="CI14" s="343"/>
      <c r="CJ14" s="343"/>
      <c r="CK14" s="478"/>
      <c r="CL14" s="478"/>
      <c r="CM14" s="478"/>
      <c r="CN14" s="478"/>
      <c r="CO14" s="478"/>
      <c r="CP14" s="195"/>
      <c r="CQ14" s="344"/>
      <c r="CR14" s="344"/>
      <c r="CS14" s="344"/>
      <c r="CT14" s="345"/>
      <c r="CU14" s="338"/>
      <c r="CV14" s="338"/>
      <c r="CW14" s="338"/>
      <c r="CX14" s="343"/>
      <c r="CY14" s="343"/>
      <c r="CZ14" s="343"/>
      <c r="DA14" s="343"/>
      <c r="DB14" s="343"/>
      <c r="DC14" s="338"/>
      <c r="DD14" s="343"/>
      <c r="DE14" s="343"/>
      <c r="DF14" s="343"/>
      <c r="DG14" s="343"/>
      <c r="DH14" s="194"/>
      <c r="DI14" s="194"/>
      <c r="DJ14" s="196"/>
      <c r="DK14" s="194"/>
      <c r="DL14" s="332"/>
      <c r="DM14" s="328">
        <f t="shared" si="15"/>
        <v>0</v>
      </c>
      <c r="DN14" s="343">
        <f>IFERROR(IF(EA14=100%,DL14,0),0)</f>
        <v>0</v>
      </c>
      <c r="DO14" s="343">
        <f>IFERROR(IF(AND((EA14+EB14)=100%,EA14&lt;1),DL14,0),0)</f>
        <v>0</v>
      </c>
      <c r="DP14" s="343"/>
      <c r="DQ14" s="343"/>
      <c r="DR14" s="343"/>
      <c r="DS14" s="343"/>
      <c r="DT14" s="343"/>
      <c r="DU14" s="343"/>
      <c r="DV14" s="343"/>
      <c r="DW14" s="343"/>
      <c r="DX14" s="343"/>
      <c r="DY14" s="343"/>
      <c r="DZ14" s="195"/>
      <c r="EA14" s="344"/>
      <c r="EB14" s="344"/>
      <c r="EC14" s="344"/>
      <c r="ED14" s="345"/>
      <c r="EE14" s="338"/>
      <c r="EF14" s="338"/>
      <c r="EG14" s="338"/>
      <c r="EH14" s="343"/>
      <c r="EI14" s="343"/>
      <c r="EJ14" s="343"/>
      <c r="EK14" s="343"/>
      <c r="EL14" s="343"/>
      <c r="EM14" s="338"/>
      <c r="EN14" s="343"/>
      <c r="EO14" s="343"/>
      <c r="EP14" s="343"/>
      <c r="EQ14" s="343"/>
      <c r="ER14" s="114"/>
      <c r="ES14" s="499"/>
      <c r="ET14" s="112"/>
    </row>
    <row r="15" spans="1:150" ht="11.85" customHeight="1" outlineLevel="2">
      <c r="A15" s="112"/>
      <c r="B15" s="153">
        <v>4</v>
      </c>
      <c r="C15" s="213">
        <v>4</v>
      </c>
      <c r="D15" s="214" t="s">
        <v>20</v>
      </c>
      <c r="E15" s="114"/>
      <c r="F15" s="193"/>
      <c r="G15" s="194"/>
      <c r="H15" s="328"/>
      <c r="I15" s="328">
        <f t="shared" si="12"/>
        <v>0</v>
      </c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195"/>
      <c r="W15" s="344"/>
      <c r="X15" s="344"/>
      <c r="Y15" s="344"/>
      <c r="Z15" s="346"/>
      <c r="AA15" s="338"/>
      <c r="AB15" s="338"/>
      <c r="AC15" s="338"/>
      <c r="AD15" s="343"/>
      <c r="AE15" s="343"/>
      <c r="AF15" s="343"/>
      <c r="AG15" s="343"/>
      <c r="AH15" s="343"/>
      <c r="AI15" s="338"/>
      <c r="AJ15" s="343"/>
      <c r="AK15" s="343"/>
      <c r="AL15" s="343"/>
      <c r="AM15" s="343"/>
      <c r="AN15" s="338"/>
      <c r="AO15" s="338"/>
      <c r="AP15" s="196"/>
      <c r="AQ15" s="194"/>
      <c r="AR15" s="185"/>
      <c r="AS15" s="328">
        <f t="shared" si="13"/>
        <v>0</v>
      </c>
      <c r="AT15" s="343"/>
      <c r="AU15" s="343"/>
      <c r="AV15" s="343"/>
      <c r="AW15" s="343"/>
      <c r="AX15" s="343"/>
      <c r="AY15" s="343"/>
      <c r="AZ15" s="343"/>
      <c r="BA15" s="343"/>
      <c r="BB15" s="343"/>
      <c r="BC15" s="343"/>
      <c r="BD15" s="343"/>
      <c r="BE15" s="343"/>
      <c r="BF15" s="195"/>
      <c r="BG15" s="344"/>
      <c r="BH15" s="344"/>
      <c r="BI15" s="344"/>
      <c r="BJ15" s="346"/>
      <c r="BK15" s="338"/>
      <c r="BL15" s="338"/>
      <c r="BM15" s="338"/>
      <c r="BN15" s="343"/>
      <c r="BO15" s="343"/>
      <c r="BP15" s="343"/>
      <c r="BQ15" s="343"/>
      <c r="BR15" s="343"/>
      <c r="BS15" s="338"/>
      <c r="BT15" s="343"/>
      <c r="BU15" s="343"/>
      <c r="BV15" s="343"/>
      <c r="BW15" s="343"/>
      <c r="BX15" s="194"/>
      <c r="BY15" s="194"/>
      <c r="BZ15" s="196"/>
      <c r="CA15" s="194"/>
      <c r="CB15" s="185"/>
      <c r="CC15" s="328">
        <f t="shared" si="14"/>
        <v>0</v>
      </c>
      <c r="CD15" s="343"/>
      <c r="CE15" s="343"/>
      <c r="CF15" s="343"/>
      <c r="CG15" s="343"/>
      <c r="CH15" s="343"/>
      <c r="CI15" s="343"/>
      <c r="CJ15" s="343"/>
      <c r="CK15" s="478"/>
      <c r="CL15" s="478"/>
      <c r="CM15" s="478"/>
      <c r="CN15" s="478"/>
      <c r="CO15" s="478"/>
      <c r="CP15" s="195"/>
      <c r="CQ15" s="344"/>
      <c r="CR15" s="344"/>
      <c r="CS15" s="344"/>
      <c r="CT15" s="346"/>
      <c r="CU15" s="338"/>
      <c r="CV15" s="338"/>
      <c r="CW15" s="338"/>
      <c r="CX15" s="343"/>
      <c r="CY15" s="343"/>
      <c r="CZ15" s="343"/>
      <c r="DA15" s="343"/>
      <c r="DB15" s="343"/>
      <c r="DC15" s="338"/>
      <c r="DD15" s="343"/>
      <c r="DE15" s="343"/>
      <c r="DF15" s="343"/>
      <c r="DG15" s="343"/>
      <c r="DH15" s="194"/>
      <c r="DI15" s="194"/>
      <c r="DJ15" s="196"/>
      <c r="DK15" s="194"/>
      <c r="DL15" s="185"/>
      <c r="DM15" s="328">
        <f t="shared" si="15"/>
        <v>0</v>
      </c>
      <c r="DN15" s="343">
        <f>IFERROR(IF(EA15=100%,DL15,0),0)</f>
        <v>0</v>
      </c>
      <c r="DO15" s="343">
        <f>IFERROR(IF(AND((EA15+EB15)=100%,EA15&lt;1),DL15,0),0)</f>
        <v>0</v>
      </c>
      <c r="DP15" s="343"/>
      <c r="DQ15" s="343"/>
      <c r="DR15" s="343"/>
      <c r="DS15" s="343"/>
      <c r="DT15" s="343"/>
      <c r="DU15" s="343"/>
      <c r="DV15" s="343"/>
      <c r="DW15" s="343"/>
      <c r="DX15" s="343"/>
      <c r="DY15" s="343"/>
      <c r="DZ15" s="195"/>
      <c r="EA15" s="344"/>
      <c r="EB15" s="344"/>
      <c r="EC15" s="344"/>
      <c r="ED15" s="346"/>
      <c r="EE15" s="338"/>
      <c r="EF15" s="338"/>
      <c r="EG15" s="338"/>
      <c r="EH15" s="343"/>
      <c r="EI15" s="343"/>
      <c r="EJ15" s="343"/>
      <c r="EK15" s="343"/>
      <c r="EL15" s="343"/>
      <c r="EM15" s="338"/>
      <c r="EN15" s="343"/>
      <c r="EO15" s="343"/>
      <c r="EP15" s="343"/>
      <c r="EQ15" s="343"/>
      <c r="ER15" s="114"/>
      <c r="ES15" s="499"/>
      <c r="ET15" s="112"/>
    </row>
    <row r="16" spans="1:150" ht="3" customHeight="1" outlineLevel="1">
      <c r="A16" s="112"/>
      <c r="B16" s="113"/>
      <c r="C16" s="113"/>
      <c r="D16" s="114"/>
      <c r="E16" s="114"/>
      <c r="F16" s="197"/>
      <c r="G16" s="194"/>
      <c r="H16" s="183"/>
      <c r="I16" s="183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347"/>
      <c r="W16" s="348"/>
      <c r="X16" s="348"/>
      <c r="Y16" s="348"/>
      <c r="Z16" s="198"/>
      <c r="AA16" s="338"/>
      <c r="AB16" s="338"/>
      <c r="AC16" s="338"/>
      <c r="AD16" s="184"/>
      <c r="AE16" s="184"/>
      <c r="AF16" s="184"/>
      <c r="AG16" s="184"/>
      <c r="AH16" s="184"/>
      <c r="AI16" s="338"/>
      <c r="AJ16" s="184"/>
      <c r="AK16" s="184"/>
      <c r="AL16" s="184"/>
      <c r="AM16" s="184"/>
      <c r="AN16" s="338"/>
      <c r="AO16" s="338"/>
      <c r="AP16" s="196"/>
      <c r="AQ16" s="194"/>
      <c r="AR16" s="185"/>
      <c r="AS16" s="183">
        <f t="shared" si="13"/>
        <v>0</v>
      </c>
      <c r="AT16" s="184"/>
      <c r="AU16" s="184"/>
      <c r="AV16" s="186"/>
      <c r="AW16" s="186"/>
      <c r="AX16" s="186"/>
      <c r="AY16" s="186"/>
      <c r="AZ16" s="186"/>
      <c r="BA16" s="184"/>
      <c r="BB16" s="184"/>
      <c r="BC16" s="184"/>
      <c r="BD16" s="184"/>
      <c r="BE16" s="184"/>
      <c r="BF16" s="347"/>
      <c r="BG16" s="348"/>
      <c r="BH16" s="348"/>
      <c r="BI16" s="348"/>
      <c r="BJ16" s="198"/>
      <c r="BK16" s="338"/>
      <c r="BL16" s="338"/>
      <c r="BM16" s="338"/>
      <c r="BN16" s="186"/>
      <c r="BO16" s="186"/>
      <c r="BP16" s="186"/>
      <c r="BQ16" s="186"/>
      <c r="BR16" s="186"/>
      <c r="BS16" s="338"/>
      <c r="BT16" s="186"/>
      <c r="BU16" s="186"/>
      <c r="BV16" s="186"/>
      <c r="BW16" s="186"/>
      <c r="BX16" s="194"/>
      <c r="BY16" s="194"/>
      <c r="BZ16" s="196"/>
      <c r="CA16" s="194"/>
      <c r="CB16" s="185"/>
      <c r="CC16" s="183">
        <f t="shared" si="14"/>
        <v>0</v>
      </c>
      <c r="CD16" s="184"/>
      <c r="CE16" s="184"/>
      <c r="CF16" s="186"/>
      <c r="CG16" s="186"/>
      <c r="CH16" s="186"/>
      <c r="CI16" s="186"/>
      <c r="CJ16" s="186"/>
      <c r="CK16" s="476"/>
      <c r="CL16" s="476"/>
      <c r="CM16" s="476"/>
      <c r="CN16" s="476"/>
      <c r="CO16" s="476"/>
      <c r="CP16" s="347"/>
      <c r="CQ16" s="348"/>
      <c r="CR16" s="348"/>
      <c r="CS16" s="348"/>
      <c r="CT16" s="198"/>
      <c r="CU16" s="338"/>
      <c r="CV16" s="338"/>
      <c r="CW16" s="338"/>
      <c r="CX16" s="186"/>
      <c r="CY16" s="186"/>
      <c r="CZ16" s="186"/>
      <c r="DA16" s="186"/>
      <c r="DB16" s="186"/>
      <c r="DC16" s="338"/>
      <c r="DD16" s="186"/>
      <c r="DE16" s="186"/>
      <c r="DF16" s="186"/>
      <c r="DG16" s="186"/>
      <c r="DH16" s="194"/>
      <c r="DI16" s="194"/>
      <c r="DJ16" s="197"/>
      <c r="DK16" s="194"/>
      <c r="DL16" s="185"/>
      <c r="DM16" s="183">
        <f t="shared" si="15"/>
        <v>0</v>
      </c>
      <c r="DN16" s="184"/>
      <c r="DO16" s="184"/>
      <c r="DP16" s="186"/>
      <c r="DQ16" s="186"/>
      <c r="DR16" s="186"/>
      <c r="DS16" s="186"/>
      <c r="DT16" s="186"/>
      <c r="DU16" s="184"/>
      <c r="DV16" s="184"/>
      <c r="DW16" s="184"/>
      <c r="DX16" s="184"/>
      <c r="DY16" s="184"/>
      <c r="DZ16" s="347"/>
      <c r="EA16" s="348"/>
      <c r="EB16" s="348"/>
      <c r="EC16" s="348"/>
      <c r="ED16" s="198"/>
      <c r="EE16" s="338"/>
      <c r="EF16" s="338"/>
      <c r="EG16" s="338"/>
      <c r="EH16" s="186"/>
      <c r="EI16" s="186"/>
      <c r="EJ16" s="186"/>
      <c r="EK16" s="186"/>
      <c r="EL16" s="186"/>
      <c r="EM16" s="338"/>
      <c r="EN16" s="186"/>
      <c r="EO16" s="186"/>
      <c r="EP16" s="186"/>
      <c r="EQ16" s="186"/>
      <c r="ER16" s="114"/>
      <c r="ES16" s="499"/>
      <c r="ET16" s="112"/>
    </row>
    <row r="17" spans="1:150" ht="11.85" customHeight="1" outlineLevel="1">
      <c r="A17" s="112"/>
      <c r="B17" s="147">
        <v>2</v>
      </c>
      <c r="C17" s="212">
        <v>2</v>
      </c>
      <c r="D17" s="211" t="s">
        <v>21</v>
      </c>
      <c r="E17" s="150"/>
      <c r="F17" s="188">
        <v>0.1</v>
      </c>
      <c r="G17" s="188"/>
      <c r="H17" s="189">
        <f>F17*(5%*'BOQ COST'!$E$4)*1</f>
        <v>0.72803000000000018</v>
      </c>
      <c r="I17" s="189">
        <f t="shared" si="12"/>
        <v>0.72803000000000018</v>
      </c>
      <c r="J17" s="190">
        <f>H17</f>
        <v>0.72803000000000018</v>
      </c>
      <c r="K17" s="190">
        <f t="shared" ref="K17:O17" si="31">SUM(K24:K26)</f>
        <v>0</v>
      </c>
      <c r="L17" s="190">
        <f t="shared" si="31"/>
        <v>0</v>
      </c>
      <c r="M17" s="190">
        <f t="shared" si="31"/>
        <v>0</v>
      </c>
      <c r="N17" s="190">
        <f t="shared" si="31"/>
        <v>0</v>
      </c>
      <c r="O17" s="190">
        <f t="shared" si="31"/>
        <v>0</v>
      </c>
      <c r="P17" s="190"/>
      <c r="Q17" s="190">
        <f t="shared" ref="Q17:U17" si="32">SUM(Q24:Q26)</f>
        <v>0</v>
      </c>
      <c r="R17" s="190">
        <f t="shared" si="32"/>
        <v>0</v>
      </c>
      <c r="S17" s="190">
        <f t="shared" si="32"/>
        <v>0</v>
      </c>
      <c r="T17" s="190">
        <f t="shared" si="32"/>
        <v>0</v>
      </c>
      <c r="U17" s="190">
        <f t="shared" si="32"/>
        <v>0</v>
      </c>
      <c r="V17" s="191"/>
      <c r="W17" s="339"/>
      <c r="X17" s="339"/>
      <c r="Y17" s="339"/>
      <c r="Z17" s="340"/>
      <c r="AA17" s="341"/>
      <c r="AB17" s="342"/>
      <c r="AC17" s="342"/>
      <c r="AD17" s="190"/>
      <c r="AE17" s="190"/>
      <c r="AF17" s="190"/>
      <c r="AG17" s="190"/>
      <c r="AH17" s="190"/>
      <c r="AI17" s="342"/>
      <c r="AJ17" s="190"/>
      <c r="AK17" s="190"/>
      <c r="AL17" s="190"/>
      <c r="AM17" s="190"/>
      <c r="AN17" s="342"/>
      <c r="AO17" s="342"/>
      <c r="AP17" s="188">
        <v>0.2</v>
      </c>
      <c r="AQ17" s="188"/>
      <c r="AR17" s="199">
        <f>AP17*(3%*'BOQ COST'!$F$4)*1</f>
        <v>0.54158220000000001</v>
      </c>
      <c r="AS17" s="189">
        <f t="shared" si="13"/>
        <v>0.54158220000000001</v>
      </c>
      <c r="AT17" s="190">
        <f>AR17</f>
        <v>0.54158220000000001</v>
      </c>
      <c r="AU17" s="190">
        <f>SUM(AU24:AU26)</f>
        <v>0</v>
      </c>
      <c r="AV17" s="190"/>
      <c r="AW17" s="190"/>
      <c r="AX17" s="190"/>
      <c r="AY17" s="190"/>
      <c r="AZ17" s="190"/>
      <c r="BA17" s="190">
        <f t="shared" ref="BA17:BE17" si="33">SUM(BA24:BA26)</f>
        <v>0</v>
      </c>
      <c r="BB17" s="190">
        <f t="shared" si="33"/>
        <v>0</v>
      </c>
      <c r="BC17" s="190">
        <f t="shared" si="33"/>
        <v>0</v>
      </c>
      <c r="BD17" s="190">
        <f t="shared" si="33"/>
        <v>0</v>
      </c>
      <c r="BE17" s="190">
        <f t="shared" si="33"/>
        <v>0</v>
      </c>
      <c r="BF17" s="191"/>
      <c r="BG17" s="339"/>
      <c r="BH17" s="339"/>
      <c r="BI17" s="339"/>
      <c r="BJ17" s="340"/>
      <c r="BK17" s="341"/>
      <c r="BL17" s="342"/>
      <c r="BM17" s="342"/>
      <c r="BN17" s="190"/>
      <c r="BO17" s="190"/>
      <c r="BP17" s="190"/>
      <c r="BQ17" s="190"/>
      <c r="BR17" s="190"/>
      <c r="BS17" s="342"/>
      <c r="BT17" s="190"/>
      <c r="BU17" s="190"/>
      <c r="BV17" s="190"/>
      <c r="BW17" s="190"/>
      <c r="BX17" s="188"/>
      <c r="BY17" s="188"/>
      <c r="BZ17" s="188">
        <v>0.1</v>
      </c>
      <c r="CA17" s="188"/>
      <c r="CB17" s="199">
        <f>BZ17*(2%*'BOQ COST'!$G$4)*1</f>
        <v>9.4920172765050423E-2</v>
      </c>
      <c r="CC17" s="189">
        <f t="shared" si="14"/>
        <v>9.4920172765050423E-2</v>
      </c>
      <c r="CD17" s="190">
        <f>CB17</f>
        <v>9.4920172765050423E-2</v>
      </c>
      <c r="CE17" s="190">
        <f>SUM(CE24:CE26)</f>
        <v>0</v>
      </c>
      <c r="CF17" s="190"/>
      <c r="CG17" s="190"/>
      <c r="CH17" s="190"/>
      <c r="CI17" s="190"/>
      <c r="CJ17" s="190"/>
      <c r="CK17" s="477">
        <f t="shared" ref="CK17:CO17" si="34">SUM(CK24:CK26)</f>
        <v>0</v>
      </c>
      <c r="CL17" s="477">
        <f t="shared" si="34"/>
        <v>0</v>
      </c>
      <c r="CM17" s="477">
        <f t="shared" si="34"/>
        <v>0</v>
      </c>
      <c r="CN17" s="477">
        <f t="shared" si="34"/>
        <v>0</v>
      </c>
      <c r="CO17" s="477">
        <f t="shared" si="34"/>
        <v>0</v>
      </c>
      <c r="CP17" s="191"/>
      <c r="CQ17" s="339"/>
      <c r="CR17" s="339"/>
      <c r="CS17" s="339"/>
      <c r="CT17" s="340"/>
      <c r="CU17" s="341"/>
      <c r="CV17" s="342"/>
      <c r="CW17" s="342"/>
      <c r="CX17" s="190"/>
      <c r="CY17" s="190"/>
      <c r="CZ17" s="190"/>
      <c r="DA17" s="190"/>
      <c r="DB17" s="190"/>
      <c r="DC17" s="342"/>
      <c r="DD17" s="190"/>
      <c r="DE17" s="190"/>
      <c r="DF17" s="190"/>
      <c r="DG17" s="190"/>
      <c r="DH17" s="188"/>
      <c r="DI17" s="188"/>
      <c r="DJ17" s="188">
        <v>0.15</v>
      </c>
      <c r="DK17" s="188"/>
      <c r="DL17" s="199">
        <f>DJ17*(7%*'BOQ COST'!$H$4)*1</f>
        <v>1.100925E-2</v>
      </c>
      <c r="DM17" s="189">
        <f t="shared" si="15"/>
        <v>1.100925E-2</v>
      </c>
      <c r="DN17" s="190">
        <f>DL17</f>
        <v>1.100925E-2</v>
      </c>
      <c r="DO17" s="190">
        <f>SUM(DO24:DO26)</f>
        <v>0</v>
      </c>
      <c r="DP17" s="190"/>
      <c r="DQ17" s="190"/>
      <c r="DR17" s="190"/>
      <c r="DS17" s="190"/>
      <c r="DT17" s="190"/>
      <c r="DU17" s="190">
        <f t="shared" ref="DU17:DY17" si="35">SUM(DU24:DU26)</f>
        <v>0</v>
      </c>
      <c r="DV17" s="190">
        <f t="shared" si="35"/>
        <v>0</v>
      </c>
      <c r="DW17" s="190">
        <f t="shared" si="35"/>
        <v>0</v>
      </c>
      <c r="DX17" s="190">
        <f t="shared" si="35"/>
        <v>0</v>
      </c>
      <c r="DY17" s="190">
        <f t="shared" si="35"/>
        <v>0</v>
      </c>
      <c r="DZ17" s="349"/>
      <c r="EA17" s="350"/>
      <c r="EB17" s="350"/>
      <c r="EC17" s="350"/>
      <c r="ED17" s="351"/>
      <c r="EE17" s="342"/>
      <c r="EF17" s="342"/>
      <c r="EG17" s="342"/>
      <c r="EH17" s="190"/>
      <c r="EI17" s="190"/>
      <c r="EJ17" s="190"/>
      <c r="EK17" s="190"/>
      <c r="EL17" s="190"/>
      <c r="EM17" s="342"/>
      <c r="EN17" s="190"/>
      <c r="EO17" s="190"/>
      <c r="EP17" s="190"/>
      <c r="EQ17" s="190"/>
      <c r="ER17" s="112"/>
      <c r="ES17" s="499"/>
      <c r="ET17" s="112"/>
    </row>
    <row r="18" spans="1:150" ht="11.85" customHeight="1" outlineLevel="2">
      <c r="A18" s="112"/>
      <c r="B18" s="153">
        <v>6</v>
      </c>
      <c r="C18" s="213">
        <v>1</v>
      </c>
      <c r="D18" s="214" t="s">
        <v>22</v>
      </c>
      <c r="E18" s="160"/>
      <c r="F18" s="196"/>
      <c r="G18" s="200"/>
      <c r="H18" s="328"/>
      <c r="I18" s="328">
        <f t="shared" si="12"/>
        <v>0</v>
      </c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195"/>
      <c r="W18" s="344"/>
      <c r="X18" s="344"/>
      <c r="Y18" s="344"/>
      <c r="Z18" s="345"/>
      <c r="AA18" s="338"/>
      <c r="AB18" s="338"/>
      <c r="AC18" s="338"/>
      <c r="AD18" s="343"/>
      <c r="AE18" s="343"/>
      <c r="AF18" s="343"/>
      <c r="AG18" s="343"/>
      <c r="AH18" s="343"/>
      <c r="AI18" s="338"/>
      <c r="AJ18" s="343"/>
      <c r="AK18" s="343"/>
      <c r="AL18" s="343"/>
      <c r="AM18" s="343"/>
      <c r="AN18" s="338"/>
      <c r="AO18" s="338"/>
      <c r="AP18" s="197"/>
      <c r="AQ18" s="200"/>
      <c r="AR18" s="332"/>
      <c r="AS18" s="328">
        <f t="shared" si="13"/>
        <v>0</v>
      </c>
      <c r="AT18" s="343"/>
      <c r="AU18" s="343"/>
      <c r="AV18" s="343"/>
      <c r="AW18" s="343"/>
      <c r="AX18" s="343"/>
      <c r="AY18" s="343"/>
      <c r="AZ18" s="343"/>
      <c r="BA18" s="343"/>
      <c r="BB18" s="343"/>
      <c r="BC18" s="343"/>
      <c r="BD18" s="343"/>
      <c r="BE18" s="343"/>
      <c r="BF18" s="195"/>
      <c r="BG18" s="344"/>
      <c r="BH18" s="344"/>
      <c r="BI18" s="344"/>
      <c r="BJ18" s="345"/>
      <c r="BK18" s="338"/>
      <c r="BL18" s="338"/>
      <c r="BM18" s="338"/>
      <c r="BN18" s="343"/>
      <c r="BO18" s="343"/>
      <c r="BP18" s="343"/>
      <c r="BQ18" s="343"/>
      <c r="BR18" s="343"/>
      <c r="BS18" s="338"/>
      <c r="BT18" s="343"/>
      <c r="BU18" s="343"/>
      <c r="BV18" s="343"/>
      <c r="BW18" s="343"/>
      <c r="BX18" s="200"/>
      <c r="BY18" s="200"/>
      <c r="BZ18" s="196"/>
      <c r="CA18" s="200"/>
      <c r="CB18" s="332"/>
      <c r="CC18" s="328">
        <f t="shared" si="14"/>
        <v>0</v>
      </c>
      <c r="CD18" s="343"/>
      <c r="CE18" s="343"/>
      <c r="CF18" s="343"/>
      <c r="CG18" s="343"/>
      <c r="CH18" s="343"/>
      <c r="CI18" s="343"/>
      <c r="CJ18" s="343"/>
      <c r="CK18" s="478"/>
      <c r="CL18" s="478"/>
      <c r="CM18" s="478"/>
      <c r="CN18" s="478"/>
      <c r="CO18" s="478"/>
      <c r="CP18" s="195"/>
      <c r="CQ18" s="344"/>
      <c r="CR18" s="344"/>
      <c r="CS18" s="344"/>
      <c r="CT18" s="345"/>
      <c r="CU18" s="338"/>
      <c r="CV18" s="338"/>
      <c r="CW18" s="338"/>
      <c r="CX18" s="343"/>
      <c r="CY18" s="343"/>
      <c r="CZ18" s="343"/>
      <c r="DA18" s="343"/>
      <c r="DB18" s="343"/>
      <c r="DC18" s="338"/>
      <c r="DD18" s="343"/>
      <c r="DE18" s="343"/>
      <c r="DF18" s="343"/>
      <c r="DG18" s="343"/>
      <c r="DH18" s="200"/>
      <c r="DI18" s="200"/>
      <c r="DJ18" s="196"/>
      <c r="DK18" s="200"/>
      <c r="DL18" s="332"/>
      <c r="DM18" s="328">
        <f t="shared" si="15"/>
        <v>0</v>
      </c>
      <c r="DN18" s="343">
        <f>IFERROR(IF(EA18=100%,DL18,0),0)</f>
        <v>0</v>
      </c>
      <c r="DO18" s="343">
        <f>IFERROR(IF(AND((EA18+EB18)=100%,EA18&lt;1),DL18,0),0)</f>
        <v>0</v>
      </c>
      <c r="DP18" s="343"/>
      <c r="DQ18" s="343"/>
      <c r="DR18" s="343"/>
      <c r="DS18" s="343"/>
      <c r="DT18" s="343"/>
      <c r="DU18" s="343"/>
      <c r="DV18" s="343"/>
      <c r="DW18" s="343"/>
      <c r="DX18" s="343"/>
      <c r="DY18" s="343"/>
      <c r="DZ18" s="195"/>
      <c r="EA18" s="344"/>
      <c r="EB18" s="344"/>
      <c r="EC18" s="344"/>
      <c r="ED18" s="345"/>
      <c r="EE18" s="338"/>
      <c r="EF18" s="338"/>
      <c r="EG18" s="338"/>
      <c r="EH18" s="343"/>
      <c r="EI18" s="343"/>
      <c r="EJ18" s="343"/>
      <c r="EK18" s="343"/>
      <c r="EL18" s="343"/>
      <c r="EM18" s="338"/>
      <c r="EN18" s="343"/>
      <c r="EO18" s="343"/>
      <c r="EP18" s="343"/>
      <c r="EQ18" s="343"/>
      <c r="ER18" s="160"/>
      <c r="ES18" s="499"/>
      <c r="ET18" s="112"/>
    </row>
    <row r="19" spans="1:150" ht="11.85" customHeight="1" outlineLevel="2">
      <c r="A19" s="112"/>
      <c r="B19" s="153">
        <v>6</v>
      </c>
      <c r="C19" s="213">
        <v>2</v>
      </c>
      <c r="D19" s="214" t="s">
        <v>23</v>
      </c>
      <c r="E19" s="160"/>
      <c r="F19" s="196"/>
      <c r="G19" s="200"/>
      <c r="H19" s="328"/>
      <c r="I19" s="328">
        <f t="shared" si="12"/>
        <v>0</v>
      </c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195"/>
      <c r="W19" s="344"/>
      <c r="X19" s="344"/>
      <c r="Y19" s="344"/>
      <c r="Z19" s="345"/>
      <c r="AA19" s="338"/>
      <c r="AB19" s="338"/>
      <c r="AC19" s="338"/>
      <c r="AD19" s="343"/>
      <c r="AE19" s="343"/>
      <c r="AF19" s="343"/>
      <c r="AG19" s="343"/>
      <c r="AH19" s="343"/>
      <c r="AI19" s="338"/>
      <c r="AJ19" s="343"/>
      <c r="AK19" s="343"/>
      <c r="AL19" s="343"/>
      <c r="AM19" s="343"/>
      <c r="AN19" s="338"/>
      <c r="AO19" s="338"/>
      <c r="AP19" s="197"/>
      <c r="AQ19" s="200"/>
      <c r="AR19" s="332"/>
      <c r="AS19" s="328">
        <f t="shared" si="13"/>
        <v>0</v>
      </c>
      <c r="AT19" s="343"/>
      <c r="AU19" s="343"/>
      <c r="AV19" s="343"/>
      <c r="AW19" s="343"/>
      <c r="AX19" s="343"/>
      <c r="AY19" s="343"/>
      <c r="AZ19" s="343"/>
      <c r="BA19" s="343"/>
      <c r="BB19" s="343"/>
      <c r="BC19" s="343"/>
      <c r="BD19" s="343"/>
      <c r="BE19" s="343"/>
      <c r="BF19" s="195"/>
      <c r="BG19" s="344"/>
      <c r="BH19" s="344"/>
      <c r="BI19" s="344"/>
      <c r="BJ19" s="345"/>
      <c r="BK19" s="338"/>
      <c r="BL19" s="338"/>
      <c r="BM19" s="338"/>
      <c r="BN19" s="343"/>
      <c r="BO19" s="343"/>
      <c r="BP19" s="343"/>
      <c r="BQ19" s="343"/>
      <c r="BR19" s="343"/>
      <c r="BS19" s="338"/>
      <c r="BT19" s="343"/>
      <c r="BU19" s="343"/>
      <c r="BV19" s="343"/>
      <c r="BW19" s="343"/>
      <c r="BX19" s="200"/>
      <c r="BY19" s="200"/>
      <c r="BZ19" s="196"/>
      <c r="CA19" s="200"/>
      <c r="CB19" s="332"/>
      <c r="CC19" s="328">
        <f t="shared" si="14"/>
        <v>0</v>
      </c>
      <c r="CD19" s="343"/>
      <c r="CE19" s="343"/>
      <c r="CF19" s="343"/>
      <c r="CG19" s="343"/>
      <c r="CH19" s="343"/>
      <c r="CI19" s="343"/>
      <c r="CJ19" s="343"/>
      <c r="CK19" s="478"/>
      <c r="CL19" s="478"/>
      <c r="CM19" s="478"/>
      <c r="CN19" s="478"/>
      <c r="CO19" s="478"/>
      <c r="CP19" s="195"/>
      <c r="CQ19" s="344"/>
      <c r="CR19" s="344"/>
      <c r="CS19" s="344"/>
      <c r="CT19" s="345"/>
      <c r="CU19" s="338"/>
      <c r="CV19" s="338"/>
      <c r="CW19" s="338"/>
      <c r="CX19" s="343"/>
      <c r="CY19" s="343"/>
      <c r="CZ19" s="343"/>
      <c r="DA19" s="343"/>
      <c r="DB19" s="343"/>
      <c r="DC19" s="338"/>
      <c r="DD19" s="343"/>
      <c r="DE19" s="343"/>
      <c r="DF19" s="343"/>
      <c r="DG19" s="343"/>
      <c r="DH19" s="200"/>
      <c r="DI19" s="200"/>
      <c r="DJ19" s="196"/>
      <c r="DK19" s="200"/>
      <c r="DL19" s="332"/>
      <c r="DM19" s="328">
        <f t="shared" si="15"/>
        <v>0</v>
      </c>
      <c r="DN19" s="343">
        <f>IFERROR(IF(EA19=100%,DL19,0),0)</f>
        <v>0</v>
      </c>
      <c r="DO19" s="343">
        <f>IFERROR(IF(AND((EA19+EB19)=100%,EA19&lt;1),DL19,0),0)</f>
        <v>0</v>
      </c>
      <c r="DP19" s="343"/>
      <c r="DQ19" s="343"/>
      <c r="DR19" s="343"/>
      <c r="DS19" s="343"/>
      <c r="DT19" s="343"/>
      <c r="DU19" s="343"/>
      <c r="DV19" s="343"/>
      <c r="DW19" s="343"/>
      <c r="DX19" s="343"/>
      <c r="DY19" s="343"/>
      <c r="DZ19" s="195"/>
      <c r="EA19" s="344"/>
      <c r="EB19" s="344"/>
      <c r="EC19" s="344"/>
      <c r="ED19" s="345"/>
      <c r="EE19" s="338"/>
      <c r="EF19" s="338"/>
      <c r="EG19" s="338"/>
      <c r="EH19" s="343"/>
      <c r="EI19" s="343"/>
      <c r="EJ19" s="343"/>
      <c r="EK19" s="343"/>
      <c r="EL19" s="343"/>
      <c r="EM19" s="338"/>
      <c r="EN19" s="343"/>
      <c r="EO19" s="343"/>
      <c r="EP19" s="343"/>
      <c r="EQ19" s="343"/>
      <c r="ER19" s="160"/>
      <c r="ES19" s="499"/>
      <c r="ET19" s="112"/>
    </row>
    <row r="20" spans="1:150" ht="11.85" customHeight="1" outlineLevel="2">
      <c r="A20" s="112"/>
      <c r="B20" s="153">
        <v>6</v>
      </c>
      <c r="C20" s="213">
        <v>3</v>
      </c>
      <c r="D20" s="214" t="s">
        <v>24</v>
      </c>
      <c r="E20" s="160"/>
      <c r="F20" s="196"/>
      <c r="G20" s="200"/>
      <c r="H20" s="328"/>
      <c r="I20" s="328">
        <f t="shared" si="12"/>
        <v>0</v>
      </c>
      <c r="J20" s="343"/>
      <c r="K20" s="343"/>
      <c r="L20" s="343"/>
      <c r="M20" s="343"/>
      <c r="N20" s="343"/>
      <c r="O20" s="343"/>
      <c r="P20" s="343"/>
      <c r="Q20" s="343"/>
      <c r="R20" s="343"/>
      <c r="S20" s="343"/>
      <c r="T20" s="343"/>
      <c r="U20" s="343"/>
      <c r="V20" s="195"/>
      <c r="W20" s="344"/>
      <c r="X20" s="344"/>
      <c r="Y20" s="344"/>
      <c r="Z20" s="345"/>
      <c r="AA20" s="338"/>
      <c r="AB20" s="338"/>
      <c r="AC20" s="338"/>
      <c r="AD20" s="343"/>
      <c r="AE20" s="343"/>
      <c r="AF20" s="343"/>
      <c r="AG20" s="343"/>
      <c r="AH20" s="343"/>
      <c r="AI20" s="338"/>
      <c r="AJ20" s="343"/>
      <c r="AK20" s="343"/>
      <c r="AL20" s="343"/>
      <c r="AM20" s="343"/>
      <c r="AN20" s="338"/>
      <c r="AO20" s="338"/>
      <c r="AP20" s="197"/>
      <c r="AQ20" s="200"/>
      <c r="AR20" s="332"/>
      <c r="AS20" s="328">
        <f t="shared" si="13"/>
        <v>0</v>
      </c>
      <c r="AT20" s="343"/>
      <c r="AU20" s="343"/>
      <c r="AV20" s="343"/>
      <c r="AW20" s="343"/>
      <c r="AX20" s="343"/>
      <c r="AY20" s="343"/>
      <c r="AZ20" s="343"/>
      <c r="BA20" s="343"/>
      <c r="BB20" s="343"/>
      <c r="BC20" s="343"/>
      <c r="BD20" s="343"/>
      <c r="BE20" s="343"/>
      <c r="BF20" s="195"/>
      <c r="BG20" s="344"/>
      <c r="BH20" s="344"/>
      <c r="BI20" s="344"/>
      <c r="BJ20" s="345"/>
      <c r="BK20" s="338"/>
      <c r="BL20" s="338"/>
      <c r="BM20" s="338"/>
      <c r="BN20" s="343"/>
      <c r="BO20" s="343"/>
      <c r="BP20" s="343"/>
      <c r="BQ20" s="343"/>
      <c r="BR20" s="343"/>
      <c r="BS20" s="338"/>
      <c r="BT20" s="343"/>
      <c r="BU20" s="343"/>
      <c r="BV20" s="343"/>
      <c r="BW20" s="343"/>
      <c r="BX20" s="200"/>
      <c r="BY20" s="200"/>
      <c r="BZ20" s="196"/>
      <c r="CA20" s="200"/>
      <c r="CB20" s="332"/>
      <c r="CC20" s="328">
        <f t="shared" si="14"/>
        <v>0</v>
      </c>
      <c r="CD20" s="343"/>
      <c r="CE20" s="343"/>
      <c r="CF20" s="343"/>
      <c r="CG20" s="343"/>
      <c r="CH20" s="343"/>
      <c r="CI20" s="343"/>
      <c r="CJ20" s="343"/>
      <c r="CK20" s="478"/>
      <c r="CL20" s="478"/>
      <c r="CM20" s="478"/>
      <c r="CN20" s="478"/>
      <c r="CO20" s="478"/>
      <c r="CP20" s="195"/>
      <c r="CQ20" s="344"/>
      <c r="CR20" s="344"/>
      <c r="CS20" s="344"/>
      <c r="CT20" s="345"/>
      <c r="CU20" s="338"/>
      <c r="CV20" s="338"/>
      <c r="CW20" s="338"/>
      <c r="CX20" s="343"/>
      <c r="CY20" s="343"/>
      <c r="CZ20" s="343"/>
      <c r="DA20" s="343"/>
      <c r="DB20" s="343"/>
      <c r="DC20" s="338"/>
      <c r="DD20" s="343"/>
      <c r="DE20" s="343"/>
      <c r="DF20" s="343"/>
      <c r="DG20" s="343"/>
      <c r="DH20" s="200"/>
      <c r="DI20" s="200"/>
      <c r="DJ20" s="196"/>
      <c r="DK20" s="200"/>
      <c r="DL20" s="332"/>
      <c r="DM20" s="328">
        <f t="shared" si="15"/>
        <v>0</v>
      </c>
      <c r="DN20" s="343">
        <f>IFERROR(IF(EA20=100%,DL20,0),0)</f>
        <v>0</v>
      </c>
      <c r="DO20" s="343">
        <f>IFERROR(IF(AND((EA20+EB20)=100%,EA20&lt;1),DL20,0),0)</f>
        <v>0</v>
      </c>
      <c r="DP20" s="343"/>
      <c r="DQ20" s="343"/>
      <c r="DR20" s="343"/>
      <c r="DS20" s="343"/>
      <c r="DT20" s="343"/>
      <c r="DU20" s="343"/>
      <c r="DV20" s="343"/>
      <c r="DW20" s="343"/>
      <c r="DX20" s="343"/>
      <c r="DY20" s="343"/>
      <c r="DZ20" s="195"/>
      <c r="EA20" s="344"/>
      <c r="EB20" s="344"/>
      <c r="EC20" s="344"/>
      <c r="ED20" s="345"/>
      <c r="EE20" s="338"/>
      <c r="EF20" s="338"/>
      <c r="EG20" s="338"/>
      <c r="EH20" s="343"/>
      <c r="EI20" s="343"/>
      <c r="EJ20" s="343"/>
      <c r="EK20" s="343"/>
      <c r="EL20" s="343"/>
      <c r="EM20" s="338"/>
      <c r="EN20" s="343"/>
      <c r="EO20" s="343"/>
      <c r="EP20" s="343"/>
      <c r="EQ20" s="343"/>
      <c r="ER20" s="160"/>
      <c r="ES20" s="499"/>
      <c r="ET20" s="112"/>
    </row>
    <row r="21" spans="1:150" ht="11.85" customHeight="1" outlineLevel="2">
      <c r="A21" s="112"/>
      <c r="B21" s="153">
        <v>6</v>
      </c>
      <c r="C21" s="213">
        <v>4</v>
      </c>
      <c r="D21" s="214" t="s">
        <v>25</v>
      </c>
      <c r="E21" s="160"/>
      <c r="F21" s="196"/>
      <c r="G21" s="200"/>
      <c r="H21" s="328"/>
      <c r="I21" s="328">
        <f t="shared" si="12"/>
        <v>0</v>
      </c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195"/>
      <c r="W21" s="344"/>
      <c r="X21" s="344"/>
      <c r="Y21" s="344"/>
      <c r="Z21" s="345"/>
      <c r="AA21" s="338"/>
      <c r="AB21" s="338"/>
      <c r="AC21" s="338"/>
      <c r="AD21" s="343"/>
      <c r="AE21" s="343"/>
      <c r="AF21" s="343"/>
      <c r="AG21" s="343"/>
      <c r="AH21" s="343"/>
      <c r="AI21" s="338"/>
      <c r="AJ21" s="343"/>
      <c r="AK21" s="343"/>
      <c r="AL21" s="343"/>
      <c r="AM21" s="343"/>
      <c r="AN21" s="338"/>
      <c r="AO21" s="338"/>
      <c r="AP21" s="197"/>
      <c r="AQ21" s="200"/>
      <c r="AR21" s="332"/>
      <c r="AS21" s="328">
        <f t="shared" si="13"/>
        <v>0</v>
      </c>
      <c r="AT21" s="343"/>
      <c r="AU21" s="343"/>
      <c r="AV21" s="343"/>
      <c r="AW21" s="343"/>
      <c r="AX21" s="343"/>
      <c r="AY21" s="343"/>
      <c r="AZ21" s="343"/>
      <c r="BA21" s="343"/>
      <c r="BB21" s="343"/>
      <c r="BC21" s="343"/>
      <c r="BD21" s="343"/>
      <c r="BE21" s="343"/>
      <c r="BF21" s="195"/>
      <c r="BG21" s="344"/>
      <c r="BH21" s="344"/>
      <c r="BI21" s="344"/>
      <c r="BJ21" s="345"/>
      <c r="BK21" s="338"/>
      <c r="BL21" s="338"/>
      <c r="BM21" s="338"/>
      <c r="BN21" s="343"/>
      <c r="BO21" s="343"/>
      <c r="BP21" s="343"/>
      <c r="BQ21" s="343"/>
      <c r="BR21" s="343"/>
      <c r="BS21" s="338"/>
      <c r="BT21" s="343"/>
      <c r="BU21" s="343"/>
      <c r="BV21" s="343"/>
      <c r="BW21" s="343"/>
      <c r="BX21" s="200"/>
      <c r="BY21" s="200"/>
      <c r="BZ21" s="196"/>
      <c r="CA21" s="200"/>
      <c r="CB21" s="332"/>
      <c r="CC21" s="328">
        <f t="shared" si="14"/>
        <v>0</v>
      </c>
      <c r="CD21" s="343"/>
      <c r="CE21" s="343"/>
      <c r="CF21" s="343"/>
      <c r="CG21" s="343"/>
      <c r="CH21" s="343"/>
      <c r="CI21" s="343"/>
      <c r="CJ21" s="343"/>
      <c r="CK21" s="478"/>
      <c r="CL21" s="478"/>
      <c r="CM21" s="478"/>
      <c r="CN21" s="478"/>
      <c r="CO21" s="478"/>
      <c r="CP21" s="195"/>
      <c r="CQ21" s="344"/>
      <c r="CR21" s="344"/>
      <c r="CS21" s="344"/>
      <c r="CT21" s="345"/>
      <c r="CU21" s="338"/>
      <c r="CV21" s="338"/>
      <c r="CW21" s="338"/>
      <c r="CX21" s="343"/>
      <c r="CY21" s="343"/>
      <c r="CZ21" s="343"/>
      <c r="DA21" s="343"/>
      <c r="DB21" s="343"/>
      <c r="DC21" s="338"/>
      <c r="DD21" s="343"/>
      <c r="DE21" s="343"/>
      <c r="DF21" s="343"/>
      <c r="DG21" s="343"/>
      <c r="DH21" s="200"/>
      <c r="DI21" s="200"/>
      <c r="DJ21" s="196"/>
      <c r="DK21" s="200"/>
      <c r="DL21" s="332"/>
      <c r="DM21" s="328">
        <f t="shared" si="15"/>
        <v>0</v>
      </c>
      <c r="DN21" s="343">
        <f>IFERROR(IF(EA21=100%,DL21,0),0)</f>
        <v>0</v>
      </c>
      <c r="DO21" s="343">
        <f>IFERROR(IF(AND((EA21+EB21)=100%,EA21&lt;1),DL21,0),0)</f>
        <v>0</v>
      </c>
      <c r="DP21" s="343"/>
      <c r="DQ21" s="343"/>
      <c r="DR21" s="343"/>
      <c r="DS21" s="343"/>
      <c r="DT21" s="343"/>
      <c r="DU21" s="343"/>
      <c r="DV21" s="343"/>
      <c r="DW21" s="343"/>
      <c r="DX21" s="343"/>
      <c r="DY21" s="343"/>
      <c r="DZ21" s="195"/>
      <c r="EA21" s="344"/>
      <c r="EB21" s="344"/>
      <c r="EC21" s="344"/>
      <c r="ED21" s="345"/>
      <c r="EE21" s="338"/>
      <c r="EF21" s="338"/>
      <c r="EG21" s="338"/>
      <c r="EH21" s="343"/>
      <c r="EI21" s="343"/>
      <c r="EJ21" s="343"/>
      <c r="EK21" s="343"/>
      <c r="EL21" s="343"/>
      <c r="EM21" s="338"/>
      <c r="EN21" s="343"/>
      <c r="EO21" s="343"/>
      <c r="EP21" s="343"/>
      <c r="EQ21" s="343"/>
      <c r="ER21" s="160"/>
      <c r="ES21" s="499"/>
      <c r="ET21" s="112"/>
    </row>
    <row r="22" spans="1:150" ht="3" customHeight="1" outlineLevel="1">
      <c r="A22" s="112"/>
      <c r="B22" s="113"/>
      <c r="C22" s="113"/>
      <c r="D22" s="114"/>
      <c r="E22" s="114"/>
      <c r="F22" s="197"/>
      <c r="G22" s="194"/>
      <c r="H22" s="328"/>
      <c r="I22" s="328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47"/>
      <c r="W22" s="353"/>
      <c r="X22" s="353"/>
      <c r="Y22" s="353"/>
      <c r="Z22" s="345"/>
      <c r="AA22" s="338"/>
      <c r="AB22" s="338"/>
      <c r="AC22" s="338"/>
      <c r="AD22" s="352"/>
      <c r="AE22" s="352"/>
      <c r="AF22" s="352"/>
      <c r="AG22" s="352"/>
      <c r="AH22" s="352"/>
      <c r="AI22" s="338"/>
      <c r="AJ22" s="352"/>
      <c r="AK22" s="352"/>
      <c r="AL22" s="352"/>
      <c r="AM22" s="352"/>
      <c r="AN22" s="354"/>
      <c r="AO22" s="354"/>
      <c r="AP22" s="197"/>
      <c r="AQ22" s="194"/>
      <c r="AR22" s="332"/>
      <c r="AS22" s="328">
        <f t="shared" si="13"/>
        <v>0</v>
      </c>
      <c r="AT22" s="352"/>
      <c r="AU22" s="352"/>
      <c r="AV22" s="343"/>
      <c r="AW22" s="343"/>
      <c r="AX22" s="343"/>
      <c r="AY22" s="343"/>
      <c r="AZ22" s="343"/>
      <c r="BA22" s="352"/>
      <c r="BB22" s="352"/>
      <c r="BC22" s="352"/>
      <c r="BD22" s="352"/>
      <c r="BE22" s="352"/>
      <c r="BF22" s="347"/>
      <c r="BG22" s="353"/>
      <c r="BH22" s="353"/>
      <c r="BI22" s="353"/>
      <c r="BJ22" s="345"/>
      <c r="BK22" s="338"/>
      <c r="BL22" s="338"/>
      <c r="BM22" s="338"/>
      <c r="BN22" s="343"/>
      <c r="BO22" s="343"/>
      <c r="BP22" s="343"/>
      <c r="BQ22" s="343"/>
      <c r="BR22" s="343"/>
      <c r="BS22" s="338"/>
      <c r="BT22" s="343"/>
      <c r="BU22" s="343"/>
      <c r="BV22" s="343"/>
      <c r="BW22" s="343"/>
      <c r="BX22" s="194"/>
      <c r="BY22" s="194"/>
      <c r="BZ22" s="197"/>
      <c r="CA22" s="194"/>
      <c r="CB22" s="332"/>
      <c r="CC22" s="328">
        <f t="shared" si="14"/>
        <v>0</v>
      </c>
      <c r="CD22" s="352"/>
      <c r="CE22" s="352"/>
      <c r="CF22" s="343"/>
      <c r="CG22" s="343"/>
      <c r="CH22" s="343"/>
      <c r="CI22" s="343"/>
      <c r="CJ22" s="343"/>
      <c r="CK22" s="330"/>
      <c r="CL22" s="330"/>
      <c r="CM22" s="330"/>
      <c r="CN22" s="330"/>
      <c r="CO22" s="330"/>
      <c r="CP22" s="347"/>
      <c r="CQ22" s="353"/>
      <c r="CR22" s="353"/>
      <c r="CS22" s="353"/>
      <c r="CT22" s="345"/>
      <c r="CU22" s="338"/>
      <c r="CV22" s="338"/>
      <c r="CW22" s="338"/>
      <c r="CX22" s="343"/>
      <c r="CY22" s="343"/>
      <c r="CZ22" s="343"/>
      <c r="DA22" s="343"/>
      <c r="DB22" s="343"/>
      <c r="DC22" s="338"/>
      <c r="DD22" s="343"/>
      <c r="DE22" s="343"/>
      <c r="DF22" s="343"/>
      <c r="DG22" s="343"/>
      <c r="DH22" s="194"/>
      <c r="DI22" s="194"/>
      <c r="DJ22" s="197"/>
      <c r="DK22" s="194"/>
      <c r="DL22" s="332"/>
      <c r="DM22" s="328">
        <f t="shared" si="15"/>
        <v>0</v>
      </c>
      <c r="DN22" s="352"/>
      <c r="DO22" s="352"/>
      <c r="DP22" s="343"/>
      <c r="DQ22" s="343"/>
      <c r="DR22" s="343"/>
      <c r="DS22" s="343"/>
      <c r="DT22" s="343"/>
      <c r="DU22" s="352"/>
      <c r="DV22" s="352"/>
      <c r="DW22" s="352"/>
      <c r="DX22" s="352"/>
      <c r="DY22" s="352"/>
      <c r="DZ22" s="347"/>
      <c r="EA22" s="353"/>
      <c r="EB22" s="353"/>
      <c r="EC22" s="353"/>
      <c r="ED22" s="345"/>
      <c r="EE22" s="338"/>
      <c r="EF22" s="338"/>
      <c r="EG22" s="338"/>
      <c r="EH22" s="343"/>
      <c r="EI22" s="343"/>
      <c r="EJ22" s="343"/>
      <c r="EK22" s="343"/>
      <c r="EL22" s="343"/>
      <c r="EM22" s="338"/>
      <c r="EN22" s="343"/>
      <c r="EO22" s="343"/>
      <c r="EP22" s="343"/>
      <c r="EQ22" s="343"/>
      <c r="ER22" s="114"/>
      <c r="ES22" s="499"/>
      <c r="ET22" s="112"/>
    </row>
    <row r="23" spans="1:150" ht="11.85" customHeight="1" outlineLevel="1">
      <c r="A23" s="112"/>
      <c r="B23" s="147">
        <v>2</v>
      </c>
      <c r="C23" s="212">
        <v>3</v>
      </c>
      <c r="D23" s="211" t="s">
        <v>26</v>
      </c>
      <c r="E23" s="150"/>
      <c r="F23" s="188">
        <v>0.1</v>
      </c>
      <c r="G23" s="188"/>
      <c r="H23" s="189">
        <f>F23*(5%*'BOQ COST'!$E$4)*1</f>
        <v>0.72803000000000018</v>
      </c>
      <c r="I23" s="189">
        <f t="shared" si="12"/>
        <v>0.72803000000000018</v>
      </c>
      <c r="J23" s="190">
        <f>H23</f>
        <v>0.72803000000000018</v>
      </c>
      <c r="K23" s="190">
        <f t="shared" ref="K23:O23" si="36">SUM(K29:K31)</f>
        <v>0</v>
      </c>
      <c r="L23" s="190">
        <f t="shared" si="36"/>
        <v>0</v>
      </c>
      <c r="M23" s="190">
        <f t="shared" si="36"/>
        <v>0</v>
      </c>
      <c r="N23" s="190">
        <f t="shared" si="36"/>
        <v>0</v>
      </c>
      <c r="O23" s="190">
        <f t="shared" si="36"/>
        <v>0</v>
      </c>
      <c r="P23" s="190"/>
      <c r="Q23" s="190">
        <f t="shared" ref="Q23:U23" si="37">SUM(Q29:Q31)</f>
        <v>0</v>
      </c>
      <c r="R23" s="190">
        <f t="shared" si="37"/>
        <v>0</v>
      </c>
      <c r="S23" s="190">
        <f t="shared" si="37"/>
        <v>0</v>
      </c>
      <c r="T23" s="190">
        <f t="shared" si="37"/>
        <v>0</v>
      </c>
      <c r="U23" s="190">
        <f t="shared" si="37"/>
        <v>0</v>
      </c>
      <c r="V23" s="191"/>
      <c r="W23" s="339"/>
      <c r="X23" s="339"/>
      <c r="Y23" s="339"/>
      <c r="Z23" s="340"/>
      <c r="AA23" s="341"/>
      <c r="AB23" s="342"/>
      <c r="AC23" s="342"/>
      <c r="AD23" s="190"/>
      <c r="AE23" s="190"/>
      <c r="AF23" s="190"/>
      <c r="AG23" s="190"/>
      <c r="AH23" s="190"/>
      <c r="AI23" s="342"/>
      <c r="AJ23" s="190"/>
      <c r="AK23" s="190"/>
      <c r="AL23" s="190"/>
      <c r="AM23" s="190"/>
      <c r="AN23" s="342"/>
      <c r="AO23" s="342"/>
      <c r="AP23" s="188">
        <v>0.2</v>
      </c>
      <c r="AQ23" s="188"/>
      <c r="AR23" s="199">
        <f>AP23*(3%*'BOQ COST'!$F$4)*1</f>
        <v>0.54158220000000001</v>
      </c>
      <c r="AS23" s="189">
        <f t="shared" si="13"/>
        <v>0.54158220000000001</v>
      </c>
      <c r="AT23" s="190">
        <f>AR23</f>
        <v>0.54158220000000001</v>
      </c>
      <c r="AU23" s="190">
        <f>SUM(AU29:AU31)</f>
        <v>0</v>
      </c>
      <c r="AV23" s="190"/>
      <c r="AW23" s="190"/>
      <c r="AX23" s="190"/>
      <c r="AY23" s="190"/>
      <c r="AZ23" s="190"/>
      <c r="BA23" s="190">
        <f t="shared" ref="BA23:BE23" si="38">SUM(BA29:BA31)</f>
        <v>0</v>
      </c>
      <c r="BB23" s="190">
        <f t="shared" si="38"/>
        <v>0</v>
      </c>
      <c r="BC23" s="190">
        <f t="shared" si="38"/>
        <v>0</v>
      </c>
      <c r="BD23" s="190">
        <f t="shared" si="38"/>
        <v>0</v>
      </c>
      <c r="BE23" s="190">
        <f t="shared" si="38"/>
        <v>0</v>
      </c>
      <c r="BF23" s="191"/>
      <c r="BG23" s="339"/>
      <c r="BH23" s="339"/>
      <c r="BI23" s="339"/>
      <c r="BJ23" s="340"/>
      <c r="BK23" s="341"/>
      <c r="BL23" s="342"/>
      <c r="BM23" s="342"/>
      <c r="BN23" s="190"/>
      <c r="BO23" s="190"/>
      <c r="BP23" s="190"/>
      <c r="BQ23" s="190"/>
      <c r="BR23" s="190"/>
      <c r="BS23" s="342"/>
      <c r="BT23" s="190"/>
      <c r="BU23" s="190"/>
      <c r="BV23" s="190"/>
      <c r="BW23" s="190"/>
      <c r="BX23" s="188"/>
      <c r="BY23" s="188"/>
      <c r="BZ23" s="188">
        <v>0.1</v>
      </c>
      <c r="CA23" s="188"/>
      <c r="CB23" s="199">
        <f>BZ23*(2%*'BOQ COST'!$G$4)*1</f>
        <v>9.4920172765050423E-2</v>
      </c>
      <c r="CC23" s="189">
        <f t="shared" si="14"/>
        <v>9.4920172765050423E-2</v>
      </c>
      <c r="CD23" s="190">
        <f>CB23</f>
        <v>9.4920172765050423E-2</v>
      </c>
      <c r="CE23" s="190">
        <f>SUM(CE29:CE31)</f>
        <v>0</v>
      </c>
      <c r="CF23" s="190"/>
      <c r="CG23" s="190"/>
      <c r="CH23" s="190"/>
      <c r="CI23" s="190"/>
      <c r="CJ23" s="190"/>
      <c r="CK23" s="477">
        <f t="shared" ref="CK23:CO23" si="39">SUM(CK29:CK31)</f>
        <v>0</v>
      </c>
      <c r="CL23" s="477">
        <f t="shared" si="39"/>
        <v>0</v>
      </c>
      <c r="CM23" s="477">
        <f t="shared" si="39"/>
        <v>0</v>
      </c>
      <c r="CN23" s="477">
        <f t="shared" si="39"/>
        <v>0</v>
      </c>
      <c r="CO23" s="477">
        <f t="shared" si="39"/>
        <v>0</v>
      </c>
      <c r="CP23" s="191"/>
      <c r="CQ23" s="339"/>
      <c r="CR23" s="339"/>
      <c r="CS23" s="339"/>
      <c r="CT23" s="340"/>
      <c r="CU23" s="341"/>
      <c r="CV23" s="342"/>
      <c r="CW23" s="342"/>
      <c r="CX23" s="190"/>
      <c r="CY23" s="190"/>
      <c r="CZ23" s="190"/>
      <c r="DA23" s="190"/>
      <c r="DB23" s="190"/>
      <c r="DC23" s="342"/>
      <c r="DD23" s="190"/>
      <c r="DE23" s="190"/>
      <c r="DF23" s="190"/>
      <c r="DG23" s="190"/>
      <c r="DH23" s="188"/>
      <c r="DI23" s="188"/>
      <c r="DJ23" s="188">
        <v>0.15</v>
      </c>
      <c r="DK23" s="188"/>
      <c r="DL23" s="199">
        <f>DJ23*(7%*'BOQ COST'!$H$4)*1</f>
        <v>1.100925E-2</v>
      </c>
      <c r="DM23" s="189">
        <f t="shared" si="15"/>
        <v>1.100925E-2</v>
      </c>
      <c r="DN23" s="190">
        <f>DL23</f>
        <v>1.100925E-2</v>
      </c>
      <c r="DO23" s="190">
        <f>SUM(DO29:DO31)</f>
        <v>0</v>
      </c>
      <c r="DP23" s="190"/>
      <c r="DQ23" s="190"/>
      <c r="DR23" s="190"/>
      <c r="DS23" s="190"/>
      <c r="DT23" s="190"/>
      <c r="DU23" s="190">
        <f t="shared" ref="DU23:DY23" si="40">SUM(DU29:DU31)</f>
        <v>0</v>
      </c>
      <c r="DV23" s="190">
        <f t="shared" si="40"/>
        <v>0</v>
      </c>
      <c r="DW23" s="190">
        <f t="shared" si="40"/>
        <v>0</v>
      </c>
      <c r="DX23" s="190">
        <f t="shared" si="40"/>
        <v>0</v>
      </c>
      <c r="DY23" s="190">
        <f t="shared" si="40"/>
        <v>0</v>
      </c>
      <c r="DZ23" s="349"/>
      <c r="EA23" s="350"/>
      <c r="EB23" s="350"/>
      <c r="EC23" s="350"/>
      <c r="ED23" s="351"/>
      <c r="EE23" s="342"/>
      <c r="EF23" s="342"/>
      <c r="EG23" s="342"/>
      <c r="EH23" s="190"/>
      <c r="EI23" s="190"/>
      <c r="EJ23" s="190"/>
      <c r="EK23" s="190"/>
      <c r="EL23" s="190"/>
      <c r="EM23" s="342"/>
      <c r="EN23" s="190"/>
      <c r="EO23" s="190"/>
      <c r="EP23" s="190"/>
      <c r="EQ23" s="190"/>
      <c r="ER23" s="112"/>
      <c r="ES23" s="499"/>
      <c r="ET23" s="112"/>
    </row>
    <row r="24" spans="1:150" ht="11.85" customHeight="1" outlineLevel="2">
      <c r="A24" s="112"/>
      <c r="B24" s="153">
        <v>1</v>
      </c>
      <c r="C24" s="213">
        <v>1</v>
      </c>
      <c r="D24" s="214" t="s">
        <v>22</v>
      </c>
      <c r="E24" s="114"/>
      <c r="F24" s="197"/>
      <c r="G24" s="194"/>
      <c r="H24" s="328"/>
      <c r="I24" s="328">
        <f t="shared" si="12"/>
        <v>0</v>
      </c>
      <c r="J24" s="343"/>
      <c r="K24" s="343"/>
      <c r="L24" s="343"/>
      <c r="M24" s="343"/>
      <c r="N24" s="343"/>
      <c r="O24" s="343"/>
      <c r="P24" s="343"/>
      <c r="Q24" s="343"/>
      <c r="R24" s="343"/>
      <c r="S24" s="343"/>
      <c r="T24" s="343"/>
      <c r="U24" s="343"/>
      <c r="V24" s="195"/>
      <c r="W24" s="344"/>
      <c r="X24" s="344"/>
      <c r="Y24" s="344"/>
      <c r="Z24" s="346"/>
      <c r="AA24" s="338"/>
      <c r="AB24" s="338"/>
      <c r="AC24" s="338"/>
      <c r="AD24" s="343"/>
      <c r="AE24" s="343"/>
      <c r="AF24" s="343"/>
      <c r="AG24" s="343"/>
      <c r="AH24" s="343"/>
      <c r="AI24" s="338"/>
      <c r="AJ24" s="343"/>
      <c r="AK24" s="343"/>
      <c r="AL24" s="343"/>
      <c r="AM24" s="343"/>
      <c r="AN24" s="338"/>
      <c r="AO24" s="338"/>
      <c r="AP24" s="197"/>
      <c r="AQ24" s="194"/>
      <c r="AR24" s="332"/>
      <c r="AS24" s="328">
        <f t="shared" si="13"/>
        <v>0</v>
      </c>
      <c r="AT24" s="343"/>
      <c r="AU24" s="343"/>
      <c r="AV24" s="343"/>
      <c r="AW24" s="343"/>
      <c r="AX24" s="343"/>
      <c r="AY24" s="343"/>
      <c r="AZ24" s="343"/>
      <c r="BA24" s="343"/>
      <c r="BB24" s="343"/>
      <c r="BC24" s="343"/>
      <c r="BD24" s="343"/>
      <c r="BE24" s="343"/>
      <c r="BF24" s="195"/>
      <c r="BG24" s="344"/>
      <c r="BH24" s="344"/>
      <c r="BI24" s="344"/>
      <c r="BJ24" s="346"/>
      <c r="BK24" s="338"/>
      <c r="BL24" s="338"/>
      <c r="BM24" s="338"/>
      <c r="BN24" s="343"/>
      <c r="BO24" s="343"/>
      <c r="BP24" s="343"/>
      <c r="BQ24" s="343"/>
      <c r="BR24" s="343"/>
      <c r="BS24" s="338"/>
      <c r="BT24" s="343"/>
      <c r="BU24" s="343"/>
      <c r="BV24" s="343"/>
      <c r="BW24" s="343"/>
      <c r="BX24" s="194"/>
      <c r="BY24" s="194"/>
      <c r="BZ24" s="197"/>
      <c r="CA24" s="194"/>
      <c r="CB24" s="332"/>
      <c r="CC24" s="328">
        <f t="shared" si="14"/>
        <v>0</v>
      </c>
      <c r="CD24" s="343"/>
      <c r="CE24" s="343"/>
      <c r="CF24" s="343"/>
      <c r="CG24" s="343"/>
      <c r="CH24" s="343"/>
      <c r="CI24" s="343"/>
      <c r="CJ24" s="343"/>
      <c r="CK24" s="478"/>
      <c r="CL24" s="478"/>
      <c r="CM24" s="478"/>
      <c r="CN24" s="478"/>
      <c r="CO24" s="478"/>
      <c r="CP24" s="195"/>
      <c r="CQ24" s="344"/>
      <c r="CR24" s="344"/>
      <c r="CS24" s="344"/>
      <c r="CT24" s="346"/>
      <c r="CU24" s="338"/>
      <c r="CV24" s="338"/>
      <c r="CW24" s="338"/>
      <c r="CX24" s="343"/>
      <c r="CY24" s="343"/>
      <c r="CZ24" s="343"/>
      <c r="DA24" s="343"/>
      <c r="DB24" s="343"/>
      <c r="DC24" s="338"/>
      <c r="DD24" s="343"/>
      <c r="DE24" s="343"/>
      <c r="DF24" s="343"/>
      <c r="DG24" s="343"/>
      <c r="DH24" s="194"/>
      <c r="DI24" s="194"/>
      <c r="DJ24" s="197"/>
      <c r="DK24" s="194"/>
      <c r="DL24" s="332"/>
      <c r="DM24" s="328">
        <f t="shared" si="15"/>
        <v>0</v>
      </c>
      <c r="DN24" s="343">
        <f>IFERROR(IF(EA24=100%,DL24,0),0)</f>
        <v>0</v>
      </c>
      <c r="DO24" s="343">
        <f>IFERROR(IF(AND((EA24+EB24)=100%,EA24&lt;1),DL24,0),0)</f>
        <v>0</v>
      </c>
      <c r="DP24" s="343"/>
      <c r="DQ24" s="343"/>
      <c r="DR24" s="343"/>
      <c r="DS24" s="343"/>
      <c r="DT24" s="343"/>
      <c r="DU24" s="343"/>
      <c r="DV24" s="343"/>
      <c r="DW24" s="343"/>
      <c r="DX24" s="343"/>
      <c r="DY24" s="343"/>
      <c r="DZ24" s="195"/>
      <c r="EA24" s="344"/>
      <c r="EB24" s="344"/>
      <c r="EC24" s="344"/>
      <c r="ED24" s="346"/>
      <c r="EE24" s="338"/>
      <c r="EF24" s="338"/>
      <c r="EG24" s="338"/>
      <c r="EH24" s="343"/>
      <c r="EI24" s="343"/>
      <c r="EJ24" s="343"/>
      <c r="EK24" s="343"/>
      <c r="EL24" s="343"/>
      <c r="EM24" s="338"/>
      <c r="EN24" s="343"/>
      <c r="EO24" s="343"/>
      <c r="EP24" s="343"/>
      <c r="EQ24" s="343"/>
      <c r="ER24" s="114"/>
      <c r="ES24" s="499"/>
      <c r="ET24" s="112"/>
    </row>
    <row r="25" spans="1:150" ht="11.85" customHeight="1" outlineLevel="2">
      <c r="A25" s="112"/>
      <c r="B25" s="153">
        <v>1</v>
      </c>
      <c r="C25" s="213">
        <v>2</v>
      </c>
      <c r="D25" s="214" t="s">
        <v>27</v>
      </c>
      <c r="E25" s="114"/>
      <c r="F25" s="197"/>
      <c r="G25" s="194"/>
      <c r="H25" s="328"/>
      <c r="I25" s="328">
        <f t="shared" si="12"/>
        <v>0</v>
      </c>
      <c r="J25" s="343"/>
      <c r="K25" s="343"/>
      <c r="L25" s="343"/>
      <c r="M25" s="343"/>
      <c r="N25" s="343"/>
      <c r="O25" s="343"/>
      <c r="P25" s="343"/>
      <c r="Q25" s="343"/>
      <c r="R25" s="343"/>
      <c r="S25" s="343"/>
      <c r="T25" s="343"/>
      <c r="U25" s="343"/>
      <c r="V25" s="195"/>
      <c r="W25" s="344"/>
      <c r="X25" s="344"/>
      <c r="Y25" s="344"/>
      <c r="Z25" s="346"/>
      <c r="AA25" s="338"/>
      <c r="AB25" s="338"/>
      <c r="AC25" s="338"/>
      <c r="AD25" s="343"/>
      <c r="AE25" s="343"/>
      <c r="AF25" s="343"/>
      <c r="AG25" s="343"/>
      <c r="AH25" s="343"/>
      <c r="AI25" s="338"/>
      <c r="AJ25" s="343"/>
      <c r="AK25" s="343"/>
      <c r="AL25" s="343"/>
      <c r="AM25" s="343"/>
      <c r="AN25" s="338"/>
      <c r="AO25" s="338"/>
      <c r="AP25" s="197"/>
      <c r="AQ25" s="194"/>
      <c r="AR25" s="332"/>
      <c r="AS25" s="328">
        <f t="shared" si="13"/>
        <v>0</v>
      </c>
      <c r="AT25" s="343"/>
      <c r="AU25" s="343"/>
      <c r="AV25" s="343"/>
      <c r="AW25" s="343"/>
      <c r="AX25" s="343"/>
      <c r="AY25" s="343"/>
      <c r="AZ25" s="343"/>
      <c r="BA25" s="343"/>
      <c r="BB25" s="343"/>
      <c r="BC25" s="343"/>
      <c r="BD25" s="343"/>
      <c r="BE25" s="343"/>
      <c r="BF25" s="195"/>
      <c r="BG25" s="344"/>
      <c r="BH25" s="344"/>
      <c r="BI25" s="344"/>
      <c r="BJ25" s="346"/>
      <c r="BK25" s="338"/>
      <c r="BL25" s="338"/>
      <c r="BM25" s="338"/>
      <c r="BN25" s="343"/>
      <c r="BO25" s="343"/>
      <c r="BP25" s="343"/>
      <c r="BQ25" s="343"/>
      <c r="BR25" s="343"/>
      <c r="BS25" s="338"/>
      <c r="BT25" s="343"/>
      <c r="BU25" s="343"/>
      <c r="BV25" s="343"/>
      <c r="BW25" s="343"/>
      <c r="BX25" s="194"/>
      <c r="BY25" s="194"/>
      <c r="BZ25" s="197"/>
      <c r="CA25" s="194"/>
      <c r="CB25" s="332"/>
      <c r="CC25" s="328">
        <f t="shared" si="14"/>
        <v>0</v>
      </c>
      <c r="CD25" s="343"/>
      <c r="CE25" s="343"/>
      <c r="CF25" s="343"/>
      <c r="CG25" s="343"/>
      <c r="CH25" s="343"/>
      <c r="CI25" s="343"/>
      <c r="CJ25" s="343"/>
      <c r="CK25" s="478"/>
      <c r="CL25" s="478"/>
      <c r="CM25" s="478"/>
      <c r="CN25" s="478"/>
      <c r="CO25" s="478"/>
      <c r="CP25" s="195"/>
      <c r="CQ25" s="344"/>
      <c r="CR25" s="344"/>
      <c r="CS25" s="344"/>
      <c r="CT25" s="346"/>
      <c r="CU25" s="338"/>
      <c r="CV25" s="338"/>
      <c r="CW25" s="338"/>
      <c r="CX25" s="343"/>
      <c r="CY25" s="343"/>
      <c r="CZ25" s="343"/>
      <c r="DA25" s="343"/>
      <c r="DB25" s="343"/>
      <c r="DC25" s="338"/>
      <c r="DD25" s="343"/>
      <c r="DE25" s="343"/>
      <c r="DF25" s="343"/>
      <c r="DG25" s="343"/>
      <c r="DH25" s="194"/>
      <c r="DI25" s="194"/>
      <c r="DJ25" s="197"/>
      <c r="DK25" s="194"/>
      <c r="DL25" s="332"/>
      <c r="DM25" s="328">
        <f t="shared" si="15"/>
        <v>0</v>
      </c>
      <c r="DN25" s="343">
        <f>IFERROR(IF(EA25=100%,DL25,0),0)</f>
        <v>0</v>
      </c>
      <c r="DO25" s="343">
        <f>IFERROR(IF(AND((EA25+EB25)=100%,EA25&lt;1),DL25,0),0)</f>
        <v>0</v>
      </c>
      <c r="DP25" s="343"/>
      <c r="DQ25" s="343"/>
      <c r="DR25" s="343"/>
      <c r="DS25" s="343"/>
      <c r="DT25" s="343"/>
      <c r="DU25" s="343"/>
      <c r="DV25" s="343"/>
      <c r="DW25" s="343"/>
      <c r="DX25" s="343"/>
      <c r="DY25" s="343"/>
      <c r="DZ25" s="195"/>
      <c r="EA25" s="344"/>
      <c r="EB25" s="344"/>
      <c r="EC25" s="344"/>
      <c r="ED25" s="346"/>
      <c r="EE25" s="338"/>
      <c r="EF25" s="338"/>
      <c r="EG25" s="338"/>
      <c r="EH25" s="343"/>
      <c r="EI25" s="343"/>
      <c r="EJ25" s="343"/>
      <c r="EK25" s="343"/>
      <c r="EL25" s="343"/>
      <c r="EM25" s="338"/>
      <c r="EN25" s="343"/>
      <c r="EO25" s="343"/>
      <c r="EP25" s="343"/>
      <c r="EQ25" s="343"/>
      <c r="ER25" s="114"/>
      <c r="ES25" s="499"/>
      <c r="ET25" s="112"/>
    </row>
    <row r="26" spans="1:150" ht="11.85" customHeight="1" outlineLevel="2">
      <c r="A26" s="112"/>
      <c r="B26" s="153">
        <v>1</v>
      </c>
      <c r="C26" s="213">
        <v>3</v>
      </c>
      <c r="D26" s="214" t="s">
        <v>28</v>
      </c>
      <c r="E26" s="114"/>
      <c r="F26" s="197"/>
      <c r="G26" s="194"/>
      <c r="H26" s="328"/>
      <c r="I26" s="328">
        <f t="shared" si="12"/>
        <v>0</v>
      </c>
      <c r="J26" s="343"/>
      <c r="K26" s="343"/>
      <c r="L26" s="343"/>
      <c r="M26" s="343"/>
      <c r="N26" s="343"/>
      <c r="O26" s="343"/>
      <c r="P26" s="343"/>
      <c r="Q26" s="343"/>
      <c r="R26" s="343"/>
      <c r="S26" s="343"/>
      <c r="T26" s="343"/>
      <c r="U26" s="343"/>
      <c r="V26" s="195"/>
      <c r="W26" s="344"/>
      <c r="X26" s="344"/>
      <c r="Y26" s="344"/>
      <c r="Z26" s="346"/>
      <c r="AA26" s="338"/>
      <c r="AB26" s="338"/>
      <c r="AC26" s="338"/>
      <c r="AD26" s="343"/>
      <c r="AE26" s="343"/>
      <c r="AF26" s="343"/>
      <c r="AG26" s="343"/>
      <c r="AH26" s="343"/>
      <c r="AI26" s="338"/>
      <c r="AJ26" s="343"/>
      <c r="AK26" s="343"/>
      <c r="AL26" s="343"/>
      <c r="AM26" s="343"/>
      <c r="AN26" s="338"/>
      <c r="AO26" s="338"/>
      <c r="AP26" s="197"/>
      <c r="AQ26" s="194"/>
      <c r="AR26" s="332"/>
      <c r="AS26" s="328">
        <f t="shared" si="13"/>
        <v>0</v>
      </c>
      <c r="AT26" s="343"/>
      <c r="AU26" s="343"/>
      <c r="AV26" s="343"/>
      <c r="AW26" s="343"/>
      <c r="AX26" s="343"/>
      <c r="AY26" s="343"/>
      <c r="AZ26" s="343"/>
      <c r="BA26" s="343"/>
      <c r="BB26" s="343"/>
      <c r="BC26" s="343"/>
      <c r="BD26" s="343"/>
      <c r="BE26" s="343"/>
      <c r="BF26" s="195"/>
      <c r="BG26" s="344"/>
      <c r="BH26" s="344"/>
      <c r="BI26" s="344"/>
      <c r="BJ26" s="346"/>
      <c r="BK26" s="338"/>
      <c r="BL26" s="338"/>
      <c r="BM26" s="338"/>
      <c r="BN26" s="343"/>
      <c r="BO26" s="343"/>
      <c r="BP26" s="343"/>
      <c r="BQ26" s="343"/>
      <c r="BR26" s="343"/>
      <c r="BS26" s="338"/>
      <c r="BT26" s="343"/>
      <c r="BU26" s="343"/>
      <c r="BV26" s="343"/>
      <c r="BW26" s="343"/>
      <c r="BX26" s="194"/>
      <c r="BY26" s="194"/>
      <c r="BZ26" s="197"/>
      <c r="CA26" s="194"/>
      <c r="CB26" s="332"/>
      <c r="CC26" s="328">
        <f t="shared" si="14"/>
        <v>0</v>
      </c>
      <c r="CD26" s="343"/>
      <c r="CE26" s="343"/>
      <c r="CF26" s="343"/>
      <c r="CG26" s="343"/>
      <c r="CH26" s="343"/>
      <c r="CI26" s="343"/>
      <c r="CJ26" s="343"/>
      <c r="CK26" s="478"/>
      <c r="CL26" s="478"/>
      <c r="CM26" s="478"/>
      <c r="CN26" s="478"/>
      <c r="CO26" s="478"/>
      <c r="CP26" s="195"/>
      <c r="CQ26" s="344"/>
      <c r="CR26" s="344"/>
      <c r="CS26" s="344"/>
      <c r="CT26" s="346"/>
      <c r="CU26" s="338"/>
      <c r="CV26" s="338"/>
      <c r="CW26" s="338"/>
      <c r="CX26" s="343"/>
      <c r="CY26" s="343"/>
      <c r="CZ26" s="343"/>
      <c r="DA26" s="343"/>
      <c r="DB26" s="343"/>
      <c r="DC26" s="338"/>
      <c r="DD26" s="343"/>
      <c r="DE26" s="343"/>
      <c r="DF26" s="343"/>
      <c r="DG26" s="343"/>
      <c r="DH26" s="194"/>
      <c r="DI26" s="194"/>
      <c r="DJ26" s="197"/>
      <c r="DK26" s="194"/>
      <c r="DL26" s="332"/>
      <c r="DM26" s="328">
        <f t="shared" si="15"/>
        <v>0</v>
      </c>
      <c r="DN26" s="343">
        <f>IFERROR(IF(EA26=100%,DL26,0),0)</f>
        <v>0</v>
      </c>
      <c r="DO26" s="343">
        <f>IFERROR(IF(AND((EA26+EB26)=100%,EA26&lt;1),DL26,0),0)</f>
        <v>0</v>
      </c>
      <c r="DP26" s="343"/>
      <c r="DQ26" s="343"/>
      <c r="DR26" s="343"/>
      <c r="DS26" s="343"/>
      <c r="DT26" s="343"/>
      <c r="DU26" s="343"/>
      <c r="DV26" s="343"/>
      <c r="DW26" s="343"/>
      <c r="DX26" s="343"/>
      <c r="DY26" s="343"/>
      <c r="DZ26" s="195"/>
      <c r="EA26" s="344"/>
      <c r="EB26" s="344"/>
      <c r="EC26" s="344"/>
      <c r="ED26" s="346"/>
      <c r="EE26" s="338"/>
      <c r="EF26" s="338"/>
      <c r="EG26" s="338"/>
      <c r="EH26" s="343"/>
      <c r="EI26" s="343"/>
      <c r="EJ26" s="343"/>
      <c r="EK26" s="343"/>
      <c r="EL26" s="343"/>
      <c r="EM26" s="338"/>
      <c r="EN26" s="343"/>
      <c r="EO26" s="343"/>
      <c r="EP26" s="343"/>
      <c r="EQ26" s="343"/>
      <c r="ER26" s="114"/>
      <c r="ES26" s="499"/>
      <c r="ET26" s="112"/>
    </row>
    <row r="27" spans="1:150" ht="11.85" customHeight="1" outlineLevel="2">
      <c r="A27" s="112"/>
      <c r="B27" s="153">
        <v>1</v>
      </c>
      <c r="C27" s="213">
        <v>4</v>
      </c>
      <c r="D27" s="214" t="s">
        <v>24</v>
      </c>
      <c r="E27" s="114"/>
      <c r="F27" s="197"/>
      <c r="G27" s="194"/>
      <c r="H27" s="328"/>
      <c r="I27" s="328">
        <f t="shared" si="12"/>
        <v>0</v>
      </c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343"/>
      <c r="U27" s="343"/>
      <c r="V27" s="195"/>
      <c r="W27" s="344"/>
      <c r="X27" s="344"/>
      <c r="Y27" s="344"/>
      <c r="Z27" s="346"/>
      <c r="AA27" s="338"/>
      <c r="AB27" s="338"/>
      <c r="AC27" s="338"/>
      <c r="AD27" s="343"/>
      <c r="AE27" s="343"/>
      <c r="AF27" s="343"/>
      <c r="AG27" s="343"/>
      <c r="AH27" s="343"/>
      <c r="AI27" s="338"/>
      <c r="AJ27" s="343"/>
      <c r="AK27" s="343"/>
      <c r="AL27" s="343"/>
      <c r="AM27" s="343"/>
      <c r="AN27" s="338"/>
      <c r="AO27" s="338"/>
      <c r="AP27" s="197"/>
      <c r="AQ27" s="194"/>
      <c r="AR27" s="332"/>
      <c r="AS27" s="328">
        <f t="shared" si="13"/>
        <v>0</v>
      </c>
      <c r="AT27" s="343"/>
      <c r="AU27" s="343"/>
      <c r="AV27" s="343"/>
      <c r="AW27" s="343"/>
      <c r="AX27" s="343"/>
      <c r="AY27" s="343"/>
      <c r="AZ27" s="343"/>
      <c r="BA27" s="343"/>
      <c r="BB27" s="343"/>
      <c r="BC27" s="343"/>
      <c r="BD27" s="343"/>
      <c r="BE27" s="343"/>
      <c r="BF27" s="195"/>
      <c r="BG27" s="344"/>
      <c r="BH27" s="344"/>
      <c r="BI27" s="344"/>
      <c r="BJ27" s="346"/>
      <c r="BK27" s="338"/>
      <c r="BL27" s="338"/>
      <c r="BM27" s="338"/>
      <c r="BN27" s="343"/>
      <c r="BO27" s="343"/>
      <c r="BP27" s="343"/>
      <c r="BQ27" s="343"/>
      <c r="BR27" s="343"/>
      <c r="BS27" s="338"/>
      <c r="BT27" s="343"/>
      <c r="BU27" s="343"/>
      <c r="BV27" s="343"/>
      <c r="BW27" s="343"/>
      <c r="BX27" s="194"/>
      <c r="BY27" s="194"/>
      <c r="BZ27" s="197"/>
      <c r="CA27" s="194"/>
      <c r="CB27" s="332"/>
      <c r="CC27" s="328">
        <f t="shared" si="14"/>
        <v>0</v>
      </c>
      <c r="CD27" s="343"/>
      <c r="CE27" s="343"/>
      <c r="CF27" s="343"/>
      <c r="CG27" s="343"/>
      <c r="CH27" s="343"/>
      <c r="CI27" s="343"/>
      <c r="CJ27" s="343"/>
      <c r="CK27" s="478"/>
      <c r="CL27" s="478"/>
      <c r="CM27" s="478"/>
      <c r="CN27" s="478"/>
      <c r="CO27" s="478"/>
      <c r="CP27" s="195"/>
      <c r="CQ27" s="344"/>
      <c r="CR27" s="344"/>
      <c r="CS27" s="344"/>
      <c r="CT27" s="346"/>
      <c r="CU27" s="338"/>
      <c r="CV27" s="338"/>
      <c r="CW27" s="338"/>
      <c r="CX27" s="343"/>
      <c r="CY27" s="343"/>
      <c r="CZ27" s="343"/>
      <c r="DA27" s="343"/>
      <c r="DB27" s="343"/>
      <c r="DC27" s="338"/>
      <c r="DD27" s="343"/>
      <c r="DE27" s="343"/>
      <c r="DF27" s="343"/>
      <c r="DG27" s="343"/>
      <c r="DH27" s="194"/>
      <c r="DI27" s="194"/>
      <c r="DJ27" s="197"/>
      <c r="DK27" s="194"/>
      <c r="DL27" s="332"/>
      <c r="DM27" s="328">
        <f t="shared" si="15"/>
        <v>0</v>
      </c>
      <c r="DN27" s="343">
        <f>IFERROR(IF(EA27=100%,DL27,0),0)</f>
        <v>0</v>
      </c>
      <c r="DO27" s="343">
        <f>IFERROR(IF(AND((EA27+EB27)=100%,EA27&lt;1),DL27,0),0)</f>
        <v>0</v>
      </c>
      <c r="DP27" s="343"/>
      <c r="DQ27" s="343"/>
      <c r="DR27" s="343"/>
      <c r="DS27" s="343"/>
      <c r="DT27" s="343"/>
      <c r="DU27" s="343"/>
      <c r="DV27" s="343"/>
      <c r="DW27" s="343"/>
      <c r="DX27" s="343"/>
      <c r="DY27" s="343"/>
      <c r="DZ27" s="195"/>
      <c r="EA27" s="344"/>
      <c r="EB27" s="344"/>
      <c r="EC27" s="344"/>
      <c r="ED27" s="346"/>
      <c r="EE27" s="338"/>
      <c r="EF27" s="338"/>
      <c r="EG27" s="338"/>
      <c r="EH27" s="343"/>
      <c r="EI27" s="343"/>
      <c r="EJ27" s="343"/>
      <c r="EK27" s="343"/>
      <c r="EL27" s="343"/>
      <c r="EM27" s="338"/>
      <c r="EN27" s="343"/>
      <c r="EO27" s="343"/>
      <c r="EP27" s="343"/>
      <c r="EQ27" s="343"/>
      <c r="ER27" s="114"/>
      <c r="ES27" s="499"/>
      <c r="ET27" s="112"/>
    </row>
    <row r="28" spans="1:150" ht="11.85" customHeight="1" outlineLevel="2">
      <c r="A28" s="112"/>
      <c r="B28" s="153">
        <v>5</v>
      </c>
      <c r="C28" s="213">
        <v>5</v>
      </c>
      <c r="D28" s="214" t="s">
        <v>25</v>
      </c>
      <c r="E28" s="160"/>
      <c r="F28" s="196"/>
      <c r="G28" s="200"/>
      <c r="H28" s="328"/>
      <c r="I28" s="328">
        <f t="shared" si="12"/>
        <v>0</v>
      </c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343"/>
      <c r="U28" s="343"/>
      <c r="V28" s="195"/>
      <c r="W28" s="344"/>
      <c r="X28" s="344"/>
      <c r="Y28" s="344"/>
      <c r="Z28" s="198"/>
      <c r="AA28" s="338"/>
      <c r="AB28" s="338"/>
      <c r="AC28" s="338"/>
      <c r="AD28" s="343"/>
      <c r="AE28" s="343"/>
      <c r="AF28" s="343"/>
      <c r="AG28" s="343"/>
      <c r="AH28" s="343"/>
      <c r="AI28" s="338"/>
      <c r="AJ28" s="343"/>
      <c r="AK28" s="343"/>
      <c r="AL28" s="343"/>
      <c r="AM28" s="343"/>
      <c r="AN28" s="338"/>
      <c r="AO28" s="338"/>
      <c r="AP28" s="197"/>
      <c r="AQ28" s="200"/>
      <c r="AR28" s="332"/>
      <c r="AS28" s="328">
        <f t="shared" si="13"/>
        <v>0</v>
      </c>
      <c r="AT28" s="343"/>
      <c r="AU28" s="343"/>
      <c r="AV28" s="343"/>
      <c r="AW28" s="343"/>
      <c r="AX28" s="343"/>
      <c r="AY28" s="343"/>
      <c r="AZ28" s="343"/>
      <c r="BA28" s="343"/>
      <c r="BB28" s="343"/>
      <c r="BC28" s="343"/>
      <c r="BD28" s="343"/>
      <c r="BE28" s="343"/>
      <c r="BF28" s="195"/>
      <c r="BG28" s="344"/>
      <c r="BH28" s="344"/>
      <c r="BI28" s="344"/>
      <c r="BJ28" s="198"/>
      <c r="BK28" s="338"/>
      <c r="BL28" s="338"/>
      <c r="BM28" s="338"/>
      <c r="BN28" s="343"/>
      <c r="BO28" s="343"/>
      <c r="BP28" s="343"/>
      <c r="BQ28" s="343"/>
      <c r="BR28" s="343"/>
      <c r="BS28" s="338"/>
      <c r="BT28" s="343"/>
      <c r="BU28" s="343"/>
      <c r="BV28" s="343"/>
      <c r="BW28" s="343"/>
      <c r="BX28" s="200"/>
      <c r="BY28" s="200"/>
      <c r="BZ28" s="196"/>
      <c r="CA28" s="200"/>
      <c r="CB28" s="332"/>
      <c r="CC28" s="328">
        <f t="shared" si="14"/>
        <v>0</v>
      </c>
      <c r="CD28" s="343"/>
      <c r="CE28" s="343"/>
      <c r="CF28" s="343"/>
      <c r="CG28" s="343"/>
      <c r="CH28" s="343"/>
      <c r="CI28" s="343"/>
      <c r="CJ28" s="343"/>
      <c r="CK28" s="478"/>
      <c r="CL28" s="478"/>
      <c r="CM28" s="478"/>
      <c r="CN28" s="478"/>
      <c r="CO28" s="478"/>
      <c r="CP28" s="195"/>
      <c r="CQ28" s="344"/>
      <c r="CR28" s="344"/>
      <c r="CS28" s="344"/>
      <c r="CT28" s="198"/>
      <c r="CU28" s="338"/>
      <c r="CV28" s="338"/>
      <c r="CW28" s="338"/>
      <c r="CX28" s="343"/>
      <c r="CY28" s="343"/>
      <c r="CZ28" s="343"/>
      <c r="DA28" s="343"/>
      <c r="DB28" s="343"/>
      <c r="DC28" s="338"/>
      <c r="DD28" s="343"/>
      <c r="DE28" s="343"/>
      <c r="DF28" s="343"/>
      <c r="DG28" s="343"/>
      <c r="DH28" s="200"/>
      <c r="DI28" s="200"/>
      <c r="DJ28" s="196"/>
      <c r="DK28" s="200"/>
      <c r="DL28" s="332"/>
      <c r="DM28" s="328">
        <f t="shared" si="15"/>
        <v>0</v>
      </c>
      <c r="DN28" s="343">
        <f>IFERROR(IF(EA28=100%,DL28,0),0)</f>
        <v>0</v>
      </c>
      <c r="DO28" s="343">
        <f>IFERROR(IF(AND((EA28+EB28)=100%,EA28&lt;1),DL28,0),0)</f>
        <v>0</v>
      </c>
      <c r="DP28" s="343"/>
      <c r="DQ28" s="343"/>
      <c r="DR28" s="343"/>
      <c r="DS28" s="343"/>
      <c r="DT28" s="343"/>
      <c r="DU28" s="343"/>
      <c r="DV28" s="343"/>
      <c r="DW28" s="343"/>
      <c r="DX28" s="343"/>
      <c r="DY28" s="343"/>
      <c r="DZ28" s="195"/>
      <c r="EA28" s="344"/>
      <c r="EB28" s="344"/>
      <c r="EC28" s="344"/>
      <c r="ED28" s="198"/>
      <c r="EE28" s="338"/>
      <c r="EF28" s="338"/>
      <c r="EG28" s="338"/>
      <c r="EH28" s="343"/>
      <c r="EI28" s="343"/>
      <c r="EJ28" s="343"/>
      <c r="EK28" s="343"/>
      <c r="EL28" s="343"/>
      <c r="EM28" s="338"/>
      <c r="EN28" s="343"/>
      <c r="EO28" s="343"/>
      <c r="EP28" s="343"/>
      <c r="EQ28" s="343"/>
      <c r="ER28" s="160"/>
      <c r="ES28" s="499"/>
      <c r="ET28" s="112"/>
    </row>
    <row r="29" spans="1:150" ht="3" customHeight="1" outlineLevel="1">
      <c r="A29" s="112"/>
      <c r="B29" s="113"/>
      <c r="C29" s="113"/>
      <c r="D29" s="114"/>
      <c r="E29" s="114"/>
      <c r="F29" s="197"/>
      <c r="G29" s="194"/>
      <c r="H29" s="328"/>
      <c r="I29" s="328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47"/>
      <c r="W29" s="353"/>
      <c r="X29" s="353"/>
      <c r="Y29" s="353"/>
      <c r="Z29" s="345"/>
      <c r="AA29" s="338"/>
      <c r="AB29" s="338"/>
      <c r="AC29" s="338"/>
      <c r="AD29" s="352"/>
      <c r="AE29" s="352"/>
      <c r="AF29" s="352"/>
      <c r="AG29" s="352"/>
      <c r="AH29" s="352"/>
      <c r="AI29" s="338"/>
      <c r="AJ29" s="352"/>
      <c r="AK29" s="352"/>
      <c r="AL29" s="352"/>
      <c r="AM29" s="352"/>
      <c r="AN29" s="354"/>
      <c r="AO29" s="354"/>
      <c r="AP29" s="197"/>
      <c r="AQ29" s="194"/>
      <c r="AR29" s="332"/>
      <c r="AS29" s="328">
        <f t="shared" si="13"/>
        <v>0</v>
      </c>
      <c r="AT29" s="352"/>
      <c r="AU29" s="352"/>
      <c r="AV29" s="343"/>
      <c r="AW29" s="343"/>
      <c r="AX29" s="343"/>
      <c r="AY29" s="343"/>
      <c r="AZ29" s="343"/>
      <c r="BA29" s="352"/>
      <c r="BB29" s="352"/>
      <c r="BC29" s="352"/>
      <c r="BD29" s="352"/>
      <c r="BE29" s="352"/>
      <c r="BF29" s="347"/>
      <c r="BG29" s="353"/>
      <c r="BH29" s="353"/>
      <c r="BI29" s="353"/>
      <c r="BJ29" s="345"/>
      <c r="BK29" s="338"/>
      <c r="BL29" s="338"/>
      <c r="BM29" s="338"/>
      <c r="BN29" s="343"/>
      <c r="BO29" s="343"/>
      <c r="BP29" s="343"/>
      <c r="BQ29" s="343"/>
      <c r="BR29" s="343"/>
      <c r="BS29" s="338"/>
      <c r="BT29" s="343"/>
      <c r="BU29" s="343"/>
      <c r="BV29" s="343"/>
      <c r="BW29" s="343"/>
      <c r="BX29" s="194"/>
      <c r="BY29" s="194"/>
      <c r="BZ29" s="197"/>
      <c r="CA29" s="194"/>
      <c r="CB29" s="332"/>
      <c r="CC29" s="328">
        <f t="shared" si="14"/>
        <v>0</v>
      </c>
      <c r="CD29" s="352"/>
      <c r="CE29" s="352"/>
      <c r="CF29" s="343"/>
      <c r="CG29" s="343"/>
      <c r="CH29" s="343"/>
      <c r="CI29" s="343"/>
      <c r="CJ29" s="343"/>
      <c r="CK29" s="330"/>
      <c r="CL29" s="330"/>
      <c r="CM29" s="330"/>
      <c r="CN29" s="330"/>
      <c r="CO29" s="330"/>
      <c r="CP29" s="347"/>
      <c r="CQ29" s="353"/>
      <c r="CR29" s="353"/>
      <c r="CS29" s="353"/>
      <c r="CT29" s="345"/>
      <c r="CU29" s="338"/>
      <c r="CV29" s="338"/>
      <c r="CW29" s="338"/>
      <c r="CX29" s="343"/>
      <c r="CY29" s="343"/>
      <c r="CZ29" s="343"/>
      <c r="DA29" s="343"/>
      <c r="DB29" s="343"/>
      <c r="DC29" s="338"/>
      <c r="DD29" s="343"/>
      <c r="DE29" s="343"/>
      <c r="DF29" s="343"/>
      <c r="DG29" s="343"/>
      <c r="DH29" s="194"/>
      <c r="DI29" s="194"/>
      <c r="DJ29" s="197"/>
      <c r="DK29" s="194"/>
      <c r="DL29" s="332"/>
      <c r="DM29" s="328">
        <f t="shared" si="15"/>
        <v>0</v>
      </c>
      <c r="DN29" s="352"/>
      <c r="DO29" s="352"/>
      <c r="DP29" s="343"/>
      <c r="DQ29" s="343"/>
      <c r="DR29" s="343"/>
      <c r="DS29" s="343"/>
      <c r="DT29" s="343"/>
      <c r="DU29" s="352"/>
      <c r="DV29" s="352"/>
      <c r="DW29" s="352"/>
      <c r="DX29" s="352"/>
      <c r="DY29" s="352"/>
      <c r="DZ29" s="347"/>
      <c r="EA29" s="353"/>
      <c r="EB29" s="353"/>
      <c r="EC29" s="353"/>
      <c r="ED29" s="345"/>
      <c r="EE29" s="338"/>
      <c r="EF29" s="338"/>
      <c r="EG29" s="338"/>
      <c r="EH29" s="343"/>
      <c r="EI29" s="343"/>
      <c r="EJ29" s="343"/>
      <c r="EK29" s="343"/>
      <c r="EL29" s="343"/>
      <c r="EM29" s="338"/>
      <c r="EN29" s="343"/>
      <c r="EO29" s="343"/>
      <c r="EP29" s="343"/>
      <c r="EQ29" s="343"/>
      <c r="ER29" s="114"/>
      <c r="ES29" s="499"/>
      <c r="ET29" s="112"/>
    </row>
    <row r="30" spans="1:150" ht="11.85" customHeight="1" outlineLevel="1">
      <c r="A30" s="112"/>
      <c r="B30" s="147">
        <v>3</v>
      </c>
      <c r="C30" s="212">
        <v>4</v>
      </c>
      <c r="D30" s="211" t="s">
        <v>29</v>
      </c>
      <c r="E30" s="150"/>
      <c r="F30" s="188">
        <v>0.05</v>
      </c>
      <c r="G30" s="188"/>
      <c r="H30" s="189">
        <f>F30*(5%*'BOQ COST'!$E$4)*1</f>
        <v>0.36401500000000009</v>
      </c>
      <c r="I30" s="189">
        <f t="shared" si="12"/>
        <v>0.36401500000000009</v>
      </c>
      <c r="J30" s="190">
        <f>H30</f>
        <v>0.36401500000000009</v>
      </c>
      <c r="K30" s="190">
        <f t="shared" ref="K30:O30" si="41">SUM(K31:K36)</f>
        <v>0</v>
      </c>
      <c r="L30" s="190">
        <f t="shared" si="41"/>
        <v>0</v>
      </c>
      <c r="M30" s="190">
        <f t="shared" si="41"/>
        <v>0</v>
      </c>
      <c r="N30" s="190">
        <f t="shared" si="41"/>
        <v>0</v>
      </c>
      <c r="O30" s="190">
        <f t="shared" si="41"/>
        <v>0</v>
      </c>
      <c r="P30" s="190"/>
      <c r="Q30" s="190">
        <f t="shared" ref="Q30:U30" si="42">SUM(Q31:Q36)</f>
        <v>0</v>
      </c>
      <c r="R30" s="190">
        <f t="shared" si="42"/>
        <v>0</v>
      </c>
      <c r="S30" s="190">
        <f t="shared" si="42"/>
        <v>0</v>
      </c>
      <c r="T30" s="190">
        <f t="shared" si="42"/>
        <v>0</v>
      </c>
      <c r="U30" s="190">
        <f t="shared" si="42"/>
        <v>0</v>
      </c>
      <c r="V30" s="191"/>
      <c r="W30" s="339"/>
      <c r="X30" s="339"/>
      <c r="Y30" s="339"/>
      <c r="Z30" s="340"/>
      <c r="AA30" s="341"/>
      <c r="AB30" s="342"/>
      <c r="AC30" s="342"/>
      <c r="AD30" s="190"/>
      <c r="AE30" s="190"/>
      <c r="AF30" s="190"/>
      <c r="AG30" s="190"/>
      <c r="AH30" s="190"/>
      <c r="AI30" s="342"/>
      <c r="AJ30" s="190"/>
      <c r="AK30" s="190"/>
      <c r="AL30" s="190"/>
      <c r="AM30" s="190"/>
      <c r="AN30" s="342"/>
      <c r="AO30" s="342"/>
      <c r="AP30" s="188">
        <v>0</v>
      </c>
      <c r="AQ30" s="188"/>
      <c r="AR30" s="192">
        <v>0</v>
      </c>
      <c r="AS30" s="189">
        <f t="shared" si="13"/>
        <v>0</v>
      </c>
      <c r="AT30" s="190">
        <f>AR30</f>
        <v>0</v>
      </c>
      <c r="AU30" s="190">
        <f>SUM(AU31:AU36)</f>
        <v>0</v>
      </c>
      <c r="AV30" s="190"/>
      <c r="AW30" s="190"/>
      <c r="AX30" s="190"/>
      <c r="AY30" s="190"/>
      <c r="AZ30" s="190"/>
      <c r="BA30" s="190">
        <f t="shared" ref="BA30:BE30" si="43">SUM(BA31:BA36)</f>
        <v>0</v>
      </c>
      <c r="BB30" s="190">
        <f t="shared" si="43"/>
        <v>0</v>
      </c>
      <c r="BC30" s="190">
        <f t="shared" si="43"/>
        <v>0</v>
      </c>
      <c r="BD30" s="190">
        <f t="shared" si="43"/>
        <v>0</v>
      </c>
      <c r="BE30" s="190">
        <f t="shared" si="43"/>
        <v>0</v>
      </c>
      <c r="BF30" s="191"/>
      <c r="BG30" s="339"/>
      <c r="BH30" s="339"/>
      <c r="BI30" s="339"/>
      <c r="BJ30" s="340"/>
      <c r="BK30" s="341"/>
      <c r="BL30" s="342"/>
      <c r="BM30" s="342"/>
      <c r="BN30" s="190"/>
      <c r="BO30" s="190"/>
      <c r="BP30" s="190"/>
      <c r="BQ30" s="190"/>
      <c r="BR30" s="190"/>
      <c r="BS30" s="342"/>
      <c r="BT30" s="190"/>
      <c r="BU30" s="190"/>
      <c r="BV30" s="190"/>
      <c r="BW30" s="190"/>
      <c r="BX30" s="188"/>
      <c r="BY30" s="188"/>
      <c r="BZ30" s="188">
        <v>0.1</v>
      </c>
      <c r="CA30" s="188"/>
      <c r="CB30" s="199">
        <f>BZ30*(2%*'BOQ COST'!$G$4)*1</f>
        <v>9.4920172765050423E-2</v>
      </c>
      <c r="CC30" s="189">
        <f t="shared" si="14"/>
        <v>9.4920172765050423E-2</v>
      </c>
      <c r="CD30" s="190">
        <f>CB30</f>
        <v>9.4920172765050423E-2</v>
      </c>
      <c r="CE30" s="190">
        <f>SUM(CE31:CE36)</f>
        <v>0</v>
      </c>
      <c r="CF30" s="190"/>
      <c r="CG30" s="190"/>
      <c r="CH30" s="190"/>
      <c r="CI30" s="190"/>
      <c r="CJ30" s="190"/>
      <c r="CK30" s="477">
        <f t="shared" ref="CK30:CO30" si="44">SUM(CK31:CK36)</f>
        <v>0</v>
      </c>
      <c r="CL30" s="477">
        <f t="shared" si="44"/>
        <v>0</v>
      </c>
      <c r="CM30" s="477">
        <f t="shared" si="44"/>
        <v>0</v>
      </c>
      <c r="CN30" s="477">
        <f t="shared" si="44"/>
        <v>0</v>
      </c>
      <c r="CO30" s="477">
        <f t="shared" si="44"/>
        <v>0</v>
      </c>
      <c r="CP30" s="191"/>
      <c r="CQ30" s="339"/>
      <c r="CR30" s="339"/>
      <c r="CS30" s="339"/>
      <c r="CT30" s="340"/>
      <c r="CU30" s="341"/>
      <c r="CV30" s="342"/>
      <c r="CW30" s="342"/>
      <c r="CX30" s="190"/>
      <c r="CY30" s="190"/>
      <c r="CZ30" s="190"/>
      <c r="DA30" s="190"/>
      <c r="DB30" s="190"/>
      <c r="DC30" s="342"/>
      <c r="DD30" s="190"/>
      <c r="DE30" s="190"/>
      <c r="DF30" s="190"/>
      <c r="DG30" s="190"/>
      <c r="DH30" s="188"/>
      <c r="DI30" s="188"/>
      <c r="DJ30" s="188">
        <v>0.05</v>
      </c>
      <c r="DK30" s="188"/>
      <c r="DL30" s="199">
        <f>DJ30*(7%*'BOQ COST'!$H$4)*1</f>
        <v>3.6697500000000003E-3</v>
      </c>
      <c r="DM30" s="189">
        <f t="shared" si="15"/>
        <v>3.6697500000000003E-3</v>
      </c>
      <c r="DN30" s="190">
        <f>DL30</f>
        <v>3.6697500000000003E-3</v>
      </c>
      <c r="DO30" s="190">
        <f>SUM(DO31:DO36)</f>
        <v>0</v>
      </c>
      <c r="DP30" s="190"/>
      <c r="DQ30" s="190"/>
      <c r="DR30" s="190"/>
      <c r="DS30" s="190"/>
      <c r="DT30" s="190"/>
      <c r="DU30" s="190">
        <f t="shared" ref="DU30:DY30" si="45">SUM(DU31:DU36)</f>
        <v>0</v>
      </c>
      <c r="DV30" s="190">
        <f t="shared" si="45"/>
        <v>0</v>
      </c>
      <c r="DW30" s="190">
        <f t="shared" si="45"/>
        <v>0</v>
      </c>
      <c r="DX30" s="190">
        <f t="shared" si="45"/>
        <v>0</v>
      </c>
      <c r="DY30" s="190">
        <f t="shared" si="45"/>
        <v>0</v>
      </c>
      <c r="DZ30" s="349"/>
      <c r="EA30" s="339"/>
      <c r="EB30" s="339"/>
      <c r="EC30" s="339"/>
      <c r="ED30" s="340"/>
      <c r="EE30" s="342"/>
      <c r="EF30" s="342"/>
      <c r="EG30" s="342"/>
      <c r="EH30" s="190"/>
      <c r="EI30" s="190"/>
      <c r="EJ30" s="190"/>
      <c r="EK30" s="190"/>
      <c r="EL30" s="190"/>
      <c r="EM30" s="342"/>
      <c r="EN30" s="190"/>
      <c r="EO30" s="190"/>
      <c r="EP30" s="190"/>
      <c r="EQ30" s="190"/>
      <c r="ER30" s="112"/>
      <c r="ES30" s="499"/>
      <c r="ET30" s="112"/>
    </row>
    <row r="31" spans="1:150" ht="11.85" customHeight="1" outlineLevel="2">
      <c r="A31" s="112"/>
      <c r="B31" s="153">
        <v>1</v>
      </c>
      <c r="C31" s="213">
        <v>1</v>
      </c>
      <c r="D31" s="214" t="s">
        <v>30</v>
      </c>
      <c r="E31" s="114"/>
      <c r="F31" s="197"/>
      <c r="G31" s="194"/>
      <c r="H31" s="328"/>
      <c r="I31" s="328">
        <f t="shared" si="12"/>
        <v>0</v>
      </c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195"/>
      <c r="W31" s="344"/>
      <c r="X31" s="344"/>
      <c r="Y31" s="344"/>
      <c r="Z31" s="345"/>
      <c r="AA31" s="338"/>
      <c r="AB31" s="338"/>
      <c r="AC31" s="338"/>
      <c r="AD31" s="343"/>
      <c r="AE31" s="343"/>
      <c r="AF31" s="343"/>
      <c r="AG31" s="343"/>
      <c r="AH31" s="343"/>
      <c r="AI31" s="338"/>
      <c r="AJ31" s="343"/>
      <c r="AK31" s="343"/>
      <c r="AL31" s="343"/>
      <c r="AM31" s="343"/>
      <c r="AN31" s="338"/>
      <c r="AO31" s="338"/>
      <c r="AP31" s="196"/>
      <c r="AQ31" s="194"/>
      <c r="AR31" s="201"/>
      <c r="AS31" s="328">
        <f t="shared" si="13"/>
        <v>0</v>
      </c>
      <c r="AT31" s="343"/>
      <c r="AU31" s="343"/>
      <c r="AV31" s="343"/>
      <c r="AW31" s="343"/>
      <c r="AX31" s="343"/>
      <c r="AY31" s="343"/>
      <c r="AZ31" s="343"/>
      <c r="BA31" s="343"/>
      <c r="BB31" s="343"/>
      <c r="BC31" s="343"/>
      <c r="BD31" s="343"/>
      <c r="BE31" s="343"/>
      <c r="BF31" s="195"/>
      <c r="BG31" s="344"/>
      <c r="BH31" s="344"/>
      <c r="BI31" s="344"/>
      <c r="BJ31" s="345"/>
      <c r="BK31" s="338"/>
      <c r="BL31" s="338"/>
      <c r="BM31" s="338"/>
      <c r="BN31" s="343"/>
      <c r="BO31" s="343"/>
      <c r="BP31" s="343"/>
      <c r="BQ31" s="343"/>
      <c r="BR31" s="343"/>
      <c r="BS31" s="338"/>
      <c r="BT31" s="343"/>
      <c r="BU31" s="343"/>
      <c r="BV31" s="343"/>
      <c r="BW31" s="343"/>
      <c r="BX31" s="194"/>
      <c r="BY31" s="194"/>
      <c r="BZ31" s="196"/>
      <c r="CA31" s="194"/>
      <c r="CB31" s="332"/>
      <c r="CC31" s="328">
        <f t="shared" si="14"/>
        <v>0</v>
      </c>
      <c r="CD31" s="343"/>
      <c r="CE31" s="343"/>
      <c r="CF31" s="343"/>
      <c r="CG31" s="343"/>
      <c r="CH31" s="343"/>
      <c r="CI31" s="343"/>
      <c r="CJ31" s="343"/>
      <c r="CK31" s="478"/>
      <c r="CL31" s="478"/>
      <c r="CM31" s="478"/>
      <c r="CN31" s="478"/>
      <c r="CO31" s="478"/>
      <c r="CP31" s="195"/>
      <c r="CQ31" s="344"/>
      <c r="CR31" s="344"/>
      <c r="CS31" s="344"/>
      <c r="CT31" s="345"/>
      <c r="CU31" s="338"/>
      <c r="CV31" s="338"/>
      <c r="CW31" s="338"/>
      <c r="CX31" s="343"/>
      <c r="CY31" s="343"/>
      <c r="CZ31" s="343"/>
      <c r="DA31" s="343"/>
      <c r="DB31" s="343"/>
      <c r="DC31" s="338"/>
      <c r="DD31" s="343"/>
      <c r="DE31" s="343"/>
      <c r="DF31" s="343"/>
      <c r="DG31" s="343"/>
      <c r="DH31" s="194"/>
      <c r="DI31" s="194"/>
      <c r="DJ31" s="196">
        <v>0</v>
      </c>
      <c r="DK31" s="194"/>
      <c r="DL31" s="332"/>
      <c r="DM31" s="328">
        <f t="shared" si="15"/>
        <v>0</v>
      </c>
      <c r="DN31" s="343"/>
      <c r="DO31" s="343"/>
      <c r="DP31" s="343"/>
      <c r="DQ31" s="343"/>
      <c r="DR31" s="343"/>
      <c r="DS31" s="343"/>
      <c r="DT31" s="343"/>
      <c r="DU31" s="343"/>
      <c r="DV31" s="343"/>
      <c r="DW31" s="343"/>
      <c r="DX31" s="343"/>
      <c r="DY31" s="343"/>
      <c r="DZ31" s="195"/>
      <c r="EA31" s="344"/>
      <c r="EB31" s="344"/>
      <c r="EC31" s="344"/>
      <c r="ED31" s="345"/>
      <c r="EE31" s="338"/>
      <c r="EF31" s="338"/>
      <c r="EG31" s="338"/>
      <c r="EH31" s="343"/>
      <c r="EI31" s="343"/>
      <c r="EJ31" s="343"/>
      <c r="EK31" s="343"/>
      <c r="EL31" s="343"/>
      <c r="EM31" s="338"/>
      <c r="EN31" s="343"/>
      <c r="EO31" s="343"/>
      <c r="EP31" s="343"/>
      <c r="EQ31" s="343"/>
      <c r="ER31" s="114"/>
      <c r="ES31" s="499"/>
      <c r="ET31" s="112"/>
    </row>
    <row r="32" spans="1:150" ht="11.85" customHeight="1" outlineLevel="2">
      <c r="A32" s="112"/>
      <c r="B32" s="153">
        <v>1</v>
      </c>
      <c r="C32" s="213">
        <v>2</v>
      </c>
      <c r="D32" s="214" t="s">
        <v>31</v>
      </c>
      <c r="E32" s="114"/>
      <c r="F32" s="197"/>
      <c r="G32" s="194"/>
      <c r="H32" s="328"/>
      <c r="I32" s="328">
        <f t="shared" si="12"/>
        <v>0</v>
      </c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343"/>
      <c r="U32" s="343"/>
      <c r="V32" s="195"/>
      <c r="W32" s="344"/>
      <c r="X32" s="344"/>
      <c r="Y32" s="344"/>
      <c r="Z32" s="345"/>
      <c r="AA32" s="338"/>
      <c r="AB32" s="338"/>
      <c r="AC32" s="338"/>
      <c r="AD32" s="343"/>
      <c r="AE32" s="343"/>
      <c r="AF32" s="343"/>
      <c r="AG32" s="343"/>
      <c r="AH32" s="343"/>
      <c r="AI32" s="338"/>
      <c r="AJ32" s="343"/>
      <c r="AK32" s="343"/>
      <c r="AL32" s="343"/>
      <c r="AM32" s="343"/>
      <c r="AN32" s="338"/>
      <c r="AO32" s="338"/>
      <c r="AP32" s="196"/>
      <c r="AQ32" s="194"/>
      <c r="AR32" s="201"/>
      <c r="AS32" s="328">
        <f t="shared" si="13"/>
        <v>0</v>
      </c>
      <c r="AT32" s="343"/>
      <c r="AU32" s="343"/>
      <c r="AV32" s="343"/>
      <c r="AW32" s="343"/>
      <c r="AX32" s="343"/>
      <c r="AY32" s="343"/>
      <c r="AZ32" s="343"/>
      <c r="BA32" s="343"/>
      <c r="BB32" s="343"/>
      <c r="BC32" s="343"/>
      <c r="BD32" s="343"/>
      <c r="BE32" s="343"/>
      <c r="BF32" s="195"/>
      <c r="BG32" s="344"/>
      <c r="BH32" s="344"/>
      <c r="BI32" s="344"/>
      <c r="BJ32" s="345"/>
      <c r="BK32" s="338"/>
      <c r="BL32" s="338"/>
      <c r="BM32" s="338"/>
      <c r="BN32" s="343"/>
      <c r="BO32" s="343"/>
      <c r="BP32" s="343"/>
      <c r="BQ32" s="343"/>
      <c r="BR32" s="343"/>
      <c r="BS32" s="338"/>
      <c r="BT32" s="343"/>
      <c r="BU32" s="343"/>
      <c r="BV32" s="343"/>
      <c r="BW32" s="343"/>
      <c r="BX32" s="194"/>
      <c r="BY32" s="194"/>
      <c r="BZ32" s="196"/>
      <c r="CA32" s="194"/>
      <c r="CB32" s="332"/>
      <c r="CC32" s="328">
        <f t="shared" si="14"/>
        <v>0</v>
      </c>
      <c r="CD32" s="343"/>
      <c r="CE32" s="343"/>
      <c r="CF32" s="343"/>
      <c r="CG32" s="343"/>
      <c r="CH32" s="343"/>
      <c r="CI32" s="343"/>
      <c r="CJ32" s="343"/>
      <c r="CK32" s="478"/>
      <c r="CL32" s="478"/>
      <c r="CM32" s="478"/>
      <c r="CN32" s="478"/>
      <c r="CO32" s="478"/>
      <c r="CP32" s="195"/>
      <c r="CQ32" s="344"/>
      <c r="CR32" s="344"/>
      <c r="CS32" s="344"/>
      <c r="CT32" s="345"/>
      <c r="CU32" s="338"/>
      <c r="CV32" s="338"/>
      <c r="CW32" s="338"/>
      <c r="CX32" s="343"/>
      <c r="CY32" s="343"/>
      <c r="CZ32" s="343"/>
      <c r="DA32" s="343"/>
      <c r="DB32" s="343"/>
      <c r="DC32" s="338"/>
      <c r="DD32" s="343"/>
      <c r="DE32" s="343"/>
      <c r="DF32" s="343"/>
      <c r="DG32" s="343"/>
      <c r="DH32" s="194"/>
      <c r="DI32" s="194"/>
      <c r="DJ32" s="196">
        <v>0</v>
      </c>
      <c r="DK32" s="194"/>
      <c r="DL32" s="332"/>
      <c r="DM32" s="328">
        <f t="shared" si="15"/>
        <v>0</v>
      </c>
      <c r="DN32" s="343"/>
      <c r="DO32" s="343"/>
      <c r="DP32" s="343"/>
      <c r="DQ32" s="343"/>
      <c r="DR32" s="343"/>
      <c r="DS32" s="343"/>
      <c r="DT32" s="343"/>
      <c r="DU32" s="343"/>
      <c r="DV32" s="343"/>
      <c r="DW32" s="343"/>
      <c r="DX32" s="343"/>
      <c r="DY32" s="343"/>
      <c r="DZ32" s="195"/>
      <c r="EA32" s="344"/>
      <c r="EB32" s="344"/>
      <c r="EC32" s="344"/>
      <c r="ED32" s="345"/>
      <c r="EE32" s="338"/>
      <c r="EF32" s="338"/>
      <c r="EG32" s="338"/>
      <c r="EH32" s="343"/>
      <c r="EI32" s="343"/>
      <c r="EJ32" s="343"/>
      <c r="EK32" s="343"/>
      <c r="EL32" s="343"/>
      <c r="EM32" s="338"/>
      <c r="EN32" s="343"/>
      <c r="EO32" s="343"/>
      <c r="EP32" s="343"/>
      <c r="EQ32" s="343"/>
      <c r="ER32" s="114"/>
      <c r="ES32" s="499"/>
      <c r="ET32" s="112"/>
    </row>
    <row r="33" spans="1:151" ht="11.85" customHeight="1" outlineLevel="2">
      <c r="A33" s="112"/>
      <c r="B33" s="153">
        <v>2</v>
      </c>
      <c r="C33" s="213">
        <v>3</v>
      </c>
      <c r="D33" s="214" t="s">
        <v>32</v>
      </c>
      <c r="E33" s="114"/>
      <c r="F33" s="197"/>
      <c r="G33" s="194"/>
      <c r="H33" s="328"/>
      <c r="I33" s="328">
        <f t="shared" si="12"/>
        <v>0</v>
      </c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343"/>
      <c r="U33" s="343"/>
      <c r="V33" s="195"/>
      <c r="W33" s="344"/>
      <c r="X33" s="344"/>
      <c r="Y33" s="344"/>
      <c r="Z33" s="346"/>
      <c r="AA33" s="338"/>
      <c r="AB33" s="338"/>
      <c r="AC33" s="338"/>
      <c r="AD33" s="343"/>
      <c r="AE33" s="343"/>
      <c r="AF33" s="343"/>
      <c r="AG33" s="343"/>
      <c r="AH33" s="343"/>
      <c r="AI33" s="338"/>
      <c r="AJ33" s="343"/>
      <c r="AK33" s="343"/>
      <c r="AL33" s="343"/>
      <c r="AM33" s="343"/>
      <c r="AN33" s="354"/>
      <c r="AO33" s="354"/>
      <c r="AP33" s="196"/>
      <c r="AQ33" s="194"/>
      <c r="AR33" s="201"/>
      <c r="AS33" s="328">
        <f t="shared" si="13"/>
        <v>0</v>
      </c>
      <c r="AT33" s="343"/>
      <c r="AU33" s="343"/>
      <c r="AV33" s="343"/>
      <c r="AW33" s="343"/>
      <c r="AX33" s="343"/>
      <c r="AY33" s="343"/>
      <c r="AZ33" s="343"/>
      <c r="BA33" s="343"/>
      <c r="BB33" s="343"/>
      <c r="BC33" s="343"/>
      <c r="BD33" s="343"/>
      <c r="BE33" s="343"/>
      <c r="BF33" s="195"/>
      <c r="BG33" s="344"/>
      <c r="BH33" s="344"/>
      <c r="BI33" s="344"/>
      <c r="BJ33" s="346"/>
      <c r="BK33" s="338"/>
      <c r="BL33" s="338"/>
      <c r="BM33" s="338"/>
      <c r="BN33" s="343"/>
      <c r="BO33" s="343"/>
      <c r="BP33" s="343"/>
      <c r="BQ33" s="343"/>
      <c r="BR33" s="343"/>
      <c r="BS33" s="338"/>
      <c r="BT33" s="343"/>
      <c r="BU33" s="343"/>
      <c r="BV33" s="343"/>
      <c r="BW33" s="343"/>
      <c r="BX33" s="194"/>
      <c r="BY33" s="194"/>
      <c r="BZ33" s="202"/>
      <c r="CA33" s="194"/>
      <c r="CB33" s="332"/>
      <c r="CC33" s="328">
        <f t="shared" si="14"/>
        <v>0</v>
      </c>
      <c r="CD33" s="343"/>
      <c r="CE33" s="343"/>
      <c r="CF33" s="343"/>
      <c r="CG33" s="343"/>
      <c r="CH33" s="343"/>
      <c r="CI33" s="343"/>
      <c r="CJ33" s="343"/>
      <c r="CK33" s="478"/>
      <c r="CL33" s="478"/>
      <c r="CM33" s="478"/>
      <c r="CN33" s="478"/>
      <c r="CO33" s="478"/>
      <c r="CP33" s="195"/>
      <c r="CQ33" s="344"/>
      <c r="CR33" s="344"/>
      <c r="CS33" s="344"/>
      <c r="CT33" s="346"/>
      <c r="CU33" s="338"/>
      <c r="CV33" s="338"/>
      <c r="CW33" s="338"/>
      <c r="CX33" s="343"/>
      <c r="CY33" s="343"/>
      <c r="CZ33" s="343"/>
      <c r="DA33" s="343"/>
      <c r="DB33" s="343"/>
      <c r="DC33" s="338"/>
      <c r="DD33" s="343"/>
      <c r="DE33" s="343"/>
      <c r="DF33" s="343"/>
      <c r="DG33" s="343"/>
      <c r="DH33" s="194"/>
      <c r="DI33" s="194"/>
      <c r="DJ33" s="196">
        <v>0</v>
      </c>
      <c r="DK33" s="194"/>
      <c r="DL33" s="332"/>
      <c r="DM33" s="328">
        <f t="shared" si="15"/>
        <v>0</v>
      </c>
      <c r="DN33" s="343"/>
      <c r="DO33" s="343"/>
      <c r="DP33" s="343"/>
      <c r="DQ33" s="343"/>
      <c r="DR33" s="343"/>
      <c r="DS33" s="343"/>
      <c r="DT33" s="343"/>
      <c r="DU33" s="343"/>
      <c r="DV33" s="343"/>
      <c r="DW33" s="343"/>
      <c r="DX33" s="343"/>
      <c r="DY33" s="343"/>
      <c r="DZ33" s="195"/>
      <c r="EA33" s="344"/>
      <c r="EB33" s="344"/>
      <c r="EC33" s="344"/>
      <c r="ED33" s="346"/>
      <c r="EE33" s="338"/>
      <c r="EF33" s="338"/>
      <c r="EG33" s="338"/>
      <c r="EH33" s="343"/>
      <c r="EI33" s="343"/>
      <c r="EJ33" s="343"/>
      <c r="EK33" s="343"/>
      <c r="EL33" s="343"/>
      <c r="EM33" s="338"/>
      <c r="EN33" s="343"/>
      <c r="EO33" s="343"/>
      <c r="EP33" s="343"/>
      <c r="EQ33" s="343"/>
      <c r="ER33" s="114"/>
      <c r="ES33" s="499"/>
      <c r="ET33" s="112"/>
    </row>
    <row r="34" spans="1:151" ht="11.85" customHeight="1" outlineLevel="2">
      <c r="A34" s="112"/>
      <c r="B34" s="153">
        <v>3</v>
      </c>
      <c r="C34" s="213">
        <v>4</v>
      </c>
      <c r="D34" s="214" t="s">
        <v>33</v>
      </c>
      <c r="E34" s="114"/>
      <c r="F34" s="197"/>
      <c r="G34" s="194"/>
      <c r="H34" s="328"/>
      <c r="I34" s="328">
        <f t="shared" si="12"/>
        <v>0</v>
      </c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343"/>
      <c r="U34" s="343"/>
      <c r="V34" s="195"/>
      <c r="W34" s="344"/>
      <c r="X34" s="344"/>
      <c r="Y34" s="344"/>
      <c r="Z34" s="198"/>
      <c r="AA34" s="338"/>
      <c r="AB34" s="338"/>
      <c r="AC34" s="338"/>
      <c r="AD34" s="343"/>
      <c r="AE34" s="343"/>
      <c r="AF34" s="343"/>
      <c r="AG34" s="343"/>
      <c r="AH34" s="343"/>
      <c r="AI34" s="338"/>
      <c r="AJ34" s="343"/>
      <c r="AK34" s="343"/>
      <c r="AL34" s="343"/>
      <c r="AM34" s="343"/>
      <c r="AN34" s="354"/>
      <c r="AO34" s="354"/>
      <c r="AP34" s="196"/>
      <c r="AQ34" s="194"/>
      <c r="AR34" s="201"/>
      <c r="AS34" s="328">
        <f t="shared" si="13"/>
        <v>0</v>
      </c>
      <c r="AT34" s="343"/>
      <c r="AU34" s="343"/>
      <c r="AV34" s="343"/>
      <c r="AW34" s="343"/>
      <c r="AX34" s="343"/>
      <c r="AY34" s="343"/>
      <c r="AZ34" s="343"/>
      <c r="BA34" s="343"/>
      <c r="BB34" s="343"/>
      <c r="BC34" s="343"/>
      <c r="BD34" s="343"/>
      <c r="BE34" s="343"/>
      <c r="BF34" s="195"/>
      <c r="BG34" s="344"/>
      <c r="BH34" s="344"/>
      <c r="BI34" s="344"/>
      <c r="BJ34" s="198"/>
      <c r="BK34" s="338"/>
      <c r="BL34" s="338"/>
      <c r="BM34" s="338"/>
      <c r="BN34" s="343"/>
      <c r="BO34" s="343"/>
      <c r="BP34" s="343"/>
      <c r="BQ34" s="343"/>
      <c r="BR34" s="343"/>
      <c r="BS34" s="338"/>
      <c r="BT34" s="343"/>
      <c r="BU34" s="343"/>
      <c r="BV34" s="343"/>
      <c r="BW34" s="343"/>
      <c r="BX34" s="194"/>
      <c r="BY34" s="194"/>
      <c r="BZ34" s="202"/>
      <c r="CA34" s="194"/>
      <c r="CB34" s="332"/>
      <c r="CC34" s="328">
        <f t="shared" si="14"/>
        <v>0</v>
      </c>
      <c r="CD34" s="343"/>
      <c r="CE34" s="343"/>
      <c r="CF34" s="343"/>
      <c r="CG34" s="343"/>
      <c r="CH34" s="343"/>
      <c r="CI34" s="343"/>
      <c r="CJ34" s="343"/>
      <c r="CK34" s="478"/>
      <c r="CL34" s="478"/>
      <c r="CM34" s="478"/>
      <c r="CN34" s="478"/>
      <c r="CO34" s="478"/>
      <c r="CP34" s="195"/>
      <c r="CQ34" s="344"/>
      <c r="CR34" s="344"/>
      <c r="CS34" s="344"/>
      <c r="CT34" s="198"/>
      <c r="CU34" s="338"/>
      <c r="CV34" s="338"/>
      <c r="CW34" s="338"/>
      <c r="CX34" s="343"/>
      <c r="CY34" s="343"/>
      <c r="CZ34" s="343"/>
      <c r="DA34" s="343"/>
      <c r="DB34" s="343"/>
      <c r="DC34" s="338"/>
      <c r="DD34" s="343"/>
      <c r="DE34" s="343"/>
      <c r="DF34" s="343"/>
      <c r="DG34" s="343"/>
      <c r="DH34" s="194"/>
      <c r="DI34" s="194"/>
      <c r="DJ34" s="196"/>
      <c r="DK34" s="194"/>
      <c r="DL34" s="332"/>
      <c r="DM34" s="328">
        <f t="shared" si="15"/>
        <v>0</v>
      </c>
      <c r="DN34" s="343"/>
      <c r="DO34" s="343"/>
      <c r="DP34" s="343"/>
      <c r="DQ34" s="343"/>
      <c r="DR34" s="343"/>
      <c r="DS34" s="343"/>
      <c r="DT34" s="343"/>
      <c r="DU34" s="343"/>
      <c r="DV34" s="343"/>
      <c r="DW34" s="343"/>
      <c r="DX34" s="343"/>
      <c r="DY34" s="343"/>
      <c r="DZ34" s="195"/>
      <c r="EA34" s="344"/>
      <c r="EB34" s="344"/>
      <c r="EC34" s="344"/>
      <c r="ED34" s="198"/>
      <c r="EE34" s="338"/>
      <c r="EF34" s="338"/>
      <c r="EG34" s="338"/>
      <c r="EH34" s="343"/>
      <c r="EI34" s="343"/>
      <c r="EJ34" s="343"/>
      <c r="EK34" s="343"/>
      <c r="EL34" s="343"/>
      <c r="EM34" s="338"/>
      <c r="EN34" s="343"/>
      <c r="EO34" s="343"/>
      <c r="EP34" s="343"/>
      <c r="EQ34" s="343"/>
      <c r="ER34" s="114"/>
      <c r="ES34" s="499"/>
      <c r="ET34" s="112"/>
    </row>
    <row r="35" spans="1:151" ht="11.85" customHeight="1" outlineLevel="2">
      <c r="A35" s="112"/>
      <c r="B35" s="153">
        <v>4</v>
      </c>
      <c r="C35" s="213">
        <v>5</v>
      </c>
      <c r="D35" s="214" t="s">
        <v>34</v>
      </c>
      <c r="E35" s="114"/>
      <c r="F35" s="197"/>
      <c r="G35" s="194"/>
      <c r="H35" s="328"/>
      <c r="I35" s="328">
        <f t="shared" si="12"/>
        <v>0</v>
      </c>
      <c r="J35" s="343"/>
      <c r="K35" s="343"/>
      <c r="L35" s="343"/>
      <c r="M35" s="343"/>
      <c r="N35" s="343"/>
      <c r="O35" s="343"/>
      <c r="P35" s="343"/>
      <c r="Q35" s="343"/>
      <c r="R35" s="343"/>
      <c r="S35" s="343"/>
      <c r="T35" s="343"/>
      <c r="U35" s="343"/>
      <c r="V35" s="195"/>
      <c r="W35" s="344"/>
      <c r="X35" s="344"/>
      <c r="Y35" s="344"/>
      <c r="Z35" s="346"/>
      <c r="AA35" s="338"/>
      <c r="AB35" s="338"/>
      <c r="AC35" s="338"/>
      <c r="AD35" s="343"/>
      <c r="AE35" s="343"/>
      <c r="AF35" s="343"/>
      <c r="AG35" s="343"/>
      <c r="AH35" s="343"/>
      <c r="AI35" s="338"/>
      <c r="AJ35" s="343"/>
      <c r="AK35" s="343"/>
      <c r="AL35" s="343"/>
      <c r="AM35" s="343"/>
      <c r="AN35" s="354"/>
      <c r="AO35" s="354"/>
      <c r="AP35" s="196"/>
      <c r="AQ35" s="194"/>
      <c r="AR35" s="201"/>
      <c r="AS35" s="328">
        <f t="shared" si="13"/>
        <v>0</v>
      </c>
      <c r="AT35" s="343"/>
      <c r="AU35" s="343"/>
      <c r="AV35" s="343"/>
      <c r="AW35" s="343"/>
      <c r="AX35" s="343"/>
      <c r="AY35" s="343"/>
      <c r="AZ35" s="343"/>
      <c r="BA35" s="343"/>
      <c r="BB35" s="343"/>
      <c r="BC35" s="343"/>
      <c r="BD35" s="343"/>
      <c r="BE35" s="343"/>
      <c r="BF35" s="195"/>
      <c r="BG35" s="344"/>
      <c r="BH35" s="344"/>
      <c r="BI35" s="344"/>
      <c r="BJ35" s="346"/>
      <c r="BK35" s="338"/>
      <c r="BL35" s="338"/>
      <c r="BM35" s="338"/>
      <c r="BN35" s="343"/>
      <c r="BO35" s="343"/>
      <c r="BP35" s="343"/>
      <c r="BQ35" s="343"/>
      <c r="BR35" s="343"/>
      <c r="BS35" s="338"/>
      <c r="BT35" s="343"/>
      <c r="BU35" s="343"/>
      <c r="BV35" s="343"/>
      <c r="BW35" s="343"/>
      <c r="BX35" s="194"/>
      <c r="BY35" s="194"/>
      <c r="BZ35" s="202"/>
      <c r="CA35" s="194"/>
      <c r="CB35" s="332"/>
      <c r="CC35" s="328">
        <f t="shared" si="14"/>
        <v>0</v>
      </c>
      <c r="CD35" s="343"/>
      <c r="CE35" s="343"/>
      <c r="CF35" s="343"/>
      <c r="CG35" s="343"/>
      <c r="CH35" s="343"/>
      <c r="CI35" s="343"/>
      <c r="CJ35" s="343"/>
      <c r="CK35" s="478"/>
      <c r="CL35" s="478"/>
      <c r="CM35" s="478"/>
      <c r="CN35" s="478"/>
      <c r="CO35" s="478"/>
      <c r="CP35" s="195"/>
      <c r="CQ35" s="344"/>
      <c r="CR35" s="344"/>
      <c r="CS35" s="344"/>
      <c r="CT35" s="346"/>
      <c r="CU35" s="338"/>
      <c r="CV35" s="338"/>
      <c r="CW35" s="338"/>
      <c r="CX35" s="343"/>
      <c r="CY35" s="343"/>
      <c r="CZ35" s="343"/>
      <c r="DA35" s="343"/>
      <c r="DB35" s="343"/>
      <c r="DC35" s="338"/>
      <c r="DD35" s="343"/>
      <c r="DE35" s="343"/>
      <c r="DF35" s="343"/>
      <c r="DG35" s="343"/>
      <c r="DH35" s="194"/>
      <c r="DI35" s="194"/>
      <c r="DJ35" s="196">
        <v>0</v>
      </c>
      <c r="DK35" s="194"/>
      <c r="DL35" s="332"/>
      <c r="DM35" s="328">
        <f t="shared" si="15"/>
        <v>0</v>
      </c>
      <c r="DN35" s="343"/>
      <c r="DO35" s="343"/>
      <c r="DP35" s="343"/>
      <c r="DQ35" s="343"/>
      <c r="DR35" s="343"/>
      <c r="DS35" s="343"/>
      <c r="DT35" s="343"/>
      <c r="DU35" s="343"/>
      <c r="DV35" s="343"/>
      <c r="DW35" s="343"/>
      <c r="DX35" s="343"/>
      <c r="DY35" s="343"/>
      <c r="DZ35" s="195"/>
      <c r="EA35" s="344"/>
      <c r="EB35" s="344"/>
      <c r="EC35" s="344"/>
      <c r="ED35" s="346"/>
      <c r="EE35" s="338"/>
      <c r="EF35" s="338"/>
      <c r="EG35" s="338"/>
      <c r="EH35" s="343"/>
      <c r="EI35" s="343"/>
      <c r="EJ35" s="343"/>
      <c r="EK35" s="343"/>
      <c r="EL35" s="343"/>
      <c r="EM35" s="338"/>
      <c r="EN35" s="343"/>
      <c r="EO35" s="343"/>
      <c r="EP35" s="343"/>
      <c r="EQ35" s="343"/>
      <c r="ER35" s="114"/>
      <c r="ES35" s="499"/>
      <c r="ET35" s="114"/>
      <c r="EU35" s="91"/>
    </row>
    <row r="36" spans="1:151" ht="11.85" customHeight="1" outlineLevel="2">
      <c r="A36" s="112"/>
      <c r="B36" s="153">
        <v>5</v>
      </c>
      <c r="C36" s="213">
        <v>6</v>
      </c>
      <c r="D36" s="214" t="s">
        <v>35</v>
      </c>
      <c r="E36" s="114"/>
      <c r="F36" s="197"/>
      <c r="G36" s="194"/>
      <c r="H36" s="328"/>
      <c r="I36" s="328">
        <f t="shared" si="12"/>
        <v>0</v>
      </c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195"/>
      <c r="W36" s="344"/>
      <c r="X36" s="344"/>
      <c r="Y36" s="344"/>
      <c r="Z36" s="346"/>
      <c r="AA36" s="355"/>
      <c r="AB36" s="338"/>
      <c r="AC36" s="338"/>
      <c r="AD36" s="343"/>
      <c r="AE36" s="343"/>
      <c r="AF36" s="343"/>
      <c r="AG36" s="343"/>
      <c r="AH36" s="343"/>
      <c r="AI36" s="338"/>
      <c r="AJ36" s="343"/>
      <c r="AK36" s="343"/>
      <c r="AL36" s="343"/>
      <c r="AM36" s="343"/>
      <c r="AN36" s="338"/>
      <c r="AO36" s="338"/>
      <c r="AP36" s="196"/>
      <c r="AQ36" s="194"/>
      <c r="AR36" s="201"/>
      <c r="AS36" s="328">
        <f t="shared" si="13"/>
        <v>0</v>
      </c>
      <c r="AT36" s="343"/>
      <c r="AU36" s="343"/>
      <c r="AV36" s="343"/>
      <c r="AW36" s="343"/>
      <c r="AX36" s="343"/>
      <c r="AY36" s="343"/>
      <c r="AZ36" s="343"/>
      <c r="BA36" s="343"/>
      <c r="BB36" s="343"/>
      <c r="BC36" s="343"/>
      <c r="BD36" s="343"/>
      <c r="BE36" s="343"/>
      <c r="BF36" s="195"/>
      <c r="BG36" s="344"/>
      <c r="BH36" s="344"/>
      <c r="BI36" s="344"/>
      <c r="BJ36" s="346"/>
      <c r="BK36" s="355"/>
      <c r="BL36" s="338"/>
      <c r="BM36" s="338"/>
      <c r="BN36" s="343"/>
      <c r="BO36" s="343"/>
      <c r="BP36" s="343"/>
      <c r="BQ36" s="343"/>
      <c r="BR36" s="343"/>
      <c r="BS36" s="338"/>
      <c r="BT36" s="343"/>
      <c r="BU36" s="343"/>
      <c r="BV36" s="343"/>
      <c r="BW36" s="343"/>
      <c r="BX36" s="194"/>
      <c r="BY36" s="194"/>
      <c r="BZ36" s="202"/>
      <c r="CA36" s="194"/>
      <c r="CB36" s="332"/>
      <c r="CC36" s="328">
        <f t="shared" si="14"/>
        <v>0</v>
      </c>
      <c r="CD36" s="343"/>
      <c r="CE36" s="343"/>
      <c r="CF36" s="343"/>
      <c r="CG36" s="343"/>
      <c r="CH36" s="343"/>
      <c r="CI36" s="343"/>
      <c r="CJ36" s="343"/>
      <c r="CK36" s="478"/>
      <c r="CL36" s="478"/>
      <c r="CM36" s="478"/>
      <c r="CN36" s="478"/>
      <c r="CO36" s="478"/>
      <c r="CP36" s="195"/>
      <c r="CQ36" s="344"/>
      <c r="CR36" s="344"/>
      <c r="CS36" s="344"/>
      <c r="CT36" s="346"/>
      <c r="CU36" s="355"/>
      <c r="CV36" s="338"/>
      <c r="CW36" s="338"/>
      <c r="CX36" s="343"/>
      <c r="CY36" s="343"/>
      <c r="CZ36" s="343"/>
      <c r="DA36" s="343"/>
      <c r="DB36" s="343"/>
      <c r="DC36" s="338"/>
      <c r="DD36" s="343"/>
      <c r="DE36" s="343"/>
      <c r="DF36" s="343"/>
      <c r="DG36" s="343"/>
      <c r="DH36" s="194"/>
      <c r="DI36" s="194"/>
      <c r="DJ36" s="196">
        <v>0</v>
      </c>
      <c r="DK36" s="194"/>
      <c r="DL36" s="332"/>
      <c r="DM36" s="328">
        <f t="shared" si="15"/>
        <v>0</v>
      </c>
      <c r="DN36" s="343"/>
      <c r="DO36" s="343"/>
      <c r="DP36" s="343"/>
      <c r="DQ36" s="343"/>
      <c r="DR36" s="343"/>
      <c r="DS36" s="343"/>
      <c r="DT36" s="343"/>
      <c r="DU36" s="343"/>
      <c r="DV36" s="343"/>
      <c r="DW36" s="343"/>
      <c r="DX36" s="343"/>
      <c r="DY36" s="343"/>
      <c r="DZ36" s="195"/>
      <c r="EA36" s="344"/>
      <c r="EB36" s="344"/>
      <c r="EC36" s="344"/>
      <c r="ED36" s="346"/>
      <c r="EE36" s="355"/>
      <c r="EF36" s="338"/>
      <c r="EG36" s="338"/>
      <c r="EH36" s="343"/>
      <c r="EI36" s="343"/>
      <c r="EJ36" s="343"/>
      <c r="EK36" s="343"/>
      <c r="EL36" s="343"/>
      <c r="EM36" s="338"/>
      <c r="EN36" s="343"/>
      <c r="EO36" s="343"/>
      <c r="EP36" s="343"/>
      <c r="EQ36" s="343"/>
      <c r="ER36" s="114"/>
      <c r="ES36" s="499"/>
      <c r="ET36" s="114"/>
      <c r="EU36" s="91"/>
    </row>
    <row r="37" spans="1:151" ht="11.85" customHeight="1" outlineLevel="2">
      <c r="A37" s="112"/>
      <c r="B37" s="153"/>
      <c r="C37" s="213">
        <v>7</v>
      </c>
      <c r="D37" s="214" t="s">
        <v>36</v>
      </c>
      <c r="E37" s="114"/>
      <c r="F37" s="197"/>
      <c r="G37" s="194"/>
      <c r="H37" s="328">
        <f>$H$30/$F$30*F37</f>
        <v>0</v>
      </c>
      <c r="I37" s="328">
        <f t="shared" si="12"/>
        <v>0</v>
      </c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343"/>
      <c r="V37" s="195"/>
      <c r="W37" s="344"/>
      <c r="X37" s="344"/>
      <c r="Y37" s="344"/>
      <c r="Z37" s="346"/>
      <c r="AA37" s="355"/>
      <c r="AB37" s="338"/>
      <c r="AC37" s="338"/>
      <c r="AD37" s="343"/>
      <c r="AE37" s="343"/>
      <c r="AF37" s="343"/>
      <c r="AG37" s="343"/>
      <c r="AH37" s="343"/>
      <c r="AI37" s="338"/>
      <c r="AJ37" s="343"/>
      <c r="AK37" s="343"/>
      <c r="AL37" s="343"/>
      <c r="AM37" s="343"/>
      <c r="AN37" s="338"/>
      <c r="AO37" s="338"/>
      <c r="AP37" s="196">
        <v>0</v>
      </c>
      <c r="AQ37" s="194"/>
      <c r="AR37" s="201">
        <v>0</v>
      </c>
      <c r="AS37" s="328">
        <f t="shared" si="13"/>
        <v>0</v>
      </c>
      <c r="AT37" s="343"/>
      <c r="AU37" s="343"/>
      <c r="AV37" s="343"/>
      <c r="AW37" s="343"/>
      <c r="AX37" s="343"/>
      <c r="AY37" s="343"/>
      <c r="AZ37" s="343"/>
      <c r="BA37" s="343"/>
      <c r="BB37" s="343"/>
      <c r="BC37" s="343"/>
      <c r="BD37" s="343"/>
      <c r="BE37" s="343"/>
      <c r="BF37" s="195"/>
      <c r="BG37" s="344"/>
      <c r="BH37" s="344"/>
      <c r="BI37" s="344"/>
      <c r="BJ37" s="346"/>
      <c r="BK37" s="355"/>
      <c r="BL37" s="338"/>
      <c r="BM37" s="338"/>
      <c r="BN37" s="343"/>
      <c r="BO37" s="343"/>
      <c r="BP37" s="343"/>
      <c r="BQ37" s="343"/>
      <c r="BR37" s="343"/>
      <c r="BS37" s="338"/>
      <c r="BT37" s="343"/>
      <c r="BU37" s="343"/>
      <c r="BV37" s="343"/>
      <c r="BW37" s="343"/>
      <c r="BX37" s="194"/>
      <c r="BY37" s="194"/>
      <c r="BZ37" s="196">
        <v>0</v>
      </c>
      <c r="CA37" s="194"/>
      <c r="CB37" s="332">
        <f>$CB$30/$BZ$30*BZ37</f>
        <v>0</v>
      </c>
      <c r="CC37" s="328">
        <f t="shared" si="14"/>
        <v>0</v>
      </c>
      <c r="CD37" s="343"/>
      <c r="CE37" s="343"/>
      <c r="CF37" s="343"/>
      <c r="CG37" s="343"/>
      <c r="CH37" s="343"/>
      <c r="CI37" s="343"/>
      <c r="CJ37" s="343"/>
      <c r="CK37" s="478"/>
      <c r="CL37" s="478"/>
      <c r="CM37" s="478"/>
      <c r="CN37" s="478"/>
      <c r="CO37" s="478"/>
      <c r="CP37" s="195"/>
      <c r="CQ37" s="344"/>
      <c r="CR37" s="344"/>
      <c r="CS37" s="344"/>
      <c r="CT37" s="346"/>
      <c r="CU37" s="355"/>
      <c r="CV37" s="338"/>
      <c r="CW37" s="338"/>
      <c r="CX37" s="343"/>
      <c r="CY37" s="343"/>
      <c r="CZ37" s="343"/>
      <c r="DA37" s="343"/>
      <c r="DB37" s="343"/>
      <c r="DC37" s="338"/>
      <c r="DD37" s="343"/>
      <c r="DE37" s="343"/>
      <c r="DF37" s="343"/>
      <c r="DG37" s="343"/>
      <c r="DH37" s="194"/>
      <c r="DI37" s="194"/>
      <c r="DJ37" s="196">
        <v>0</v>
      </c>
      <c r="DK37" s="194"/>
      <c r="DL37" s="332"/>
      <c r="DM37" s="328">
        <f t="shared" si="15"/>
        <v>0</v>
      </c>
      <c r="DN37" s="343"/>
      <c r="DO37" s="343"/>
      <c r="DP37" s="343"/>
      <c r="DQ37" s="343"/>
      <c r="DR37" s="343"/>
      <c r="DS37" s="343"/>
      <c r="DT37" s="343"/>
      <c r="DU37" s="343"/>
      <c r="DV37" s="343"/>
      <c r="DW37" s="343"/>
      <c r="DX37" s="343"/>
      <c r="DY37" s="343"/>
      <c r="DZ37" s="195"/>
      <c r="EA37" s="344"/>
      <c r="EB37" s="344"/>
      <c r="EC37" s="344"/>
      <c r="ED37" s="346"/>
      <c r="EE37" s="355"/>
      <c r="EF37" s="338"/>
      <c r="EG37" s="338"/>
      <c r="EH37" s="343"/>
      <c r="EI37" s="343"/>
      <c r="EJ37" s="343"/>
      <c r="EK37" s="343"/>
      <c r="EL37" s="343"/>
      <c r="EM37" s="338"/>
      <c r="EN37" s="343"/>
      <c r="EO37" s="343"/>
      <c r="EP37" s="343"/>
      <c r="EQ37" s="343"/>
      <c r="ER37" s="114"/>
      <c r="ES37" s="499"/>
      <c r="ET37" s="114"/>
      <c r="EU37" s="91"/>
    </row>
    <row r="38" spans="1:151" ht="3" customHeight="1" outlineLevel="1">
      <c r="A38" s="112"/>
      <c r="B38" s="113"/>
      <c r="C38" s="113"/>
      <c r="D38" s="114"/>
      <c r="E38" s="114"/>
      <c r="F38" s="197"/>
      <c r="G38" s="194"/>
      <c r="H38" s="328"/>
      <c r="I38" s="328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343"/>
      <c r="U38" s="343"/>
      <c r="V38" s="195"/>
      <c r="W38" s="344"/>
      <c r="X38" s="344"/>
      <c r="Y38" s="344"/>
      <c r="Z38" s="346"/>
      <c r="AA38" s="355"/>
      <c r="AB38" s="338"/>
      <c r="AC38" s="338"/>
      <c r="AD38" s="343"/>
      <c r="AE38" s="343"/>
      <c r="AF38" s="343"/>
      <c r="AG38" s="343"/>
      <c r="AH38" s="343"/>
      <c r="AI38" s="338"/>
      <c r="AJ38" s="343"/>
      <c r="AK38" s="343"/>
      <c r="AL38" s="343"/>
      <c r="AM38" s="343"/>
      <c r="AN38" s="338"/>
      <c r="AO38" s="338"/>
      <c r="AP38" s="196"/>
      <c r="AQ38" s="194"/>
      <c r="AR38" s="332"/>
      <c r="AS38" s="328">
        <f t="shared" si="13"/>
        <v>0</v>
      </c>
      <c r="AT38" s="343"/>
      <c r="AU38" s="343"/>
      <c r="AV38" s="343"/>
      <c r="AW38" s="343"/>
      <c r="AX38" s="343"/>
      <c r="AY38" s="343"/>
      <c r="AZ38" s="343"/>
      <c r="BA38" s="343"/>
      <c r="BB38" s="343"/>
      <c r="BC38" s="343"/>
      <c r="BD38" s="343"/>
      <c r="BE38" s="343"/>
      <c r="BF38" s="195"/>
      <c r="BG38" s="344"/>
      <c r="BH38" s="344"/>
      <c r="BI38" s="344"/>
      <c r="BJ38" s="346"/>
      <c r="BK38" s="355"/>
      <c r="BL38" s="338"/>
      <c r="BM38" s="338"/>
      <c r="BN38" s="343"/>
      <c r="BO38" s="343"/>
      <c r="BP38" s="343"/>
      <c r="BQ38" s="343"/>
      <c r="BR38" s="343"/>
      <c r="BS38" s="338"/>
      <c r="BT38" s="343"/>
      <c r="BU38" s="343"/>
      <c r="BV38" s="343"/>
      <c r="BW38" s="343"/>
      <c r="BX38" s="194"/>
      <c r="BY38" s="194"/>
      <c r="BZ38" s="196"/>
      <c r="CA38" s="194"/>
      <c r="CB38" s="332"/>
      <c r="CC38" s="328">
        <f t="shared" si="14"/>
        <v>0</v>
      </c>
      <c r="CD38" s="343"/>
      <c r="CE38" s="343"/>
      <c r="CF38" s="343"/>
      <c r="CG38" s="343"/>
      <c r="CH38" s="343"/>
      <c r="CI38" s="343"/>
      <c r="CJ38" s="343"/>
      <c r="CK38" s="478"/>
      <c r="CL38" s="478"/>
      <c r="CM38" s="478"/>
      <c r="CN38" s="478"/>
      <c r="CO38" s="478"/>
      <c r="CP38" s="195"/>
      <c r="CQ38" s="344"/>
      <c r="CR38" s="344"/>
      <c r="CS38" s="344"/>
      <c r="CT38" s="346"/>
      <c r="CU38" s="355"/>
      <c r="CV38" s="338"/>
      <c r="CW38" s="338"/>
      <c r="CX38" s="343"/>
      <c r="CY38" s="343"/>
      <c r="CZ38" s="343"/>
      <c r="DA38" s="343"/>
      <c r="DB38" s="343"/>
      <c r="DC38" s="338"/>
      <c r="DD38" s="343"/>
      <c r="DE38" s="343"/>
      <c r="DF38" s="343"/>
      <c r="DG38" s="343"/>
      <c r="DH38" s="194"/>
      <c r="DI38" s="194"/>
      <c r="DJ38" s="197"/>
      <c r="DK38" s="194"/>
      <c r="DL38" s="332"/>
      <c r="DM38" s="328">
        <f t="shared" si="15"/>
        <v>0</v>
      </c>
      <c r="DN38" s="343"/>
      <c r="DO38" s="343"/>
      <c r="DP38" s="343"/>
      <c r="DQ38" s="343"/>
      <c r="DR38" s="343"/>
      <c r="DS38" s="343"/>
      <c r="DT38" s="343"/>
      <c r="DU38" s="343"/>
      <c r="DV38" s="343"/>
      <c r="DW38" s="343"/>
      <c r="DX38" s="343"/>
      <c r="DY38" s="343"/>
      <c r="DZ38" s="195"/>
      <c r="EA38" s="344"/>
      <c r="EB38" s="344"/>
      <c r="EC38" s="344"/>
      <c r="ED38" s="346"/>
      <c r="EE38" s="355"/>
      <c r="EF38" s="338"/>
      <c r="EG38" s="338"/>
      <c r="EH38" s="343"/>
      <c r="EI38" s="343"/>
      <c r="EJ38" s="343"/>
      <c r="EK38" s="343"/>
      <c r="EL38" s="343"/>
      <c r="EM38" s="338"/>
      <c r="EN38" s="343"/>
      <c r="EO38" s="343"/>
      <c r="EP38" s="343"/>
      <c r="EQ38" s="343"/>
      <c r="ER38" s="114"/>
      <c r="ES38" s="499"/>
      <c r="ET38" s="112"/>
    </row>
    <row r="39" spans="1:151" ht="11.85" customHeight="1" outlineLevel="1">
      <c r="A39" s="112"/>
      <c r="B39" s="147">
        <v>4</v>
      </c>
      <c r="C39" s="212">
        <v>5</v>
      </c>
      <c r="D39" s="211" t="s">
        <v>37</v>
      </c>
      <c r="E39" s="150"/>
      <c r="F39" s="188">
        <v>0.1</v>
      </c>
      <c r="G39" s="188"/>
      <c r="H39" s="189">
        <f>F39*(5%*'BOQ COST'!$E$4)*1</f>
        <v>0.72803000000000018</v>
      </c>
      <c r="I39" s="189">
        <f t="shared" si="12"/>
        <v>0.72803000000000018</v>
      </c>
      <c r="J39" s="190">
        <f>H39</f>
        <v>0.72803000000000018</v>
      </c>
      <c r="K39" s="190">
        <f t="shared" ref="K39:O39" si="46">SUM(K40:K45)</f>
        <v>0</v>
      </c>
      <c r="L39" s="190">
        <f t="shared" si="46"/>
        <v>0</v>
      </c>
      <c r="M39" s="190">
        <f t="shared" si="46"/>
        <v>0</v>
      </c>
      <c r="N39" s="190">
        <f t="shared" si="46"/>
        <v>0</v>
      </c>
      <c r="O39" s="190">
        <f t="shared" si="46"/>
        <v>0</v>
      </c>
      <c r="P39" s="190"/>
      <c r="Q39" s="190">
        <f t="shared" ref="Q39:U39" si="47">SUM(Q40:Q45)</f>
        <v>0</v>
      </c>
      <c r="R39" s="190">
        <f t="shared" si="47"/>
        <v>0</v>
      </c>
      <c r="S39" s="190">
        <f t="shared" si="47"/>
        <v>0</v>
      </c>
      <c r="T39" s="190">
        <f t="shared" si="47"/>
        <v>0</v>
      </c>
      <c r="U39" s="190">
        <f t="shared" si="47"/>
        <v>0</v>
      </c>
      <c r="V39" s="191"/>
      <c r="W39" s="339"/>
      <c r="X39" s="339"/>
      <c r="Y39" s="339"/>
      <c r="Z39" s="340"/>
      <c r="AA39" s="341"/>
      <c r="AB39" s="342"/>
      <c r="AC39" s="342"/>
      <c r="AD39" s="190"/>
      <c r="AE39" s="190"/>
      <c r="AF39" s="190"/>
      <c r="AG39" s="190"/>
      <c r="AH39" s="190"/>
      <c r="AI39" s="342"/>
      <c r="AJ39" s="190"/>
      <c r="AK39" s="190"/>
      <c r="AL39" s="190"/>
      <c r="AM39" s="190"/>
      <c r="AN39" s="342"/>
      <c r="AO39" s="342"/>
      <c r="AP39" s="188">
        <v>0</v>
      </c>
      <c r="AQ39" s="188"/>
      <c r="AR39" s="192">
        <v>0</v>
      </c>
      <c r="AS39" s="189">
        <f t="shared" si="13"/>
        <v>0</v>
      </c>
      <c r="AT39" s="190">
        <f>SUM(AT40:AT45)</f>
        <v>0</v>
      </c>
      <c r="AU39" s="190">
        <f>SUM(AU40:AU45)</f>
        <v>0</v>
      </c>
      <c r="AV39" s="190"/>
      <c r="AW39" s="190"/>
      <c r="AX39" s="190"/>
      <c r="AY39" s="190"/>
      <c r="AZ39" s="190"/>
      <c r="BA39" s="190">
        <f t="shared" ref="BA39:BE39" si="48">SUM(BA40:BA45)</f>
        <v>0</v>
      </c>
      <c r="BB39" s="190">
        <f t="shared" si="48"/>
        <v>0</v>
      </c>
      <c r="BC39" s="190">
        <f t="shared" si="48"/>
        <v>0</v>
      </c>
      <c r="BD39" s="190">
        <f t="shared" si="48"/>
        <v>0</v>
      </c>
      <c r="BE39" s="190">
        <f t="shared" si="48"/>
        <v>0</v>
      </c>
      <c r="BF39" s="191"/>
      <c r="BG39" s="339"/>
      <c r="BH39" s="339"/>
      <c r="BI39" s="339"/>
      <c r="BJ39" s="340"/>
      <c r="BK39" s="341"/>
      <c r="BL39" s="342"/>
      <c r="BM39" s="342"/>
      <c r="BN39" s="190"/>
      <c r="BO39" s="190"/>
      <c r="BP39" s="190"/>
      <c r="BQ39" s="190"/>
      <c r="BR39" s="190"/>
      <c r="BS39" s="342"/>
      <c r="BT39" s="190"/>
      <c r="BU39" s="190"/>
      <c r="BV39" s="190"/>
      <c r="BW39" s="190"/>
      <c r="BX39" s="188"/>
      <c r="BY39" s="188"/>
      <c r="BZ39" s="188">
        <v>0</v>
      </c>
      <c r="CA39" s="188"/>
      <c r="CB39" s="192">
        <v>0</v>
      </c>
      <c r="CC39" s="189">
        <f t="shared" si="14"/>
        <v>0</v>
      </c>
      <c r="CD39" s="190">
        <f>SUM(CD40:CD45)</f>
        <v>0</v>
      </c>
      <c r="CE39" s="190">
        <f>SUM(CE40:CE45)</f>
        <v>0</v>
      </c>
      <c r="CF39" s="190"/>
      <c r="CG39" s="190"/>
      <c r="CH39" s="190"/>
      <c r="CI39" s="190"/>
      <c r="CJ39" s="190"/>
      <c r="CK39" s="477">
        <f t="shared" ref="CK39:CO39" si="49">SUM(CK40:CK45)</f>
        <v>0</v>
      </c>
      <c r="CL39" s="477">
        <f t="shared" si="49"/>
        <v>0</v>
      </c>
      <c r="CM39" s="477">
        <f t="shared" si="49"/>
        <v>0</v>
      </c>
      <c r="CN39" s="477">
        <f t="shared" si="49"/>
        <v>0</v>
      </c>
      <c r="CO39" s="477">
        <f t="shared" si="49"/>
        <v>0</v>
      </c>
      <c r="CP39" s="191"/>
      <c r="CQ39" s="339"/>
      <c r="CR39" s="339"/>
      <c r="CS39" s="339"/>
      <c r="CT39" s="340"/>
      <c r="CU39" s="341"/>
      <c r="CV39" s="342"/>
      <c r="CW39" s="342"/>
      <c r="CX39" s="190"/>
      <c r="CY39" s="190"/>
      <c r="CZ39" s="190"/>
      <c r="DA39" s="190"/>
      <c r="DB39" s="190"/>
      <c r="DC39" s="342"/>
      <c r="DD39" s="190"/>
      <c r="DE39" s="190"/>
      <c r="DF39" s="190"/>
      <c r="DG39" s="190"/>
      <c r="DH39" s="188"/>
      <c r="DI39" s="188"/>
      <c r="DJ39" s="188">
        <v>0.05</v>
      </c>
      <c r="DK39" s="188"/>
      <c r="DL39" s="199">
        <f>DJ39*(7%*'BOQ COST'!$H$4)*1</f>
        <v>3.6697500000000003E-3</v>
      </c>
      <c r="DM39" s="189">
        <f t="shared" si="15"/>
        <v>3.6697500000000003E-3</v>
      </c>
      <c r="DN39" s="190">
        <f>DL39</f>
        <v>3.6697500000000003E-3</v>
      </c>
      <c r="DO39" s="190">
        <f>SUM(DO40:DO45)</f>
        <v>0</v>
      </c>
      <c r="DP39" s="190"/>
      <c r="DQ39" s="190"/>
      <c r="DR39" s="190"/>
      <c r="DS39" s="190"/>
      <c r="DT39" s="190"/>
      <c r="DU39" s="190">
        <f t="shared" ref="DU39:DY39" si="50">SUM(DU40:DU45)</f>
        <v>0</v>
      </c>
      <c r="DV39" s="190">
        <f t="shared" si="50"/>
        <v>0</v>
      </c>
      <c r="DW39" s="190">
        <f t="shared" si="50"/>
        <v>0</v>
      </c>
      <c r="DX39" s="190">
        <f t="shared" si="50"/>
        <v>0</v>
      </c>
      <c r="DY39" s="190">
        <f t="shared" si="50"/>
        <v>0</v>
      </c>
      <c r="DZ39" s="191"/>
      <c r="EA39" s="339"/>
      <c r="EB39" s="339"/>
      <c r="EC39" s="339"/>
      <c r="ED39" s="351"/>
      <c r="EE39" s="341"/>
      <c r="EF39" s="342"/>
      <c r="EG39" s="342"/>
      <c r="EH39" s="190"/>
      <c r="EI39" s="190"/>
      <c r="EJ39" s="190"/>
      <c r="EK39" s="190"/>
      <c r="EL39" s="190"/>
      <c r="EM39" s="342"/>
      <c r="EN39" s="190"/>
      <c r="EO39" s="190"/>
      <c r="EP39" s="190"/>
      <c r="EQ39" s="190"/>
      <c r="ER39" s="112"/>
      <c r="ES39" s="499"/>
      <c r="ET39" s="112"/>
    </row>
    <row r="40" spans="1:151" ht="11.85" customHeight="1" outlineLevel="2">
      <c r="A40" s="112"/>
      <c r="B40" s="126">
        <v>1</v>
      </c>
      <c r="C40" s="213">
        <v>1</v>
      </c>
      <c r="D40" s="214" t="s">
        <v>38</v>
      </c>
      <c r="E40" s="114"/>
      <c r="F40" s="197"/>
      <c r="G40" s="194"/>
      <c r="H40" s="328"/>
      <c r="I40" s="328">
        <f t="shared" si="12"/>
        <v>0</v>
      </c>
      <c r="J40" s="343"/>
      <c r="K40" s="343"/>
      <c r="L40" s="343"/>
      <c r="M40" s="343"/>
      <c r="N40" s="343"/>
      <c r="O40" s="343"/>
      <c r="P40" s="343"/>
      <c r="Q40" s="343"/>
      <c r="R40" s="343"/>
      <c r="S40" s="343"/>
      <c r="T40" s="343"/>
      <c r="U40" s="343"/>
      <c r="V40" s="195"/>
      <c r="W40" s="344"/>
      <c r="X40" s="344"/>
      <c r="Y40" s="344"/>
      <c r="Z40" s="346"/>
      <c r="AA40" s="355"/>
      <c r="AB40" s="338"/>
      <c r="AC40" s="338"/>
      <c r="AD40" s="343"/>
      <c r="AE40" s="343"/>
      <c r="AF40" s="343"/>
      <c r="AG40" s="343"/>
      <c r="AH40" s="343"/>
      <c r="AI40" s="338"/>
      <c r="AJ40" s="343"/>
      <c r="AK40" s="343"/>
      <c r="AL40" s="343"/>
      <c r="AM40" s="343"/>
      <c r="AN40" s="338"/>
      <c r="AO40" s="338"/>
      <c r="AP40" s="196"/>
      <c r="AQ40" s="194"/>
      <c r="AR40" s="201"/>
      <c r="AS40" s="328">
        <f t="shared" si="13"/>
        <v>0</v>
      </c>
      <c r="AT40" s="343"/>
      <c r="AU40" s="343"/>
      <c r="AV40" s="343"/>
      <c r="AW40" s="343"/>
      <c r="AX40" s="343"/>
      <c r="AY40" s="343"/>
      <c r="AZ40" s="343"/>
      <c r="BA40" s="343"/>
      <c r="BB40" s="343"/>
      <c r="BC40" s="343"/>
      <c r="BD40" s="343"/>
      <c r="BE40" s="343"/>
      <c r="BF40" s="195"/>
      <c r="BG40" s="344"/>
      <c r="BH40" s="344"/>
      <c r="BI40" s="344"/>
      <c r="BJ40" s="346"/>
      <c r="BK40" s="355"/>
      <c r="BL40" s="338"/>
      <c r="BM40" s="338"/>
      <c r="BN40" s="343"/>
      <c r="BO40" s="343"/>
      <c r="BP40" s="343"/>
      <c r="BQ40" s="343"/>
      <c r="BR40" s="343"/>
      <c r="BS40" s="338"/>
      <c r="BT40" s="343"/>
      <c r="BU40" s="343"/>
      <c r="BV40" s="343"/>
      <c r="BW40" s="343"/>
      <c r="BX40" s="194"/>
      <c r="BY40" s="194"/>
      <c r="BZ40" s="196"/>
      <c r="CA40" s="194"/>
      <c r="CB40" s="332"/>
      <c r="CC40" s="328">
        <f t="shared" si="14"/>
        <v>0</v>
      </c>
      <c r="CD40" s="343"/>
      <c r="CE40" s="343"/>
      <c r="CF40" s="343"/>
      <c r="CG40" s="343"/>
      <c r="CH40" s="343"/>
      <c r="CI40" s="343"/>
      <c r="CJ40" s="343"/>
      <c r="CK40" s="478"/>
      <c r="CL40" s="478"/>
      <c r="CM40" s="478"/>
      <c r="CN40" s="478"/>
      <c r="CO40" s="478"/>
      <c r="CP40" s="195"/>
      <c r="CQ40" s="344"/>
      <c r="CR40" s="344"/>
      <c r="CS40" s="344"/>
      <c r="CT40" s="346"/>
      <c r="CU40" s="355"/>
      <c r="CV40" s="338"/>
      <c r="CW40" s="338"/>
      <c r="CX40" s="343"/>
      <c r="CY40" s="343"/>
      <c r="CZ40" s="343"/>
      <c r="DA40" s="343"/>
      <c r="DB40" s="343"/>
      <c r="DC40" s="338"/>
      <c r="DD40" s="343"/>
      <c r="DE40" s="343"/>
      <c r="DF40" s="343"/>
      <c r="DG40" s="343"/>
      <c r="DH40" s="194"/>
      <c r="DI40" s="194"/>
      <c r="DJ40" s="196"/>
      <c r="DK40" s="194"/>
      <c r="DL40" s="332"/>
      <c r="DM40" s="328">
        <f t="shared" si="15"/>
        <v>0</v>
      </c>
      <c r="DN40" s="343">
        <f>IFERROR(IF(EA40=100%,DL40,0),0)</f>
        <v>0</v>
      </c>
      <c r="DO40" s="343">
        <f>IFERROR(IF(AND((EA40+EB40)=100%,EA40&lt;1),DL40,0),0)</f>
        <v>0</v>
      </c>
      <c r="DP40" s="343"/>
      <c r="DQ40" s="343"/>
      <c r="DR40" s="343"/>
      <c r="DS40" s="343"/>
      <c r="DT40" s="343"/>
      <c r="DU40" s="343"/>
      <c r="DV40" s="343"/>
      <c r="DW40" s="343"/>
      <c r="DX40" s="343"/>
      <c r="DY40" s="343"/>
      <c r="DZ40" s="195"/>
      <c r="EA40" s="344"/>
      <c r="EB40" s="344"/>
      <c r="EC40" s="344"/>
      <c r="ED40" s="346"/>
      <c r="EE40" s="355"/>
      <c r="EF40" s="338"/>
      <c r="EG40" s="338"/>
      <c r="EH40" s="343"/>
      <c r="EI40" s="343"/>
      <c r="EJ40" s="343"/>
      <c r="EK40" s="343"/>
      <c r="EL40" s="343"/>
      <c r="EM40" s="338"/>
      <c r="EN40" s="343"/>
      <c r="EO40" s="343"/>
      <c r="EP40" s="343"/>
      <c r="EQ40" s="343"/>
      <c r="ER40" s="114"/>
      <c r="ES40" s="499"/>
      <c r="ET40" s="112"/>
    </row>
    <row r="41" spans="1:151" ht="11.85" customHeight="1" outlineLevel="2">
      <c r="A41" s="112"/>
      <c r="B41" s="126"/>
      <c r="C41" s="213">
        <v>2</v>
      </c>
      <c r="D41" s="214" t="s">
        <v>27</v>
      </c>
      <c r="E41" s="114"/>
      <c r="F41" s="197"/>
      <c r="G41" s="194"/>
      <c r="H41" s="328"/>
      <c r="I41" s="328">
        <f t="shared" si="12"/>
        <v>0</v>
      </c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343"/>
      <c r="U41" s="343"/>
      <c r="V41" s="195"/>
      <c r="W41" s="344"/>
      <c r="X41" s="344"/>
      <c r="Y41" s="344"/>
      <c r="Z41" s="346"/>
      <c r="AA41" s="355"/>
      <c r="AB41" s="338"/>
      <c r="AC41" s="338"/>
      <c r="AD41" s="343"/>
      <c r="AE41" s="343"/>
      <c r="AF41" s="343"/>
      <c r="AG41" s="343"/>
      <c r="AH41" s="343"/>
      <c r="AI41" s="338"/>
      <c r="AJ41" s="343"/>
      <c r="AK41" s="343"/>
      <c r="AL41" s="343"/>
      <c r="AM41" s="343"/>
      <c r="AN41" s="338"/>
      <c r="AO41" s="338"/>
      <c r="AP41" s="196"/>
      <c r="AQ41" s="194"/>
      <c r="AR41" s="201"/>
      <c r="AS41" s="328">
        <f t="shared" si="13"/>
        <v>0</v>
      </c>
      <c r="AT41" s="343"/>
      <c r="AU41" s="343"/>
      <c r="AV41" s="343"/>
      <c r="AW41" s="343"/>
      <c r="AX41" s="343"/>
      <c r="AY41" s="343"/>
      <c r="AZ41" s="343"/>
      <c r="BA41" s="343"/>
      <c r="BB41" s="343"/>
      <c r="BC41" s="343"/>
      <c r="BD41" s="343"/>
      <c r="BE41" s="343"/>
      <c r="BF41" s="195"/>
      <c r="BG41" s="344"/>
      <c r="BH41" s="344"/>
      <c r="BI41" s="344"/>
      <c r="BJ41" s="346"/>
      <c r="BK41" s="355"/>
      <c r="BL41" s="338"/>
      <c r="BM41" s="338"/>
      <c r="BN41" s="343"/>
      <c r="BO41" s="343"/>
      <c r="BP41" s="343"/>
      <c r="BQ41" s="343"/>
      <c r="BR41" s="343"/>
      <c r="BS41" s="338"/>
      <c r="BT41" s="343"/>
      <c r="BU41" s="343"/>
      <c r="BV41" s="343"/>
      <c r="BW41" s="343"/>
      <c r="BX41" s="194"/>
      <c r="BY41" s="194"/>
      <c r="BZ41" s="196"/>
      <c r="CA41" s="194"/>
      <c r="CB41" s="332"/>
      <c r="CC41" s="328">
        <f t="shared" si="14"/>
        <v>0</v>
      </c>
      <c r="CD41" s="343"/>
      <c r="CE41" s="343"/>
      <c r="CF41" s="343"/>
      <c r="CG41" s="343"/>
      <c r="CH41" s="343"/>
      <c r="CI41" s="343"/>
      <c r="CJ41" s="343"/>
      <c r="CK41" s="478"/>
      <c r="CL41" s="478"/>
      <c r="CM41" s="478"/>
      <c r="CN41" s="478"/>
      <c r="CO41" s="478"/>
      <c r="CP41" s="195"/>
      <c r="CQ41" s="344"/>
      <c r="CR41" s="344"/>
      <c r="CS41" s="344"/>
      <c r="CT41" s="346"/>
      <c r="CU41" s="355"/>
      <c r="CV41" s="338"/>
      <c r="CW41" s="338"/>
      <c r="CX41" s="343"/>
      <c r="CY41" s="343"/>
      <c r="CZ41" s="343"/>
      <c r="DA41" s="343"/>
      <c r="DB41" s="343"/>
      <c r="DC41" s="338"/>
      <c r="DD41" s="343"/>
      <c r="DE41" s="343"/>
      <c r="DF41" s="343"/>
      <c r="DG41" s="343"/>
      <c r="DH41" s="194"/>
      <c r="DI41" s="194"/>
      <c r="DJ41" s="196"/>
      <c r="DK41" s="194"/>
      <c r="DL41" s="332"/>
      <c r="DM41" s="328">
        <f t="shared" si="15"/>
        <v>0</v>
      </c>
      <c r="DN41" s="343"/>
      <c r="DO41" s="343"/>
      <c r="DP41" s="343"/>
      <c r="DQ41" s="343"/>
      <c r="DR41" s="343"/>
      <c r="DS41" s="343"/>
      <c r="DT41" s="343"/>
      <c r="DU41" s="343"/>
      <c r="DV41" s="343"/>
      <c r="DW41" s="343"/>
      <c r="DX41" s="343"/>
      <c r="DY41" s="343"/>
      <c r="DZ41" s="195"/>
      <c r="EA41" s="344"/>
      <c r="EB41" s="344"/>
      <c r="EC41" s="344"/>
      <c r="ED41" s="346"/>
      <c r="EE41" s="355"/>
      <c r="EF41" s="338"/>
      <c r="EG41" s="338"/>
      <c r="EH41" s="343"/>
      <c r="EI41" s="343"/>
      <c r="EJ41" s="343"/>
      <c r="EK41" s="343"/>
      <c r="EL41" s="343"/>
      <c r="EM41" s="338"/>
      <c r="EN41" s="343"/>
      <c r="EO41" s="343"/>
      <c r="EP41" s="343"/>
      <c r="EQ41" s="343"/>
      <c r="ER41" s="114"/>
      <c r="ES41" s="499"/>
      <c r="ET41" s="112"/>
    </row>
    <row r="42" spans="1:151" ht="11.85" customHeight="1" outlineLevel="2">
      <c r="A42" s="112"/>
      <c r="B42" s="126"/>
      <c r="C42" s="213">
        <v>3</v>
      </c>
      <c r="D42" s="214" t="s">
        <v>28</v>
      </c>
      <c r="E42" s="114"/>
      <c r="F42" s="197"/>
      <c r="G42" s="194"/>
      <c r="H42" s="328"/>
      <c r="I42" s="328">
        <f t="shared" si="12"/>
        <v>0</v>
      </c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343"/>
      <c r="U42" s="343"/>
      <c r="V42" s="195"/>
      <c r="W42" s="344"/>
      <c r="X42" s="344"/>
      <c r="Y42" s="344"/>
      <c r="Z42" s="346"/>
      <c r="AA42" s="355"/>
      <c r="AB42" s="338"/>
      <c r="AC42" s="338"/>
      <c r="AD42" s="343"/>
      <c r="AE42" s="343"/>
      <c r="AF42" s="343"/>
      <c r="AG42" s="343"/>
      <c r="AH42" s="343"/>
      <c r="AI42" s="338"/>
      <c r="AJ42" s="343"/>
      <c r="AK42" s="343"/>
      <c r="AL42" s="343"/>
      <c r="AM42" s="343"/>
      <c r="AN42" s="338"/>
      <c r="AO42" s="338"/>
      <c r="AP42" s="196"/>
      <c r="AQ42" s="194"/>
      <c r="AR42" s="201"/>
      <c r="AS42" s="328">
        <f t="shared" si="13"/>
        <v>0</v>
      </c>
      <c r="AT42" s="343"/>
      <c r="AU42" s="343"/>
      <c r="AV42" s="343"/>
      <c r="AW42" s="343"/>
      <c r="AX42" s="343"/>
      <c r="AY42" s="343"/>
      <c r="AZ42" s="343"/>
      <c r="BA42" s="343"/>
      <c r="BB42" s="343"/>
      <c r="BC42" s="343"/>
      <c r="BD42" s="343"/>
      <c r="BE42" s="343"/>
      <c r="BF42" s="195"/>
      <c r="BG42" s="344"/>
      <c r="BH42" s="344"/>
      <c r="BI42" s="344"/>
      <c r="BJ42" s="346"/>
      <c r="BK42" s="355"/>
      <c r="BL42" s="338"/>
      <c r="BM42" s="338"/>
      <c r="BN42" s="343"/>
      <c r="BO42" s="343"/>
      <c r="BP42" s="343"/>
      <c r="BQ42" s="343"/>
      <c r="BR42" s="343"/>
      <c r="BS42" s="338"/>
      <c r="BT42" s="343"/>
      <c r="BU42" s="343"/>
      <c r="BV42" s="343"/>
      <c r="BW42" s="343"/>
      <c r="BX42" s="194"/>
      <c r="BY42" s="194"/>
      <c r="BZ42" s="196"/>
      <c r="CA42" s="194"/>
      <c r="CB42" s="332"/>
      <c r="CC42" s="328">
        <f t="shared" si="14"/>
        <v>0</v>
      </c>
      <c r="CD42" s="343"/>
      <c r="CE42" s="343"/>
      <c r="CF42" s="343"/>
      <c r="CG42" s="343"/>
      <c r="CH42" s="343"/>
      <c r="CI42" s="343"/>
      <c r="CJ42" s="343"/>
      <c r="CK42" s="478"/>
      <c r="CL42" s="478"/>
      <c r="CM42" s="478"/>
      <c r="CN42" s="478"/>
      <c r="CO42" s="478"/>
      <c r="CP42" s="195"/>
      <c r="CQ42" s="344"/>
      <c r="CR42" s="344"/>
      <c r="CS42" s="344"/>
      <c r="CT42" s="346"/>
      <c r="CU42" s="355"/>
      <c r="CV42" s="338"/>
      <c r="CW42" s="338"/>
      <c r="CX42" s="343"/>
      <c r="CY42" s="343"/>
      <c r="CZ42" s="343"/>
      <c r="DA42" s="343"/>
      <c r="DB42" s="343"/>
      <c r="DC42" s="338"/>
      <c r="DD42" s="343"/>
      <c r="DE42" s="343"/>
      <c r="DF42" s="343"/>
      <c r="DG42" s="343"/>
      <c r="DH42" s="194"/>
      <c r="DI42" s="194"/>
      <c r="DJ42" s="196"/>
      <c r="DK42" s="194"/>
      <c r="DL42" s="332"/>
      <c r="DM42" s="328">
        <f t="shared" si="15"/>
        <v>0</v>
      </c>
      <c r="DN42" s="343"/>
      <c r="DO42" s="343"/>
      <c r="DP42" s="343"/>
      <c r="DQ42" s="343"/>
      <c r="DR42" s="343"/>
      <c r="DS42" s="343"/>
      <c r="DT42" s="343"/>
      <c r="DU42" s="343"/>
      <c r="DV42" s="343"/>
      <c r="DW42" s="343"/>
      <c r="DX42" s="343"/>
      <c r="DY42" s="343"/>
      <c r="DZ42" s="195"/>
      <c r="EA42" s="344"/>
      <c r="EB42" s="344"/>
      <c r="EC42" s="344"/>
      <c r="ED42" s="346"/>
      <c r="EE42" s="355"/>
      <c r="EF42" s="338"/>
      <c r="EG42" s="338"/>
      <c r="EH42" s="343"/>
      <c r="EI42" s="343"/>
      <c r="EJ42" s="343"/>
      <c r="EK42" s="343"/>
      <c r="EL42" s="343"/>
      <c r="EM42" s="338"/>
      <c r="EN42" s="343"/>
      <c r="EO42" s="343"/>
      <c r="EP42" s="343"/>
      <c r="EQ42" s="343"/>
      <c r="ER42" s="114"/>
      <c r="ES42" s="499"/>
      <c r="ET42" s="112"/>
    </row>
    <row r="43" spans="1:151" ht="11.85" customHeight="1" outlineLevel="2">
      <c r="A43" s="112"/>
      <c r="B43" s="126">
        <v>3</v>
      </c>
      <c r="C43" s="213">
        <v>4</v>
      </c>
      <c r="D43" s="214" t="s">
        <v>39</v>
      </c>
      <c r="E43" s="114"/>
      <c r="F43" s="197"/>
      <c r="G43" s="194"/>
      <c r="H43" s="328"/>
      <c r="I43" s="328">
        <f t="shared" si="12"/>
        <v>0</v>
      </c>
      <c r="J43" s="343"/>
      <c r="K43" s="343"/>
      <c r="L43" s="343"/>
      <c r="M43" s="343"/>
      <c r="N43" s="343"/>
      <c r="O43" s="343"/>
      <c r="P43" s="343"/>
      <c r="Q43" s="343"/>
      <c r="R43" s="343"/>
      <c r="S43" s="343"/>
      <c r="T43" s="343"/>
      <c r="U43" s="343"/>
      <c r="V43" s="195"/>
      <c r="W43" s="344"/>
      <c r="X43" s="344"/>
      <c r="Y43" s="344"/>
      <c r="Z43" s="346"/>
      <c r="AA43" s="338"/>
      <c r="AB43" s="338"/>
      <c r="AC43" s="338"/>
      <c r="AD43" s="343"/>
      <c r="AE43" s="343"/>
      <c r="AF43" s="343"/>
      <c r="AG43" s="343"/>
      <c r="AH43" s="343"/>
      <c r="AI43" s="338"/>
      <c r="AJ43" s="343"/>
      <c r="AK43" s="343"/>
      <c r="AL43" s="343"/>
      <c r="AM43" s="343"/>
      <c r="AN43" s="354"/>
      <c r="AO43" s="354"/>
      <c r="AP43" s="196"/>
      <c r="AQ43" s="194"/>
      <c r="AR43" s="201"/>
      <c r="AS43" s="328">
        <f t="shared" si="13"/>
        <v>0</v>
      </c>
      <c r="AT43" s="343"/>
      <c r="AU43" s="343"/>
      <c r="AV43" s="343"/>
      <c r="AW43" s="343"/>
      <c r="AX43" s="343"/>
      <c r="AY43" s="343"/>
      <c r="AZ43" s="343"/>
      <c r="BA43" s="343"/>
      <c r="BB43" s="343"/>
      <c r="BC43" s="343"/>
      <c r="BD43" s="343"/>
      <c r="BE43" s="343"/>
      <c r="BF43" s="195"/>
      <c r="BG43" s="344"/>
      <c r="BH43" s="344"/>
      <c r="BI43" s="344"/>
      <c r="BJ43" s="346"/>
      <c r="BK43" s="338"/>
      <c r="BL43" s="338"/>
      <c r="BM43" s="338"/>
      <c r="BN43" s="343"/>
      <c r="BO43" s="343"/>
      <c r="BP43" s="343"/>
      <c r="BQ43" s="343"/>
      <c r="BR43" s="343"/>
      <c r="BS43" s="338"/>
      <c r="BT43" s="343"/>
      <c r="BU43" s="343"/>
      <c r="BV43" s="343"/>
      <c r="BW43" s="343"/>
      <c r="BX43" s="194"/>
      <c r="BY43" s="194"/>
      <c r="BZ43" s="196"/>
      <c r="CA43" s="194"/>
      <c r="CB43" s="332"/>
      <c r="CC43" s="328">
        <f t="shared" si="14"/>
        <v>0</v>
      </c>
      <c r="CD43" s="343"/>
      <c r="CE43" s="343"/>
      <c r="CF43" s="343"/>
      <c r="CG43" s="343"/>
      <c r="CH43" s="343"/>
      <c r="CI43" s="343"/>
      <c r="CJ43" s="343"/>
      <c r="CK43" s="478"/>
      <c r="CL43" s="478"/>
      <c r="CM43" s="478"/>
      <c r="CN43" s="478"/>
      <c r="CO43" s="478"/>
      <c r="CP43" s="195"/>
      <c r="CQ43" s="344"/>
      <c r="CR43" s="344"/>
      <c r="CS43" s="344"/>
      <c r="CT43" s="346"/>
      <c r="CU43" s="338"/>
      <c r="CV43" s="338"/>
      <c r="CW43" s="338"/>
      <c r="CX43" s="343"/>
      <c r="CY43" s="343"/>
      <c r="CZ43" s="343"/>
      <c r="DA43" s="343"/>
      <c r="DB43" s="343"/>
      <c r="DC43" s="338"/>
      <c r="DD43" s="343"/>
      <c r="DE43" s="343"/>
      <c r="DF43" s="343"/>
      <c r="DG43" s="343"/>
      <c r="DH43" s="194"/>
      <c r="DI43" s="194"/>
      <c r="DJ43" s="196"/>
      <c r="DK43" s="194"/>
      <c r="DL43" s="332"/>
      <c r="DM43" s="328">
        <f t="shared" si="15"/>
        <v>0</v>
      </c>
      <c r="DN43" s="343">
        <f>IFERROR(IF(EA43=100%,DL43,0),0)</f>
        <v>0</v>
      </c>
      <c r="DO43" s="343">
        <f>IFERROR(IF(AND((EA43+EB43)=100%,EA43&lt;1),DL43,0),0)</f>
        <v>0</v>
      </c>
      <c r="DP43" s="343"/>
      <c r="DQ43" s="343"/>
      <c r="DR43" s="343"/>
      <c r="DS43" s="343"/>
      <c r="DT43" s="343"/>
      <c r="DU43" s="343"/>
      <c r="DV43" s="343"/>
      <c r="DW43" s="343"/>
      <c r="DX43" s="343"/>
      <c r="DY43" s="343"/>
      <c r="DZ43" s="195"/>
      <c r="EA43" s="344"/>
      <c r="EB43" s="344"/>
      <c r="EC43" s="344"/>
      <c r="ED43" s="346"/>
      <c r="EE43" s="338"/>
      <c r="EF43" s="338"/>
      <c r="EG43" s="338"/>
      <c r="EH43" s="343"/>
      <c r="EI43" s="343"/>
      <c r="EJ43" s="343"/>
      <c r="EK43" s="343"/>
      <c r="EL43" s="343"/>
      <c r="EM43" s="338"/>
      <c r="EN43" s="343"/>
      <c r="EO43" s="343"/>
      <c r="EP43" s="343"/>
      <c r="EQ43" s="343"/>
      <c r="ER43" s="114"/>
      <c r="ES43" s="499"/>
      <c r="ET43" s="112"/>
    </row>
    <row r="44" spans="1:151" ht="11.85" customHeight="1" outlineLevel="2">
      <c r="A44" s="112"/>
      <c r="B44" s="126">
        <v>4</v>
      </c>
      <c r="C44" s="213">
        <v>5</v>
      </c>
      <c r="D44" s="214" t="s">
        <v>40</v>
      </c>
      <c r="E44" s="114"/>
      <c r="F44" s="197"/>
      <c r="G44" s="194"/>
      <c r="H44" s="328"/>
      <c r="I44" s="328">
        <f t="shared" si="12"/>
        <v>0</v>
      </c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343"/>
      <c r="U44" s="343"/>
      <c r="V44" s="195"/>
      <c r="W44" s="344"/>
      <c r="X44" s="344"/>
      <c r="Y44" s="344"/>
      <c r="Z44" s="198"/>
      <c r="AA44" s="338"/>
      <c r="AB44" s="338"/>
      <c r="AC44" s="338"/>
      <c r="AD44" s="343"/>
      <c r="AE44" s="343"/>
      <c r="AF44" s="343"/>
      <c r="AG44" s="343"/>
      <c r="AH44" s="343"/>
      <c r="AI44" s="338"/>
      <c r="AJ44" s="343"/>
      <c r="AK44" s="343"/>
      <c r="AL44" s="343"/>
      <c r="AM44" s="343"/>
      <c r="AN44" s="354"/>
      <c r="AO44" s="354"/>
      <c r="AP44" s="196"/>
      <c r="AQ44" s="194"/>
      <c r="AR44" s="201"/>
      <c r="AS44" s="328">
        <f t="shared" si="13"/>
        <v>0</v>
      </c>
      <c r="AT44" s="343"/>
      <c r="AU44" s="343"/>
      <c r="AV44" s="343"/>
      <c r="AW44" s="343"/>
      <c r="AX44" s="343"/>
      <c r="AY44" s="343"/>
      <c r="AZ44" s="343"/>
      <c r="BA44" s="343"/>
      <c r="BB44" s="343"/>
      <c r="BC44" s="343"/>
      <c r="BD44" s="343"/>
      <c r="BE44" s="343"/>
      <c r="BF44" s="195"/>
      <c r="BG44" s="344"/>
      <c r="BH44" s="344"/>
      <c r="BI44" s="344"/>
      <c r="BJ44" s="198"/>
      <c r="BK44" s="338"/>
      <c r="BL44" s="338"/>
      <c r="BM44" s="338"/>
      <c r="BN44" s="343"/>
      <c r="BO44" s="343"/>
      <c r="BP44" s="343"/>
      <c r="BQ44" s="343"/>
      <c r="BR44" s="343"/>
      <c r="BS44" s="338"/>
      <c r="BT44" s="343"/>
      <c r="BU44" s="343"/>
      <c r="BV44" s="343"/>
      <c r="BW44" s="343"/>
      <c r="BX44" s="194"/>
      <c r="BY44" s="194"/>
      <c r="BZ44" s="196"/>
      <c r="CA44" s="194"/>
      <c r="CB44" s="332"/>
      <c r="CC44" s="328">
        <f t="shared" si="14"/>
        <v>0</v>
      </c>
      <c r="CD44" s="343"/>
      <c r="CE44" s="343"/>
      <c r="CF44" s="343"/>
      <c r="CG44" s="343"/>
      <c r="CH44" s="343"/>
      <c r="CI44" s="343"/>
      <c r="CJ44" s="343"/>
      <c r="CK44" s="478"/>
      <c r="CL44" s="478"/>
      <c r="CM44" s="478"/>
      <c r="CN44" s="478"/>
      <c r="CO44" s="478"/>
      <c r="CP44" s="195"/>
      <c r="CQ44" s="344"/>
      <c r="CR44" s="344"/>
      <c r="CS44" s="344"/>
      <c r="CT44" s="198"/>
      <c r="CU44" s="338"/>
      <c r="CV44" s="338"/>
      <c r="CW44" s="338"/>
      <c r="CX44" s="343"/>
      <c r="CY44" s="343"/>
      <c r="CZ44" s="343"/>
      <c r="DA44" s="343"/>
      <c r="DB44" s="343"/>
      <c r="DC44" s="338"/>
      <c r="DD44" s="343"/>
      <c r="DE44" s="343"/>
      <c r="DF44" s="343"/>
      <c r="DG44" s="343"/>
      <c r="DH44" s="194"/>
      <c r="DI44" s="194"/>
      <c r="DJ44" s="196"/>
      <c r="DK44" s="194"/>
      <c r="DL44" s="332"/>
      <c r="DM44" s="328">
        <f t="shared" si="15"/>
        <v>0</v>
      </c>
      <c r="DN44" s="343">
        <f>IFERROR(IF(EA44=100%,DL44,0),0)</f>
        <v>0</v>
      </c>
      <c r="DO44" s="343">
        <f>IFERROR(IF(AND((EA44+EB44)=100%,EA44&lt;1),DL44,0),0)</f>
        <v>0</v>
      </c>
      <c r="DP44" s="343"/>
      <c r="DQ44" s="343"/>
      <c r="DR44" s="343"/>
      <c r="DS44" s="343"/>
      <c r="DT44" s="343"/>
      <c r="DU44" s="343"/>
      <c r="DV44" s="343"/>
      <c r="DW44" s="343"/>
      <c r="DX44" s="343"/>
      <c r="DY44" s="343"/>
      <c r="DZ44" s="195"/>
      <c r="EA44" s="344"/>
      <c r="EB44" s="344"/>
      <c r="EC44" s="344"/>
      <c r="ED44" s="198"/>
      <c r="EE44" s="338"/>
      <c r="EF44" s="338"/>
      <c r="EG44" s="338"/>
      <c r="EH44" s="343"/>
      <c r="EI44" s="343"/>
      <c r="EJ44" s="343"/>
      <c r="EK44" s="343"/>
      <c r="EL44" s="343"/>
      <c r="EM44" s="338"/>
      <c r="EN44" s="343"/>
      <c r="EO44" s="343"/>
      <c r="EP44" s="343"/>
      <c r="EQ44" s="343"/>
      <c r="ER44" s="114"/>
      <c r="ES44" s="499"/>
      <c r="ET44" s="112"/>
    </row>
    <row r="45" spans="1:151" ht="11.85" customHeight="1" outlineLevel="2">
      <c r="A45" s="112"/>
      <c r="B45" s="126">
        <v>5</v>
      </c>
      <c r="C45" s="213">
        <v>6</v>
      </c>
      <c r="D45" s="214" t="s">
        <v>41</v>
      </c>
      <c r="E45" s="114"/>
      <c r="F45" s="196"/>
      <c r="G45" s="194"/>
      <c r="H45" s="328"/>
      <c r="I45" s="328">
        <f t="shared" si="12"/>
        <v>0</v>
      </c>
      <c r="J45" s="343"/>
      <c r="K45" s="343"/>
      <c r="L45" s="343"/>
      <c r="M45" s="343"/>
      <c r="N45" s="343"/>
      <c r="O45" s="343"/>
      <c r="P45" s="343"/>
      <c r="Q45" s="343"/>
      <c r="R45" s="343"/>
      <c r="S45" s="343"/>
      <c r="T45" s="343"/>
      <c r="U45" s="343"/>
      <c r="V45" s="195"/>
      <c r="W45" s="344"/>
      <c r="X45" s="344"/>
      <c r="Y45" s="344"/>
      <c r="Z45" s="345"/>
      <c r="AA45" s="338"/>
      <c r="AB45" s="338"/>
      <c r="AC45" s="338"/>
      <c r="AD45" s="343"/>
      <c r="AE45" s="343"/>
      <c r="AF45" s="343"/>
      <c r="AG45" s="343"/>
      <c r="AH45" s="343"/>
      <c r="AI45" s="338"/>
      <c r="AJ45" s="343"/>
      <c r="AK45" s="343"/>
      <c r="AL45" s="343"/>
      <c r="AM45" s="343"/>
      <c r="AN45" s="354"/>
      <c r="AO45" s="354"/>
      <c r="AP45" s="196"/>
      <c r="AQ45" s="194"/>
      <c r="AR45" s="201"/>
      <c r="AS45" s="328">
        <f t="shared" si="13"/>
        <v>0</v>
      </c>
      <c r="AT45" s="343"/>
      <c r="AU45" s="343"/>
      <c r="AV45" s="343"/>
      <c r="AW45" s="343"/>
      <c r="AX45" s="343"/>
      <c r="AY45" s="343"/>
      <c r="AZ45" s="343"/>
      <c r="BA45" s="343"/>
      <c r="BB45" s="343"/>
      <c r="BC45" s="343"/>
      <c r="BD45" s="343"/>
      <c r="BE45" s="343"/>
      <c r="BF45" s="195"/>
      <c r="BG45" s="344"/>
      <c r="BH45" s="344"/>
      <c r="BI45" s="344"/>
      <c r="BJ45" s="345"/>
      <c r="BK45" s="338"/>
      <c r="BL45" s="338"/>
      <c r="BM45" s="338"/>
      <c r="BN45" s="343"/>
      <c r="BO45" s="343"/>
      <c r="BP45" s="343"/>
      <c r="BQ45" s="343"/>
      <c r="BR45" s="343"/>
      <c r="BS45" s="338"/>
      <c r="BT45" s="343"/>
      <c r="BU45" s="343"/>
      <c r="BV45" s="343"/>
      <c r="BW45" s="343"/>
      <c r="BX45" s="194"/>
      <c r="BY45" s="194"/>
      <c r="BZ45" s="196"/>
      <c r="CA45" s="194"/>
      <c r="CB45" s="332"/>
      <c r="CC45" s="328">
        <f t="shared" si="14"/>
        <v>0</v>
      </c>
      <c r="CD45" s="343"/>
      <c r="CE45" s="343"/>
      <c r="CF45" s="343"/>
      <c r="CG45" s="343"/>
      <c r="CH45" s="343"/>
      <c r="CI45" s="343"/>
      <c r="CJ45" s="343"/>
      <c r="CK45" s="478"/>
      <c r="CL45" s="478"/>
      <c r="CM45" s="478"/>
      <c r="CN45" s="478"/>
      <c r="CO45" s="478"/>
      <c r="CP45" s="195"/>
      <c r="CQ45" s="344"/>
      <c r="CR45" s="344"/>
      <c r="CS45" s="344"/>
      <c r="CT45" s="345"/>
      <c r="CU45" s="338"/>
      <c r="CV45" s="338"/>
      <c r="CW45" s="338"/>
      <c r="CX45" s="343"/>
      <c r="CY45" s="343"/>
      <c r="CZ45" s="343"/>
      <c r="DA45" s="343"/>
      <c r="DB45" s="343"/>
      <c r="DC45" s="338"/>
      <c r="DD45" s="343"/>
      <c r="DE45" s="343"/>
      <c r="DF45" s="343"/>
      <c r="DG45" s="343"/>
      <c r="DH45" s="194"/>
      <c r="DI45" s="194"/>
      <c r="DJ45" s="196"/>
      <c r="DK45" s="194"/>
      <c r="DL45" s="332"/>
      <c r="DM45" s="328">
        <f t="shared" si="15"/>
        <v>0</v>
      </c>
      <c r="DN45" s="343">
        <f>IFERROR(IF(EA45=100%,DL45,0),0)</f>
        <v>0</v>
      </c>
      <c r="DO45" s="343">
        <f>IFERROR(IF(AND((EA45+EB45)=100%,EA45&lt;1),DL45,0),0)</f>
        <v>0</v>
      </c>
      <c r="DP45" s="343"/>
      <c r="DQ45" s="343"/>
      <c r="DR45" s="343"/>
      <c r="DS45" s="343"/>
      <c r="DT45" s="343"/>
      <c r="DU45" s="343"/>
      <c r="DV45" s="343"/>
      <c r="DW45" s="343"/>
      <c r="DX45" s="343"/>
      <c r="DY45" s="343"/>
      <c r="DZ45" s="195"/>
      <c r="EA45" s="344"/>
      <c r="EB45" s="344"/>
      <c r="EC45" s="344"/>
      <c r="ED45" s="345"/>
      <c r="EE45" s="338"/>
      <c r="EF45" s="338"/>
      <c r="EG45" s="338"/>
      <c r="EH45" s="343"/>
      <c r="EI45" s="343"/>
      <c r="EJ45" s="343"/>
      <c r="EK45" s="343"/>
      <c r="EL45" s="343"/>
      <c r="EM45" s="338"/>
      <c r="EN45" s="343"/>
      <c r="EO45" s="343"/>
      <c r="EP45" s="343"/>
      <c r="EQ45" s="343"/>
      <c r="ER45" s="114"/>
      <c r="ES45" s="499"/>
      <c r="ET45" s="112"/>
    </row>
    <row r="46" spans="1:151" ht="11.85" customHeight="1" outlineLevel="2">
      <c r="A46" s="112"/>
      <c r="B46" s="126"/>
      <c r="C46" s="213">
        <v>7</v>
      </c>
      <c r="D46" s="214" t="s">
        <v>42</v>
      </c>
      <c r="E46" s="114"/>
      <c r="F46" s="196"/>
      <c r="G46" s="194"/>
      <c r="H46" s="328"/>
      <c r="I46" s="328">
        <f t="shared" si="12"/>
        <v>0</v>
      </c>
      <c r="J46" s="343"/>
      <c r="K46" s="343"/>
      <c r="L46" s="343"/>
      <c r="M46" s="343"/>
      <c r="N46" s="343"/>
      <c r="O46" s="343"/>
      <c r="P46" s="343"/>
      <c r="Q46" s="343"/>
      <c r="R46" s="343"/>
      <c r="S46" s="343"/>
      <c r="T46" s="343"/>
      <c r="U46" s="343"/>
      <c r="V46" s="195"/>
      <c r="W46" s="344"/>
      <c r="X46" s="344"/>
      <c r="Y46" s="344"/>
      <c r="Z46" s="345"/>
      <c r="AA46" s="338"/>
      <c r="AB46" s="338"/>
      <c r="AC46" s="338"/>
      <c r="AD46" s="343"/>
      <c r="AE46" s="343"/>
      <c r="AF46" s="343"/>
      <c r="AG46" s="343"/>
      <c r="AH46" s="343"/>
      <c r="AI46" s="338"/>
      <c r="AJ46" s="343"/>
      <c r="AK46" s="343"/>
      <c r="AL46" s="343"/>
      <c r="AM46" s="343"/>
      <c r="AN46" s="354"/>
      <c r="AO46" s="354"/>
      <c r="AP46" s="196"/>
      <c r="AQ46" s="194"/>
      <c r="AR46" s="201"/>
      <c r="AS46" s="328">
        <f t="shared" si="13"/>
        <v>0</v>
      </c>
      <c r="AT46" s="343"/>
      <c r="AU46" s="343"/>
      <c r="AV46" s="343"/>
      <c r="AW46" s="343"/>
      <c r="AX46" s="343"/>
      <c r="AY46" s="343"/>
      <c r="AZ46" s="343"/>
      <c r="BA46" s="343"/>
      <c r="BB46" s="343"/>
      <c r="BC46" s="343"/>
      <c r="BD46" s="343"/>
      <c r="BE46" s="343"/>
      <c r="BF46" s="195"/>
      <c r="BG46" s="344"/>
      <c r="BH46" s="344"/>
      <c r="BI46" s="344"/>
      <c r="BJ46" s="345"/>
      <c r="BK46" s="338"/>
      <c r="BL46" s="338"/>
      <c r="BM46" s="338"/>
      <c r="BN46" s="343"/>
      <c r="BO46" s="343"/>
      <c r="BP46" s="343"/>
      <c r="BQ46" s="343"/>
      <c r="BR46" s="343"/>
      <c r="BS46" s="338"/>
      <c r="BT46" s="343"/>
      <c r="BU46" s="343"/>
      <c r="BV46" s="343"/>
      <c r="BW46" s="343"/>
      <c r="BX46" s="194"/>
      <c r="BY46" s="194"/>
      <c r="BZ46" s="196"/>
      <c r="CA46" s="194"/>
      <c r="CB46" s="332"/>
      <c r="CC46" s="328">
        <f t="shared" si="14"/>
        <v>0</v>
      </c>
      <c r="CD46" s="343"/>
      <c r="CE46" s="343"/>
      <c r="CF46" s="343"/>
      <c r="CG46" s="343"/>
      <c r="CH46" s="343"/>
      <c r="CI46" s="343"/>
      <c r="CJ46" s="343"/>
      <c r="CK46" s="478"/>
      <c r="CL46" s="478"/>
      <c r="CM46" s="478"/>
      <c r="CN46" s="478"/>
      <c r="CO46" s="478"/>
      <c r="CP46" s="195"/>
      <c r="CQ46" s="344"/>
      <c r="CR46" s="344"/>
      <c r="CS46" s="344"/>
      <c r="CT46" s="345"/>
      <c r="CU46" s="338"/>
      <c r="CV46" s="338"/>
      <c r="CW46" s="338"/>
      <c r="CX46" s="343"/>
      <c r="CY46" s="343"/>
      <c r="CZ46" s="343"/>
      <c r="DA46" s="343"/>
      <c r="DB46" s="343"/>
      <c r="DC46" s="338"/>
      <c r="DD46" s="343"/>
      <c r="DE46" s="343"/>
      <c r="DF46" s="343"/>
      <c r="DG46" s="343"/>
      <c r="DH46" s="194"/>
      <c r="DI46" s="194"/>
      <c r="DJ46" s="196"/>
      <c r="DK46" s="194"/>
      <c r="DL46" s="332"/>
      <c r="DM46" s="328">
        <f t="shared" si="15"/>
        <v>0</v>
      </c>
      <c r="DN46" s="343"/>
      <c r="DO46" s="343"/>
      <c r="DP46" s="343"/>
      <c r="DQ46" s="343"/>
      <c r="DR46" s="343"/>
      <c r="DS46" s="343"/>
      <c r="DT46" s="343"/>
      <c r="DU46" s="343"/>
      <c r="DV46" s="343"/>
      <c r="DW46" s="343"/>
      <c r="DX46" s="343"/>
      <c r="DY46" s="343"/>
      <c r="DZ46" s="195"/>
      <c r="EA46" s="344"/>
      <c r="EB46" s="344"/>
      <c r="EC46" s="344"/>
      <c r="ED46" s="345"/>
      <c r="EE46" s="338"/>
      <c r="EF46" s="338"/>
      <c r="EG46" s="338"/>
      <c r="EH46" s="343"/>
      <c r="EI46" s="343"/>
      <c r="EJ46" s="343"/>
      <c r="EK46" s="343"/>
      <c r="EL46" s="343"/>
      <c r="EM46" s="338"/>
      <c r="EN46" s="343"/>
      <c r="EO46" s="343"/>
      <c r="EP46" s="343"/>
      <c r="EQ46" s="343"/>
      <c r="ER46" s="114"/>
      <c r="ES46" s="499"/>
      <c r="ET46" s="112"/>
    </row>
    <row r="47" spans="1:151" ht="11.85" customHeight="1" outlineLevel="2">
      <c r="A47" s="112"/>
      <c r="B47" s="126"/>
      <c r="C47" s="213">
        <v>8</v>
      </c>
      <c r="D47" s="214" t="s">
        <v>43</v>
      </c>
      <c r="E47" s="114"/>
      <c r="F47" s="196"/>
      <c r="G47" s="194"/>
      <c r="H47" s="328"/>
      <c r="I47" s="328">
        <f t="shared" si="12"/>
        <v>0</v>
      </c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343"/>
      <c r="U47" s="343"/>
      <c r="V47" s="195"/>
      <c r="W47" s="344"/>
      <c r="X47" s="344"/>
      <c r="Y47" s="344"/>
      <c r="Z47" s="345"/>
      <c r="AA47" s="338"/>
      <c r="AB47" s="338"/>
      <c r="AC47" s="338"/>
      <c r="AD47" s="343"/>
      <c r="AE47" s="343"/>
      <c r="AF47" s="343"/>
      <c r="AG47" s="343"/>
      <c r="AH47" s="343"/>
      <c r="AI47" s="338"/>
      <c r="AJ47" s="343"/>
      <c r="AK47" s="343"/>
      <c r="AL47" s="343"/>
      <c r="AM47" s="343"/>
      <c r="AN47" s="354"/>
      <c r="AO47" s="354"/>
      <c r="AP47" s="196"/>
      <c r="AQ47" s="194"/>
      <c r="AR47" s="201"/>
      <c r="AS47" s="328">
        <f t="shared" si="13"/>
        <v>0</v>
      </c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195"/>
      <c r="BG47" s="344"/>
      <c r="BH47" s="344"/>
      <c r="BI47" s="344"/>
      <c r="BJ47" s="345"/>
      <c r="BK47" s="338"/>
      <c r="BL47" s="338"/>
      <c r="BM47" s="338"/>
      <c r="BN47" s="343"/>
      <c r="BO47" s="343"/>
      <c r="BP47" s="343"/>
      <c r="BQ47" s="343"/>
      <c r="BR47" s="343"/>
      <c r="BS47" s="338"/>
      <c r="BT47" s="343"/>
      <c r="BU47" s="343"/>
      <c r="BV47" s="343"/>
      <c r="BW47" s="343"/>
      <c r="BX47" s="194"/>
      <c r="BY47" s="194"/>
      <c r="BZ47" s="196"/>
      <c r="CA47" s="194"/>
      <c r="CB47" s="332"/>
      <c r="CC47" s="328">
        <f t="shared" si="14"/>
        <v>0</v>
      </c>
      <c r="CD47" s="343"/>
      <c r="CE47" s="343"/>
      <c r="CF47" s="343"/>
      <c r="CG47" s="343"/>
      <c r="CH47" s="343"/>
      <c r="CI47" s="343"/>
      <c r="CJ47" s="343"/>
      <c r="CK47" s="478"/>
      <c r="CL47" s="478"/>
      <c r="CM47" s="478"/>
      <c r="CN47" s="478"/>
      <c r="CO47" s="478"/>
      <c r="CP47" s="195"/>
      <c r="CQ47" s="344"/>
      <c r="CR47" s="344"/>
      <c r="CS47" s="344"/>
      <c r="CT47" s="345"/>
      <c r="CU47" s="338"/>
      <c r="CV47" s="338"/>
      <c r="CW47" s="338"/>
      <c r="CX47" s="343"/>
      <c r="CY47" s="343"/>
      <c r="CZ47" s="343"/>
      <c r="DA47" s="343"/>
      <c r="DB47" s="343"/>
      <c r="DC47" s="338"/>
      <c r="DD47" s="343"/>
      <c r="DE47" s="343"/>
      <c r="DF47" s="343"/>
      <c r="DG47" s="343"/>
      <c r="DH47" s="194"/>
      <c r="DI47" s="194"/>
      <c r="DJ47" s="196"/>
      <c r="DK47" s="194"/>
      <c r="DL47" s="332"/>
      <c r="DM47" s="328">
        <f t="shared" si="15"/>
        <v>0</v>
      </c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195"/>
      <c r="EA47" s="344"/>
      <c r="EB47" s="344"/>
      <c r="EC47" s="344"/>
      <c r="ED47" s="345"/>
      <c r="EE47" s="338"/>
      <c r="EF47" s="338"/>
      <c r="EG47" s="338"/>
      <c r="EH47" s="343"/>
      <c r="EI47" s="343"/>
      <c r="EJ47" s="343"/>
      <c r="EK47" s="343"/>
      <c r="EL47" s="343"/>
      <c r="EM47" s="338"/>
      <c r="EN47" s="343"/>
      <c r="EO47" s="343"/>
      <c r="EP47" s="343"/>
      <c r="EQ47" s="343"/>
      <c r="ER47" s="114"/>
      <c r="ES47" s="500"/>
      <c r="ET47" s="112"/>
    </row>
    <row r="48" spans="1:151" ht="3" hidden="1" customHeight="1">
      <c r="A48" s="112"/>
      <c r="B48" s="113"/>
      <c r="C48" s="153"/>
      <c r="D48" s="114"/>
      <c r="E48" s="114"/>
      <c r="F48" s="197"/>
      <c r="G48" s="194"/>
      <c r="H48" s="328"/>
      <c r="I48" s="328"/>
      <c r="J48" s="343"/>
      <c r="K48" s="343"/>
      <c r="L48" s="343"/>
      <c r="M48" s="343"/>
      <c r="N48" s="343"/>
      <c r="O48" s="343"/>
      <c r="P48" s="343"/>
      <c r="Q48" s="343"/>
      <c r="R48" s="343"/>
      <c r="S48" s="343"/>
      <c r="T48" s="343"/>
      <c r="U48" s="343"/>
      <c r="V48" s="195"/>
      <c r="W48" s="344"/>
      <c r="X48" s="344"/>
      <c r="Y48" s="344"/>
      <c r="Z48" s="345"/>
      <c r="AA48" s="355"/>
      <c r="AB48" s="338"/>
      <c r="AC48" s="338"/>
      <c r="AD48" s="343"/>
      <c r="AE48" s="343"/>
      <c r="AF48" s="343"/>
      <c r="AG48" s="343"/>
      <c r="AH48" s="343"/>
      <c r="AI48" s="338"/>
      <c r="AJ48" s="343"/>
      <c r="AK48" s="343"/>
      <c r="AL48" s="343"/>
      <c r="AM48" s="343"/>
      <c r="AN48" s="338"/>
      <c r="AO48" s="338"/>
      <c r="AP48" s="196"/>
      <c r="AQ48" s="194"/>
      <c r="AR48" s="332"/>
      <c r="AS48" s="328">
        <f t="shared" si="13"/>
        <v>0</v>
      </c>
      <c r="AT48" s="343"/>
      <c r="AU48" s="343"/>
      <c r="AV48" s="343"/>
      <c r="AW48" s="343"/>
      <c r="AX48" s="343"/>
      <c r="AY48" s="343"/>
      <c r="AZ48" s="343"/>
      <c r="BA48" s="343"/>
      <c r="BB48" s="343"/>
      <c r="BC48" s="343"/>
      <c r="BD48" s="343"/>
      <c r="BE48" s="343"/>
      <c r="BF48" s="195"/>
      <c r="BG48" s="344"/>
      <c r="BH48" s="344"/>
      <c r="BI48" s="344"/>
      <c r="BJ48" s="345"/>
      <c r="BK48" s="355"/>
      <c r="BL48" s="338"/>
      <c r="BM48" s="338"/>
      <c r="BN48" s="343"/>
      <c r="BO48" s="343"/>
      <c r="BP48" s="343"/>
      <c r="BQ48" s="343"/>
      <c r="BR48" s="343"/>
      <c r="BS48" s="338"/>
      <c r="BT48" s="343"/>
      <c r="BU48" s="343"/>
      <c r="BV48" s="343"/>
      <c r="BW48" s="343"/>
      <c r="BX48" s="194"/>
      <c r="BY48" s="194"/>
      <c r="BZ48" s="196"/>
      <c r="CA48" s="194"/>
      <c r="CB48" s="332"/>
      <c r="CC48" s="328">
        <f t="shared" si="14"/>
        <v>0</v>
      </c>
      <c r="CD48" s="343"/>
      <c r="CE48" s="343"/>
      <c r="CF48" s="343"/>
      <c r="CG48" s="343"/>
      <c r="CH48" s="343"/>
      <c r="CI48" s="343"/>
      <c r="CJ48" s="343"/>
      <c r="CK48" s="478"/>
      <c r="CL48" s="478"/>
      <c r="CM48" s="478"/>
      <c r="CN48" s="478"/>
      <c r="CO48" s="478"/>
      <c r="CP48" s="195"/>
      <c r="CQ48" s="344"/>
      <c r="CR48" s="344"/>
      <c r="CS48" s="344"/>
      <c r="CT48" s="345"/>
      <c r="CU48" s="355"/>
      <c r="CV48" s="338"/>
      <c r="CW48" s="338"/>
      <c r="CX48" s="343"/>
      <c r="CY48" s="343"/>
      <c r="CZ48" s="343"/>
      <c r="DA48" s="343"/>
      <c r="DB48" s="343"/>
      <c r="DC48" s="338"/>
      <c r="DD48" s="343"/>
      <c r="DE48" s="343"/>
      <c r="DF48" s="343"/>
      <c r="DG48" s="343"/>
      <c r="DH48" s="194"/>
      <c r="DI48" s="194"/>
      <c r="DJ48" s="197"/>
      <c r="DK48" s="194"/>
      <c r="DL48" s="332"/>
      <c r="DM48" s="328">
        <f t="shared" si="15"/>
        <v>0</v>
      </c>
      <c r="DN48" s="343"/>
      <c r="DO48" s="343"/>
      <c r="DP48" s="343"/>
      <c r="DQ48" s="343"/>
      <c r="DR48" s="343"/>
      <c r="DS48" s="343"/>
      <c r="DT48" s="343"/>
      <c r="DU48" s="343"/>
      <c r="DV48" s="343"/>
      <c r="DW48" s="343"/>
      <c r="DX48" s="343"/>
      <c r="DY48" s="343"/>
      <c r="DZ48" s="195"/>
      <c r="EA48" s="344"/>
      <c r="EB48" s="344"/>
      <c r="EC48" s="344"/>
      <c r="ED48" s="345"/>
      <c r="EE48" s="355"/>
      <c r="EF48" s="338"/>
      <c r="EG48" s="338"/>
      <c r="EH48" s="343"/>
      <c r="EI48" s="343"/>
      <c r="EJ48" s="343"/>
      <c r="EK48" s="343"/>
      <c r="EL48" s="343"/>
      <c r="EM48" s="338"/>
      <c r="EN48" s="343"/>
      <c r="EO48" s="343"/>
      <c r="EP48" s="343"/>
      <c r="EQ48" s="343"/>
      <c r="ER48" s="114"/>
      <c r="ES48" s="112"/>
      <c r="ET48" s="112"/>
    </row>
    <row r="49" spans="1:150" ht="17.399999999999999">
      <c r="A49" s="112"/>
      <c r="B49" s="112"/>
      <c r="C49" s="497" t="s">
        <v>44</v>
      </c>
      <c r="D49" s="506"/>
      <c r="E49" s="132"/>
      <c r="F49" s="327"/>
      <c r="G49" s="182"/>
      <c r="H49" s="187">
        <f t="shared" ref="H49:AG49" si="51">H51+H62+H85</f>
        <v>3.6401500000000002</v>
      </c>
      <c r="I49" s="187">
        <f t="shared" si="12"/>
        <v>3.6401500000000011</v>
      </c>
      <c r="J49" s="187">
        <f t="shared" si="51"/>
        <v>1.5476500000000002</v>
      </c>
      <c r="K49" s="187">
        <f>K51+K62+K85</f>
        <v>2.0925000000000007</v>
      </c>
      <c r="L49" s="187">
        <f t="shared" si="51"/>
        <v>2.0925000000000007</v>
      </c>
      <c r="M49" s="187">
        <f t="shared" si="51"/>
        <v>0</v>
      </c>
      <c r="N49" s="187">
        <f t="shared" si="51"/>
        <v>0</v>
      </c>
      <c r="O49" s="187">
        <f t="shared" si="51"/>
        <v>0</v>
      </c>
      <c r="P49" s="187"/>
      <c r="Q49" s="187">
        <f>Q51+Q62+Q85</f>
        <v>2.0925000000000007</v>
      </c>
      <c r="R49" s="187">
        <f t="shared" ref="R49:U49" si="52">R51+R62+R85</f>
        <v>0.98194000000000015</v>
      </c>
      <c r="S49" s="187">
        <f t="shared" si="52"/>
        <v>0.99524000000000024</v>
      </c>
      <c r="T49" s="187">
        <f t="shared" si="52"/>
        <v>0.11532000000000001</v>
      </c>
      <c r="U49" s="187">
        <f t="shared" si="52"/>
        <v>0</v>
      </c>
      <c r="V49" s="187">
        <f t="shared" si="51"/>
        <v>0</v>
      </c>
      <c r="W49" s="187"/>
      <c r="X49" s="187"/>
      <c r="Y49" s="187"/>
      <c r="Z49" s="187">
        <f t="shared" si="51"/>
        <v>0</v>
      </c>
      <c r="AA49" s="187">
        <f t="shared" si="51"/>
        <v>229</v>
      </c>
      <c r="AB49" s="187">
        <f t="shared" si="51"/>
        <v>191</v>
      </c>
      <c r="AC49" s="187">
        <f t="shared" si="51"/>
        <v>38</v>
      </c>
      <c r="AD49" s="187">
        <f t="shared" si="51"/>
        <v>38</v>
      </c>
      <c r="AE49" s="187">
        <f t="shared" si="51"/>
        <v>0</v>
      </c>
      <c r="AF49" s="187">
        <f t="shared" si="51"/>
        <v>0</v>
      </c>
      <c r="AG49" s="187">
        <f t="shared" si="51"/>
        <v>0</v>
      </c>
      <c r="AH49" s="187"/>
      <c r="AI49" s="187">
        <f t="shared" ref="AI49:AM49" si="53">AI51+AI62+AI85</f>
        <v>38</v>
      </c>
      <c r="AJ49" s="187">
        <f t="shared" si="53"/>
        <v>21</v>
      </c>
      <c r="AK49" s="187">
        <f t="shared" si="53"/>
        <v>10</v>
      </c>
      <c r="AL49" s="187">
        <f t="shared" si="53"/>
        <v>7</v>
      </c>
      <c r="AM49" s="187">
        <f t="shared" si="53"/>
        <v>0</v>
      </c>
      <c r="AN49" s="338"/>
      <c r="AO49" s="338"/>
      <c r="AP49" s="331"/>
      <c r="AQ49" s="182"/>
      <c r="AR49" s="187">
        <f>AR51+AR62+AR85</f>
        <v>1.48935105</v>
      </c>
      <c r="AS49" s="187">
        <f t="shared" si="13"/>
        <v>1.4893510499999998</v>
      </c>
      <c r="AT49" s="187">
        <f t="shared" ref="AT49:BQ49" si="54">AT51+AT62+AT85</f>
        <v>0.65318735624999991</v>
      </c>
      <c r="AU49" s="187">
        <f t="shared" si="54"/>
        <v>0.83616369374999999</v>
      </c>
      <c r="AV49" s="187">
        <f t="shared" si="54"/>
        <v>0.83616369374999999</v>
      </c>
      <c r="AW49" s="187">
        <f t="shared" si="54"/>
        <v>0</v>
      </c>
      <c r="AX49" s="187">
        <f t="shared" si="54"/>
        <v>0</v>
      </c>
      <c r="AY49" s="187">
        <f t="shared" si="54"/>
        <v>0</v>
      </c>
      <c r="AZ49" s="187"/>
      <c r="BA49" s="187">
        <f t="shared" si="54"/>
        <v>0.83616369374999999</v>
      </c>
      <c r="BB49" s="187">
        <f t="shared" si="54"/>
        <v>0.5513430937499999</v>
      </c>
      <c r="BC49" s="187">
        <f t="shared" si="54"/>
        <v>0.28482059999999998</v>
      </c>
      <c r="BD49" s="187">
        <f t="shared" si="54"/>
        <v>0</v>
      </c>
      <c r="BE49" s="187">
        <f t="shared" si="54"/>
        <v>0</v>
      </c>
      <c r="BF49" s="187">
        <f t="shared" si="54"/>
        <v>0</v>
      </c>
      <c r="BG49" s="187"/>
      <c r="BH49" s="187"/>
      <c r="BI49" s="187"/>
      <c r="BJ49" s="187">
        <f t="shared" si="54"/>
        <v>0</v>
      </c>
      <c r="BK49" s="187">
        <f t="shared" si="54"/>
        <v>75</v>
      </c>
      <c r="BL49" s="187">
        <f t="shared" si="54"/>
        <v>45</v>
      </c>
      <c r="BM49" s="187">
        <f t="shared" si="54"/>
        <v>30</v>
      </c>
      <c r="BN49" s="187">
        <f t="shared" si="54"/>
        <v>30</v>
      </c>
      <c r="BO49" s="187">
        <f t="shared" si="54"/>
        <v>0</v>
      </c>
      <c r="BP49" s="187">
        <f t="shared" si="54"/>
        <v>0</v>
      </c>
      <c r="BQ49" s="187">
        <f t="shared" si="54"/>
        <v>0</v>
      </c>
      <c r="BR49" s="187"/>
      <c r="BS49" s="187">
        <f t="shared" ref="BS49:BW49" si="55">BS51+BS62+BS85</f>
        <v>30</v>
      </c>
      <c r="BT49" s="187">
        <f t="shared" si="55"/>
        <v>22</v>
      </c>
      <c r="BU49" s="187">
        <f t="shared" si="55"/>
        <v>8</v>
      </c>
      <c r="BV49" s="187">
        <f t="shared" si="55"/>
        <v>0</v>
      </c>
      <c r="BW49" s="187">
        <f t="shared" si="55"/>
        <v>0</v>
      </c>
      <c r="BX49" s="182"/>
      <c r="BY49" s="182"/>
      <c r="BZ49" s="331"/>
      <c r="CA49" s="182"/>
      <c r="CB49" s="187">
        <f>CB51+CB62+CB85</f>
        <v>0.6169811229728277</v>
      </c>
      <c r="CC49" s="187">
        <f t="shared" si="14"/>
        <v>0.57289924506525203</v>
      </c>
      <c r="CD49" s="187">
        <f t="shared" ref="CD49:DA49" si="56">CD51+CD62+CD85</f>
        <v>5.3930714360000014E-2</v>
      </c>
      <c r="CE49" s="187">
        <f t="shared" si="56"/>
        <v>0.56305040861282774</v>
      </c>
      <c r="CF49" s="187">
        <f t="shared" si="56"/>
        <v>0.56305040861282774</v>
      </c>
      <c r="CG49" s="187">
        <f t="shared" si="56"/>
        <v>0</v>
      </c>
      <c r="CH49" s="187">
        <f t="shared" si="56"/>
        <v>0</v>
      </c>
      <c r="CI49" s="187">
        <f t="shared" si="56"/>
        <v>0</v>
      </c>
      <c r="CJ49" s="187"/>
      <c r="CK49" s="475">
        <f>CK51+CK62+CK85</f>
        <v>0.51896853070525206</v>
      </c>
      <c r="CL49" s="475">
        <f t="shared" ref="CL49:CO49" si="57">CL51+CL62+CL85</f>
        <v>0.38006476016525204</v>
      </c>
      <c r="CM49" s="475">
        <f t="shared" si="57"/>
        <v>8.0896071540000017E-2</v>
      </c>
      <c r="CN49" s="475">
        <f t="shared" si="57"/>
        <v>5.8007699000000003E-2</v>
      </c>
      <c r="CO49" s="475">
        <f t="shared" si="57"/>
        <v>0</v>
      </c>
      <c r="CP49" s="187">
        <f t="shared" si="56"/>
        <v>0</v>
      </c>
      <c r="CQ49" s="187"/>
      <c r="CR49" s="187"/>
      <c r="CS49" s="187"/>
      <c r="CT49" s="187">
        <f t="shared" si="56"/>
        <v>0</v>
      </c>
      <c r="CU49" s="187">
        <f t="shared" si="56"/>
        <v>125</v>
      </c>
      <c r="CV49" s="187">
        <f t="shared" si="56"/>
        <v>35</v>
      </c>
      <c r="CW49" s="187">
        <f t="shared" si="56"/>
        <v>90</v>
      </c>
      <c r="CX49" s="187">
        <f t="shared" si="56"/>
        <v>90</v>
      </c>
      <c r="CY49" s="187">
        <f t="shared" si="56"/>
        <v>0</v>
      </c>
      <c r="CZ49" s="187">
        <f t="shared" si="56"/>
        <v>0</v>
      </c>
      <c r="DA49" s="187">
        <f t="shared" si="56"/>
        <v>0</v>
      </c>
      <c r="DB49" s="187"/>
      <c r="DC49" s="187">
        <f t="shared" ref="DC49:DG49" si="58">DC51+DC62+DC85</f>
        <v>86</v>
      </c>
      <c r="DD49" s="187">
        <f t="shared" si="58"/>
        <v>81</v>
      </c>
      <c r="DE49" s="187">
        <f t="shared" si="58"/>
        <v>2</v>
      </c>
      <c r="DF49" s="187">
        <f t="shared" si="58"/>
        <v>3</v>
      </c>
      <c r="DG49" s="187">
        <f t="shared" si="58"/>
        <v>0</v>
      </c>
      <c r="DH49" s="182"/>
      <c r="DI49" s="182"/>
      <c r="DJ49" s="327"/>
      <c r="DK49" s="182"/>
      <c r="DL49" s="187">
        <f>DL51+DL62+DL85</f>
        <v>4.0367250000000007E-2</v>
      </c>
      <c r="DM49" s="187">
        <f t="shared" si="15"/>
        <v>4.036725E-2</v>
      </c>
      <c r="DN49" s="187">
        <f t="shared" ref="DN49:EK49" si="59">DN51+DN62+DN85</f>
        <v>0</v>
      </c>
      <c r="DO49" s="187">
        <f t="shared" si="59"/>
        <v>4.036725E-2</v>
      </c>
      <c r="DP49" s="187">
        <f t="shared" si="59"/>
        <v>4.036725E-2</v>
      </c>
      <c r="DQ49" s="187">
        <f t="shared" si="59"/>
        <v>0</v>
      </c>
      <c r="DR49" s="187">
        <f t="shared" si="59"/>
        <v>0</v>
      </c>
      <c r="DS49" s="187">
        <f t="shared" si="59"/>
        <v>0</v>
      </c>
      <c r="DT49" s="187"/>
      <c r="DU49" s="187">
        <f>DU51+DU62+DU85</f>
        <v>4.036725E-2</v>
      </c>
      <c r="DV49" s="187">
        <f t="shared" ref="DV49:DY49" si="60">DV51+DV62+DV85</f>
        <v>0</v>
      </c>
      <c r="DW49" s="187">
        <f t="shared" si="60"/>
        <v>2.3744000000000001E-2</v>
      </c>
      <c r="DX49" s="187">
        <f t="shared" si="60"/>
        <v>1.6623249999999999E-2</v>
      </c>
      <c r="DY49" s="187">
        <f t="shared" si="60"/>
        <v>0</v>
      </c>
      <c r="DZ49" s="187">
        <f t="shared" si="59"/>
        <v>0</v>
      </c>
      <c r="EA49" s="187"/>
      <c r="EB49" s="187"/>
      <c r="EC49" s="187"/>
      <c r="ED49" s="187">
        <f t="shared" si="59"/>
        <v>0</v>
      </c>
      <c r="EE49" s="187">
        <f t="shared" si="59"/>
        <v>30</v>
      </c>
      <c r="EF49" s="187">
        <f t="shared" si="59"/>
        <v>0</v>
      </c>
      <c r="EG49" s="187">
        <f t="shared" si="59"/>
        <v>30</v>
      </c>
      <c r="EH49" s="187">
        <f t="shared" si="59"/>
        <v>30</v>
      </c>
      <c r="EI49" s="187">
        <f t="shared" si="59"/>
        <v>0</v>
      </c>
      <c r="EJ49" s="187">
        <f t="shared" si="59"/>
        <v>0</v>
      </c>
      <c r="EK49" s="187">
        <f t="shared" si="59"/>
        <v>0</v>
      </c>
      <c r="EL49" s="187"/>
      <c r="EM49" s="187">
        <f t="shared" ref="EM49:EQ49" si="61">EM51+EM62+EM85</f>
        <v>30</v>
      </c>
      <c r="EN49" s="187">
        <f t="shared" si="61"/>
        <v>0</v>
      </c>
      <c r="EO49" s="187">
        <f t="shared" si="61"/>
        <v>12</v>
      </c>
      <c r="EP49" s="187">
        <f t="shared" si="61"/>
        <v>18</v>
      </c>
      <c r="EQ49" s="187">
        <f t="shared" si="61"/>
        <v>0</v>
      </c>
      <c r="ER49" s="132"/>
      <c r="ES49" s="161"/>
      <c r="ET49" s="112"/>
    </row>
    <row r="50" spans="1:150" ht="3" customHeight="1" outlineLevel="1">
      <c r="A50" s="112"/>
      <c r="B50" s="113"/>
      <c r="C50" s="113"/>
      <c r="D50" s="131"/>
      <c r="E50" s="132"/>
      <c r="F50" s="327"/>
      <c r="G50" s="182"/>
      <c r="H50" s="183"/>
      <c r="I50" s="183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330"/>
      <c r="W50" s="330"/>
      <c r="X50" s="330"/>
      <c r="Y50" s="330"/>
      <c r="Z50" s="330"/>
      <c r="AA50" s="338"/>
      <c r="AB50" s="338"/>
      <c r="AC50" s="338"/>
      <c r="AD50" s="184"/>
      <c r="AE50" s="184"/>
      <c r="AF50" s="184"/>
      <c r="AG50" s="184"/>
      <c r="AH50" s="184"/>
      <c r="AI50" s="338"/>
      <c r="AJ50" s="184"/>
      <c r="AK50" s="184"/>
      <c r="AL50" s="184"/>
      <c r="AM50" s="184"/>
      <c r="AN50" s="338"/>
      <c r="AO50" s="338"/>
      <c r="AP50" s="331"/>
      <c r="AQ50" s="182"/>
      <c r="AR50" s="185"/>
      <c r="AS50" s="183">
        <f t="shared" si="13"/>
        <v>0</v>
      </c>
      <c r="AT50" s="184"/>
      <c r="AU50" s="184"/>
      <c r="AV50" s="186"/>
      <c r="AW50" s="186"/>
      <c r="AX50" s="186"/>
      <c r="AY50" s="186"/>
      <c r="AZ50" s="186"/>
      <c r="BA50" s="184"/>
      <c r="BB50" s="184"/>
      <c r="BC50" s="184"/>
      <c r="BD50" s="184"/>
      <c r="BE50" s="184"/>
      <c r="BF50" s="330"/>
      <c r="BG50" s="330"/>
      <c r="BH50" s="330"/>
      <c r="BI50" s="330"/>
      <c r="BJ50" s="330"/>
      <c r="BK50" s="338"/>
      <c r="BL50" s="338"/>
      <c r="BM50" s="338"/>
      <c r="BN50" s="186"/>
      <c r="BO50" s="186"/>
      <c r="BP50" s="186"/>
      <c r="BQ50" s="186"/>
      <c r="BR50" s="186"/>
      <c r="BS50" s="338"/>
      <c r="BT50" s="186"/>
      <c r="BU50" s="186"/>
      <c r="BV50" s="186"/>
      <c r="BW50" s="186"/>
      <c r="BX50" s="182"/>
      <c r="BY50" s="182"/>
      <c r="BZ50" s="331"/>
      <c r="CA50" s="182"/>
      <c r="CB50" s="185"/>
      <c r="CC50" s="183">
        <f t="shared" si="14"/>
        <v>0</v>
      </c>
      <c r="CD50" s="184"/>
      <c r="CE50" s="184"/>
      <c r="CF50" s="186"/>
      <c r="CG50" s="186"/>
      <c r="CH50" s="186"/>
      <c r="CI50" s="186"/>
      <c r="CJ50" s="186"/>
      <c r="CK50" s="476"/>
      <c r="CL50" s="476"/>
      <c r="CM50" s="476"/>
      <c r="CN50" s="476"/>
      <c r="CO50" s="476"/>
      <c r="CP50" s="330"/>
      <c r="CQ50" s="330"/>
      <c r="CR50" s="330"/>
      <c r="CS50" s="330"/>
      <c r="CT50" s="330"/>
      <c r="CU50" s="338"/>
      <c r="CV50" s="338"/>
      <c r="CW50" s="338"/>
      <c r="CX50" s="186"/>
      <c r="CY50" s="186"/>
      <c r="CZ50" s="186"/>
      <c r="DA50" s="186"/>
      <c r="DB50" s="186"/>
      <c r="DC50" s="338"/>
      <c r="DD50" s="186"/>
      <c r="DE50" s="186"/>
      <c r="DF50" s="186"/>
      <c r="DG50" s="186"/>
      <c r="DH50" s="182"/>
      <c r="DI50" s="182"/>
      <c r="DJ50" s="327"/>
      <c r="DK50" s="182"/>
      <c r="DL50" s="185"/>
      <c r="DM50" s="183">
        <f t="shared" si="15"/>
        <v>0</v>
      </c>
      <c r="DN50" s="184"/>
      <c r="DO50" s="184"/>
      <c r="DP50" s="186"/>
      <c r="DQ50" s="186"/>
      <c r="DR50" s="186"/>
      <c r="DS50" s="186"/>
      <c r="DT50" s="186"/>
      <c r="DU50" s="184"/>
      <c r="DV50" s="184"/>
      <c r="DW50" s="184"/>
      <c r="DX50" s="184"/>
      <c r="DY50" s="184"/>
      <c r="DZ50" s="330"/>
      <c r="EA50" s="330"/>
      <c r="EB50" s="330"/>
      <c r="EC50" s="330"/>
      <c r="ED50" s="330"/>
      <c r="EE50" s="338"/>
      <c r="EF50" s="338"/>
      <c r="EG50" s="338"/>
      <c r="EH50" s="186"/>
      <c r="EI50" s="186"/>
      <c r="EJ50" s="186"/>
      <c r="EK50" s="186"/>
      <c r="EL50" s="186"/>
      <c r="EM50" s="338"/>
      <c r="EN50" s="186"/>
      <c r="EO50" s="186"/>
      <c r="EP50" s="186"/>
      <c r="EQ50" s="186"/>
      <c r="ER50" s="132"/>
      <c r="ES50" s="161"/>
      <c r="ET50" s="112"/>
    </row>
    <row r="51" spans="1:150" ht="11.85" customHeight="1" outlineLevel="1">
      <c r="A51" s="112"/>
      <c r="B51" s="148"/>
      <c r="C51" s="212">
        <v>1</v>
      </c>
      <c r="D51" s="211" t="s">
        <v>45</v>
      </c>
      <c r="E51" s="149"/>
      <c r="F51" s="188">
        <f>SUM(F52:F61)</f>
        <v>0.5</v>
      </c>
      <c r="G51" s="188"/>
      <c r="H51" s="494">
        <f>F51*(5%*'BOQ COST'!E7)*1</f>
        <v>2.3920000000000003</v>
      </c>
      <c r="I51" s="203">
        <f t="shared" si="12"/>
        <v>2.3920000000000003</v>
      </c>
      <c r="J51" s="190">
        <f t="shared" ref="J51:AG51" si="62">SUM(J52:J60)</f>
        <v>0.83720000000000017</v>
      </c>
      <c r="K51" s="190">
        <f t="shared" si="62"/>
        <v>1.5548000000000004</v>
      </c>
      <c r="L51" s="190">
        <f t="shared" si="62"/>
        <v>1.5548000000000004</v>
      </c>
      <c r="M51" s="190">
        <f t="shared" si="62"/>
        <v>0</v>
      </c>
      <c r="N51" s="190">
        <f t="shared" si="62"/>
        <v>0</v>
      </c>
      <c r="O51" s="190">
        <f t="shared" si="62"/>
        <v>0</v>
      </c>
      <c r="P51" s="190"/>
      <c r="Q51" s="190">
        <f t="shared" ref="Q51:U51" si="63">SUM(Q52:Q60)</f>
        <v>1.5548000000000004</v>
      </c>
      <c r="R51" s="190">
        <f t="shared" si="63"/>
        <v>0.59800000000000009</v>
      </c>
      <c r="S51" s="190">
        <f t="shared" si="63"/>
        <v>0.95680000000000021</v>
      </c>
      <c r="T51" s="190">
        <f t="shared" si="63"/>
        <v>0</v>
      </c>
      <c r="U51" s="190">
        <f t="shared" si="63"/>
        <v>0</v>
      </c>
      <c r="V51" s="190">
        <f t="shared" si="62"/>
        <v>0</v>
      </c>
      <c r="W51" s="190"/>
      <c r="X51" s="190"/>
      <c r="Y51" s="190"/>
      <c r="Z51" s="190">
        <f t="shared" si="62"/>
        <v>0</v>
      </c>
      <c r="AA51" s="190">
        <f t="shared" si="62"/>
        <v>146</v>
      </c>
      <c r="AB51" s="190">
        <f t="shared" si="62"/>
        <v>122</v>
      </c>
      <c r="AC51" s="190">
        <f t="shared" si="62"/>
        <v>24</v>
      </c>
      <c r="AD51" s="190">
        <f t="shared" si="62"/>
        <v>24</v>
      </c>
      <c r="AE51" s="190">
        <f t="shared" si="62"/>
        <v>0</v>
      </c>
      <c r="AF51" s="190">
        <f t="shared" si="62"/>
        <v>0</v>
      </c>
      <c r="AG51" s="190">
        <f t="shared" si="62"/>
        <v>0</v>
      </c>
      <c r="AH51" s="190"/>
      <c r="AI51" s="190">
        <f t="shared" ref="AI51:AM51" si="64">SUM(AI52:AI60)</f>
        <v>24</v>
      </c>
      <c r="AJ51" s="190">
        <f t="shared" si="64"/>
        <v>17</v>
      </c>
      <c r="AK51" s="190">
        <f t="shared" si="64"/>
        <v>7</v>
      </c>
      <c r="AL51" s="190">
        <f t="shared" si="64"/>
        <v>0</v>
      </c>
      <c r="AM51" s="190">
        <f t="shared" si="64"/>
        <v>0</v>
      </c>
      <c r="AN51" s="342"/>
      <c r="AO51" s="342"/>
      <c r="AP51" s="188">
        <f>SUM(AP52:AP61)</f>
        <v>0.55000000000000004</v>
      </c>
      <c r="AQ51" s="188"/>
      <c r="AR51" s="203">
        <f>AP51*(3%*'BOQ COST'!F7)*1</f>
        <v>0.83193329999999999</v>
      </c>
      <c r="AS51" s="203">
        <f t="shared" si="13"/>
        <v>0.83193329999999999</v>
      </c>
      <c r="AT51" s="190">
        <f>SUM(AT52:AT60)</f>
        <v>0.41596664999999999</v>
      </c>
      <c r="AU51" s="190">
        <f>SUM(AU52:AU60)</f>
        <v>0.41596664999999999</v>
      </c>
      <c r="AV51" s="190">
        <f t="shared" ref="AV51:BQ51" si="65">SUM(AV52:AV60)</f>
        <v>0.41596664999999999</v>
      </c>
      <c r="AW51" s="190">
        <f t="shared" si="65"/>
        <v>0</v>
      </c>
      <c r="AX51" s="190">
        <f t="shared" si="65"/>
        <v>0</v>
      </c>
      <c r="AY51" s="190">
        <f t="shared" si="65"/>
        <v>0</v>
      </c>
      <c r="AZ51" s="190"/>
      <c r="BA51" s="190">
        <f>SUM(BA52:BA60)</f>
        <v>0.41596664999999999</v>
      </c>
      <c r="BB51" s="190">
        <f t="shared" si="65"/>
        <v>0.26470604999999997</v>
      </c>
      <c r="BC51" s="190">
        <f t="shared" si="65"/>
        <v>0.1512606</v>
      </c>
      <c r="BD51" s="190">
        <f t="shared" si="65"/>
        <v>0</v>
      </c>
      <c r="BE51" s="190">
        <f t="shared" si="65"/>
        <v>0</v>
      </c>
      <c r="BF51" s="190">
        <f t="shared" si="65"/>
        <v>0</v>
      </c>
      <c r="BG51" s="190"/>
      <c r="BH51" s="190"/>
      <c r="BI51" s="190"/>
      <c r="BJ51" s="190">
        <f t="shared" si="65"/>
        <v>0</v>
      </c>
      <c r="BK51" s="190">
        <f t="shared" si="65"/>
        <v>56</v>
      </c>
      <c r="BL51" s="190">
        <f t="shared" si="65"/>
        <v>40</v>
      </c>
      <c r="BM51" s="190">
        <f t="shared" si="65"/>
        <v>16</v>
      </c>
      <c r="BN51" s="190">
        <f t="shared" si="65"/>
        <v>16</v>
      </c>
      <c r="BO51" s="190">
        <f t="shared" si="65"/>
        <v>0</v>
      </c>
      <c r="BP51" s="190">
        <f t="shared" si="65"/>
        <v>0</v>
      </c>
      <c r="BQ51" s="190">
        <f t="shared" si="65"/>
        <v>0</v>
      </c>
      <c r="BR51" s="190"/>
      <c r="BS51" s="190">
        <f t="shared" ref="BS51:BW51" si="66">SUM(BS52:BS60)</f>
        <v>16</v>
      </c>
      <c r="BT51" s="190">
        <f t="shared" si="66"/>
        <v>15</v>
      </c>
      <c r="BU51" s="190">
        <f t="shared" si="66"/>
        <v>1</v>
      </c>
      <c r="BV51" s="190">
        <f t="shared" si="66"/>
        <v>0</v>
      </c>
      <c r="BW51" s="190">
        <f t="shared" si="66"/>
        <v>0</v>
      </c>
      <c r="BX51" s="188"/>
      <c r="BY51" s="188"/>
      <c r="BZ51" s="188">
        <f>SUM(BZ52:BZ61)</f>
        <v>0.65000000000000013</v>
      </c>
      <c r="CA51" s="188"/>
      <c r="CB51" s="203">
        <f>BZ51*(2%*'BOQ COST'!G7)*1</f>
        <v>0.35054964334000011</v>
      </c>
      <c r="CC51" s="203">
        <f t="shared" si="14"/>
        <v>0.35054964334000011</v>
      </c>
      <c r="CD51" s="190">
        <f>SUM(CD52:CD60)</f>
        <v>5.3930714360000014E-2</v>
      </c>
      <c r="CE51" s="190">
        <f>SUM(CE52:CE60)</f>
        <v>0.29661892898000009</v>
      </c>
      <c r="CF51" s="190">
        <f t="shared" ref="CF51:DA51" si="67">SUM(CF52:CF60)</f>
        <v>0.29661892898000009</v>
      </c>
      <c r="CG51" s="190">
        <f t="shared" si="67"/>
        <v>0</v>
      </c>
      <c r="CH51" s="190">
        <f t="shared" si="67"/>
        <v>0</v>
      </c>
      <c r="CI51" s="190">
        <f t="shared" si="67"/>
        <v>0</v>
      </c>
      <c r="CJ51" s="190"/>
      <c r="CK51" s="477">
        <f t="shared" si="67"/>
        <v>0.29661892898000009</v>
      </c>
      <c r="CL51" s="477">
        <f t="shared" si="67"/>
        <v>0.21572285744000005</v>
      </c>
      <c r="CM51" s="477">
        <f t="shared" si="67"/>
        <v>8.0896071540000017E-2</v>
      </c>
      <c r="CN51" s="477">
        <f t="shared" si="67"/>
        <v>0</v>
      </c>
      <c r="CO51" s="477">
        <f t="shared" si="67"/>
        <v>0</v>
      </c>
      <c r="CP51" s="190">
        <f t="shared" si="67"/>
        <v>0</v>
      </c>
      <c r="CQ51" s="190"/>
      <c r="CR51" s="190"/>
      <c r="CS51" s="190"/>
      <c r="CT51" s="190">
        <f t="shared" si="67"/>
        <v>0</v>
      </c>
      <c r="CU51" s="190">
        <f t="shared" si="67"/>
        <v>52</v>
      </c>
      <c r="CV51" s="190">
        <f t="shared" si="67"/>
        <v>20</v>
      </c>
      <c r="CW51" s="190">
        <f t="shared" si="67"/>
        <v>32</v>
      </c>
      <c r="CX51" s="190">
        <f t="shared" si="67"/>
        <v>32</v>
      </c>
      <c r="CY51" s="190">
        <f t="shared" si="67"/>
        <v>0</v>
      </c>
      <c r="CZ51" s="190">
        <f t="shared" si="67"/>
        <v>0</v>
      </c>
      <c r="DA51" s="190">
        <f t="shared" si="67"/>
        <v>0</v>
      </c>
      <c r="DB51" s="190"/>
      <c r="DC51" s="190">
        <f t="shared" ref="DC51:DG51" si="68">SUM(DC52:DC60)</f>
        <v>32</v>
      </c>
      <c r="DD51" s="190">
        <f t="shared" si="68"/>
        <v>31</v>
      </c>
      <c r="DE51" s="190">
        <f t="shared" si="68"/>
        <v>1</v>
      </c>
      <c r="DF51" s="190">
        <f t="shared" si="68"/>
        <v>0</v>
      </c>
      <c r="DG51" s="190">
        <f t="shared" si="68"/>
        <v>0</v>
      </c>
      <c r="DH51" s="188"/>
      <c r="DI51" s="188"/>
      <c r="DJ51" s="188">
        <f>SUM(DJ52:DJ61)</f>
        <v>0.55000000000000004</v>
      </c>
      <c r="DK51" s="188"/>
      <c r="DL51" s="192">
        <f>DJ51*(7%*'BOQ COST'!H7)*1</f>
        <v>2.6122250000000003E-2</v>
      </c>
      <c r="DM51" s="203">
        <f t="shared" si="15"/>
        <v>2.612225E-2</v>
      </c>
      <c r="DN51" s="190">
        <f>SUM(DN52:DN60)</f>
        <v>0</v>
      </c>
      <c r="DO51" s="190">
        <f>SUM(DO52:DO60)</f>
        <v>2.612225E-2</v>
      </c>
      <c r="DP51" s="190">
        <f t="shared" ref="DP51:EK51" si="69">SUM(DP52:DP60)</f>
        <v>2.612225E-2</v>
      </c>
      <c r="DQ51" s="190">
        <f t="shared" si="69"/>
        <v>0</v>
      </c>
      <c r="DR51" s="190">
        <f t="shared" si="69"/>
        <v>0</v>
      </c>
      <c r="DS51" s="190">
        <f t="shared" si="69"/>
        <v>0</v>
      </c>
      <c r="DT51" s="190"/>
      <c r="DU51" s="190">
        <f t="shared" si="69"/>
        <v>2.612225E-2</v>
      </c>
      <c r="DV51" s="190">
        <f t="shared" si="69"/>
        <v>0</v>
      </c>
      <c r="DW51" s="190">
        <f t="shared" si="69"/>
        <v>9.4990000000000005E-3</v>
      </c>
      <c r="DX51" s="190">
        <f t="shared" si="69"/>
        <v>1.6623249999999999E-2</v>
      </c>
      <c r="DY51" s="190">
        <f t="shared" si="69"/>
        <v>0</v>
      </c>
      <c r="DZ51" s="190">
        <f t="shared" si="69"/>
        <v>0</v>
      </c>
      <c r="EA51" s="190"/>
      <c r="EB51" s="190"/>
      <c r="EC51" s="190"/>
      <c r="ED51" s="190">
        <f t="shared" si="69"/>
        <v>0</v>
      </c>
      <c r="EE51" s="190">
        <f t="shared" si="69"/>
        <v>19</v>
      </c>
      <c r="EF51" s="190">
        <f t="shared" si="69"/>
        <v>0</v>
      </c>
      <c r="EG51" s="190">
        <f t="shared" si="69"/>
        <v>19</v>
      </c>
      <c r="EH51" s="190">
        <f t="shared" si="69"/>
        <v>19</v>
      </c>
      <c r="EI51" s="190">
        <f t="shared" si="69"/>
        <v>0</v>
      </c>
      <c r="EJ51" s="190">
        <f t="shared" si="69"/>
        <v>0</v>
      </c>
      <c r="EK51" s="190">
        <f t="shared" si="69"/>
        <v>0</v>
      </c>
      <c r="EL51" s="190"/>
      <c r="EM51" s="190">
        <f t="shared" ref="EM51:EQ51" si="70">SUM(EM52:EM60)</f>
        <v>19</v>
      </c>
      <c r="EN51" s="190">
        <f t="shared" si="70"/>
        <v>0</v>
      </c>
      <c r="EO51" s="190">
        <f t="shared" si="70"/>
        <v>1</v>
      </c>
      <c r="EP51" s="190">
        <f t="shared" si="70"/>
        <v>18</v>
      </c>
      <c r="EQ51" s="190">
        <f t="shared" si="70"/>
        <v>0</v>
      </c>
      <c r="ER51" s="112"/>
      <c r="ES51" s="499"/>
      <c r="ET51" s="112"/>
    </row>
    <row r="52" spans="1:150" ht="11.85" customHeight="1" outlineLevel="2">
      <c r="A52" s="112"/>
      <c r="B52" s="162" t="s">
        <v>46</v>
      </c>
      <c r="C52" s="213">
        <v>1</v>
      </c>
      <c r="D52" s="214" t="s">
        <v>47</v>
      </c>
      <c r="E52" s="114"/>
      <c r="F52" s="197">
        <v>0.05</v>
      </c>
      <c r="G52" s="194"/>
      <c r="H52" s="395">
        <f t="shared" ref="H52:H60" si="71">$H$51/$F$51*F52</f>
        <v>0.23920000000000005</v>
      </c>
      <c r="I52" s="395">
        <f t="shared" si="12"/>
        <v>0.23920000000000005</v>
      </c>
      <c r="J52" s="395">
        <f t="shared" ref="J52:J60" si="72">IFERROR(IF(W52=100%,H52,0),0)</f>
        <v>0.23920000000000005</v>
      </c>
      <c r="K52" s="395">
        <f t="shared" ref="K52:K60" si="73">IFERROR(IF(AND((W52+X52)=100%,W52&lt;1),H52,0),0)</f>
        <v>0</v>
      </c>
      <c r="L52" s="395">
        <f t="shared" ref="L52:L60" si="74">IFERROR(IF(AND((AB52+AD52)=AA52,J52=0),H52,0),0)</f>
        <v>0</v>
      </c>
      <c r="M52" s="395">
        <f t="shared" ref="M52:M60" si="75">IFERROR(IF(AND((AB52+AD52+AE52)=AA52,J52=0,L52=0),H52,0),0)</f>
        <v>0</v>
      </c>
      <c r="N52" s="395">
        <f t="shared" ref="N52:N60" si="76">IFERROR(IF(AND((AB52+AD52+AE52+AF52)=AA52,J52=0,K52=0,L52=0,M52=0),H52,0),0)</f>
        <v>0</v>
      </c>
      <c r="O52" s="395">
        <f t="shared" ref="O52:O60" si="77">IFERROR(IF(AND((AB52+AD52+AE52+AF52+AG52)=AA52,J52=0,K52=0,L52=0,M52=0,N52=0),H52,0),0)</f>
        <v>0</v>
      </c>
      <c r="P52" s="343"/>
      <c r="Q52" s="343">
        <f t="shared" ref="Q52:Q60" si="78">IFERROR(IF(AND((W52+Y52)=100%,W52&lt;1),H52,0),0)</f>
        <v>0</v>
      </c>
      <c r="R52" s="343">
        <f t="shared" ref="R52:R60" si="79">IFERROR(IF(AND((AB52+AJ52)=AA52,J52=0),H52,0),0)</f>
        <v>0</v>
      </c>
      <c r="S52" s="343">
        <f t="shared" ref="S52:S60" si="80">IFERROR(IF(AND((AB52+AJ52+AK52)=AA52,J52=0,R52=0),H52,0),0)</f>
        <v>0</v>
      </c>
      <c r="T52" s="343">
        <f t="shared" ref="T52:T60" si="81">IFERROR(IF(AND((AB52+AJ52+AK52+AL52)=AA52,J52=0,R52=0,S52=0),H52,0),0)</f>
        <v>0</v>
      </c>
      <c r="U52" s="343">
        <f t="shared" ref="U52:U60" si="82">IFERROR(IF(AND((AB52+AJ52+AK52+AL52+AM52)=AA52,J52=0,R52=0,S52=0,T52=0),H52,0),0)</f>
        <v>0</v>
      </c>
      <c r="V52" s="195"/>
      <c r="W52" s="344">
        <f t="shared" ref="W52:W60" si="83">IFERROR(AB52/AA52,0)</f>
        <v>1</v>
      </c>
      <c r="X52" s="344">
        <f t="shared" ref="X52:X60" si="84">IFERROR(AC52/AA52,0)</f>
        <v>0</v>
      </c>
      <c r="Y52" s="344">
        <f t="shared" ref="Y52" si="85">IFERROR(AI52/AA52,0)</f>
        <v>0</v>
      </c>
      <c r="Z52" s="346"/>
      <c r="AA52" s="355">
        <f>COUNTIF('AR | Drawing List'!$H:$H,"AR-T09-1")</f>
        <v>36</v>
      </c>
      <c r="AB52" s="338">
        <f>COUNTIFS('AR | Drawing List'!$H:$H,"AR-T09-1",'AR | Drawing List'!$J:$J,1)</f>
        <v>36</v>
      </c>
      <c r="AC52" s="338">
        <f>COUNTIFS('AR | Drawing List'!$H:$H,"AR-T09-1",'AR | Drawing List'!$L:$L,1)</f>
        <v>0</v>
      </c>
      <c r="AD52" s="343">
        <f>COUNTIFS('AR | Drawing List'!$H:$H,"AR-T09-1",'AR | Drawing List'!M:M,1)</f>
        <v>0</v>
      </c>
      <c r="AE52" s="343">
        <f>COUNTIFS('AR | Drawing List'!$H:$H,"AR-T09-1",'AR | Drawing List'!N:N,1)</f>
        <v>0</v>
      </c>
      <c r="AF52" s="343">
        <f>COUNTIFS('AR | Drawing List'!$H:$H,"AR-T09-1",'AR | Drawing List'!O:O,1)</f>
        <v>0</v>
      </c>
      <c r="AG52" s="343">
        <f>COUNTIFS('AR | Drawing List'!$H:$H,"AR-T09-1",'AR | Drawing List'!P:P,1)</f>
        <v>0</v>
      </c>
      <c r="AH52" s="343"/>
      <c r="AI52" s="338">
        <f>COUNTIFS('AR | Drawing List'!$H:$H,"AR-T09-1",'AR | Drawing List'!$Q:$Q,1)</f>
        <v>0</v>
      </c>
      <c r="AJ52" s="343">
        <f>COUNTIFS('AR | Drawing List'!$H:$H,"AR-T09-1",'AR | Drawing List'!R:R,1)</f>
        <v>0</v>
      </c>
      <c r="AK52" s="343">
        <f>COUNTIFS('AR | Drawing List'!$H:$H,"AR-T09-1",'AR | Drawing List'!S:S,1)</f>
        <v>0</v>
      </c>
      <c r="AL52" s="343">
        <f>COUNTIFS('AR | Drawing List'!$H:$H,"AR-T09-1",'AR | Drawing List'!T:T,1)</f>
        <v>0</v>
      </c>
      <c r="AM52" s="343">
        <f>COUNTIFS('AR | Drawing List'!$H:$H,"AR-T09-1",'AR | Drawing List'!U:U,1)</f>
        <v>0</v>
      </c>
      <c r="AN52" s="355"/>
      <c r="AO52" s="355"/>
      <c r="AP52" s="196">
        <v>0.1</v>
      </c>
      <c r="AQ52" s="194"/>
      <c r="AR52" s="447">
        <f t="shared" ref="AR52:AR60" si="86">$AR$51/$AP$51*AP52</f>
        <v>0.1512606</v>
      </c>
      <c r="AS52" s="447">
        <f t="shared" si="13"/>
        <v>0.1512606</v>
      </c>
      <c r="AT52" s="447">
        <f t="shared" ref="AT52:AT60" si="87">IFERROR(IF(BG52=100%,AR52,0),0)</f>
        <v>0.1512606</v>
      </c>
      <c r="AU52" s="343">
        <f t="shared" ref="AU52:AU60" si="88">IFERROR(IF(AND((BG52+BH52)=100%,BG52&lt;1),AR52,0),0)</f>
        <v>0</v>
      </c>
      <c r="AV52" s="343">
        <f t="shared" ref="AV52:AV60" si="89">IFERROR(IF(AND((BL52+BN52)=BK52,AT52=0),AR52,0),0)</f>
        <v>0</v>
      </c>
      <c r="AW52" s="343">
        <f t="shared" ref="AW52:AW60" si="90">IFERROR(IF(AND((BL52+BN52+BO52)=BK52,AT52=0,AV52=0),AR52,0),0)</f>
        <v>0</v>
      </c>
      <c r="AX52" s="343">
        <f t="shared" ref="AX52:AX60" si="91">IFERROR(IF(AND((BL52+BN52+BO52+BP52)=BK52,AT52=0,AU52=0,AV52=0,AW52=0),AR52,0),0)</f>
        <v>0</v>
      </c>
      <c r="AY52" s="343">
        <f t="shared" ref="AY52:AY60" si="92">IFERROR(IF(AND((BL52+BN52+BO52+BP52+BQ52)=BK52,AT52=0,AU52=0,AV52=0,AW52=0,AX52=0),AR52,0),0)</f>
        <v>0</v>
      </c>
      <c r="AZ52" s="343"/>
      <c r="BA52" s="343">
        <f t="shared" ref="BA52:BA60" si="93">IFERROR(IF(AND((BG52+BI52)=100%,BG52&lt;1),AR52,0),0)</f>
        <v>0</v>
      </c>
      <c r="BB52" s="343">
        <f t="shared" ref="BB52:BB60" si="94">IFERROR(IF(AND((BL52+BT52)=BK52,AT52=0),AR52,0),0)</f>
        <v>0</v>
      </c>
      <c r="BC52" s="343">
        <f t="shared" ref="BC52:BC60" si="95">IFERROR(IF(AND((BL52+BT52+BU52)=BK52,AT52=0,BB52=0),AR52,0),0)</f>
        <v>0</v>
      </c>
      <c r="BD52" s="343">
        <f t="shared" ref="BD52:BD60" si="96">IFERROR(IF(AND((BL52+BT52+BU52+BV52)=BK52,AT52=0,BB52=0,BC52=0),AR52,0),0)</f>
        <v>0</v>
      </c>
      <c r="BE52" s="343">
        <f t="shared" ref="BE52:BE60" si="97">IFERROR(IF(AND((BL52+BT52+BU52+BV52+BW52)=BK52,AT52=0,BB52=0,BC52=0,BD52=0),AR52,0),0)</f>
        <v>0</v>
      </c>
      <c r="BF52" s="195"/>
      <c r="BG52" s="344">
        <f t="shared" ref="BG52:BG60" si="98">IFERROR(BL52/BK52,0)</f>
        <v>1</v>
      </c>
      <c r="BH52" s="344">
        <f t="shared" ref="BH52:BH60" si="99">IFERROR(BM52/BK52,0)</f>
        <v>0</v>
      </c>
      <c r="BI52" s="344">
        <f>IFERROR(BS52/BK52,0)</f>
        <v>0</v>
      </c>
      <c r="BJ52" s="346"/>
      <c r="BK52" s="355">
        <f>COUNTIF('ST | Drawing List'!$H:$H,"ST-T09-1")</f>
        <v>13</v>
      </c>
      <c r="BL52" s="338">
        <f>COUNTIFS('ST | Drawing List'!$H:$H,"ST-T09-1",'ST | Drawing List'!$J:$J,1)</f>
        <v>13</v>
      </c>
      <c r="BM52" s="338">
        <f>COUNTIFS('ST | Drawing List'!$H:$H,"ST-T09-1",'ST | Drawing List'!$L:$L,1)</f>
        <v>0</v>
      </c>
      <c r="BN52" s="343">
        <f>COUNTIFS('ST | Drawing List'!$H:$H,"ST-T09-1",'ST | Drawing List'!M:M,1)</f>
        <v>0</v>
      </c>
      <c r="BO52" s="343">
        <f>COUNTIFS('ST | Drawing List'!$H:$H,"ST-T09-1",'ST | Drawing List'!N:N,1)</f>
        <v>0</v>
      </c>
      <c r="BP52" s="343">
        <f>COUNTIFS('ST | Drawing List'!$H:$H,"ST-T09-1",'ST | Drawing List'!O:O,1)</f>
        <v>0</v>
      </c>
      <c r="BQ52" s="343">
        <f>COUNTIFS('ST | Drawing List'!$H:$H,"ST-T09-1",'ST | Drawing List'!P:P,1)</f>
        <v>0</v>
      </c>
      <c r="BR52" s="343"/>
      <c r="BS52" s="338">
        <f>COUNTIFS('ST | Drawing List'!$H:$H,"ST-T09-1",'ST | Drawing List'!$Q:$Q,1)</f>
        <v>0</v>
      </c>
      <c r="BT52" s="343">
        <f>COUNTIFS('ST | Drawing List'!$H:$H,"ST-T09-1",'ST | Drawing List'!R:R,1)</f>
        <v>0</v>
      </c>
      <c r="BU52" s="343">
        <f>COUNTIFS('ST | Drawing List'!$H:$H,"ST-T09-1",'ST | Drawing List'!S:S,1)</f>
        <v>0</v>
      </c>
      <c r="BV52" s="343">
        <f>COUNTIFS('ST | Drawing List'!$H:$H,"ST-T09-1",'ST | Drawing List'!T:T,1)</f>
        <v>0</v>
      </c>
      <c r="BW52" s="343">
        <f>COUNTIFS('ST | Drawing List'!$H:$H,"ST-T09-1",'ST | Drawing List'!U:U,1)</f>
        <v>0</v>
      </c>
      <c r="BX52" s="194"/>
      <c r="BY52" s="194"/>
      <c r="BZ52" s="196">
        <v>0.1</v>
      </c>
      <c r="CA52" s="194"/>
      <c r="CB52" s="446">
        <f t="shared" ref="CB52:CB60" si="100">$CB$51/$BZ$51*BZ52</f>
        <v>5.3930714360000014E-2</v>
      </c>
      <c r="CC52" s="447">
        <f t="shared" si="14"/>
        <v>5.3930714360000014E-2</v>
      </c>
      <c r="CD52" s="448">
        <f t="shared" ref="CD52:CD60" si="101">IFERROR(IF(CQ52=100%,CB52,0),0)</f>
        <v>5.3930714360000014E-2</v>
      </c>
      <c r="CE52" s="448">
        <f t="shared" ref="CE52:CE60" si="102">IFERROR(IF(AND((CQ52+CR52)=100%,CQ52&lt;1),CB52,0),0)</f>
        <v>0</v>
      </c>
      <c r="CF52" s="448">
        <f t="shared" ref="CF52:CF60" si="103">IFERROR(IF(AND((CV52+CX52)=CU52,CD52=0),CB52,0),0)</f>
        <v>0</v>
      </c>
      <c r="CG52" s="448">
        <f t="shared" ref="CG52:CG60" si="104">IFERROR(IF(AND((CV52+CX52+CY52)=CU52,CD52=0,CF52=0),CB52,0),0)</f>
        <v>0</v>
      </c>
      <c r="CH52" s="343">
        <f t="shared" ref="CH52:CH60" si="105">IFERROR(IF(AND((CV52+CX52+CY52+CZ52)=CU52,CD52=0,CE52=0,CF52=0,CG52=0),CB52,0),0)</f>
        <v>0</v>
      </c>
      <c r="CI52" s="343">
        <f t="shared" ref="CI52:CI60" si="106">IFERROR(IF(AND((CV52+CX52+CY52+CZ52+DA52)=CU52,CD52=0,CE52=0,CF52=0,CG52=0,CH52=0),CB52,0),0)</f>
        <v>0</v>
      </c>
      <c r="CJ52" s="343"/>
      <c r="CK52" s="478">
        <f t="shared" ref="CK52:CK60" si="107">IFERROR(IF(AND((CQ52+CS52)=100%,CQ52&lt;1),CB52,0),0)</f>
        <v>0</v>
      </c>
      <c r="CL52" s="478">
        <f>IFERROR(IF(AND((CV52+DD52)=CU52,CD52=0),CB52,0),0)</f>
        <v>0</v>
      </c>
      <c r="CM52" s="478">
        <f>IFERROR(IF(AND((CV52+DD52+DE52)=CU52,CD52=0,CL52=0),CB52,0),0)</f>
        <v>0</v>
      </c>
      <c r="CN52" s="478">
        <f>IFERROR(IF(AND((CV52+DD52+DE52+DF52)=CU52,CD52=0,CL52=0,CM52=0),CB52,0),0)</f>
        <v>0</v>
      </c>
      <c r="CO52" s="478">
        <f>IFERROR(IF(AND((CV52+DD52+DE52+DF52+DG52)=CU52,CD52=0,CL52=0,CM52=0,CN52=0),CB52,0),0)</f>
        <v>0</v>
      </c>
      <c r="CP52" s="195"/>
      <c r="CQ52" s="344">
        <f t="shared" ref="CQ52:CQ60" si="108">IFERROR(CV52/CU52,0)</f>
        <v>1</v>
      </c>
      <c r="CR52" s="344">
        <f t="shared" ref="CR52:CR60" si="109">IFERROR(CW52/CU52,0)</f>
        <v>0</v>
      </c>
      <c r="CS52" s="344">
        <f>IFERROR(DC52/CU52,0)</f>
        <v>0</v>
      </c>
      <c r="CT52" s="346"/>
      <c r="CU52" s="355">
        <f>COUNTIF('MEP | Drawing List'!$H:$H,"MEP-T09-1")</f>
        <v>1</v>
      </c>
      <c r="CV52" s="338">
        <f>COUNTIFS('MEP | Drawing List'!$H:$H,"MEP-T09-1",'MEP | Drawing List'!$J:$J,1)</f>
        <v>1</v>
      </c>
      <c r="CW52" s="338">
        <f>COUNTIFS('MEP | Drawing List'!$H:$H,"MEP-T09-1",'MEP | Drawing List'!$L:$L,1)</f>
        <v>0</v>
      </c>
      <c r="CX52" s="343">
        <f>COUNTIFS('MEP | Drawing List'!$H:$H,"MEP-T09-1",'MEP | Drawing List'!M:M,1)</f>
        <v>0</v>
      </c>
      <c r="CY52" s="343">
        <f>COUNTIFS('MEP | Drawing List'!$H:$H,"MEP-T09-1",'MEP | Drawing List'!N:N,1)</f>
        <v>0</v>
      </c>
      <c r="CZ52" s="343">
        <f>COUNTIFS('MEP | Drawing List'!$H:$H,"MEP-T09-1",'MEP | Drawing List'!O:O,1)</f>
        <v>0</v>
      </c>
      <c r="DA52" s="343">
        <f>COUNTIFS('MEP | Drawing List'!$H:$H,"MEP-T09-1",'MEP | Drawing List'!P:P,1)</f>
        <v>0</v>
      </c>
      <c r="DB52" s="343"/>
      <c r="DC52" s="338">
        <f>COUNTIFS('MEP | Drawing List'!$H:$H,"MEP-T09-1",'MEP | Drawing List'!$Q:$Q,1)</f>
        <v>0</v>
      </c>
      <c r="DD52" s="343">
        <f>COUNTIFS('MEP | Drawing List'!$H:$H,"MEP-T09-1",'MEP | Drawing List'!R:R,1)</f>
        <v>0</v>
      </c>
      <c r="DE52" s="343">
        <f>COUNTIFS('MEP | Drawing List'!$H:$H,"MEP-T09-1",'MEP | Drawing List'!S:S,1)</f>
        <v>0</v>
      </c>
      <c r="DF52" s="343">
        <f>COUNTIFS('MEP | Drawing List'!$H:$H,"MEP-T09-1",'MEP | Drawing List'!T:T,1)</f>
        <v>0</v>
      </c>
      <c r="DG52" s="343">
        <f>COUNTIFS('MEP | Drawing List'!$H:$H,"MEP-T09-1",'MEP | Drawing List'!U:U,1)</f>
        <v>0</v>
      </c>
      <c r="DH52" s="194"/>
      <c r="DI52" s="194"/>
      <c r="DJ52" s="196">
        <v>0</v>
      </c>
      <c r="DK52" s="194"/>
      <c r="DL52" s="332">
        <f t="shared" ref="DL52:DL60" si="110">$DL$51/$DJ$51*DJ52</f>
        <v>0</v>
      </c>
      <c r="DM52" s="328">
        <f t="shared" si="15"/>
        <v>0</v>
      </c>
      <c r="DN52" s="343">
        <f t="shared" ref="DN52:DN60" si="111">IFERROR(IF(EA52=100%,DL52,0),0)</f>
        <v>0</v>
      </c>
      <c r="DO52" s="343">
        <f t="shared" ref="DO52:DO60" si="112">IFERROR(IF(AND((EA52+EB52)=100%,EA52&lt;1),DL52,0),0)</f>
        <v>0</v>
      </c>
      <c r="DP52" s="343">
        <f t="shared" ref="DP52:DP60" si="113">IFERROR(IF(AND((EF52+EH52)=EE52,DN52=0),DL52,0),0)</f>
        <v>0</v>
      </c>
      <c r="DQ52" s="343">
        <f t="shared" ref="DQ52:DQ60" si="114">IFERROR(IF(AND((EF52+EH52+EI52)=EE52,DN52=0,DP52=0),DL52,0),0)</f>
        <v>0</v>
      </c>
      <c r="DR52" s="343">
        <f t="shared" ref="DR52:DR60" si="115">IFERROR(IF(AND((EF52+EH52+EI52+EJ52)=EE52,DN52=0,DO52=0,DP52=0,DQ52=0),DL52,0),0)</f>
        <v>0</v>
      </c>
      <c r="DS52" s="343">
        <f t="shared" ref="DS52:DS60" si="116">IFERROR(IF(AND((EF52+EH52+EI52+EJ52+EK52)=EE52,DN52=0,DO52=0,DP52=0,DQ52=0,DR52=0),DL52,0),0)</f>
        <v>0</v>
      </c>
      <c r="DT52" s="343"/>
      <c r="DU52" s="343">
        <f t="shared" ref="DU52:DU60" si="117">IFERROR(IF(AND((EA52+EC52)=100%,EA52&lt;1),DL52,0),0)</f>
        <v>0</v>
      </c>
      <c r="DV52" s="343">
        <f>IFERROR(IF(AND((EF52+EN52)=EE52,DN52=0),DL52,0),0)</f>
        <v>0</v>
      </c>
      <c r="DW52" s="343">
        <f>IFERROR(IF(AND((EF52+EN52+EO52)=EE52,DN52=0,DV52=0),DL52,0),0)</f>
        <v>0</v>
      </c>
      <c r="DX52" s="343">
        <f>IFERROR(IF(AND((EF52+EN52+EO52+EP52)=EE52,DN52=0,DV52=0,DW52=0),DL52,0),0)</f>
        <v>0</v>
      </c>
      <c r="DY52" s="343">
        <f>IFERROR(IF(AND((EF52+EN52+EO52+EP52+EQ52)=EE52,DN52=0,DV52=0,DW52=0,DX52=0),DL52,0),0)</f>
        <v>0</v>
      </c>
      <c r="DZ52" s="195"/>
      <c r="EA52" s="344">
        <f t="shared" ref="EA52:EA60" si="118">IFERROR(EF52/EE52,0)</f>
        <v>0</v>
      </c>
      <c r="EB52" s="344">
        <f t="shared" ref="EB52:EB60" si="119">IFERROR(EG52/EE52,0)</f>
        <v>0</v>
      </c>
      <c r="EC52" s="344">
        <f>IFERROR(EM52/EE52,0)</f>
        <v>0</v>
      </c>
      <c r="ED52" s="346"/>
      <c r="EE52" s="355">
        <f>COUNTIF('LS | Drawing List'!$H:$H,"LS-T09-1")</f>
        <v>0</v>
      </c>
      <c r="EF52" s="338">
        <f>COUNTIFS('LS | Drawing List'!$H:$H,"LS-T09-1",'LS | Drawing List'!$J:$J,1)</f>
        <v>0</v>
      </c>
      <c r="EG52" s="338">
        <f>COUNTIFS('LS | Drawing List'!$H:$H,"LS-T09-1",'LS | Drawing List'!$L:$L,1)</f>
        <v>0</v>
      </c>
      <c r="EH52" s="343">
        <f>COUNTIFS('LS | Drawing List'!$H:$H,"LS-T09-1",'LS | Drawing List'!M:M,1)</f>
        <v>0</v>
      </c>
      <c r="EI52" s="343">
        <f>COUNTIFS('LS | Drawing List'!$H:$H,"LS-T09-1",'LS | Drawing List'!N:N,1)</f>
        <v>0</v>
      </c>
      <c r="EJ52" s="343">
        <f>COUNTIFS('LS | Drawing List'!$H:$H,"LS-T09-1",'LS | Drawing List'!O:O,1)</f>
        <v>0</v>
      </c>
      <c r="EK52" s="343">
        <f>COUNTIFS('LS | Drawing List'!$H:$H,"LS-T09-1",'LS | Drawing List'!P:P,1)</f>
        <v>0</v>
      </c>
      <c r="EL52" s="343"/>
      <c r="EM52" s="338">
        <f>COUNTIFS('LS | Drawing List'!$H:$H,"LS-T09-1",'LS | Drawing List'!$Q:$Q,1)</f>
        <v>0</v>
      </c>
      <c r="EN52" s="343">
        <f>COUNTIFS('LS | Drawing List'!$H:$H,"LS-T09-1",'LS | Drawing List'!R:R,1)</f>
        <v>0</v>
      </c>
      <c r="EO52" s="343">
        <f>COUNTIFS('LS | Drawing List'!$H:$H,"LS-T09-1",'LS | Drawing List'!S:S,1)</f>
        <v>0</v>
      </c>
      <c r="EP52" s="343">
        <f>COUNTIFS('LS | Drawing List'!$H:$H,"LS-T09-1",'LS | Drawing List'!T:T,1)</f>
        <v>0</v>
      </c>
      <c r="EQ52" s="343">
        <f>COUNTIFS('LS | Drawing List'!$H:$H,"LS-T09-1",'LS | Drawing List'!U:U,1)</f>
        <v>0</v>
      </c>
      <c r="ER52" s="114"/>
      <c r="ES52" s="499"/>
      <c r="ET52" s="112"/>
    </row>
    <row r="53" spans="1:150" s="376" customFormat="1" ht="11.85" customHeight="1" outlineLevel="2">
      <c r="A53" s="360"/>
      <c r="B53" s="361" t="s">
        <v>48</v>
      </c>
      <c r="C53" s="362">
        <v>2</v>
      </c>
      <c r="D53" s="363" t="s">
        <v>49</v>
      </c>
      <c r="E53" s="364"/>
      <c r="F53" s="365">
        <v>2.5000000000000001E-2</v>
      </c>
      <c r="G53" s="366"/>
      <c r="H53" s="495">
        <f t="shared" si="71"/>
        <v>0.11960000000000003</v>
      </c>
      <c r="I53" s="395">
        <f t="shared" si="12"/>
        <v>0.11960000000000003</v>
      </c>
      <c r="J53" s="395">
        <f t="shared" si="72"/>
        <v>0.11960000000000003</v>
      </c>
      <c r="K53" s="395">
        <f t="shared" si="73"/>
        <v>0</v>
      </c>
      <c r="L53" s="395">
        <f t="shared" si="74"/>
        <v>0</v>
      </c>
      <c r="M53" s="395">
        <f t="shared" si="75"/>
        <v>0</v>
      </c>
      <c r="N53" s="395">
        <f t="shared" si="76"/>
        <v>0</v>
      </c>
      <c r="O53" s="395">
        <f t="shared" si="77"/>
        <v>0</v>
      </c>
      <c r="P53" s="368"/>
      <c r="Q53" s="368">
        <f t="shared" si="78"/>
        <v>0</v>
      </c>
      <c r="R53" s="368">
        <f t="shared" si="79"/>
        <v>0</v>
      </c>
      <c r="S53" s="368">
        <f t="shared" si="80"/>
        <v>0</v>
      </c>
      <c r="T53" s="368">
        <f t="shared" si="81"/>
        <v>0</v>
      </c>
      <c r="U53" s="368">
        <f t="shared" si="82"/>
        <v>0</v>
      </c>
      <c r="V53" s="369"/>
      <c r="W53" s="370">
        <f t="shared" si="83"/>
        <v>1</v>
      </c>
      <c r="X53" s="370">
        <f t="shared" si="84"/>
        <v>0</v>
      </c>
      <c r="Y53" s="370">
        <f>IFERROR(AI53/AA53,0)</f>
        <v>0</v>
      </c>
      <c r="Z53" s="371"/>
      <c r="AA53" s="372">
        <f>COUNTIF('AR | Drawing List'!$H:$H,"AR-T09-2")</f>
        <v>1</v>
      </c>
      <c r="AB53" s="373">
        <f>COUNTIFS('AR | Drawing List'!$H:$H,"AR-T09-2",'AR | Drawing List'!$J:$J,1)</f>
        <v>1</v>
      </c>
      <c r="AC53" s="373">
        <f>COUNTIFS('AR | Drawing List'!$H:$H,"AR-T09-2",'AR | Drawing List'!$L:$L,1)</f>
        <v>0</v>
      </c>
      <c r="AD53" s="368">
        <f>COUNTIFS('AR | Drawing List'!$H:$H,"AR-T09-2",'AR | Drawing List'!M:M,1)</f>
        <v>0</v>
      </c>
      <c r="AE53" s="368">
        <f>COUNTIFS('AR | Drawing List'!$H:$H,"AR-T09-2",'AR | Drawing List'!N:N,1)</f>
        <v>0</v>
      </c>
      <c r="AF53" s="368">
        <f>COUNTIFS('AR | Drawing List'!$H:$H,"AR-T09-2",'AR | Drawing List'!O:O,1)</f>
        <v>0</v>
      </c>
      <c r="AG53" s="368">
        <f>COUNTIFS('AR | Drawing List'!$H:$H,"AR-T09-2",'AR | Drawing List'!P:P,1)</f>
        <v>0</v>
      </c>
      <c r="AH53" s="368"/>
      <c r="AI53" s="373">
        <f>COUNTIFS('AR | Drawing List'!$H:$H,"AR-T09-2",'AR | Drawing List'!$Q:$Q,1)</f>
        <v>0</v>
      </c>
      <c r="AJ53" s="368">
        <f>COUNTIFS('AR | Drawing List'!$H:$H,"AR-T09-2",'AR | Drawing List'!R:R,1)</f>
        <v>0</v>
      </c>
      <c r="AK53" s="368">
        <f>COUNTIFS('AR | Drawing List'!$H:$H,"AR-T09-2",'AR | Drawing List'!S:S,1)</f>
        <v>0</v>
      </c>
      <c r="AL53" s="368">
        <f>COUNTIFS('AR | Drawing List'!$H:$H,"AR-T09-2",'AR | Drawing List'!T:T,1)</f>
        <v>0</v>
      </c>
      <c r="AM53" s="368">
        <f>COUNTIFS('AR | Drawing List'!$H:$H,"AR-T09-2",'AR | Drawing List'!U:U,1)</f>
        <v>0</v>
      </c>
      <c r="AN53" s="372"/>
      <c r="AO53" s="372"/>
      <c r="AP53" s="374">
        <v>0.1</v>
      </c>
      <c r="AQ53" s="366"/>
      <c r="AR53" s="447">
        <f t="shared" si="86"/>
        <v>0.1512606</v>
      </c>
      <c r="AS53" s="447">
        <f t="shared" si="13"/>
        <v>0.1512606</v>
      </c>
      <c r="AT53" s="447">
        <f t="shared" si="87"/>
        <v>0</v>
      </c>
      <c r="AU53" s="368">
        <f t="shared" si="88"/>
        <v>0.1512606</v>
      </c>
      <c r="AV53" s="368">
        <f t="shared" si="89"/>
        <v>0.1512606</v>
      </c>
      <c r="AW53" s="368">
        <f t="shared" si="90"/>
        <v>0</v>
      </c>
      <c r="AX53" s="368">
        <f t="shared" si="91"/>
        <v>0</v>
      </c>
      <c r="AY53" s="368">
        <f t="shared" si="92"/>
        <v>0</v>
      </c>
      <c r="AZ53" s="368"/>
      <c r="BA53" s="368">
        <f t="shared" si="93"/>
        <v>0.1512606</v>
      </c>
      <c r="BB53" s="368">
        <f t="shared" si="94"/>
        <v>0.1512606</v>
      </c>
      <c r="BC53" s="368">
        <f t="shared" si="95"/>
        <v>0</v>
      </c>
      <c r="BD53" s="368">
        <f t="shared" si="96"/>
        <v>0</v>
      </c>
      <c r="BE53" s="368">
        <f t="shared" si="97"/>
        <v>0</v>
      </c>
      <c r="BF53" s="369"/>
      <c r="BG53" s="370">
        <f t="shared" si="98"/>
        <v>0.875</v>
      </c>
      <c r="BH53" s="370">
        <f t="shared" si="99"/>
        <v>0.125</v>
      </c>
      <c r="BI53" s="370">
        <f t="shared" ref="BI53:BI60" si="120">IFERROR(BS53/BK53,0)</f>
        <v>0.125</v>
      </c>
      <c r="BJ53" s="371"/>
      <c r="BK53" s="372">
        <f>COUNTIF('ST | Drawing List'!$H:$H,"ST-T09-2")</f>
        <v>8</v>
      </c>
      <c r="BL53" s="373">
        <f>COUNTIFS('ST | Drawing List'!$H:$H,"ST-T09-2",'ST | Drawing List'!$J:$J,1)</f>
        <v>7</v>
      </c>
      <c r="BM53" s="373">
        <f>COUNTIFS('ST | Drawing List'!$H:$H,"ST-T09-2",'ST | Drawing List'!$L:$L,1)</f>
        <v>1</v>
      </c>
      <c r="BN53" s="368">
        <f>COUNTIFS('ST | Drawing List'!$H:$H,"ST-T09-2",'ST | Drawing List'!M:M,1)</f>
        <v>1</v>
      </c>
      <c r="BO53" s="368">
        <f>COUNTIFS('ST | Drawing List'!$H:$H,"ST-T09-2",'ST | Drawing List'!N:N,1)</f>
        <v>0</v>
      </c>
      <c r="BP53" s="368">
        <f>COUNTIFS('ST | Drawing List'!$H:$H,"ST-T09-2",'ST | Drawing List'!O:O,1)</f>
        <v>0</v>
      </c>
      <c r="BQ53" s="368">
        <f>COUNTIFS('ST | Drawing List'!$H:$H,"ST-T09-2",'ST | Drawing List'!P:P,1)</f>
        <v>0</v>
      </c>
      <c r="BR53" s="368"/>
      <c r="BS53" s="373">
        <f>COUNTIFS('ST | Drawing List'!$H:$H,"ST-T09-2",'ST | Drawing List'!$Q:$Q,1)</f>
        <v>1</v>
      </c>
      <c r="BT53" s="368">
        <f>COUNTIFS('ST | Drawing List'!$H:$H,"ST-T09-2",'ST | Drawing List'!R:R,1)</f>
        <v>1</v>
      </c>
      <c r="BU53" s="368">
        <f>COUNTIFS('ST | Drawing List'!$H:$H,"ST-T09-2",'ST | Drawing List'!S:S,1)</f>
        <v>0</v>
      </c>
      <c r="BV53" s="368">
        <f>COUNTIFS('ST | Drawing List'!$H:$H,"ST-T09-2",'ST | Drawing List'!T:T,1)</f>
        <v>0</v>
      </c>
      <c r="BW53" s="368">
        <f>COUNTIFS('ST | Drawing List'!$H:$H,"ST-T09-2",'ST | Drawing List'!U:U,1)</f>
        <v>0</v>
      </c>
      <c r="BX53" s="366"/>
      <c r="BY53" s="366"/>
      <c r="BZ53" s="374">
        <v>0</v>
      </c>
      <c r="CA53" s="366"/>
      <c r="CB53" s="449">
        <f t="shared" si="100"/>
        <v>0</v>
      </c>
      <c r="CC53" s="450">
        <f t="shared" si="14"/>
        <v>0</v>
      </c>
      <c r="CD53" s="449">
        <f t="shared" si="101"/>
        <v>0</v>
      </c>
      <c r="CE53" s="449">
        <f t="shared" si="102"/>
        <v>0</v>
      </c>
      <c r="CF53" s="449">
        <f t="shared" si="103"/>
        <v>0</v>
      </c>
      <c r="CG53" s="449">
        <f t="shared" si="104"/>
        <v>0</v>
      </c>
      <c r="CH53" s="368">
        <f t="shared" si="105"/>
        <v>0</v>
      </c>
      <c r="CI53" s="368">
        <f t="shared" si="106"/>
        <v>0</v>
      </c>
      <c r="CJ53" s="368"/>
      <c r="CK53" s="479">
        <f t="shared" si="107"/>
        <v>0</v>
      </c>
      <c r="CL53" s="479">
        <f t="shared" ref="CL53:CL60" si="121">IFERROR(IF(AND((CV53+DD53)=CU53,CD53=0),CB53,0),0)</f>
        <v>0</v>
      </c>
      <c r="CM53" s="479">
        <f t="shared" ref="CM53:CM60" si="122">IFERROR(IF(AND((CV53+DD53+DE53)=CU53,CD53=0,CL53=0),CB53,0),0)</f>
        <v>0</v>
      </c>
      <c r="CN53" s="479">
        <f t="shared" ref="CN53:CN60" si="123">IFERROR(IF(AND((CV53+DD53+DE53+DF53)=CU53,CD53=0,CL53=0,CM53=0),CB53,0),0)</f>
        <v>0</v>
      </c>
      <c r="CO53" s="479">
        <f t="shared" ref="CO53:CO60" si="124">IFERROR(IF(AND((CV53+DD53+DE53+DF53+DG53)=CU53,CD53=0,CL53=0,CM53=0,CN53=0),CB53,0),0)</f>
        <v>0</v>
      </c>
      <c r="CP53" s="369"/>
      <c r="CQ53" s="370">
        <f t="shared" si="108"/>
        <v>0</v>
      </c>
      <c r="CR53" s="370">
        <f t="shared" si="109"/>
        <v>0</v>
      </c>
      <c r="CS53" s="344">
        <f t="shared" ref="CS53:CS60" si="125">IFERROR(DC53/CU53,0)</f>
        <v>0</v>
      </c>
      <c r="CT53" s="371"/>
      <c r="CU53" s="372">
        <f>COUNTIF('MEP | Drawing List'!$H:$H,"MEP-T09-2")</f>
        <v>0</v>
      </c>
      <c r="CV53" s="373">
        <f>COUNTIFS('MEP | Drawing List'!$H:$H,"MEP-T09-2",'MEP | Drawing List'!$J:$J,1)</f>
        <v>0</v>
      </c>
      <c r="CW53" s="373">
        <f>COUNTIFS('MEP | Drawing List'!$H:$H,"MEP-T09-2",'MEP | Drawing List'!$L:$L,1)</f>
        <v>0</v>
      </c>
      <c r="CX53" s="368">
        <f>COUNTIFS('MEP | Drawing List'!$H:$H,"MEP-T09-2",'MEP | Drawing List'!M:M,1)</f>
        <v>0</v>
      </c>
      <c r="CY53" s="368">
        <f>COUNTIFS('MEP | Drawing List'!$H:$H,"MEP-T09-2",'MEP | Drawing List'!N:N,1)</f>
        <v>0</v>
      </c>
      <c r="CZ53" s="368">
        <f>COUNTIFS('MEP | Drawing List'!$H:$H,"MEP-T09-2",'MEP | Drawing List'!O:O,1)</f>
        <v>0</v>
      </c>
      <c r="DA53" s="368">
        <f>COUNTIFS('MEP | Drawing List'!$H:$H,"MEP-T09-2",'MEP | Drawing List'!P:P,1)</f>
        <v>0</v>
      </c>
      <c r="DB53" s="368"/>
      <c r="DC53" s="373">
        <f>COUNTIFS('MEP | Drawing List'!$H:$H,"MEP-T09-2",'MEP | Drawing List'!$Q:$Q,1)</f>
        <v>0</v>
      </c>
      <c r="DD53" s="368">
        <f>COUNTIFS('MEP | Drawing List'!$H:$H,"MEP-T09-2",'MEP | Drawing List'!R:R,1)</f>
        <v>0</v>
      </c>
      <c r="DE53" s="368">
        <f>COUNTIFS('MEP | Drawing List'!$H:$H,"MEP-T09-2",'MEP | Drawing List'!S:S,1)</f>
        <v>0</v>
      </c>
      <c r="DF53" s="368">
        <f>COUNTIFS('MEP | Drawing List'!$H:$H,"MEP-T09-2",'MEP | Drawing List'!T:T,1)</f>
        <v>0</v>
      </c>
      <c r="DG53" s="368">
        <f>COUNTIFS('MEP | Drawing List'!$H:$H,"MEP-T09-2",'MEP | Drawing List'!U:U,1)</f>
        <v>0</v>
      </c>
      <c r="DH53" s="366"/>
      <c r="DI53" s="366"/>
      <c r="DJ53" s="374">
        <v>0</v>
      </c>
      <c r="DK53" s="366"/>
      <c r="DL53" s="375">
        <f t="shared" si="110"/>
        <v>0</v>
      </c>
      <c r="DM53" s="367">
        <f t="shared" si="15"/>
        <v>0</v>
      </c>
      <c r="DN53" s="368">
        <f t="shared" si="111"/>
        <v>0</v>
      </c>
      <c r="DO53" s="368">
        <f t="shared" si="112"/>
        <v>0</v>
      </c>
      <c r="DP53" s="368">
        <f t="shared" si="113"/>
        <v>0</v>
      </c>
      <c r="DQ53" s="368">
        <f t="shared" si="114"/>
        <v>0</v>
      </c>
      <c r="DR53" s="368">
        <f t="shared" si="115"/>
        <v>0</v>
      </c>
      <c r="DS53" s="368">
        <f t="shared" si="116"/>
        <v>0</v>
      </c>
      <c r="DT53" s="368"/>
      <c r="DU53" s="368">
        <f t="shared" si="117"/>
        <v>0</v>
      </c>
      <c r="DV53" s="368">
        <f t="shared" ref="DV53:DV60" si="126">IFERROR(IF(AND((EF53+EN53)=EE53,DN53=0),DL53,0),0)</f>
        <v>0</v>
      </c>
      <c r="DW53" s="368">
        <f t="shared" ref="DW53:DW60" si="127">IFERROR(IF(AND((EF53+EN53+EO53)=EE53,DN53=0,DV53=0),DL53,0),0)</f>
        <v>0</v>
      </c>
      <c r="DX53" s="368">
        <f t="shared" ref="DX53:DX60" si="128">IFERROR(IF(AND((EF53+EN53+EO53+EP53)=EE53,DN53=0,DV53=0,DW53=0),DL53,0),0)</f>
        <v>0</v>
      </c>
      <c r="DY53" s="368">
        <f t="shared" ref="DY53:DY60" si="129">IFERROR(IF(AND((EF53+EN53+EO53+EP53+EQ53)=EE53,DN53=0,DV53=0,DW53=0,DX53=0),DL53,0),0)</f>
        <v>0</v>
      </c>
      <c r="DZ53" s="369"/>
      <c r="EA53" s="370">
        <f t="shared" si="118"/>
        <v>0</v>
      </c>
      <c r="EB53" s="370">
        <f t="shared" si="119"/>
        <v>0</v>
      </c>
      <c r="EC53" s="344">
        <f t="shared" ref="EC53:EC60" si="130">IFERROR(EM53/EE53,0)</f>
        <v>0</v>
      </c>
      <c r="ED53" s="371"/>
      <c r="EE53" s="372">
        <f>COUNTIF('LS | Drawing List'!$H:$H,"LS-T09-2")</f>
        <v>0</v>
      </c>
      <c r="EF53" s="373">
        <f>COUNTIFS('LS | Drawing List'!$H:$H,"LS-T09-2",'LS | Drawing List'!$J:$J,1)</f>
        <v>0</v>
      </c>
      <c r="EG53" s="373">
        <f>COUNTIFS('LS | Drawing List'!$H:$H,"LS-T09-2",'LS | Drawing List'!$L:$L,1)</f>
        <v>0</v>
      </c>
      <c r="EH53" s="368">
        <f>COUNTIFS('LS | Drawing List'!$H:$H,"LS-T09-2",'LS | Drawing List'!M:M,1)</f>
        <v>0</v>
      </c>
      <c r="EI53" s="368">
        <f>COUNTIFS('LS | Drawing List'!$H:$H,"LS-T09-2",'LS | Drawing List'!N:N,1)</f>
        <v>0</v>
      </c>
      <c r="EJ53" s="368">
        <f>COUNTIFS('LS | Drawing List'!$H:$H,"LS-T09-2",'LS | Drawing List'!O:O,1)</f>
        <v>0</v>
      </c>
      <c r="EK53" s="368">
        <f>COUNTIFS('LS | Drawing List'!$H:$H,"LS-T09-2",'LS | Drawing List'!P:P,1)</f>
        <v>0</v>
      </c>
      <c r="EL53" s="368"/>
      <c r="EM53" s="373">
        <f>COUNTIFS('LS | Drawing List'!$H:$H,"LS-T09-2",'LS | Drawing List'!$Q:$Q,1)</f>
        <v>0</v>
      </c>
      <c r="EN53" s="368">
        <f>COUNTIFS('LS | Drawing List'!$H:$H,"LS-T09-2",'LS | Drawing List'!R:R,1)</f>
        <v>0</v>
      </c>
      <c r="EO53" s="368">
        <f>COUNTIFS('LS | Drawing List'!$H:$H,"LS-T09-2",'LS | Drawing List'!S:S,1)</f>
        <v>0</v>
      </c>
      <c r="EP53" s="368">
        <f>COUNTIFS('LS | Drawing List'!$H:$H,"LS-T09-2",'LS | Drawing List'!T:T,1)</f>
        <v>0</v>
      </c>
      <c r="EQ53" s="368">
        <f>COUNTIFS('LS | Drawing List'!$H:$H,"LS-T09-2",'LS | Drawing List'!U:U,1)</f>
        <v>0</v>
      </c>
      <c r="ER53" s="364"/>
      <c r="ES53" s="499"/>
      <c r="ET53" s="360"/>
    </row>
    <row r="54" spans="1:150" ht="11.85" customHeight="1" outlineLevel="2">
      <c r="A54" s="112" t="s">
        <v>1076</v>
      </c>
      <c r="B54" s="162" t="s">
        <v>50</v>
      </c>
      <c r="C54" s="213">
        <v>3</v>
      </c>
      <c r="D54" s="214" t="s">
        <v>51</v>
      </c>
      <c r="E54" s="114"/>
      <c r="F54" s="197">
        <v>0.05</v>
      </c>
      <c r="G54" s="194"/>
      <c r="H54" s="395">
        <f t="shared" si="71"/>
        <v>0.23920000000000005</v>
      </c>
      <c r="I54" s="395">
        <f t="shared" si="12"/>
        <v>0.23920000000000005</v>
      </c>
      <c r="J54" s="395">
        <f t="shared" si="72"/>
        <v>0</v>
      </c>
      <c r="K54" s="395">
        <f t="shared" si="73"/>
        <v>0.23920000000000005</v>
      </c>
      <c r="L54" s="395">
        <f t="shared" si="74"/>
        <v>0.23920000000000005</v>
      </c>
      <c r="M54" s="395">
        <f t="shared" si="75"/>
        <v>0</v>
      </c>
      <c r="N54" s="395">
        <f t="shared" si="76"/>
        <v>0</v>
      </c>
      <c r="O54" s="395">
        <f t="shared" si="77"/>
        <v>0</v>
      </c>
      <c r="P54" s="343"/>
      <c r="Q54" s="343">
        <f t="shared" si="78"/>
        <v>0.23920000000000005</v>
      </c>
      <c r="R54" s="343">
        <f t="shared" si="79"/>
        <v>0.23920000000000005</v>
      </c>
      <c r="S54" s="343">
        <f t="shared" si="80"/>
        <v>0</v>
      </c>
      <c r="T54" s="343">
        <f t="shared" si="81"/>
        <v>0</v>
      </c>
      <c r="U54" s="343">
        <f t="shared" si="82"/>
        <v>0</v>
      </c>
      <c r="V54" s="195"/>
      <c r="W54" s="344">
        <f t="shared" si="83"/>
        <v>0.70588235294117652</v>
      </c>
      <c r="X54" s="344">
        <f t="shared" si="84"/>
        <v>0.29411764705882354</v>
      </c>
      <c r="Y54" s="344">
        <f t="shared" ref="Y54:Y60" si="131">IFERROR(AI54/AA54,0)</f>
        <v>0.29411764705882354</v>
      </c>
      <c r="Z54" s="346"/>
      <c r="AA54" s="355">
        <f>COUNTIF('AR | Drawing List'!$H:$H,"AR-T09-3")</f>
        <v>17</v>
      </c>
      <c r="AB54" s="338">
        <f>COUNTIFS('AR | Drawing List'!$H:$H,"AR-T09-3",'AR | Drawing List'!$J:$J,1)</f>
        <v>12</v>
      </c>
      <c r="AC54" s="338">
        <f>COUNTIFS('AR | Drawing List'!$H:$H,"AR-T09-3",'AR | Drawing List'!$L:$L,1)</f>
        <v>5</v>
      </c>
      <c r="AD54" s="343">
        <f>COUNTIFS('AR | Drawing List'!$H:$H,"AR-T09-3",'AR | Drawing List'!M:M,1)</f>
        <v>5</v>
      </c>
      <c r="AE54" s="343">
        <f>COUNTIFS('AR | Drawing List'!$H:$H,"AR-T09-3",'AR | Drawing List'!N:N,1)</f>
        <v>0</v>
      </c>
      <c r="AF54" s="343">
        <f>COUNTIFS('AR | Drawing List'!$H:$H,"AR-T09-3",'AR | Drawing List'!O:O,1)</f>
        <v>0</v>
      </c>
      <c r="AG54" s="343">
        <f>COUNTIFS('AR | Drawing List'!$H:$H,"AR-T09-3",'AR | Drawing List'!P:P,1)</f>
        <v>0</v>
      </c>
      <c r="AH54" s="343"/>
      <c r="AI54" s="338">
        <f>COUNTIFS('AR | Drawing List'!$H:$H,"AR-T09-3",'AR | Drawing List'!$Q:$Q,1)</f>
        <v>5</v>
      </c>
      <c r="AJ54" s="343">
        <f>COUNTIFS('AR | Drawing List'!$H:$H,"AR-T09-3",'AR | Drawing List'!R:R,1)</f>
        <v>5</v>
      </c>
      <c r="AK54" s="343">
        <f>COUNTIFS('AR | Drawing List'!$H:$H,"AR-T09-3",'AR | Drawing List'!S:S,1)</f>
        <v>0</v>
      </c>
      <c r="AL54" s="343">
        <f>COUNTIFS('AR | Drawing List'!$H:$H,"AR-T09-3",'AR | Drawing List'!T:T,1)</f>
        <v>0</v>
      </c>
      <c r="AM54" s="343">
        <f>COUNTIFS('AR | Drawing List'!$H:$H,"AR-T09-3",'AR | Drawing List'!U:U,1)</f>
        <v>0</v>
      </c>
      <c r="AN54" s="355"/>
      <c r="AO54" s="355"/>
      <c r="AP54" s="196">
        <v>0</v>
      </c>
      <c r="AQ54" s="194"/>
      <c r="AR54" s="447">
        <f t="shared" si="86"/>
        <v>0</v>
      </c>
      <c r="AS54" s="447">
        <f t="shared" si="13"/>
        <v>0</v>
      </c>
      <c r="AT54" s="447">
        <f t="shared" si="87"/>
        <v>0</v>
      </c>
      <c r="AU54" s="343">
        <f t="shared" si="88"/>
        <v>0</v>
      </c>
      <c r="AV54" s="343">
        <f t="shared" si="89"/>
        <v>0</v>
      </c>
      <c r="AW54" s="343">
        <f t="shared" si="90"/>
        <v>0</v>
      </c>
      <c r="AX54" s="343">
        <f t="shared" si="91"/>
        <v>0</v>
      </c>
      <c r="AY54" s="343">
        <f t="shared" si="92"/>
        <v>0</v>
      </c>
      <c r="AZ54" s="343"/>
      <c r="BA54" s="343">
        <f t="shared" si="93"/>
        <v>0</v>
      </c>
      <c r="BB54" s="343">
        <f t="shared" si="94"/>
        <v>0</v>
      </c>
      <c r="BC54" s="343">
        <f t="shared" si="95"/>
        <v>0</v>
      </c>
      <c r="BD54" s="343">
        <f t="shared" si="96"/>
        <v>0</v>
      </c>
      <c r="BE54" s="343">
        <f t="shared" si="97"/>
        <v>0</v>
      </c>
      <c r="BF54" s="195"/>
      <c r="BG54" s="344">
        <f t="shared" si="98"/>
        <v>0</v>
      </c>
      <c r="BH54" s="344">
        <f t="shared" si="99"/>
        <v>0</v>
      </c>
      <c r="BI54" s="344">
        <f t="shared" si="120"/>
        <v>0</v>
      </c>
      <c r="BJ54" s="346"/>
      <c r="BK54" s="355">
        <f>COUNTIF('ST | Drawing List'!$H:$H,"ST-T09-3")</f>
        <v>0</v>
      </c>
      <c r="BL54" s="338">
        <f>COUNTIFS('ST | Drawing List'!$H:$H,"ST-T09-3",'ST | Drawing List'!$J:$J,1)</f>
        <v>0</v>
      </c>
      <c r="BM54" s="338">
        <f>COUNTIFS('ST | Drawing List'!$H:$H,"ST-T09-3",'ST | Drawing List'!$L:$L,1)</f>
        <v>0</v>
      </c>
      <c r="BN54" s="343">
        <f>COUNTIFS('ST | Drawing List'!$H:$H,"ST-T09-3",'ST | Drawing List'!M:M,1)</f>
        <v>0</v>
      </c>
      <c r="BO54" s="343">
        <f>COUNTIFS('ST | Drawing List'!$H:$H,"ST-T09-3",'ST | Drawing List'!N:N,1)</f>
        <v>0</v>
      </c>
      <c r="BP54" s="343">
        <f>COUNTIFS('ST | Drawing List'!$H:$H,"ST-T09-3",'ST | Drawing List'!O:O,1)</f>
        <v>0</v>
      </c>
      <c r="BQ54" s="343">
        <f>COUNTIFS('ST | Drawing List'!$H:$H,"ST-T09-3",'ST | Drawing List'!P:P,1)</f>
        <v>0</v>
      </c>
      <c r="BR54" s="343"/>
      <c r="BS54" s="338">
        <f>COUNTIFS('ST | Drawing List'!$H:$H,"ST-T09-3",'ST | Drawing List'!$Q:$Q,1)</f>
        <v>0</v>
      </c>
      <c r="BT54" s="343">
        <f>COUNTIFS('ST | Drawing List'!$H:$H,"ST-T09-3",'ST | Drawing List'!R:R,1)</f>
        <v>0</v>
      </c>
      <c r="BU54" s="343">
        <f>COUNTIFS('ST | Drawing List'!$H:$H,"ST-T09-3",'ST | Drawing List'!S:S,1)</f>
        <v>0</v>
      </c>
      <c r="BV54" s="343">
        <f>COUNTIFS('ST | Drawing List'!$H:$H,"ST-T09-3",'ST | Drawing List'!T:T,1)</f>
        <v>0</v>
      </c>
      <c r="BW54" s="343">
        <f>COUNTIFS('ST | Drawing List'!$H:$H,"ST-T09-3",'ST | Drawing List'!U:U,1)</f>
        <v>0</v>
      </c>
      <c r="BX54" s="194"/>
      <c r="BY54" s="194"/>
      <c r="BZ54" s="196">
        <v>0</v>
      </c>
      <c r="CA54" s="194"/>
      <c r="CB54" s="446">
        <f t="shared" si="100"/>
        <v>0</v>
      </c>
      <c r="CC54" s="447">
        <f t="shared" si="14"/>
        <v>0</v>
      </c>
      <c r="CD54" s="448">
        <f t="shared" si="101"/>
        <v>0</v>
      </c>
      <c r="CE54" s="448">
        <f t="shared" si="102"/>
        <v>0</v>
      </c>
      <c r="CF54" s="448">
        <f t="shared" si="103"/>
        <v>0</v>
      </c>
      <c r="CG54" s="448">
        <f t="shared" si="104"/>
        <v>0</v>
      </c>
      <c r="CH54" s="343">
        <f t="shared" si="105"/>
        <v>0</v>
      </c>
      <c r="CI54" s="343">
        <f t="shared" si="106"/>
        <v>0</v>
      </c>
      <c r="CJ54" s="343"/>
      <c r="CK54" s="478">
        <f t="shared" si="107"/>
        <v>0</v>
      </c>
      <c r="CL54" s="478">
        <f t="shared" si="121"/>
        <v>0</v>
      </c>
      <c r="CM54" s="478">
        <f t="shared" si="122"/>
        <v>0</v>
      </c>
      <c r="CN54" s="478">
        <f t="shared" si="123"/>
        <v>0</v>
      </c>
      <c r="CO54" s="478">
        <f t="shared" si="124"/>
        <v>0</v>
      </c>
      <c r="CP54" s="195"/>
      <c r="CQ54" s="344">
        <f t="shared" si="108"/>
        <v>0</v>
      </c>
      <c r="CR54" s="344">
        <f t="shared" si="109"/>
        <v>0</v>
      </c>
      <c r="CS54" s="344">
        <f t="shared" si="125"/>
        <v>0</v>
      </c>
      <c r="CT54" s="346"/>
      <c r="CU54" s="355">
        <f>COUNTIF('MEP | Drawing List'!$H:$H,"MEP-T09-3")</f>
        <v>0</v>
      </c>
      <c r="CV54" s="338">
        <f>COUNTIFS('MEP | Drawing List'!$H:$H,"MEP-T09-3",'MEP | Drawing List'!$J:$J,1)</f>
        <v>0</v>
      </c>
      <c r="CW54" s="338">
        <f>COUNTIFS('MEP | Drawing List'!$H:$H,"MEP-T09-3",'MEP | Drawing List'!$L:$L,1)</f>
        <v>0</v>
      </c>
      <c r="CX54" s="343">
        <f>COUNTIFS('MEP | Drawing List'!$H:$H,"MEP-T09-3",'MEP | Drawing List'!M:M,1)</f>
        <v>0</v>
      </c>
      <c r="CY54" s="343">
        <f>COUNTIFS('MEP | Drawing List'!$H:$H,"MEP-T09-3",'MEP | Drawing List'!N:N,1)</f>
        <v>0</v>
      </c>
      <c r="CZ54" s="343">
        <f>COUNTIFS('MEP | Drawing List'!$H:$H,"MEP-T09-3",'MEP | Drawing List'!O:O,1)</f>
        <v>0</v>
      </c>
      <c r="DA54" s="343">
        <f>COUNTIFS('MEP | Drawing List'!$H:$H,"MEP-T09-3",'MEP | Drawing List'!P:P,1)</f>
        <v>0</v>
      </c>
      <c r="DB54" s="343"/>
      <c r="DC54" s="338">
        <f>COUNTIFS('MEP | Drawing List'!$H:$H,"MEP-T09-3",'MEP | Drawing List'!$Q:$Q,1)</f>
        <v>0</v>
      </c>
      <c r="DD54" s="343">
        <f>COUNTIFS('MEP | Drawing List'!$H:$H,"MEP-T09-3",'MEP | Drawing List'!R:R,1)</f>
        <v>0</v>
      </c>
      <c r="DE54" s="343">
        <f>COUNTIFS('MEP | Drawing List'!$H:$H,"MEP-T09-3",'MEP | Drawing List'!S:S,1)</f>
        <v>0</v>
      </c>
      <c r="DF54" s="343">
        <f>COUNTIFS('MEP | Drawing List'!$H:$H,"MEP-T09-3",'MEP | Drawing List'!T:T,1)</f>
        <v>0</v>
      </c>
      <c r="DG54" s="343">
        <f>COUNTIFS('MEP | Drawing List'!$H:$H,"MEP-T09-3",'MEP | Drawing List'!U:U,1)</f>
        <v>0</v>
      </c>
      <c r="DH54" s="194"/>
      <c r="DI54" s="194"/>
      <c r="DJ54" s="196">
        <v>0</v>
      </c>
      <c r="DK54" s="194"/>
      <c r="DL54" s="332">
        <f t="shared" si="110"/>
        <v>0</v>
      </c>
      <c r="DM54" s="328">
        <f t="shared" si="15"/>
        <v>0</v>
      </c>
      <c r="DN54" s="343">
        <f t="shared" si="111"/>
        <v>0</v>
      </c>
      <c r="DO54" s="343">
        <f t="shared" si="112"/>
        <v>0</v>
      </c>
      <c r="DP54" s="343">
        <f t="shared" si="113"/>
        <v>0</v>
      </c>
      <c r="DQ54" s="343">
        <f t="shared" si="114"/>
        <v>0</v>
      </c>
      <c r="DR54" s="343">
        <f t="shared" si="115"/>
        <v>0</v>
      </c>
      <c r="DS54" s="343">
        <f t="shared" si="116"/>
        <v>0</v>
      </c>
      <c r="DT54" s="343"/>
      <c r="DU54" s="343">
        <f t="shared" si="117"/>
        <v>0</v>
      </c>
      <c r="DV54" s="343">
        <f t="shared" si="126"/>
        <v>0</v>
      </c>
      <c r="DW54" s="343">
        <f t="shared" si="127"/>
        <v>0</v>
      </c>
      <c r="DX54" s="343">
        <f t="shared" si="128"/>
        <v>0</v>
      </c>
      <c r="DY54" s="343">
        <f t="shared" si="129"/>
        <v>0</v>
      </c>
      <c r="DZ54" s="195"/>
      <c r="EA54" s="344">
        <f t="shared" si="118"/>
        <v>0</v>
      </c>
      <c r="EB54" s="344">
        <f t="shared" si="119"/>
        <v>0</v>
      </c>
      <c r="EC54" s="344">
        <f t="shared" si="130"/>
        <v>0</v>
      </c>
      <c r="ED54" s="346"/>
      <c r="EE54" s="355">
        <f>COUNTIF('LS | Drawing List'!$H:$H,"LS-T09-3")</f>
        <v>0</v>
      </c>
      <c r="EF54" s="338">
        <f>COUNTIFS('LS | Drawing List'!$H:$H,"LS-T09-3",'LS | Drawing List'!$J:$J,1)</f>
        <v>0</v>
      </c>
      <c r="EG54" s="338">
        <f>COUNTIFS('LS | Drawing List'!$H:$H,"LS-T09-3",'LS | Drawing List'!$L:$L,1)</f>
        <v>0</v>
      </c>
      <c r="EH54" s="343">
        <f>COUNTIFS('LS | Drawing List'!$H:$H,"LS-T09-3",'LS | Drawing List'!M:M,1)</f>
        <v>0</v>
      </c>
      <c r="EI54" s="343">
        <f>COUNTIFS('LS | Drawing List'!$H:$H,"LS-T09-3",'LS | Drawing List'!N:N,1)</f>
        <v>0</v>
      </c>
      <c r="EJ54" s="343">
        <f>COUNTIFS('LS | Drawing List'!$H:$H,"LS-T09-3",'LS | Drawing List'!O:O,1)</f>
        <v>0</v>
      </c>
      <c r="EK54" s="343">
        <f>COUNTIFS('LS | Drawing List'!$H:$H,"LS-T09-3",'LS | Drawing List'!P:P,1)</f>
        <v>0</v>
      </c>
      <c r="EL54" s="343"/>
      <c r="EM54" s="338">
        <f>COUNTIFS('LS | Drawing List'!$H:$H,"LS-T09-3",'LS | Drawing List'!$Q:$Q,1)</f>
        <v>0</v>
      </c>
      <c r="EN54" s="343">
        <f>COUNTIFS('LS | Drawing List'!$H:$H,"LS-T09-3",'LS | Drawing List'!R:R,1)</f>
        <v>0</v>
      </c>
      <c r="EO54" s="343">
        <f>COUNTIFS('LS | Drawing List'!$H:$H,"LS-T09-3",'LS | Drawing List'!S:S,1)</f>
        <v>0</v>
      </c>
      <c r="EP54" s="343">
        <f>COUNTIFS('LS | Drawing List'!$H:$H,"LS-T09-3",'LS | Drawing List'!T:T,1)</f>
        <v>0</v>
      </c>
      <c r="EQ54" s="343">
        <f>COUNTIFS('LS | Drawing List'!$H:$H,"LS-T09-3",'LS | Drawing List'!U:U,1)</f>
        <v>0</v>
      </c>
      <c r="ER54" s="114"/>
      <c r="ES54" s="499"/>
      <c r="ET54" s="112"/>
    </row>
    <row r="55" spans="1:150" ht="11.85" customHeight="1" outlineLevel="2">
      <c r="A55" s="112"/>
      <c r="B55" s="162" t="s">
        <v>52</v>
      </c>
      <c r="C55" s="213">
        <v>4</v>
      </c>
      <c r="D55" s="214" t="s">
        <v>53</v>
      </c>
      <c r="E55" s="114"/>
      <c r="F55" s="197">
        <v>0.05</v>
      </c>
      <c r="G55" s="194"/>
      <c r="H55" s="395">
        <f t="shared" si="71"/>
        <v>0.23920000000000005</v>
      </c>
      <c r="I55" s="395">
        <f t="shared" si="12"/>
        <v>0.23920000000000005</v>
      </c>
      <c r="J55" s="395">
        <f t="shared" si="72"/>
        <v>0.23920000000000005</v>
      </c>
      <c r="K55" s="395">
        <f t="shared" si="73"/>
        <v>0</v>
      </c>
      <c r="L55" s="395">
        <f t="shared" si="74"/>
        <v>0</v>
      </c>
      <c r="M55" s="395">
        <f t="shared" si="75"/>
        <v>0</v>
      </c>
      <c r="N55" s="395">
        <f t="shared" si="76"/>
        <v>0</v>
      </c>
      <c r="O55" s="395">
        <f t="shared" si="77"/>
        <v>0</v>
      </c>
      <c r="P55" s="343"/>
      <c r="Q55" s="343">
        <f t="shared" si="78"/>
        <v>0</v>
      </c>
      <c r="R55" s="343">
        <f t="shared" si="79"/>
        <v>0</v>
      </c>
      <c r="S55" s="343">
        <f t="shared" si="80"/>
        <v>0</v>
      </c>
      <c r="T55" s="343">
        <f t="shared" si="81"/>
        <v>0</v>
      </c>
      <c r="U55" s="343">
        <f t="shared" si="82"/>
        <v>0</v>
      </c>
      <c r="V55" s="195"/>
      <c r="W55" s="344">
        <f t="shared" si="83"/>
        <v>1</v>
      </c>
      <c r="X55" s="344">
        <f t="shared" si="84"/>
        <v>0</v>
      </c>
      <c r="Y55" s="344">
        <f t="shared" si="131"/>
        <v>0</v>
      </c>
      <c r="Z55" s="346"/>
      <c r="AA55" s="355">
        <f>COUNTIF('AR | Drawing List'!$H:$H,"AR-T09-4")</f>
        <v>2</v>
      </c>
      <c r="AB55" s="338">
        <f>COUNTIFS('AR | Drawing List'!$H:$H,"AR-T09-4",'AR | Drawing List'!$J:$J,1)</f>
        <v>2</v>
      </c>
      <c r="AC55" s="338">
        <f>COUNTIFS('AR | Drawing List'!$H:$H,"AR-T09-4",'AR | Drawing List'!$L:$L,1)</f>
        <v>0</v>
      </c>
      <c r="AD55" s="343">
        <f>COUNTIFS('AR | Drawing List'!$H:$H,"AR-T09-4",'AR | Drawing List'!M:M,1)</f>
        <v>0</v>
      </c>
      <c r="AE55" s="343">
        <f>COUNTIFS('AR | Drawing List'!$H:$H,"AR-T09-4",'AR | Drawing List'!N:N,1)</f>
        <v>0</v>
      </c>
      <c r="AF55" s="343">
        <f>COUNTIFS('AR | Drawing List'!$H:$H,"AR-T09-4",'AR | Drawing List'!O:O,1)</f>
        <v>0</v>
      </c>
      <c r="AG55" s="343">
        <f>COUNTIFS('AR | Drawing List'!$H:$H,"AR-T09-4",'AR | Drawing List'!P:P,1)</f>
        <v>0</v>
      </c>
      <c r="AH55" s="343"/>
      <c r="AI55" s="338">
        <f>COUNTIFS('AR | Drawing List'!$H:$H,"AR-T09-4",'AR | Drawing List'!$Q:$Q,1)</f>
        <v>0</v>
      </c>
      <c r="AJ55" s="343">
        <f>COUNTIFS('AR | Drawing List'!$H:$H,"AR-T09-4",'AR | Drawing List'!R:R,1)</f>
        <v>0</v>
      </c>
      <c r="AK55" s="343">
        <f>COUNTIFS('AR | Drawing List'!$H:$H,"AR-T09-4",'AR | Drawing List'!S:S,1)</f>
        <v>0</v>
      </c>
      <c r="AL55" s="343">
        <f>COUNTIFS('AR | Drawing List'!$H:$H,"AR-T09-4",'AR | Drawing List'!T:T,1)</f>
        <v>0</v>
      </c>
      <c r="AM55" s="343">
        <f>COUNTIFS('AR | Drawing List'!$H:$H,"AR-T09-4",'AR | Drawing List'!U:U,1)</f>
        <v>0</v>
      </c>
      <c r="AN55" s="355"/>
      <c r="AO55" s="355"/>
      <c r="AP55" s="196">
        <v>0.1</v>
      </c>
      <c r="AQ55" s="194"/>
      <c r="AR55" s="447">
        <f t="shared" si="86"/>
        <v>0.1512606</v>
      </c>
      <c r="AS55" s="447">
        <f t="shared" si="13"/>
        <v>0.1512606</v>
      </c>
      <c r="AT55" s="447">
        <f t="shared" si="87"/>
        <v>0.1512606</v>
      </c>
      <c r="AU55" s="343">
        <f t="shared" si="88"/>
        <v>0</v>
      </c>
      <c r="AV55" s="343">
        <f t="shared" si="89"/>
        <v>0</v>
      </c>
      <c r="AW55" s="343">
        <f t="shared" si="90"/>
        <v>0</v>
      </c>
      <c r="AX55" s="343">
        <f t="shared" si="91"/>
        <v>0</v>
      </c>
      <c r="AY55" s="343">
        <f t="shared" si="92"/>
        <v>0</v>
      </c>
      <c r="AZ55" s="343"/>
      <c r="BA55" s="343">
        <f t="shared" si="93"/>
        <v>0</v>
      </c>
      <c r="BB55" s="343">
        <f t="shared" si="94"/>
        <v>0</v>
      </c>
      <c r="BC55" s="343">
        <f t="shared" si="95"/>
        <v>0</v>
      </c>
      <c r="BD55" s="343">
        <f t="shared" si="96"/>
        <v>0</v>
      </c>
      <c r="BE55" s="343">
        <f t="shared" si="97"/>
        <v>0</v>
      </c>
      <c r="BF55" s="195"/>
      <c r="BG55" s="344">
        <f t="shared" si="98"/>
        <v>1</v>
      </c>
      <c r="BH55" s="344">
        <f t="shared" si="99"/>
        <v>0</v>
      </c>
      <c r="BI55" s="344">
        <f t="shared" si="120"/>
        <v>0</v>
      </c>
      <c r="BJ55" s="346"/>
      <c r="BK55" s="355">
        <f>COUNTIF('ST | Drawing List'!$H:$H,"ST-T09-4")</f>
        <v>5</v>
      </c>
      <c r="BL55" s="338">
        <f>COUNTIFS('ST | Drawing List'!$H:$H,"ST-T09-4",'ST | Drawing List'!$J:$J,1)</f>
        <v>5</v>
      </c>
      <c r="BM55" s="338">
        <f>COUNTIFS('ST | Drawing List'!$H:$H,"ST-T09-4",'ST | Drawing List'!$L:$L,1)</f>
        <v>0</v>
      </c>
      <c r="BN55" s="343">
        <f>COUNTIFS('ST | Drawing List'!$H:$H,"ST-T09-4",'ST | Drawing List'!M:M,1)</f>
        <v>0</v>
      </c>
      <c r="BO55" s="343">
        <f>COUNTIFS('ST | Drawing List'!$H:$H,"ST-T09-4",'ST | Drawing List'!N:N,1)</f>
        <v>0</v>
      </c>
      <c r="BP55" s="343">
        <f>COUNTIFS('ST | Drawing List'!$H:$H,"ST-T09-4",'ST | Drawing List'!O:O,1)</f>
        <v>0</v>
      </c>
      <c r="BQ55" s="343">
        <f>COUNTIFS('ST | Drawing List'!$H:$H,"ST-T09-4",'ST | Drawing List'!P:P,1)</f>
        <v>0</v>
      </c>
      <c r="BR55" s="343"/>
      <c r="BS55" s="338">
        <f>COUNTIFS('ST | Drawing List'!$H:$H,"ST-T09-4",'ST | Drawing List'!$Q:$Q,1)</f>
        <v>0</v>
      </c>
      <c r="BT55" s="343">
        <f>COUNTIFS('ST | Drawing List'!$H:$H,"ST-T09-4",'ST | Drawing List'!R:R,1)</f>
        <v>0</v>
      </c>
      <c r="BU55" s="343">
        <f>COUNTIFS('ST | Drawing List'!$H:$H,"ST-T09-4",'ST | Drawing List'!S:S,1)</f>
        <v>0</v>
      </c>
      <c r="BV55" s="343">
        <f>COUNTIFS('ST | Drawing List'!$H:$H,"ST-T09-4",'ST | Drawing List'!T:T,1)</f>
        <v>0</v>
      </c>
      <c r="BW55" s="343">
        <f>COUNTIFS('ST | Drawing List'!$H:$H,"ST-T09-4",'ST | Drawing List'!U:U,1)</f>
        <v>0</v>
      </c>
      <c r="BX55" s="194"/>
      <c r="BY55" s="194"/>
      <c r="BZ55" s="196">
        <v>0.2</v>
      </c>
      <c r="CA55" s="194"/>
      <c r="CB55" s="446">
        <f t="shared" si="100"/>
        <v>0.10786142872000003</v>
      </c>
      <c r="CC55" s="447">
        <f t="shared" si="14"/>
        <v>0.10786142872000003</v>
      </c>
      <c r="CD55" s="448">
        <f t="shared" si="101"/>
        <v>0</v>
      </c>
      <c r="CE55" s="448">
        <f t="shared" si="102"/>
        <v>0.10786142872000003</v>
      </c>
      <c r="CF55" s="448">
        <f t="shared" si="103"/>
        <v>0.10786142872000003</v>
      </c>
      <c r="CG55" s="448">
        <f t="shared" si="104"/>
        <v>0</v>
      </c>
      <c r="CH55" s="343">
        <f t="shared" si="105"/>
        <v>0</v>
      </c>
      <c r="CI55" s="343">
        <f t="shared" si="106"/>
        <v>0</v>
      </c>
      <c r="CJ55" s="343"/>
      <c r="CK55" s="478">
        <f t="shared" si="107"/>
        <v>0.10786142872000003</v>
      </c>
      <c r="CL55" s="478">
        <f t="shared" si="121"/>
        <v>0.10786142872000003</v>
      </c>
      <c r="CM55" s="478">
        <f t="shared" si="122"/>
        <v>0</v>
      </c>
      <c r="CN55" s="478">
        <f t="shared" si="123"/>
        <v>0</v>
      </c>
      <c r="CO55" s="478">
        <f t="shared" si="124"/>
        <v>0</v>
      </c>
      <c r="CP55" s="195"/>
      <c r="CQ55" s="344">
        <f t="shared" si="108"/>
        <v>0.42857142857142855</v>
      </c>
      <c r="CR55" s="344">
        <f t="shared" si="109"/>
        <v>0.5714285714285714</v>
      </c>
      <c r="CS55" s="344">
        <f t="shared" si="125"/>
        <v>0.5714285714285714</v>
      </c>
      <c r="CT55" s="346"/>
      <c r="CU55" s="355">
        <f>COUNTIF('MEP | Drawing List'!$H:$H,"MEP-T09-4")</f>
        <v>28</v>
      </c>
      <c r="CV55" s="338">
        <f>COUNTIFS('MEP | Drawing List'!$H:$H,"MEP-T09-4",'MEP | Drawing List'!$J:$J,1)</f>
        <v>12</v>
      </c>
      <c r="CW55" s="338">
        <f>COUNTIFS('MEP | Drawing List'!$H:$H,"MEP-T09-4",'MEP | Drawing List'!$L:$L,1)</f>
        <v>16</v>
      </c>
      <c r="CX55" s="343">
        <f>COUNTIFS('MEP | Drawing List'!$H:$H,"MEP-T09-4",'MEP | Drawing List'!M:M,1)</f>
        <v>16</v>
      </c>
      <c r="CY55" s="343">
        <f>COUNTIFS('MEP | Drawing List'!$H:$H,"MEP-T09-4",'MEP | Drawing List'!N:N,1)</f>
        <v>0</v>
      </c>
      <c r="CZ55" s="343">
        <f>COUNTIFS('MEP | Drawing List'!$H:$H,"MEP-T09-4",'MEP | Drawing List'!O:O,1)</f>
        <v>0</v>
      </c>
      <c r="DA55" s="343">
        <f>COUNTIFS('MEP | Drawing List'!$H:$H,"MEP-T09-4",'MEP | Drawing List'!P:P,1)</f>
        <v>0</v>
      </c>
      <c r="DB55" s="343"/>
      <c r="DC55" s="338">
        <f>COUNTIFS('MEP | Drawing List'!$H:$H,"MEP-T09-4",'MEP | Drawing List'!$Q:$Q,1)</f>
        <v>16</v>
      </c>
      <c r="DD55" s="343">
        <f>COUNTIFS('MEP | Drawing List'!$H:$H,"MEP-T09-4",'MEP | Drawing List'!R:R,1)</f>
        <v>16</v>
      </c>
      <c r="DE55" s="343">
        <f>COUNTIFS('MEP | Drawing List'!$H:$H,"MEP-T09-4",'MEP | Drawing List'!S:S,1)</f>
        <v>0</v>
      </c>
      <c r="DF55" s="343">
        <f>COUNTIFS('MEP | Drawing List'!$H:$H,"MEP-T09-4",'MEP | Drawing List'!T:T,1)</f>
        <v>0</v>
      </c>
      <c r="DG55" s="343">
        <f>COUNTIFS('MEP | Drawing List'!$H:$H,"MEP-T09-4",'MEP | Drawing List'!U:U,1)</f>
        <v>0</v>
      </c>
      <c r="DH55" s="194"/>
      <c r="DI55" s="194"/>
      <c r="DJ55" s="196">
        <v>0</v>
      </c>
      <c r="DK55" s="194"/>
      <c r="DL55" s="332">
        <f t="shared" si="110"/>
        <v>0</v>
      </c>
      <c r="DM55" s="328">
        <f t="shared" si="15"/>
        <v>0</v>
      </c>
      <c r="DN55" s="343">
        <f t="shared" si="111"/>
        <v>0</v>
      </c>
      <c r="DO55" s="343">
        <f t="shared" si="112"/>
        <v>0</v>
      </c>
      <c r="DP55" s="343">
        <f t="shared" si="113"/>
        <v>0</v>
      </c>
      <c r="DQ55" s="343">
        <f t="shared" si="114"/>
        <v>0</v>
      </c>
      <c r="DR55" s="343">
        <f t="shared" si="115"/>
        <v>0</v>
      </c>
      <c r="DS55" s="343">
        <f t="shared" si="116"/>
        <v>0</v>
      </c>
      <c r="DT55" s="343"/>
      <c r="DU55" s="343">
        <f t="shared" si="117"/>
        <v>0</v>
      </c>
      <c r="DV55" s="343">
        <f t="shared" si="126"/>
        <v>0</v>
      </c>
      <c r="DW55" s="343">
        <f t="shared" si="127"/>
        <v>0</v>
      </c>
      <c r="DX55" s="343">
        <f t="shared" si="128"/>
        <v>0</v>
      </c>
      <c r="DY55" s="343">
        <f t="shared" si="129"/>
        <v>0</v>
      </c>
      <c r="DZ55" s="195"/>
      <c r="EA55" s="344">
        <f t="shared" si="118"/>
        <v>0</v>
      </c>
      <c r="EB55" s="344">
        <f t="shared" si="119"/>
        <v>0</v>
      </c>
      <c r="EC55" s="344">
        <f t="shared" si="130"/>
        <v>0</v>
      </c>
      <c r="ED55" s="346"/>
      <c r="EE55" s="355">
        <f>COUNTIF('LS | Drawing List'!$H:$H,"LS-T09-4")</f>
        <v>0</v>
      </c>
      <c r="EF55" s="338">
        <f>COUNTIFS('LS | Drawing List'!$H:$H,"LS-T09-4",'LS | Drawing List'!$J:$J,1)</f>
        <v>0</v>
      </c>
      <c r="EG55" s="338">
        <f>COUNTIFS('LS | Drawing List'!$H:$H,"LS-T09-4",'LS | Drawing List'!$L:$L,1)</f>
        <v>0</v>
      </c>
      <c r="EH55" s="343">
        <f>COUNTIFS('LS | Drawing List'!$H:$H,"LS-T09-4",'LS | Drawing List'!M:M,1)</f>
        <v>0</v>
      </c>
      <c r="EI55" s="343">
        <f>COUNTIFS('LS | Drawing List'!$H:$H,"LS-T09-4",'LS | Drawing List'!N:N,1)</f>
        <v>0</v>
      </c>
      <c r="EJ55" s="343">
        <f>COUNTIFS('LS | Drawing List'!$H:$H,"LS-T09-4",'LS | Drawing List'!O:O,1)</f>
        <v>0</v>
      </c>
      <c r="EK55" s="343">
        <f>COUNTIFS('LS | Drawing List'!$H:$H,"LS-T09-4",'LS | Drawing List'!P:P,1)</f>
        <v>0</v>
      </c>
      <c r="EL55" s="343"/>
      <c r="EM55" s="338">
        <f>COUNTIFS('LS | Drawing List'!$H:$H,"LS-T09-4",'LS | Drawing List'!$Q:$Q,1)</f>
        <v>0</v>
      </c>
      <c r="EN55" s="343">
        <f>COUNTIFS('LS | Drawing List'!$H:$H,"LS-T09-4",'LS | Drawing List'!R:R,1)</f>
        <v>0</v>
      </c>
      <c r="EO55" s="343">
        <f>COUNTIFS('LS | Drawing List'!$H:$H,"LS-T09-4",'LS | Drawing List'!S:S,1)</f>
        <v>0</v>
      </c>
      <c r="EP55" s="343">
        <f>COUNTIFS('LS | Drawing List'!$H:$H,"LS-T09-4",'LS | Drawing List'!T:T,1)</f>
        <v>0</v>
      </c>
      <c r="EQ55" s="343">
        <f>COUNTIFS('LS | Drawing List'!$H:$H,"LS-T09-4",'LS | Drawing List'!U:U,1)</f>
        <v>0</v>
      </c>
      <c r="ER55" s="114"/>
      <c r="ES55" s="499"/>
      <c r="ET55" s="112"/>
    </row>
    <row r="56" spans="1:150" ht="11.85" customHeight="1" outlineLevel="2">
      <c r="A56" s="112"/>
      <c r="B56" s="162" t="s">
        <v>54</v>
      </c>
      <c r="C56" s="213">
        <v>5</v>
      </c>
      <c r="D56" s="214" t="s">
        <v>55</v>
      </c>
      <c r="E56" s="114"/>
      <c r="F56" s="197">
        <v>2.5000000000000001E-2</v>
      </c>
      <c r="G56" s="194"/>
      <c r="H56" s="395">
        <f t="shared" si="71"/>
        <v>0.11960000000000003</v>
      </c>
      <c r="I56" s="395">
        <f t="shared" si="12"/>
        <v>0.11960000000000003</v>
      </c>
      <c r="J56" s="395">
        <f t="shared" si="72"/>
        <v>0.11960000000000003</v>
      </c>
      <c r="K56" s="395">
        <f t="shared" si="73"/>
        <v>0</v>
      </c>
      <c r="L56" s="395">
        <f t="shared" si="74"/>
        <v>0</v>
      </c>
      <c r="M56" s="395">
        <f t="shared" si="75"/>
        <v>0</v>
      </c>
      <c r="N56" s="395">
        <f t="shared" si="76"/>
        <v>0</v>
      </c>
      <c r="O56" s="395">
        <f t="shared" si="77"/>
        <v>0</v>
      </c>
      <c r="P56" s="343"/>
      <c r="Q56" s="343">
        <f t="shared" si="78"/>
        <v>0</v>
      </c>
      <c r="R56" s="343">
        <f t="shared" si="79"/>
        <v>0</v>
      </c>
      <c r="S56" s="343">
        <f t="shared" si="80"/>
        <v>0</v>
      </c>
      <c r="T56" s="343">
        <f t="shared" si="81"/>
        <v>0</v>
      </c>
      <c r="U56" s="343">
        <f t="shared" si="82"/>
        <v>0</v>
      </c>
      <c r="V56" s="195"/>
      <c r="W56" s="344">
        <f t="shared" si="83"/>
        <v>1</v>
      </c>
      <c r="X56" s="344">
        <f t="shared" si="84"/>
        <v>0</v>
      </c>
      <c r="Y56" s="344">
        <f t="shared" si="131"/>
        <v>0</v>
      </c>
      <c r="Z56" s="346"/>
      <c r="AA56" s="355">
        <f>COUNTIF('AR | Drawing List'!$H:$H,"AR-T09-5")</f>
        <v>3</v>
      </c>
      <c r="AB56" s="338">
        <f>COUNTIFS('AR | Drawing List'!$H:$H,"AR-T09-5",'AR | Drawing List'!$J:$J,1)</f>
        <v>3</v>
      </c>
      <c r="AC56" s="338">
        <f>COUNTIFS('AR | Drawing List'!$H:$H,"AR-T09-5",'AR | Drawing List'!$L:$L,1)</f>
        <v>0</v>
      </c>
      <c r="AD56" s="343">
        <f>COUNTIFS('AR | Drawing List'!$H:$H,"AR-T09-5",'AR | Drawing List'!M:M,1)</f>
        <v>0</v>
      </c>
      <c r="AE56" s="343">
        <f>COUNTIFS('AR | Drawing List'!$H:$H,"AR-T09-5",'AR | Drawing List'!N:N,1)</f>
        <v>0</v>
      </c>
      <c r="AF56" s="343">
        <f>COUNTIFS('AR | Drawing List'!$H:$H,"AR-T09-5",'AR | Drawing List'!O:O,1)</f>
        <v>0</v>
      </c>
      <c r="AG56" s="343">
        <f>COUNTIFS('AR | Drawing List'!$H:$H,"AR-T09-5",'AR | Drawing List'!P:P,1)</f>
        <v>0</v>
      </c>
      <c r="AH56" s="343"/>
      <c r="AI56" s="338">
        <f>COUNTIFS('AR | Drawing List'!$H:$H,"AR-T09-5",'AR | Drawing List'!$Q:$Q,1)</f>
        <v>0</v>
      </c>
      <c r="AJ56" s="343">
        <f>COUNTIFS('AR | Drawing List'!$H:$H,"AR-T09-5",'AR | Drawing List'!R:R,1)</f>
        <v>0</v>
      </c>
      <c r="AK56" s="343">
        <f>COUNTIFS('AR | Drawing List'!$H:$H,"AR-T09-5",'AR | Drawing List'!S:S,1)</f>
        <v>0</v>
      </c>
      <c r="AL56" s="343">
        <f>COUNTIFS('AR | Drawing List'!$H:$H,"AR-T09-5",'AR | Drawing List'!T:T,1)</f>
        <v>0</v>
      </c>
      <c r="AM56" s="343">
        <f>COUNTIFS('AR | Drawing List'!$H:$H,"AR-T09-5",'AR | Drawing List'!U:U,1)</f>
        <v>0</v>
      </c>
      <c r="AN56" s="355"/>
      <c r="AO56" s="355"/>
      <c r="AP56" s="196">
        <v>7.4999999999999997E-2</v>
      </c>
      <c r="AQ56" s="194"/>
      <c r="AR56" s="447">
        <f t="shared" si="86"/>
        <v>0.11344544999999999</v>
      </c>
      <c r="AS56" s="447">
        <f t="shared" si="13"/>
        <v>0.11344544999999999</v>
      </c>
      <c r="AT56" s="447">
        <f t="shared" si="87"/>
        <v>0.11344544999999999</v>
      </c>
      <c r="AU56" s="343">
        <f t="shared" si="88"/>
        <v>0</v>
      </c>
      <c r="AV56" s="343">
        <f t="shared" si="89"/>
        <v>0</v>
      </c>
      <c r="AW56" s="343">
        <f t="shared" si="90"/>
        <v>0</v>
      </c>
      <c r="AX56" s="343">
        <f t="shared" si="91"/>
        <v>0</v>
      </c>
      <c r="AY56" s="343">
        <f t="shared" si="92"/>
        <v>0</v>
      </c>
      <c r="AZ56" s="343"/>
      <c r="BA56" s="343">
        <f t="shared" si="93"/>
        <v>0</v>
      </c>
      <c r="BB56" s="343">
        <f t="shared" si="94"/>
        <v>0</v>
      </c>
      <c r="BC56" s="343">
        <f t="shared" si="95"/>
        <v>0</v>
      </c>
      <c r="BD56" s="343">
        <f t="shared" si="96"/>
        <v>0</v>
      </c>
      <c r="BE56" s="343">
        <f t="shared" si="97"/>
        <v>0</v>
      </c>
      <c r="BF56" s="195"/>
      <c r="BG56" s="344">
        <f t="shared" si="98"/>
        <v>1</v>
      </c>
      <c r="BH56" s="344">
        <f t="shared" si="99"/>
        <v>0</v>
      </c>
      <c r="BI56" s="344">
        <f t="shared" si="120"/>
        <v>0</v>
      </c>
      <c r="BJ56" s="346"/>
      <c r="BK56" s="355">
        <f>COUNTIF('ST | Drawing List'!$H:$H,"ST-T09-5")</f>
        <v>10</v>
      </c>
      <c r="BL56" s="338">
        <f>COUNTIFS('ST | Drawing List'!$H:$H,"ST-T09-5",'ST | Drawing List'!$J:$J,1)</f>
        <v>10</v>
      </c>
      <c r="BM56" s="338">
        <f>COUNTIFS('ST | Drawing List'!$H:$H,"ST-T09-5",'ST | Drawing List'!$L:$L,1)</f>
        <v>0</v>
      </c>
      <c r="BN56" s="343">
        <f>COUNTIFS('ST | Drawing List'!$H:$H,"ST-T09-5",'ST | Drawing List'!M:M,1)</f>
        <v>0</v>
      </c>
      <c r="BO56" s="343">
        <f>COUNTIFS('ST | Drawing List'!$H:$H,"ST-T09-5",'ST | Drawing List'!N:N,1)</f>
        <v>0</v>
      </c>
      <c r="BP56" s="343">
        <f>COUNTIFS('ST | Drawing List'!$H:$H,"ST-T09-5",'ST | Drawing List'!O:O,1)</f>
        <v>0</v>
      </c>
      <c r="BQ56" s="343">
        <f>COUNTIFS('ST | Drawing List'!$H:$H,"ST-T09-5",'ST | Drawing List'!P:P,1)</f>
        <v>0</v>
      </c>
      <c r="BR56" s="343"/>
      <c r="BS56" s="338">
        <f>COUNTIFS('ST | Drawing List'!$H:$H,"ST-T09-5",'ST | Drawing List'!$Q:$Q,1)</f>
        <v>0</v>
      </c>
      <c r="BT56" s="343">
        <f>COUNTIFS('ST | Drawing List'!$H:$H,"ST-T09-5",'ST | Drawing List'!R:R,1)</f>
        <v>0</v>
      </c>
      <c r="BU56" s="343">
        <f>COUNTIFS('ST | Drawing List'!$H:$H,"ST-T09-5",'ST | Drawing List'!S:S,1)</f>
        <v>0</v>
      </c>
      <c r="BV56" s="343">
        <f>COUNTIFS('ST | Drawing List'!$H:$H,"ST-T09-5",'ST | Drawing List'!T:T,1)</f>
        <v>0</v>
      </c>
      <c r="BW56" s="343">
        <f>COUNTIFS('ST | Drawing List'!$H:$H,"ST-T09-5",'ST | Drawing List'!U:U,1)</f>
        <v>0</v>
      </c>
      <c r="BX56" s="194"/>
      <c r="BY56" s="194"/>
      <c r="BZ56" s="196">
        <v>0</v>
      </c>
      <c r="CA56" s="194"/>
      <c r="CB56" s="446">
        <f t="shared" si="100"/>
        <v>0</v>
      </c>
      <c r="CC56" s="447">
        <f t="shared" si="14"/>
        <v>0</v>
      </c>
      <c r="CD56" s="448">
        <f t="shared" si="101"/>
        <v>0</v>
      </c>
      <c r="CE56" s="448">
        <f t="shared" si="102"/>
        <v>0</v>
      </c>
      <c r="CF56" s="448">
        <f t="shared" si="103"/>
        <v>0</v>
      </c>
      <c r="CG56" s="448">
        <f t="shared" si="104"/>
        <v>0</v>
      </c>
      <c r="CH56" s="343">
        <f t="shared" si="105"/>
        <v>0</v>
      </c>
      <c r="CI56" s="343">
        <f t="shared" si="106"/>
        <v>0</v>
      </c>
      <c r="CJ56" s="343"/>
      <c r="CK56" s="478">
        <f t="shared" si="107"/>
        <v>0</v>
      </c>
      <c r="CL56" s="478">
        <f t="shared" si="121"/>
        <v>0</v>
      </c>
      <c r="CM56" s="478">
        <f t="shared" si="122"/>
        <v>0</v>
      </c>
      <c r="CN56" s="478">
        <f t="shared" si="123"/>
        <v>0</v>
      </c>
      <c r="CO56" s="478">
        <f t="shared" si="124"/>
        <v>0</v>
      </c>
      <c r="CP56" s="195"/>
      <c r="CQ56" s="344">
        <f t="shared" si="108"/>
        <v>0</v>
      </c>
      <c r="CR56" s="344">
        <f t="shared" si="109"/>
        <v>0</v>
      </c>
      <c r="CS56" s="344">
        <f t="shared" si="125"/>
        <v>0</v>
      </c>
      <c r="CT56" s="346"/>
      <c r="CU56" s="355">
        <f>COUNTIF('MEP | Drawing List'!$H:$H,"MEP-T09-5")</f>
        <v>0</v>
      </c>
      <c r="CV56" s="338">
        <f>COUNTIFS('MEP | Drawing List'!$H:$H,"MEP-T09-5",'MEP | Drawing List'!$J:$J,1)</f>
        <v>0</v>
      </c>
      <c r="CW56" s="338">
        <f>COUNTIFS('MEP | Drawing List'!$H:$H,"MEP-T09-5",'MEP | Drawing List'!$L:$L,1)</f>
        <v>0</v>
      </c>
      <c r="CX56" s="343">
        <f>COUNTIFS('MEP | Drawing List'!$H:$H,"MEP-T09-5",'MEP | Drawing List'!M:M,1)</f>
        <v>0</v>
      </c>
      <c r="CY56" s="343">
        <f>COUNTIFS('MEP | Drawing List'!$H:$H,"MEP-T09-5",'MEP | Drawing List'!N:N,1)</f>
        <v>0</v>
      </c>
      <c r="CZ56" s="343">
        <f>COUNTIFS('MEP | Drawing List'!$H:$H,"MEP-T09-5",'MEP | Drawing List'!O:O,1)</f>
        <v>0</v>
      </c>
      <c r="DA56" s="343">
        <f>COUNTIFS('MEP | Drawing List'!$H:$H,"MEP-T09-5",'MEP | Drawing List'!P:P,1)</f>
        <v>0</v>
      </c>
      <c r="DB56" s="343"/>
      <c r="DC56" s="338">
        <f>COUNTIFS('MEP | Drawing List'!$H:$H,"MEP-T09-5",'MEP | Drawing List'!$Q:$Q,1)</f>
        <v>0</v>
      </c>
      <c r="DD56" s="343">
        <f>COUNTIFS('MEP | Drawing List'!$H:$H,"MEP-T09-5",'MEP | Drawing List'!R:R,1)</f>
        <v>0</v>
      </c>
      <c r="DE56" s="343">
        <f>COUNTIFS('MEP | Drawing List'!$H:$H,"MEP-T09-5",'MEP | Drawing List'!S:S,1)</f>
        <v>0</v>
      </c>
      <c r="DF56" s="343">
        <f>COUNTIFS('MEP | Drawing List'!$H:$H,"MEP-T09-5",'MEP | Drawing List'!T:T,1)</f>
        <v>0</v>
      </c>
      <c r="DG56" s="343">
        <f>COUNTIFS('MEP | Drawing List'!$H:$H,"MEP-T09-5",'MEP | Drawing List'!U:U,1)</f>
        <v>0</v>
      </c>
      <c r="DH56" s="194"/>
      <c r="DI56" s="194"/>
      <c r="DJ56" s="196">
        <v>0</v>
      </c>
      <c r="DK56" s="194"/>
      <c r="DL56" s="332">
        <f t="shared" si="110"/>
        <v>0</v>
      </c>
      <c r="DM56" s="328">
        <f t="shared" si="15"/>
        <v>0</v>
      </c>
      <c r="DN56" s="343">
        <f t="shared" si="111"/>
        <v>0</v>
      </c>
      <c r="DO56" s="343">
        <f t="shared" si="112"/>
        <v>0</v>
      </c>
      <c r="DP56" s="343">
        <f t="shared" si="113"/>
        <v>0</v>
      </c>
      <c r="DQ56" s="343">
        <f t="shared" si="114"/>
        <v>0</v>
      </c>
      <c r="DR56" s="343">
        <f t="shared" si="115"/>
        <v>0</v>
      </c>
      <c r="DS56" s="343">
        <f t="shared" si="116"/>
        <v>0</v>
      </c>
      <c r="DT56" s="343"/>
      <c r="DU56" s="343">
        <f t="shared" ref="DU56:DU57" si="132">IFERROR(IF(AND((EA56+EC56)=100%,EA56&lt;1),DL56,0),0)</f>
        <v>0</v>
      </c>
      <c r="DV56" s="343">
        <f t="shared" ref="DV56:DV57" si="133">IFERROR(IF(AND((EF56+EN56)=EE56,DN56=0),DL56,0),0)</f>
        <v>0</v>
      </c>
      <c r="DW56" s="343">
        <f t="shared" ref="DW56:DW57" si="134">IFERROR(IF(AND((EF56+EN56+EO56)=EE56,DN56=0,DV56=0),DL56,0),0)</f>
        <v>0</v>
      </c>
      <c r="DX56" s="343">
        <f t="shared" ref="DX56:DX57" si="135">IFERROR(IF(AND((EF56+EN56+EO56+EP56)=EE56,DN56=0,DV56=0,DW56=0),DL56,0),0)</f>
        <v>0</v>
      </c>
      <c r="DY56" s="343">
        <f t="shared" ref="DY56:DY57" si="136">IFERROR(IF(AND((EF56+EN56+EO56+EP56+EQ56)=EE56,DN56=0,DV56=0,DW56=0,DX56=0),DL56,0),0)</f>
        <v>0</v>
      </c>
      <c r="DZ56" s="195"/>
      <c r="EA56" s="344">
        <f t="shared" si="118"/>
        <v>0</v>
      </c>
      <c r="EB56" s="344">
        <f t="shared" si="119"/>
        <v>0</v>
      </c>
      <c r="EC56" s="344">
        <f t="shared" si="130"/>
        <v>0</v>
      </c>
      <c r="ED56" s="346"/>
      <c r="EE56" s="355">
        <f>COUNTIF('LS | Drawing List'!$H:$H,"LS-T09-5")</f>
        <v>0</v>
      </c>
      <c r="EF56" s="338">
        <f>COUNTIFS('LS | Drawing List'!$H:$H,"LS-T09-5",'LS | Drawing List'!$J:$J,1)</f>
        <v>0</v>
      </c>
      <c r="EG56" s="338">
        <f>COUNTIFS('LS | Drawing List'!$H:$H,"LS-T09-5",'LS | Drawing List'!$L:$L,1)</f>
        <v>0</v>
      </c>
      <c r="EH56" s="343">
        <f>COUNTIFS('LS | Drawing List'!$H:$H,"LS-T09-5",'LS | Drawing List'!M:M,1)</f>
        <v>0</v>
      </c>
      <c r="EI56" s="343">
        <f>COUNTIFS('LS | Drawing List'!$H:$H,"LS-T09-5",'LS | Drawing List'!N:N,1)</f>
        <v>0</v>
      </c>
      <c r="EJ56" s="343">
        <f>COUNTIFS('LS | Drawing List'!$H:$H,"LS-T09-5",'LS | Drawing List'!O:O,1)</f>
        <v>0</v>
      </c>
      <c r="EK56" s="343">
        <f>COUNTIFS('LS | Drawing List'!$H:$H,"LS-T09-5",'LS | Drawing List'!P:P,1)</f>
        <v>0</v>
      </c>
      <c r="EL56" s="343"/>
      <c r="EM56" s="338">
        <f>COUNTIFS('LS | Drawing List'!$H:$H,"LS-T09-5",'LS | Drawing List'!$Q:$Q,1)</f>
        <v>0</v>
      </c>
      <c r="EN56" s="343">
        <f>COUNTIFS('LS | Drawing List'!$H:$H,"LS-T09-5",'LS | Drawing List'!R:R,1)</f>
        <v>0</v>
      </c>
      <c r="EO56" s="343">
        <f>COUNTIFS('LS | Drawing List'!$H:$H,"LS-T09-5",'LS | Drawing List'!S:S,1)</f>
        <v>0</v>
      </c>
      <c r="EP56" s="343">
        <f>COUNTIFS('LS | Drawing List'!$H:$H,"LS-T09-5",'LS | Drawing List'!T:T,1)</f>
        <v>0</v>
      </c>
      <c r="EQ56" s="343">
        <f>COUNTIFS('LS | Drawing List'!$H:$H,"LS-T09-5",'LS | Drawing List'!U:U,1)</f>
        <v>0</v>
      </c>
      <c r="ER56" s="114"/>
      <c r="ES56" s="499"/>
      <c r="ET56" s="112"/>
    </row>
    <row r="57" spans="1:150" ht="11.85" customHeight="1" outlineLevel="2">
      <c r="A57" s="112"/>
      <c r="B57" s="162" t="s">
        <v>56</v>
      </c>
      <c r="C57" s="213">
        <v>6</v>
      </c>
      <c r="D57" s="214" t="s">
        <v>57</v>
      </c>
      <c r="E57" s="114"/>
      <c r="F57" s="197">
        <v>2.5000000000000001E-2</v>
      </c>
      <c r="G57" s="194"/>
      <c r="H57" s="395">
        <f t="shared" si="71"/>
        <v>0.11960000000000003</v>
      </c>
      <c r="I57" s="395">
        <f t="shared" si="12"/>
        <v>0.11960000000000003</v>
      </c>
      <c r="J57" s="395">
        <f t="shared" si="72"/>
        <v>0.11960000000000003</v>
      </c>
      <c r="K57" s="395">
        <f t="shared" si="73"/>
        <v>0</v>
      </c>
      <c r="L57" s="395">
        <f t="shared" si="74"/>
        <v>0</v>
      </c>
      <c r="M57" s="395">
        <f t="shared" si="75"/>
        <v>0</v>
      </c>
      <c r="N57" s="395">
        <f t="shared" si="76"/>
        <v>0</v>
      </c>
      <c r="O57" s="395">
        <f t="shared" si="77"/>
        <v>0</v>
      </c>
      <c r="P57" s="343"/>
      <c r="Q57" s="343">
        <f t="shared" si="78"/>
        <v>0</v>
      </c>
      <c r="R57" s="343">
        <f t="shared" si="79"/>
        <v>0</v>
      </c>
      <c r="S57" s="343">
        <f t="shared" si="80"/>
        <v>0</v>
      </c>
      <c r="T57" s="343">
        <f t="shared" si="81"/>
        <v>0</v>
      </c>
      <c r="U57" s="343">
        <f t="shared" si="82"/>
        <v>0</v>
      </c>
      <c r="V57" s="195"/>
      <c r="W57" s="344">
        <f t="shared" si="83"/>
        <v>1</v>
      </c>
      <c r="X57" s="344">
        <f t="shared" si="84"/>
        <v>0</v>
      </c>
      <c r="Y57" s="344">
        <f t="shared" si="131"/>
        <v>0</v>
      </c>
      <c r="Z57" s="346"/>
      <c r="AA57" s="355">
        <f>COUNTIF('AR | Drawing List'!$H:$H,"AR-T09-6")</f>
        <v>3</v>
      </c>
      <c r="AB57" s="338">
        <f>COUNTIFS('AR | Drawing List'!$H:$H,"AR-T09-6",'AR | Drawing List'!$J:$J,1)</f>
        <v>3</v>
      </c>
      <c r="AC57" s="338">
        <f>COUNTIFS('AR | Drawing List'!$H:$H,"AR-T09-6",'AR | Drawing List'!$L:$L,1)</f>
        <v>0</v>
      </c>
      <c r="AD57" s="343">
        <f>COUNTIFS('AR | Drawing List'!$H:$H,"AR-T09-6",'AR | Drawing List'!M:M,1)</f>
        <v>0</v>
      </c>
      <c r="AE57" s="343">
        <f>COUNTIFS('AR | Drawing List'!$H:$H,"AR-T09-6",'AR | Drawing List'!N:N,1)</f>
        <v>0</v>
      </c>
      <c r="AF57" s="343">
        <f>COUNTIFS('AR | Drawing List'!$H:$H,"AR-T09-6",'AR | Drawing List'!O:O,1)</f>
        <v>0</v>
      </c>
      <c r="AG57" s="343">
        <f>COUNTIFS('AR | Drawing List'!$H:$H,"AR-T09-6",'AR | Drawing List'!P:P,1)</f>
        <v>0</v>
      </c>
      <c r="AH57" s="343"/>
      <c r="AI57" s="338">
        <f>COUNTIFS('AR | Drawing List'!$H:$H,"AR-T09-6",'AR | Drawing List'!$Q:$Q,1)</f>
        <v>0</v>
      </c>
      <c r="AJ57" s="343">
        <f>COUNTIFS('AR | Drawing List'!$H:$H,"AR-T09-6",'AR | Drawing List'!R:R,1)</f>
        <v>0</v>
      </c>
      <c r="AK57" s="343">
        <f>COUNTIFS('AR | Drawing List'!$H:$H,"AR-T09-6",'AR | Drawing List'!S:S,1)</f>
        <v>0</v>
      </c>
      <c r="AL57" s="343">
        <f>COUNTIFS('AR | Drawing List'!$H:$H,"AR-T09-6",'AR | Drawing List'!T:T,1)</f>
        <v>0</v>
      </c>
      <c r="AM57" s="343">
        <f>COUNTIFS('AR | Drawing List'!$H:$H,"AR-T09-6",'AR | Drawing List'!U:U,1)</f>
        <v>0</v>
      </c>
      <c r="AN57" s="355"/>
      <c r="AO57" s="355"/>
      <c r="AP57" s="196">
        <v>7.4999999999999997E-2</v>
      </c>
      <c r="AQ57" s="194"/>
      <c r="AR57" s="447">
        <f t="shared" si="86"/>
        <v>0.11344544999999999</v>
      </c>
      <c r="AS57" s="447">
        <f t="shared" si="13"/>
        <v>0.11344544999999999</v>
      </c>
      <c r="AT57" s="447">
        <f t="shared" si="87"/>
        <v>0</v>
      </c>
      <c r="AU57" s="343">
        <f t="shared" si="88"/>
        <v>0.11344544999999999</v>
      </c>
      <c r="AV57" s="343">
        <f t="shared" si="89"/>
        <v>0.11344544999999999</v>
      </c>
      <c r="AW57" s="343">
        <f t="shared" si="90"/>
        <v>0</v>
      </c>
      <c r="AX57" s="343">
        <f t="shared" si="91"/>
        <v>0</v>
      </c>
      <c r="AY57" s="343">
        <f t="shared" si="92"/>
        <v>0</v>
      </c>
      <c r="AZ57" s="343"/>
      <c r="BA57" s="343">
        <f t="shared" si="93"/>
        <v>0.11344544999999999</v>
      </c>
      <c r="BB57" s="343">
        <f t="shared" si="94"/>
        <v>0.11344544999999999</v>
      </c>
      <c r="BC57" s="343">
        <f t="shared" si="95"/>
        <v>0</v>
      </c>
      <c r="BD57" s="343">
        <f t="shared" si="96"/>
        <v>0</v>
      </c>
      <c r="BE57" s="343">
        <f t="shared" si="97"/>
        <v>0</v>
      </c>
      <c r="BF57" s="195"/>
      <c r="BG57" s="344">
        <f t="shared" si="98"/>
        <v>0.83333333333333337</v>
      </c>
      <c r="BH57" s="344">
        <f t="shared" si="99"/>
        <v>0.16666666666666666</v>
      </c>
      <c r="BI57" s="344">
        <f t="shared" si="120"/>
        <v>0.16666666666666666</v>
      </c>
      <c r="BJ57" s="346"/>
      <c r="BK57" s="355">
        <f>COUNTIF('ST | Drawing List'!$H:$H,"ST-T09-6")</f>
        <v>6</v>
      </c>
      <c r="BL57" s="338">
        <f>COUNTIFS('ST | Drawing List'!$H:$H,"ST-T09-6",'ST | Drawing List'!$J:$J,1)</f>
        <v>5</v>
      </c>
      <c r="BM57" s="338">
        <f>COUNTIFS('ST | Drawing List'!$H:$H,"ST-T09-6",'ST | Drawing List'!$L:$L,1)</f>
        <v>1</v>
      </c>
      <c r="BN57" s="343">
        <f>COUNTIFS('ST | Drawing List'!$H:$H,"ST-T09-6",'ST | Drawing List'!M:M,1)</f>
        <v>1</v>
      </c>
      <c r="BO57" s="343">
        <f>COUNTIFS('ST | Drawing List'!$H:$H,"ST-T09-6",'ST | Drawing List'!N:N,1)</f>
        <v>0</v>
      </c>
      <c r="BP57" s="343">
        <f>COUNTIFS('ST | Drawing List'!$H:$H,"ST-T09-6",'ST | Drawing List'!O:O,1)</f>
        <v>0</v>
      </c>
      <c r="BQ57" s="343">
        <f>COUNTIFS('ST | Drawing List'!$H:$H,"ST-T09-6",'ST | Drawing List'!P:P,1)</f>
        <v>0</v>
      </c>
      <c r="BR57" s="343"/>
      <c r="BS57" s="338">
        <f>COUNTIFS('ST | Drawing List'!$H:$H,"ST-T09-6",'ST | Drawing List'!$Q:$Q,1)</f>
        <v>1</v>
      </c>
      <c r="BT57" s="343">
        <f>COUNTIFS('ST | Drawing List'!$H:$H,"ST-T09-6",'ST | Drawing List'!R:R,1)</f>
        <v>1</v>
      </c>
      <c r="BU57" s="343">
        <f>COUNTIFS('ST | Drawing List'!$H:$H,"ST-T09-6",'ST | Drawing List'!S:S,1)</f>
        <v>0</v>
      </c>
      <c r="BV57" s="343">
        <f>COUNTIFS('ST | Drawing List'!$H:$H,"ST-T09-6",'ST | Drawing List'!T:T,1)</f>
        <v>0</v>
      </c>
      <c r="BW57" s="343">
        <f>COUNTIFS('ST | Drawing List'!$H:$H,"ST-T09-6",'ST | Drawing List'!U:U,1)</f>
        <v>0</v>
      </c>
      <c r="BX57" s="194"/>
      <c r="BY57" s="194"/>
      <c r="BZ57" s="196">
        <v>0</v>
      </c>
      <c r="CA57" s="194"/>
      <c r="CB57" s="446">
        <f t="shared" si="100"/>
        <v>0</v>
      </c>
      <c r="CC57" s="447">
        <f t="shared" si="14"/>
        <v>0</v>
      </c>
      <c r="CD57" s="448">
        <f t="shared" si="101"/>
        <v>0</v>
      </c>
      <c r="CE57" s="448">
        <f t="shared" si="102"/>
        <v>0</v>
      </c>
      <c r="CF57" s="448">
        <f t="shared" si="103"/>
        <v>0</v>
      </c>
      <c r="CG57" s="448">
        <f t="shared" si="104"/>
        <v>0</v>
      </c>
      <c r="CH57" s="343">
        <f t="shared" si="105"/>
        <v>0</v>
      </c>
      <c r="CI57" s="343">
        <f t="shared" si="106"/>
        <v>0</v>
      </c>
      <c r="CJ57" s="343"/>
      <c r="CK57" s="478">
        <f t="shared" si="107"/>
        <v>0</v>
      </c>
      <c r="CL57" s="478">
        <f t="shared" si="121"/>
        <v>0</v>
      </c>
      <c r="CM57" s="478">
        <f t="shared" si="122"/>
        <v>0</v>
      </c>
      <c r="CN57" s="478">
        <f t="shared" si="123"/>
        <v>0</v>
      </c>
      <c r="CO57" s="478">
        <f t="shared" si="124"/>
        <v>0</v>
      </c>
      <c r="CP57" s="195"/>
      <c r="CQ57" s="344">
        <f t="shared" si="108"/>
        <v>0</v>
      </c>
      <c r="CR57" s="344">
        <f t="shared" si="109"/>
        <v>0</v>
      </c>
      <c r="CS57" s="344">
        <f t="shared" si="125"/>
        <v>0</v>
      </c>
      <c r="CT57" s="346"/>
      <c r="CU57" s="355">
        <f>COUNTIF('MEP | Drawing List'!$H:$H,"MEP-T09-6")</f>
        <v>0</v>
      </c>
      <c r="CV57" s="338">
        <f>COUNTIFS('MEP | Drawing List'!$H:$H,"MEP-T09-6",'MEP | Drawing List'!$J:$J,1)</f>
        <v>0</v>
      </c>
      <c r="CW57" s="338">
        <f>COUNTIFS('MEP | Drawing List'!$H:$H,"MEP-T09-6",'MEP | Drawing List'!$L:$L,1)</f>
        <v>0</v>
      </c>
      <c r="CX57" s="343">
        <f>COUNTIFS('MEP | Drawing List'!$H:$H,"MEP-T09-6",'MEP | Drawing List'!M:M,1)</f>
        <v>0</v>
      </c>
      <c r="CY57" s="343">
        <f>COUNTIFS('MEP | Drawing List'!$H:$H,"MEP-T09-6",'MEP | Drawing List'!N:N,1)</f>
        <v>0</v>
      </c>
      <c r="CZ57" s="343">
        <f>COUNTIFS('MEP | Drawing List'!$H:$H,"MEP-T09-6",'MEP | Drawing List'!O:O,1)</f>
        <v>0</v>
      </c>
      <c r="DA57" s="343">
        <f>COUNTIFS('MEP | Drawing List'!$H:$H,"MEP-T09-6",'MEP | Drawing List'!P:P,1)</f>
        <v>0</v>
      </c>
      <c r="DB57" s="343"/>
      <c r="DC57" s="338">
        <f>COUNTIFS('MEP | Drawing List'!$H:$H,"MEP-T09-6",'MEP | Drawing List'!$Q:$Q,1)</f>
        <v>0</v>
      </c>
      <c r="DD57" s="343">
        <f>COUNTIFS('MEP | Drawing List'!$H:$H,"MEP-T09-6",'MEP | Drawing List'!R:R,1)</f>
        <v>0</v>
      </c>
      <c r="DE57" s="343">
        <f>COUNTIFS('MEP | Drawing List'!$H:$H,"MEP-T09-6",'MEP | Drawing List'!S:S,1)</f>
        <v>0</v>
      </c>
      <c r="DF57" s="343">
        <f>COUNTIFS('MEP | Drawing List'!$H:$H,"MEP-T09-6",'MEP | Drawing List'!T:T,1)</f>
        <v>0</v>
      </c>
      <c r="DG57" s="343">
        <f>COUNTIFS('MEP | Drawing List'!$H:$H,"MEP-T09-6",'MEP | Drawing List'!U:U,1)</f>
        <v>0</v>
      </c>
      <c r="DH57" s="194"/>
      <c r="DI57" s="194"/>
      <c r="DJ57" s="196">
        <v>0</v>
      </c>
      <c r="DK57" s="194"/>
      <c r="DL57" s="332">
        <f t="shared" si="110"/>
        <v>0</v>
      </c>
      <c r="DM57" s="328">
        <f t="shared" si="15"/>
        <v>0</v>
      </c>
      <c r="DN57" s="343">
        <f t="shared" si="111"/>
        <v>0</v>
      </c>
      <c r="DO57" s="343">
        <f t="shared" si="112"/>
        <v>0</v>
      </c>
      <c r="DP57" s="343">
        <f t="shared" si="113"/>
        <v>0</v>
      </c>
      <c r="DQ57" s="343">
        <f t="shared" si="114"/>
        <v>0</v>
      </c>
      <c r="DR57" s="343">
        <f t="shared" si="115"/>
        <v>0</v>
      </c>
      <c r="DS57" s="343">
        <f t="shared" si="116"/>
        <v>0</v>
      </c>
      <c r="DT57" s="343"/>
      <c r="DU57" s="343">
        <f t="shared" si="132"/>
        <v>0</v>
      </c>
      <c r="DV57" s="343">
        <f t="shared" si="133"/>
        <v>0</v>
      </c>
      <c r="DW57" s="343">
        <f t="shared" si="134"/>
        <v>0</v>
      </c>
      <c r="DX57" s="343">
        <f t="shared" si="135"/>
        <v>0</v>
      </c>
      <c r="DY57" s="343">
        <f t="shared" si="136"/>
        <v>0</v>
      </c>
      <c r="DZ57" s="195"/>
      <c r="EA57" s="344">
        <f t="shared" si="118"/>
        <v>0</v>
      </c>
      <c r="EB57" s="344">
        <f t="shared" si="119"/>
        <v>0</v>
      </c>
      <c r="EC57" s="344">
        <f t="shared" si="130"/>
        <v>0</v>
      </c>
      <c r="ED57" s="346"/>
      <c r="EE57" s="355">
        <f>COUNTIF('LS | Drawing List'!$H:$H,"LS-T09-6")</f>
        <v>0</v>
      </c>
      <c r="EF57" s="338">
        <f>COUNTIFS('LS | Drawing List'!$H:$H,"LS-T09-6",'LS | Drawing List'!$J:$J,1)</f>
        <v>0</v>
      </c>
      <c r="EG57" s="338">
        <f>COUNTIFS('LS | Drawing List'!$H:$H,"LS-T09-6",'LS | Drawing List'!$L:$L,1)</f>
        <v>0</v>
      </c>
      <c r="EH57" s="343">
        <f>COUNTIFS('LS | Drawing List'!$H:$H,"LS-T09-6",'LS | Drawing List'!M:M,1)</f>
        <v>0</v>
      </c>
      <c r="EI57" s="343">
        <f>COUNTIFS('LS | Drawing List'!$H:$H,"LS-T09-6",'LS | Drawing List'!N:N,1)</f>
        <v>0</v>
      </c>
      <c r="EJ57" s="343">
        <f>COUNTIFS('LS | Drawing List'!$H:$H,"LS-T09-6",'LS | Drawing List'!O:O,1)</f>
        <v>0</v>
      </c>
      <c r="EK57" s="343">
        <f>COUNTIFS('LS | Drawing List'!$H:$H,"LS-T09-6",'LS | Drawing List'!P:P,1)</f>
        <v>0</v>
      </c>
      <c r="EL57" s="343"/>
      <c r="EM57" s="338">
        <f>COUNTIFS('LS | Drawing List'!$H:$H,"LS-T09-6",'LS | Drawing List'!$Q:$Q,1)</f>
        <v>0</v>
      </c>
      <c r="EN57" s="343">
        <f>COUNTIFS('LS | Drawing List'!$H:$H,"LS-T09-6",'LS | Drawing List'!R:R,1)</f>
        <v>0</v>
      </c>
      <c r="EO57" s="343">
        <f>COUNTIFS('LS | Drawing List'!$H:$H,"LS-T09-6",'LS | Drawing List'!S:S,1)</f>
        <v>0</v>
      </c>
      <c r="EP57" s="343">
        <f>COUNTIFS('LS | Drawing List'!$H:$H,"LS-T09-6",'LS | Drawing List'!T:T,1)</f>
        <v>0</v>
      </c>
      <c r="EQ57" s="343">
        <f>COUNTIFS('LS | Drawing List'!$H:$H,"LS-T09-6",'LS | Drawing List'!U:U,1)</f>
        <v>0</v>
      </c>
      <c r="ER57" s="114"/>
      <c r="ES57" s="499"/>
      <c r="ET57" s="112"/>
    </row>
    <row r="58" spans="1:150" ht="11.85" customHeight="1" outlineLevel="2">
      <c r="A58" s="112"/>
      <c r="B58" s="162" t="s">
        <v>58</v>
      </c>
      <c r="C58" s="213">
        <v>7</v>
      </c>
      <c r="D58" s="214" t="s">
        <v>59</v>
      </c>
      <c r="E58" s="114"/>
      <c r="F58" s="197">
        <v>0.1</v>
      </c>
      <c r="G58" s="194"/>
      <c r="H58" s="395">
        <f t="shared" si="71"/>
        <v>0.4784000000000001</v>
      </c>
      <c r="I58" s="395">
        <f t="shared" si="12"/>
        <v>0.4784000000000001</v>
      </c>
      <c r="J58" s="395">
        <f t="shared" si="72"/>
        <v>0</v>
      </c>
      <c r="K58" s="395">
        <f t="shared" si="73"/>
        <v>0.4784000000000001</v>
      </c>
      <c r="L58" s="395">
        <f t="shared" si="74"/>
        <v>0.4784000000000001</v>
      </c>
      <c r="M58" s="395">
        <f t="shared" si="75"/>
        <v>0</v>
      </c>
      <c r="N58" s="395">
        <f t="shared" si="76"/>
        <v>0</v>
      </c>
      <c r="O58" s="395">
        <f t="shared" si="77"/>
        <v>0</v>
      </c>
      <c r="P58" s="343"/>
      <c r="Q58" s="343">
        <f t="shared" si="78"/>
        <v>0.4784000000000001</v>
      </c>
      <c r="R58" s="343">
        <f t="shared" si="79"/>
        <v>0</v>
      </c>
      <c r="S58" s="343">
        <f t="shared" si="80"/>
        <v>0.4784000000000001</v>
      </c>
      <c r="T58" s="343">
        <f t="shared" si="81"/>
        <v>0</v>
      </c>
      <c r="U58" s="343">
        <f t="shared" si="82"/>
        <v>0</v>
      </c>
      <c r="V58" s="195"/>
      <c r="W58" s="344">
        <f t="shared" si="83"/>
        <v>0.875</v>
      </c>
      <c r="X58" s="344">
        <f t="shared" si="84"/>
        <v>0.125</v>
      </c>
      <c r="Y58" s="344">
        <f t="shared" si="131"/>
        <v>0.125</v>
      </c>
      <c r="Z58" s="346"/>
      <c r="AA58" s="355">
        <f>COUNTIF('AR | Drawing List'!$H:$H,"AR-T09-7")</f>
        <v>72</v>
      </c>
      <c r="AB58" s="338">
        <f>COUNTIFS('AR | Drawing List'!$H:$H,"AR-T09-7",'AR | Drawing List'!$J:$J,1)</f>
        <v>63</v>
      </c>
      <c r="AC58" s="338">
        <f>COUNTIFS('AR | Drawing List'!$H:$H,"AR-T09-7",'AR | Drawing List'!$L:$L,1)</f>
        <v>9</v>
      </c>
      <c r="AD58" s="343">
        <f>COUNTIFS('AR | Drawing List'!$H:$H,"AR-T09-7",'AR | Drawing List'!M:M,1)</f>
        <v>9</v>
      </c>
      <c r="AE58" s="343">
        <f>COUNTIFS('AR | Drawing List'!$H:$H,"AR-T09-7",'AR | Drawing List'!N:N,1)</f>
        <v>0</v>
      </c>
      <c r="AF58" s="343">
        <f>COUNTIFS('AR | Drawing List'!$H:$H,"AR-T09-7",'AR | Drawing List'!O:O,1)</f>
        <v>0</v>
      </c>
      <c r="AG58" s="343">
        <f>COUNTIFS('AR | Drawing List'!$H:$H,"AR-T09-7",'AR | Drawing List'!P:P,1)</f>
        <v>0</v>
      </c>
      <c r="AH58" s="343"/>
      <c r="AI58" s="338">
        <f>COUNTIFS('AR | Drawing List'!$H:$H,"AR-T09-7",'AR | Drawing List'!$Q:$Q,1)</f>
        <v>9</v>
      </c>
      <c r="AJ58" s="343">
        <f>COUNTIFS('AR | Drawing List'!$H:$H,"AR-T09-7",'AR | Drawing List'!R:R,1)</f>
        <v>6</v>
      </c>
      <c r="AK58" s="343">
        <f>COUNTIFS('AR | Drawing List'!$H:$H,"AR-T09-7",'AR | Drawing List'!S:S,1)</f>
        <v>3</v>
      </c>
      <c r="AL58" s="343">
        <f>COUNTIFS('AR | Drawing List'!$H:$H,"AR-T09-7",'AR | Drawing List'!T:T,1)</f>
        <v>0</v>
      </c>
      <c r="AM58" s="343">
        <f>COUNTIFS('AR | Drawing List'!$H:$H,"AR-T09-7",'AR | Drawing List'!U:U,1)</f>
        <v>0</v>
      </c>
      <c r="AN58" s="355"/>
      <c r="AO58" s="355"/>
      <c r="AP58" s="196">
        <v>0</v>
      </c>
      <c r="AQ58" s="194"/>
      <c r="AR58" s="447">
        <f t="shared" si="86"/>
        <v>0</v>
      </c>
      <c r="AS58" s="447">
        <f t="shared" si="13"/>
        <v>0</v>
      </c>
      <c r="AT58" s="447">
        <f t="shared" si="87"/>
        <v>0</v>
      </c>
      <c r="AU58" s="343">
        <f t="shared" si="88"/>
        <v>0</v>
      </c>
      <c r="AV58" s="343">
        <f t="shared" si="89"/>
        <v>0</v>
      </c>
      <c r="AW58" s="343">
        <f t="shared" si="90"/>
        <v>0</v>
      </c>
      <c r="AX58" s="343">
        <f t="shared" si="91"/>
        <v>0</v>
      </c>
      <c r="AY58" s="343">
        <f t="shared" si="92"/>
        <v>0</v>
      </c>
      <c r="AZ58" s="343"/>
      <c r="BA58" s="343">
        <f t="shared" si="93"/>
        <v>0</v>
      </c>
      <c r="BB58" s="343">
        <f t="shared" si="94"/>
        <v>0</v>
      </c>
      <c r="BC58" s="343">
        <f t="shared" si="95"/>
        <v>0</v>
      </c>
      <c r="BD58" s="343">
        <f t="shared" si="96"/>
        <v>0</v>
      </c>
      <c r="BE58" s="343">
        <f t="shared" si="97"/>
        <v>0</v>
      </c>
      <c r="BF58" s="195"/>
      <c r="BG58" s="344">
        <f t="shared" si="98"/>
        <v>0</v>
      </c>
      <c r="BH58" s="344">
        <f t="shared" si="99"/>
        <v>0</v>
      </c>
      <c r="BI58" s="344">
        <f t="shared" si="120"/>
        <v>0</v>
      </c>
      <c r="BJ58" s="346"/>
      <c r="BK58" s="355">
        <f>COUNTIF('ST | Drawing List'!$H:$H,"ST-T09-7")</f>
        <v>0</v>
      </c>
      <c r="BL58" s="338">
        <f>COUNTIFS('ST | Drawing List'!$H:$H,"ST-T09-7",'ST | Drawing List'!$J:$J,1)</f>
        <v>0</v>
      </c>
      <c r="BM58" s="338">
        <f>COUNTIFS('ST | Drawing List'!$H:$H,"ST-T09-7",'ST | Drawing List'!$L:$L,1)</f>
        <v>0</v>
      </c>
      <c r="BN58" s="343">
        <f>COUNTIFS('ST | Drawing List'!$H:$H,"ST-T09-7",'ST | Drawing List'!M:M,1)</f>
        <v>0</v>
      </c>
      <c r="BO58" s="343">
        <f>COUNTIFS('ST | Drawing List'!$H:$H,"ST-T09-7",'ST | Drawing List'!N:N,1)</f>
        <v>0</v>
      </c>
      <c r="BP58" s="343">
        <f>COUNTIFS('ST | Drawing List'!$H:$H,"ST-T09-7",'ST | Drawing List'!O:O,1)</f>
        <v>0</v>
      </c>
      <c r="BQ58" s="343">
        <f>COUNTIFS('ST | Drawing List'!$H:$H,"ST-T09-7",'ST | Drawing List'!P:P,1)</f>
        <v>0</v>
      </c>
      <c r="BR58" s="343"/>
      <c r="BS58" s="338">
        <f>COUNTIFS('ST | Drawing List'!$H:$H,"ST-T09-7",'ST | Drawing List'!$Q:$Q,1)</f>
        <v>0</v>
      </c>
      <c r="BT58" s="343">
        <f>COUNTIFS('ST | Drawing List'!$H:$H,"ST-T09-7",'ST | Drawing List'!R:R,1)</f>
        <v>0</v>
      </c>
      <c r="BU58" s="343">
        <f>COUNTIFS('ST | Drawing List'!$H:$H,"ST-T09-7",'ST | Drawing List'!S:S,1)</f>
        <v>0</v>
      </c>
      <c r="BV58" s="343">
        <f>COUNTIFS('ST | Drawing List'!$H:$H,"ST-T09-7",'ST | Drawing List'!T:T,1)</f>
        <v>0</v>
      </c>
      <c r="BW58" s="343">
        <f>COUNTIFS('ST | Drawing List'!$H:$H,"ST-T09-7",'ST | Drawing List'!U:U,1)</f>
        <v>0</v>
      </c>
      <c r="BX58" s="194"/>
      <c r="BY58" s="194"/>
      <c r="BZ58" s="196">
        <v>0.15</v>
      </c>
      <c r="CA58" s="194"/>
      <c r="CB58" s="446">
        <f t="shared" si="100"/>
        <v>8.0896071540000017E-2</v>
      </c>
      <c r="CC58" s="447">
        <f t="shared" si="14"/>
        <v>8.0896071540000017E-2</v>
      </c>
      <c r="CD58" s="448">
        <f t="shared" si="101"/>
        <v>0</v>
      </c>
      <c r="CE58" s="448">
        <f t="shared" si="102"/>
        <v>8.0896071540000017E-2</v>
      </c>
      <c r="CF58" s="448">
        <f t="shared" si="103"/>
        <v>8.0896071540000017E-2</v>
      </c>
      <c r="CG58" s="448">
        <f t="shared" si="104"/>
        <v>0</v>
      </c>
      <c r="CH58" s="343">
        <f t="shared" si="105"/>
        <v>0</v>
      </c>
      <c r="CI58" s="343">
        <f t="shared" si="106"/>
        <v>0</v>
      </c>
      <c r="CJ58" s="343"/>
      <c r="CK58" s="478">
        <f t="shared" si="107"/>
        <v>8.0896071540000017E-2</v>
      </c>
      <c r="CL58" s="478">
        <f t="shared" si="121"/>
        <v>0</v>
      </c>
      <c r="CM58" s="478">
        <f t="shared" si="122"/>
        <v>8.0896071540000017E-2</v>
      </c>
      <c r="CN58" s="478">
        <f t="shared" si="123"/>
        <v>0</v>
      </c>
      <c r="CO58" s="478">
        <f t="shared" si="124"/>
        <v>0</v>
      </c>
      <c r="CP58" s="195"/>
      <c r="CQ58" s="344">
        <f t="shared" si="108"/>
        <v>0.2857142857142857</v>
      </c>
      <c r="CR58" s="344">
        <f t="shared" si="109"/>
        <v>0.7142857142857143</v>
      </c>
      <c r="CS58" s="344">
        <f t="shared" si="125"/>
        <v>0.7142857142857143</v>
      </c>
      <c r="CT58" s="346"/>
      <c r="CU58" s="355">
        <f>COUNTIF('MEP | Drawing List'!$H:$H,"MEP-T09-7")</f>
        <v>21</v>
      </c>
      <c r="CV58" s="338">
        <f>COUNTIFS('MEP | Drawing List'!$H:$H,"MEP-T09-7",'MEP | Drawing List'!$J:$J,1)</f>
        <v>6</v>
      </c>
      <c r="CW58" s="338">
        <f>COUNTIFS('MEP | Drawing List'!$H:$H,"MEP-T09-7",'MEP | Drawing List'!$L:$L,1)</f>
        <v>15</v>
      </c>
      <c r="CX58" s="343">
        <f>COUNTIFS('MEP | Drawing List'!$H:$H,"MEP-T09-7",'MEP | Drawing List'!M:M,1)</f>
        <v>15</v>
      </c>
      <c r="CY58" s="343">
        <f>COUNTIFS('MEP | Drawing List'!$H:$H,"MEP-T09-7",'MEP | Drawing List'!N:N,1)</f>
        <v>0</v>
      </c>
      <c r="CZ58" s="343">
        <f>COUNTIFS('MEP | Drawing List'!$H:$H,"MEP-T09-7",'MEP | Drawing List'!O:O,1)</f>
        <v>0</v>
      </c>
      <c r="DA58" s="343">
        <f>COUNTIFS('MEP | Drawing List'!$H:$H,"MEP-T09-7",'MEP | Drawing List'!P:P,1)</f>
        <v>0</v>
      </c>
      <c r="DB58" s="343"/>
      <c r="DC58" s="338">
        <f>COUNTIFS('MEP | Drawing List'!$H:$H,"MEP-T09-7",'MEP | Drawing List'!$Q:$Q,1)</f>
        <v>15</v>
      </c>
      <c r="DD58" s="343">
        <f>COUNTIFS('MEP | Drawing List'!$H:$H,"MEP-T09-7",'MEP | Drawing List'!R:R,1)</f>
        <v>14</v>
      </c>
      <c r="DE58" s="343">
        <f>COUNTIFS('MEP | Drawing List'!$H:$H,"MEP-T09-7",'MEP | Drawing List'!S:S,1)</f>
        <v>1</v>
      </c>
      <c r="DF58" s="343">
        <f>COUNTIFS('MEP | Drawing List'!$H:$H,"MEP-T09-7",'MEP | Drawing List'!T:T,1)</f>
        <v>0</v>
      </c>
      <c r="DG58" s="343">
        <f>COUNTIFS('MEP | Drawing List'!$H:$H,"MEP-T09-7",'MEP | Drawing List'!U:U,1)</f>
        <v>0</v>
      </c>
      <c r="DH58" s="194"/>
      <c r="DI58" s="194"/>
      <c r="DJ58" s="196">
        <v>0.35</v>
      </c>
      <c r="DK58" s="194"/>
      <c r="DL58" s="332">
        <f t="shared" si="110"/>
        <v>1.6623249999999999E-2</v>
      </c>
      <c r="DM58" s="328">
        <f t="shared" si="15"/>
        <v>1.6623249999999999E-2</v>
      </c>
      <c r="DN58" s="343">
        <f t="shared" si="111"/>
        <v>0</v>
      </c>
      <c r="DO58" s="343">
        <f t="shared" si="112"/>
        <v>1.6623249999999999E-2</v>
      </c>
      <c r="DP58" s="343">
        <f t="shared" si="113"/>
        <v>1.6623249999999999E-2</v>
      </c>
      <c r="DQ58" s="343">
        <f t="shared" si="114"/>
        <v>0</v>
      </c>
      <c r="DR58" s="343">
        <f t="shared" si="115"/>
        <v>0</v>
      </c>
      <c r="DS58" s="343">
        <f t="shared" si="116"/>
        <v>0</v>
      </c>
      <c r="DT58" s="343"/>
      <c r="DU58" s="343">
        <f t="shared" si="117"/>
        <v>1.6623249999999999E-2</v>
      </c>
      <c r="DV58" s="343">
        <f t="shared" si="126"/>
        <v>0</v>
      </c>
      <c r="DW58" s="343">
        <f t="shared" si="127"/>
        <v>0</v>
      </c>
      <c r="DX58" s="343">
        <f t="shared" si="128"/>
        <v>1.6623249999999999E-2</v>
      </c>
      <c r="DY58" s="343">
        <f t="shared" si="129"/>
        <v>0</v>
      </c>
      <c r="DZ58" s="195"/>
      <c r="EA58" s="344">
        <f t="shared" si="118"/>
        <v>0</v>
      </c>
      <c r="EB58" s="344">
        <f t="shared" si="119"/>
        <v>1</v>
      </c>
      <c r="EC58" s="344">
        <f t="shared" si="130"/>
        <v>1</v>
      </c>
      <c r="ED58" s="346"/>
      <c r="EE58" s="355">
        <f>COUNTIF('LS | Drawing List'!$H:$H,"LS-T09-7")</f>
        <v>18</v>
      </c>
      <c r="EF58" s="338">
        <f>COUNTIFS('LS | Drawing List'!$H:$H,"LS-T09-7",'LS | Drawing List'!$J:$J,1)</f>
        <v>0</v>
      </c>
      <c r="EG58" s="338">
        <f>COUNTIFS('LS | Drawing List'!$H:$H,"LS-T09-7",'LS | Drawing List'!$L:$L,1)</f>
        <v>18</v>
      </c>
      <c r="EH58" s="343">
        <f>COUNTIFS('LS | Drawing List'!$H:$H,"LS-T09-7",'LS | Drawing List'!M:M,1)</f>
        <v>18</v>
      </c>
      <c r="EI58" s="343">
        <f>COUNTIFS('LS | Drawing List'!$H:$H,"LS-T09-7",'LS | Drawing List'!N:N,1)</f>
        <v>0</v>
      </c>
      <c r="EJ58" s="343">
        <f>COUNTIFS('LS | Drawing List'!$H:$H,"LS-T09-7",'LS | Drawing List'!O:O,1)</f>
        <v>0</v>
      </c>
      <c r="EK58" s="343">
        <f>COUNTIFS('LS | Drawing List'!$H:$H,"LS-T09-7",'LS | Drawing List'!P:P,1)</f>
        <v>0</v>
      </c>
      <c r="EL58" s="343"/>
      <c r="EM58" s="338">
        <f>COUNTIFS('LS | Drawing List'!$H:$H,"LS-T09-7",'LS | Drawing List'!$Q:$Q,1)</f>
        <v>18</v>
      </c>
      <c r="EN58" s="343">
        <f>COUNTIFS('LS | Drawing List'!$H:$H,"LS-T09-7",'LS | Drawing List'!R:R,1)</f>
        <v>0</v>
      </c>
      <c r="EO58" s="343">
        <f>COUNTIFS('LS | Drawing List'!$H:$H,"LS-T09-7",'LS | Drawing List'!S:S,1)</f>
        <v>0</v>
      </c>
      <c r="EP58" s="343">
        <f>COUNTIFS('LS | Drawing List'!$H:$H,"LS-T09-7",'LS | Drawing List'!T:T,1)</f>
        <v>18</v>
      </c>
      <c r="EQ58" s="343">
        <f>COUNTIFS('LS | Drawing List'!$H:$H,"LS-T09-7",'LS | Drawing List'!U:U,1)</f>
        <v>0</v>
      </c>
      <c r="ER58" s="114"/>
      <c r="ES58" s="499"/>
      <c r="ET58" s="112"/>
    </row>
    <row r="59" spans="1:150" ht="11.85" customHeight="1" outlineLevel="2">
      <c r="A59" s="112"/>
      <c r="B59" s="162" t="s">
        <v>60</v>
      </c>
      <c r="C59" s="213">
        <v>8</v>
      </c>
      <c r="D59" s="214" t="s">
        <v>119</v>
      </c>
      <c r="E59" s="114"/>
      <c r="F59" s="197">
        <v>7.4999999999999997E-2</v>
      </c>
      <c r="G59" s="194"/>
      <c r="H59" s="395">
        <f t="shared" si="71"/>
        <v>0.35880000000000006</v>
      </c>
      <c r="I59" s="395">
        <f t="shared" si="12"/>
        <v>0.35880000000000006</v>
      </c>
      <c r="J59" s="395">
        <f t="shared" si="72"/>
        <v>0</v>
      </c>
      <c r="K59" s="395">
        <f t="shared" si="73"/>
        <v>0.35880000000000006</v>
      </c>
      <c r="L59" s="395">
        <f t="shared" si="74"/>
        <v>0.35880000000000006</v>
      </c>
      <c r="M59" s="395">
        <f t="shared" si="75"/>
        <v>0</v>
      </c>
      <c r="N59" s="395">
        <f t="shared" si="76"/>
        <v>0</v>
      </c>
      <c r="O59" s="395">
        <f t="shared" si="77"/>
        <v>0</v>
      </c>
      <c r="P59" s="343"/>
      <c r="Q59" s="343">
        <f t="shared" si="78"/>
        <v>0.35880000000000006</v>
      </c>
      <c r="R59" s="343">
        <f t="shared" si="79"/>
        <v>0.35880000000000006</v>
      </c>
      <c r="S59" s="343">
        <f t="shared" si="80"/>
        <v>0</v>
      </c>
      <c r="T59" s="343">
        <f t="shared" si="81"/>
        <v>0</v>
      </c>
      <c r="U59" s="343">
        <f t="shared" si="82"/>
        <v>0</v>
      </c>
      <c r="V59" s="195"/>
      <c r="W59" s="344">
        <f t="shared" si="83"/>
        <v>0</v>
      </c>
      <c r="X59" s="344">
        <f t="shared" si="84"/>
        <v>1</v>
      </c>
      <c r="Y59" s="344">
        <f t="shared" si="131"/>
        <v>1</v>
      </c>
      <c r="Z59" s="346"/>
      <c r="AA59" s="355">
        <f>COUNTIF('AR | Drawing List'!$H:$H,"AR-T09-8")</f>
        <v>1</v>
      </c>
      <c r="AB59" s="338">
        <f>COUNTIFS('AR | Drawing List'!$H:$H,"AR-T09-8",'AR | Drawing List'!$J:$J,1)</f>
        <v>0</v>
      </c>
      <c r="AC59" s="338">
        <f>COUNTIFS('AR | Drawing List'!$H:$H,"AR-T09-8",'AR | Drawing List'!$L:$L,1)</f>
        <v>1</v>
      </c>
      <c r="AD59" s="343">
        <f>COUNTIFS('AR | Drawing List'!$H:$H,"AR-T09-8",'AR | Drawing List'!M:M,1)</f>
        <v>1</v>
      </c>
      <c r="AE59" s="343">
        <f>COUNTIFS('AR | Drawing List'!$H:$H,"AR-T09-8",'AR | Drawing List'!N:N,1)</f>
        <v>0</v>
      </c>
      <c r="AF59" s="343">
        <f>COUNTIFS('AR | Drawing List'!$H:$H,"AR-T09-8",'AR | Drawing List'!O:O,1)</f>
        <v>0</v>
      </c>
      <c r="AG59" s="343">
        <f>COUNTIFS('AR | Drawing List'!$H:$H,"AR-T09-8",'AR | Drawing List'!P:P,1)</f>
        <v>0</v>
      </c>
      <c r="AH59" s="343"/>
      <c r="AI59" s="338">
        <f>COUNTIFS('AR | Drawing List'!$H:$H,"AR-T09-8",'AR | Drawing List'!$Q:$Q,1)</f>
        <v>1</v>
      </c>
      <c r="AJ59" s="343">
        <f>COUNTIFS('AR | Drawing List'!$H:$H,"AR-T09-8",'AR | Drawing List'!R:R,1)</f>
        <v>1</v>
      </c>
      <c r="AK59" s="343">
        <f>COUNTIFS('AR | Drawing List'!$H:$H,"AR-T09-8",'AR | Drawing List'!S:S,1)</f>
        <v>0</v>
      </c>
      <c r="AL59" s="343">
        <f>COUNTIFS('AR | Drawing List'!$H:$H,"AR-T09-8",'AR | Drawing List'!T:T,1)</f>
        <v>0</v>
      </c>
      <c r="AM59" s="343">
        <f>COUNTIFS('AR | Drawing List'!$H:$H,"AR-T09-8",'AR | Drawing List'!U:U,1)</f>
        <v>0</v>
      </c>
      <c r="AN59" s="355"/>
      <c r="AO59" s="355"/>
      <c r="AP59" s="196">
        <v>0.1</v>
      </c>
      <c r="AQ59" s="194"/>
      <c r="AR59" s="447">
        <f t="shared" si="86"/>
        <v>0.1512606</v>
      </c>
      <c r="AS59" s="447">
        <f t="shared" si="13"/>
        <v>0.1512606</v>
      </c>
      <c r="AT59" s="447">
        <f t="shared" si="87"/>
        <v>0</v>
      </c>
      <c r="AU59" s="343">
        <f t="shared" si="88"/>
        <v>0.1512606</v>
      </c>
      <c r="AV59" s="343">
        <f t="shared" si="89"/>
        <v>0.1512606</v>
      </c>
      <c r="AW59" s="343">
        <f t="shared" si="90"/>
        <v>0</v>
      </c>
      <c r="AX59" s="343">
        <f t="shared" si="91"/>
        <v>0</v>
      </c>
      <c r="AY59" s="343">
        <f t="shared" si="92"/>
        <v>0</v>
      </c>
      <c r="AZ59" s="343"/>
      <c r="BA59" s="343">
        <f t="shared" si="93"/>
        <v>0.1512606</v>
      </c>
      <c r="BB59" s="343">
        <f t="shared" si="94"/>
        <v>0</v>
      </c>
      <c r="BC59" s="343">
        <f t="shared" si="95"/>
        <v>0.1512606</v>
      </c>
      <c r="BD59" s="343">
        <f t="shared" si="96"/>
        <v>0</v>
      </c>
      <c r="BE59" s="343">
        <f t="shared" si="97"/>
        <v>0</v>
      </c>
      <c r="BF59" s="195"/>
      <c r="BG59" s="344">
        <f t="shared" si="98"/>
        <v>0</v>
      </c>
      <c r="BH59" s="344">
        <f t="shared" si="99"/>
        <v>1</v>
      </c>
      <c r="BI59" s="344">
        <f t="shared" si="120"/>
        <v>1</v>
      </c>
      <c r="BJ59" s="346"/>
      <c r="BK59" s="355">
        <f>COUNTIF('ST | Drawing List'!$H:$H,"ST-T09-8")</f>
        <v>14</v>
      </c>
      <c r="BL59" s="338">
        <f>COUNTIFS('ST | Drawing List'!$H:$H,"ST-T09-8",'ST | Drawing List'!$J:$J,1)</f>
        <v>0</v>
      </c>
      <c r="BM59" s="338">
        <f>COUNTIFS('ST | Drawing List'!$H:$H,"ST-T09-8",'ST | Drawing List'!$L:$L,1)</f>
        <v>14</v>
      </c>
      <c r="BN59" s="343">
        <f>COUNTIFS('ST | Drawing List'!$H:$H,"ST-T09-8",'ST | Drawing List'!M:M,1)</f>
        <v>14</v>
      </c>
      <c r="BO59" s="343">
        <f>COUNTIFS('ST | Drawing List'!$H:$H,"ST-T09-8",'ST | Drawing List'!N:N,1)</f>
        <v>0</v>
      </c>
      <c r="BP59" s="343">
        <f>COUNTIFS('ST | Drawing List'!$H:$H,"ST-T09-8",'ST | Drawing List'!O:O,1)</f>
        <v>0</v>
      </c>
      <c r="BQ59" s="343">
        <f>COUNTIFS('ST | Drawing List'!$H:$H,"ST-T09-8",'ST | Drawing List'!P:P,1)</f>
        <v>0</v>
      </c>
      <c r="BR59" s="343"/>
      <c r="BS59" s="338">
        <f>COUNTIFS('ST | Drawing List'!$H:$H,"ST-T09-8",'ST | Drawing List'!$Q:$Q,1)</f>
        <v>14</v>
      </c>
      <c r="BT59" s="343">
        <f>COUNTIFS('ST | Drawing List'!$H:$H,"ST-T09-8",'ST | Drawing List'!R:R,1)</f>
        <v>13</v>
      </c>
      <c r="BU59" s="343">
        <f>COUNTIFS('ST | Drawing List'!$H:$H,"ST-T09-8",'ST | Drawing List'!S:S,1)</f>
        <v>1</v>
      </c>
      <c r="BV59" s="343">
        <f>COUNTIFS('ST | Drawing List'!$H:$H,"ST-T09-8",'ST | Drawing List'!T:T,1)</f>
        <v>0</v>
      </c>
      <c r="BW59" s="343">
        <f>COUNTIFS('ST | Drawing List'!$H:$H,"ST-T09-8",'ST | Drawing List'!U:U,1)</f>
        <v>0</v>
      </c>
      <c r="BX59" s="194"/>
      <c r="BY59" s="194"/>
      <c r="BZ59" s="196">
        <v>0.2</v>
      </c>
      <c r="CA59" s="194"/>
      <c r="CB59" s="446">
        <f t="shared" si="100"/>
        <v>0.10786142872000003</v>
      </c>
      <c r="CC59" s="447">
        <f t="shared" si="14"/>
        <v>0.10786142872000003</v>
      </c>
      <c r="CD59" s="448">
        <f t="shared" si="101"/>
        <v>0</v>
      </c>
      <c r="CE59" s="448">
        <f t="shared" si="102"/>
        <v>0.10786142872000003</v>
      </c>
      <c r="CF59" s="448">
        <f t="shared" si="103"/>
        <v>0.10786142872000003</v>
      </c>
      <c r="CG59" s="448">
        <f t="shared" si="104"/>
        <v>0</v>
      </c>
      <c r="CH59" s="343">
        <f t="shared" si="105"/>
        <v>0</v>
      </c>
      <c r="CI59" s="343">
        <f t="shared" si="106"/>
        <v>0</v>
      </c>
      <c r="CJ59" s="343"/>
      <c r="CK59" s="478">
        <f t="shared" si="107"/>
        <v>0.10786142872000003</v>
      </c>
      <c r="CL59" s="478">
        <f t="shared" si="121"/>
        <v>0.10786142872000003</v>
      </c>
      <c r="CM59" s="478">
        <f t="shared" si="122"/>
        <v>0</v>
      </c>
      <c r="CN59" s="478">
        <f t="shared" si="123"/>
        <v>0</v>
      </c>
      <c r="CO59" s="478">
        <f t="shared" si="124"/>
        <v>0</v>
      </c>
      <c r="CP59" s="195"/>
      <c r="CQ59" s="344">
        <f t="shared" si="108"/>
        <v>0.5</v>
      </c>
      <c r="CR59" s="344">
        <f t="shared" si="109"/>
        <v>0.5</v>
      </c>
      <c r="CS59" s="344">
        <f t="shared" si="125"/>
        <v>0.5</v>
      </c>
      <c r="CT59" s="346"/>
      <c r="CU59" s="355">
        <f>COUNTIF('MEP | Drawing List'!$H:$H,"MEP-T09-8")</f>
        <v>2</v>
      </c>
      <c r="CV59" s="338">
        <f>COUNTIFS('MEP | Drawing List'!$H:$H,"MEP-T09-8",'MEP | Drawing List'!$J:$J,1)</f>
        <v>1</v>
      </c>
      <c r="CW59" s="338">
        <f>COUNTIFS('MEP | Drawing List'!$H:$H,"MEP-T09-8",'MEP | Drawing List'!$L:$L,1)</f>
        <v>1</v>
      </c>
      <c r="CX59" s="343">
        <f>COUNTIFS('MEP | Drawing List'!$H:$H,"MEP-T09-8",'MEP | Drawing List'!M:M,1)</f>
        <v>1</v>
      </c>
      <c r="CY59" s="343">
        <f>COUNTIFS('MEP | Drawing List'!$H:$H,"MEP-T09-8",'MEP | Drawing List'!N:N,1)</f>
        <v>0</v>
      </c>
      <c r="CZ59" s="343">
        <f>COUNTIFS('MEP | Drawing List'!$H:$H,"MEP-T09-8",'MEP | Drawing List'!O:O,1)</f>
        <v>0</v>
      </c>
      <c r="DA59" s="343">
        <f>COUNTIFS('MEP | Drawing List'!$H:$H,"MEP-T09-8",'MEP | Drawing List'!P:P,1)</f>
        <v>0</v>
      </c>
      <c r="DB59" s="343"/>
      <c r="DC59" s="338">
        <f>COUNTIFS('MEP | Drawing List'!$H:$H,"MEP-T09-8",'MEP | Drawing List'!$Q:$Q,1)</f>
        <v>1</v>
      </c>
      <c r="DD59" s="343">
        <f>COUNTIFS('MEP | Drawing List'!$H:$H,"MEP-T09-8",'MEP | Drawing List'!R:R,1)</f>
        <v>1</v>
      </c>
      <c r="DE59" s="343">
        <f>COUNTIFS('MEP | Drawing List'!$H:$H,"MEP-T09-8",'MEP | Drawing List'!S:S,1)</f>
        <v>0</v>
      </c>
      <c r="DF59" s="343">
        <f>COUNTIFS('MEP | Drawing List'!$H:$H,"MEP-T09-8",'MEP | Drawing List'!T:T,1)</f>
        <v>0</v>
      </c>
      <c r="DG59" s="343">
        <f>COUNTIFS('MEP | Drawing List'!$H:$H,"MEP-T09-8",'MEP | Drawing List'!U:U,1)</f>
        <v>0</v>
      </c>
      <c r="DH59" s="194"/>
      <c r="DI59" s="194"/>
      <c r="DJ59" s="196">
        <v>0</v>
      </c>
      <c r="DK59" s="194"/>
      <c r="DL59" s="332">
        <f t="shared" si="110"/>
        <v>0</v>
      </c>
      <c r="DM59" s="328">
        <f t="shared" si="15"/>
        <v>0</v>
      </c>
      <c r="DN59" s="343">
        <f t="shared" si="111"/>
        <v>0</v>
      </c>
      <c r="DO59" s="343">
        <f t="shared" si="112"/>
        <v>0</v>
      </c>
      <c r="DP59" s="343">
        <f t="shared" si="113"/>
        <v>0</v>
      </c>
      <c r="DQ59" s="343">
        <f t="shared" si="114"/>
        <v>0</v>
      </c>
      <c r="DR59" s="343">
        <f t="shared" si="115"/>
        <v>0</v>
      </c>
      <c r="DS59" s="343">
        <f t="shared" si="116"/>
        <v>0</v>
      </c>
      <c r="DT59" s="343"/>
      <c r="DU59" s="343">
        <f t="shared" si="117"/>
        <v>0</v>
      </c>
      <c r="DV59" s="343">
        <f t="shared" si="126"/>
        <v>0</v>
      </c>
      <c r="DW59" s="343">
        <f t="shared" si="127"/>
        <v>0</v>
      </c>
      <c r="DX59" s="343">
        <f t="shared" si="128"/>
        <v>0</v>
      </c>
      <c r="DY59" s="343">
        <f t="shared" si="129"/>
        <v>0</v>
      </c>
      <c r="DZ59" s="195"/>
      <c r="EA59" s="344">
        <f t="shared" si="118"/>
        <v>0</v>
      </c>
      <c r="EB59" s="344">
        <f t="shared" si="119"/>
        <v>0</v>
      </c>
      <c r="EC59" s="344">
        <f t="shared" si="130"/>
        <v>0</v>
      </c>
      <c r="ED59" s="346"/>
      <c r="EE59" s="355">
        <f>COUNTIF('LS | Drawing List'!$H:$H,"LS-T09-8")</f>
        <v>0</v>
      </c>
      <c r="EF59" s="338">
        <f>COUNTIFS('LS | Drawing List'!$H:$H,"LS-T09-8",'LS | Drawing List'!$J:$J,1)</f>
        <v>0</v>
      </c>
      <c r="EG59" s="338">
        <f>COUNTIFS('LS | Drawing List'!$H:$H,"LS-T09-8",'LS | Drawing List'!$L:$L,1)</f>
        <v>0</v>
      </c>
      <c r="EH59" s="343">
        <f>COUNTIFS('LS | Drawing List'!$H:$H,"LS-T09-8",'LS | Drawing List'!M:M,1)</f>
        <v>0</v>
      </c>
      <c r="EI59" s="343">
        <f>COUNTIFS('LS | Drawing List'!$H:$H,"LS-T09-8",'LS | Drawing List'!N:N,1)</f>
        <v>0</v>
      </c>
      <c r="EJ59" s="343">
        <f>COUNTIFS('LS | Drawing List'!$H:$H,"LS-T09-8",'LS | Drawing List'!O:O,1)</f>
        <v>0</v>
      </c>
      <c r="EK59" s="343">
        <f>COUNTIFS('LS | Drawing List'!$H:$H,"LS-T09-8",'LS | Drawing List'!P:P,1)</f>
        <v>0</v>
      </c>
      <c r="EL59" s="343"/>
      <c r="EM59" s="338">
        <f>COUNTIFS('LS | Drawing List'!$H:$H,"LS-T09-8",'LS | Drawing List'!$Q:$Q,1)</f>
        <v>0</v>
      </c>
      <c r="EN59" s="343">
        <f>COUNTIFS('LS | Drawing List'!$H:$H,"LS-T09-8",'LS | Drawing List'!R:R,1)</f>
        <v>0</v>
      </c>
      <c r="EO59" s="343">
        <f>COUNTIFS('LS | Drawing List'!$H:$H,"LS-T09-8",'LS | Drawing List'!S:S,1)</f>
        <v>0</v>
      </c>
      <c r="EP59" s="343">
        <f>COUNTIFS('LS | Drawing List'!$H:$H,"LS-T09-8",'LS | Drawing List'!T:T,1)</f>
        <v>0</v>
      </c>
      <c r="EQ59" s="343">
        <f>COUNTIFS('LS | Drawing List'!$H:$H,"LS-T09-8",'LS | Drawing List'!U:U,1)</f>
        <v>0</v>
      </c>
      <c r="ER59" s="114"/>
      <c r="ES59" s="499"/>
      <c r="ET59" s="112"/>
    </row>
    <row r="60" spans="1:150" ht="11.85" customHeight="1" outlineLevel="2">
      <c r="A60" s="112"/>
      <c r="B60" s="162" t="s">
        <v>62</v>
      </c>
      <c r="C60" s="213">
        <v>9</v>
      </c>
      <c r="D60" s="214" t="s">
        <v>63</v>
      </c>
      <c r="E60" s="114"/>
      <c r="F60" s="197">
        <v>0.1</v>
      </c>
      <c r="G60" s="194"/>
      <c r="H60" s="395">
        <f t="shared" si="71"/>
        <v>0.4784000000000001</v>
      </c>
      <c r="I60" s="395">
        <f t="shared" si="12"/>
        <v>0.4784000000000001</v>
      </c>
      <c r="J60" s="395">
        <f t="shared" si="72"/>
        <v>0</v>
      </c>
      <c r="K60" s="395">
        <f t="shared" si="73"/>
        <v>0.4784000000000001</v>
      </c>
      <c r="L60" s="395">
        <f t="shared" si="74"/>
        <v>0.4784000000000001</v>
      </c>
      <c r="M60" s="395">
        <f t="shared" si="75"/>
        <v>0</v>
      </c>
      <c r="N60" s="395">
        <f t="shared" si="76"/>
        <v>0</v>
      </c>
      <c r="O60" s="395">
        <f t="shared" si="77"/>
        <v>0</v>
      </c>
      <c r="P60" s="343"/>
      <c r="Q60" s="343">
        <f t="shared" si="78"/>
        <v>0.4784000000000001</v>
      </c>
      <c r="R60" s="343">
        <f t="shared" si="79"/>
        <v>0</v>
      </c>
      <c r="S60" s="343">
        <f t="shared" si="80"/>
        <v>0.4784000000000001</v>
      </c>
      <c r="T60" s="343">
        <f t="shared" si="81"/>
        <v>0</v>
      </c>
      <c r="U60" s="343">
        <f t="shared" si="82"/>
        <v>0</v>
      </c>
      <c r="V60" s="195"/>
      <c r="W60" s="344">
        <f t="shared" si="83"/>
        <v>0.18181818181818182</v>
      </c>
      <c r="X60" s="344">
        <f t="shared" si="84"/>
        <v>0.81818181818181823</v>
      </c>
      <c r="Y60" s="344">
        <f t="shared" si="131"/>
        <v>0.81818181818181823</v>
      </c>
      <c r="Z60" s="346"/>
      <c r="AA60" s="355">
        <f>COUNTIF('AR | Drawing List'!$H:$H,"AR-T09-9")</f>
        <v>11</v>
      </c>
      <c r="AB60" s="338">
        <f>COUNTIFS('AR | Drawing List'!$H:$H,"AR-T09-9",'AR | Drawing List'!$J:$J,1)</f>
        <v>2</v>
      </c>
      <c r="AC60" s="338">
        <f>COUNTIFS('AR | Drawing List'!$H:$H,"AR-T09-9",'AR | Drawing List'!$L:$L,1)</f>
        <v>9</v>
      </c>
      <c r="AD60" s="343">
        <f>COUNTIFS('AR | Drawing List'!$H:$H,"AR-T09-9",'AR | Drawing List'!M:M,1)</f>
        <v>9</v>
      </c>
      <c r="AE60" s="343">
        <f>COUNTIFS('AR | Drawing List'!$H:$H,"AR-T09-9",'AR | Drawing List'!N:N,1)</f>
        <v>0</v>
      </c>
      <c r="AF60" s="343">
        <f>COUNTIFS('AR | Drawing List'!$H:$H,"AR-T09-9",'AR | Drawing List'!O:O,1)</f>
        <v>0</v>
      </c>
      <c r="AG60" s="343">
        <f>COUNTIFS('AR | Drawing List'!$H:$H,"AR-T09-9",'AR | Drawing List'!P:P,1)</f>
        <v>0</v>
      </c>
      <c r="AH60" s="343"/>
      <c r="AI60" s="338">
        <f>COUNTIFS('AR | Drawing List'!$H:$H,"AR-T09-9",'AR | Drawing List'!$Q:$Q,1)</f>
        <v>9</v>
      </c>
      <c r="AJ60" s="343">
        <f>COUNTIFS('AR | Drawing List'!$H:$H,"AR-T09-9",'AR | Drawing List'!R:R,1)</f>
        <v>5</v>
      </c>
      <c r="AK60" s="343">
        <f>COUNTIFS('AR | Drawing List'!$H:$H,"AR-T09-9",'AR | Drawing List'!S:S,1)</f>
        <v>4</v>
      </c>
      <c r="AL60" s="343">
        <f>COUNTIFS('AR | Drawing List'!$H:$H,"AR-T09-9",'AR | Drawing List'!T:T,1)</f>
        <v>0</v>
      </c>
      <c r="AM60" s="343">
        <f>COUNTIFS('AR | Drawing List'!$H:$H,"AR-T09-9",'AR | Drawing List'!U:U,1)</f>
        <v>0</v>
      </c>
      <c r="AN60" s="355"/>
      <c r="AO60" s="355"/>
      <c r="AP60" s="196">
        <v>0</v>
      </c>
      <c r="AQ60" s="194"/>
      <c r="AR60" s="447">
        <f t="shared" si="86"/>
        <v>0</v>
      </c>
      <c r="AS60" s="447">
        <f t="shared" si="13"/>
        <v>0</v>
      </c>
      <c r="AT60" s="447">
        <f t="shared" si="87"/>
        <v>0</v>
      </c>
      <c r="AU60" s="343">
        <f t="shared" si="88"/>
        <v>0</v>
      </c>
      <c r="AV60" s="343">
        <f t="shared" si="89"/>
        <v>0</v>
      </c>
      <c r="AW60" s="343">
        <f t="shared" si="90"/>
        <v>0</v>
      </c>
      <c r="AX60" s="343">
        <f t="shared" si="91"/>
        <v>0</v>
      </c>
      <c r="AY60" s="343">
        <f t="shared" si="92"/>
        <v>0</v>
      </c>
      <c r="AZ60" s="343"/>
      <c r="BA60" s="343">
        <f t="shared" si="93"/>
        <v>0</v>
      </c>
      <c r="BB60" s="343">
        <f t="shared" si="94"/>
        <v>0</v>
      </c>
      <c r="BC60" s="343">
        <f t="shared" si="95"/>
        <v>0</v>
      </c>
      <c r="BD60" s="343">
        <f t="shared" si="96"/>
        <v>0</v>
      </c>
      <c r="BE60" s="343">
        <f t="shared" si="97"/>
        <v>0</v>
      </c>
      <c r="BF60" s="195"/>
      <c r="BG60" s="344">
        <f t="shared" si="98"/>
        <v>0</v>
      </c>
      <c r="BH60" s="344">
        <f t="shared" si="99"/>
        <v>0</v>
      </c>
      <c r="BI60" s="344">
        <f t="shared" si="120"/>
        <v>0</v>
      </c>
      <c r="BJ60" s="346"/>
      <c r="BK60" s="355">
        <f>COUNTIF('ST | Drawing List'!$H:$H,"ST-T09-9")</f>
        <v>0</v>
      </c>
      <c r="BL60" s="338">
        <f>COUNTIFS('ST | Drawing List'!$H:$H,"ST-T09-9",'ST | Drawing List'!$J:$J,1)</f>
        <v>0</v>
      </c>
      <c r="BM60" s="338">
        <f>COUNTIFS('ST | Drawing List'!$H:$H,"ST-T09-9",'ST | Drawing List'!$L:$L,1)</f>
        <v>0</v>
      </c>
      <c r="BN60" s="343">
        <f>COUNTIFS('ST | Drawing List'!$H:$H,"ST-T09-9",'ST | Drawing List'!M:M,1)</f>
        <v>0</v>
      </c>
      <c r="BO60" s="343">
        <f>COUNTIFS('ST | Drawing List'!$H:$H,"ST-T09-9",'ST | Drawing List'!N:N,1)</f>
        <v>0</v>
      </c>
      <c r="BP60" s="343">
        <f>COUNTIFS('ST | Drawing List'!$H:$H,"ST-T09-9",'ST | Drawing List'!O:O,1)</f>
        <v>0</v>
      </c>
      <c r="BQ60" s="343">
        <f>COUNTIFS('ST | Drawing List'!$H:$H,"ST-T09-9",'ST | Drawing List'!P:P,1)</f>
        <v>0</v>
      </c>
      <c r="BR60" s="343"/>
      <c r="BS60" s="338">
        <f>COUNTIFS('ST | Drawing List'!$H:$H,"ST-T09-9",'ST | Drawing List'!$Q:$Q,1)</f>
        <v>0</v>
      </c>
      <c r="BT60" s="343">
        <f>COUNTIFS('ST | Drawing List'!$H:$H,"ST-T09-9",'ST | Drawing List'!R:R,1)</f>
        <v>0</v>
      </c>
      <c r="BU60" s="343">
        <f>COUNTIFS('ST | Drawing List'!$H:$H,"ST-T09-9",'ST | Drawing List'!S:S,1)</f>
        <v>0</v>
      </c>
      <c r="BV60" s="343">
        <f>COUNTIFS('ST | Drawing List'!$H:$H,"ST-T09-9",'ST | Drawing List'!T:T,1)</f>
        <v>0</v>
      </c>
      <c r="BW60" s="343">
        <f>COUNTIFS('ST | Drawing List'!$H:$H,"ST-T09-9",'ST | Drawing List'!U:U,1)</f>
        <v>0</v>
      </c>
      <c r="BX60" s="194"/>
      <c r="BY60" s="194"/>
      <c r="BZ60" s="196">
        <v>0</v>
      </c>
      <c r="CA60" s="194"/>
      <c r="CB60" s="446">
        <f t="shared" si="100"/>
        <v>0</v>
      </c>
      <c r="CC60" s="447">
        <f t="shared" si="14"/>
        <v>0</v>
      </c>
      <c r="CD60" s="448">
        <f t="shared" si="101"/>
        <v>0</v>
      </c>
      <c r="CE60" s="448">
        <f t="shared" si="102"/>
        <v>0</v>
      </c>
      <c r="CF60" s="448">
        <f t="shared" si="103"/>
        <v>0</v>
      </c>
      <c r="CG60" s="448">
        <f t="shared" si="104"/>
        <v>0</v>
      </c>
      <c r="CH60" s="343">
        <f t="shared" si="105"/>
        <v>0</v>
      </c>
      <c r="CI60" s="343">
        <f t="shared" si="106"/>
        <v>0</v>
      </c>
      <c r="CJ60" s="343"/>
      <c r="CK60" s="478">
        <f t="shared" si="107"/>
        <v>0</v>
      </c>
      <c r="CL60" s="478">
        <f t="shared" si="121"/>
        <v>0</v>
      </c>
      <c r="CM60" s="478">
        <f t="shared" si="122"/>
        <v>0</v>
      </c>
      <c r="CN60" s="478">
        <f t="shared" si="123"/>
        <v>0</v>
      </c>
      <c r="CO60" s="478">
        <f t="shared" si="124"/>
        <v>0</v>
      </c>
      <c r="CP60" s="195"/>
      <c r="CQ60" s="344">
        <f t="shared" si="108"/>
        <v>0</v>
      </c>
      <c r="CR60" s="344">
        <f t="shared" si="109"/>
        <v>0</v>
      </c>
      <c r="CS60" s="344">
        <f t="shared" si="125"/>
        <v>0</v>
      </c>
      <c r="CT60" s="346"/>
      <c r="CU60" s="355">
        <f>COUNTIF('MEP | Drawing List'!$H:$H,"MEP-T09-9")</f>
        <v>0</v>
      </c>
      <c r="CV60" s="338">
        <f>COUNTIFS('MEP | Drawing List'!$H:$H,"MEP-T09-9",'MEP | Drawing List'!$J:$J,1)</f>
        <v>0</v>
      </c>
      <c r="CW60" s="338">
        <f>COUNTIFS('MEP | Drawing List'!$H:$H,"MEP-T09-9",'MEP | Drawing List'!$L:$L,1)</f>
        <v>0</v>
      </c>
      <c r="CX60" s="343">
        <f>COUNTIFS('MEP | Drawing List'!$H:$H,"MEP-T09-9",'MEP | Drawing List'!M:M,1)</f>
        <v>0</v>
      </c>
      <c r="CY60" s="343">
        <f>COUNTIFS('MEP | Drawing List'!$H:$H,"MEP-T09-9",'MEP | Drawing List'!N:N,1)</f>
        <v>0</v>
      </c>
      <c r="CZ60" s="343">
        <f>COUNTIFS('MEP | Drawing List'!$H:$H,"MEP-T09-9",'MEP | Drawing List'!O:O,1)</f>
        <v>0</v>
      </c>
      <c r="DA60" s="343">
        <f>COUNTIFS('MEP | Drawing List'!$H:$H,"MEP-T09-9",'MEP | Drawing List'!P:P,1)</f>
        <v>0</v>
      </c>
      <c r="DB60" s="343"/>
      <c r="DC60" s="338">
        <f>COUNTIFS('MEP | Drawing List'!$H:$H,"MEP-T09-9",'MEP | Drawing List'!$Q:$Q,1)</f>
        <v>0</v>
      </c>
      <c r="DD60" s="343">
        <f>COUNTIFS('MEP | Drawing List'!$H:$H,"MEP-T09-9",'MEP | Drawing List'!R:R,1)</f>
        <v>0</v>
      </c>
      <c r="DE60" s="343">
        <f>COUNTIFS('MEP | Drawing List'!$H:$H,"MEP-T09-9",'MEP | Drawing List'!S:S,1)</f>
        <v>0</v>
      </c>
      <c r="DF60" s="343">
        <f>COUNTIFS('MEP | Drawing List'!$H:$H,"MEP-T09-9",'MEP | Drawing List'!T:T,1)</f>
        <v>0</v>
      </c>
      <c r="DG60" s="343">
        <f>COUNTIFS('MEP | Drawing List'!$H:$H,"MEP-T09-9",'MEP | Drawing List'!U:U,1)</f>
        <v>0</v>
      </c>
      <c r="DH60" s="194"/>
      <c r="DI60" s="194"/>
      <c r="DJ60" s="196">
        <v>0.2</v>
      </c>
      <c r="DK60" s="194"/>
      <c r="DL60" s="332">
        <f t="shared" si="110"/>
        <v>9.4990000000000005E-3</v>
      </c>
      <c r="DM60" s="328">
        <f t="shared" si="15"/>
        <v>9.4990000000000005E-3</v>
      </c>
      <c r="DN60" s="343">
        <f t="shared" si="111"/>
        <v>0</v>
      </c>
      <c r="DO60" s="343">
        <f t="shared" si="112"/>
        <v>9.4990000000000005E-3</v>
      </c>
      <c r="DP60" s="343">
        <f t="shared" si="113"/>
        <v>9.4990000000000005E-3</v>
      </c>
      <c r="DQ60" s="343">
        <f t="shared" si="114"/>
        <v>0</v>
      </c>
      <c r="DR60" s="343">
        <f t="shared" si="115"/>
        <v>0</v>
      </c>
      <c r="DS60" s="343">
        <f t="shared" si="116"/>
        <v>0</v>
      </c>
      <c r="DT60" s="343"/>
      <c r="DU60" s="343">
        <f t="shared" si="117"/>
        <v>9.4990000000000005E-3</v>
      </c>
      <c r="DV60" s="343">
        <f t="shared" si="126"/>
        <v>0</v>
      </c>
      <c r="DW60" s="343">
        <f t="shared" si="127"/>
        <v>9.4990000000000005E-3</v>
      </c>
      <c r="DX60" s="343">
        <f t="shared" si="128"/>
        <v>0</v>
      </c>
      <c r="DY60" s="343">
        <f t="shared" si="129"/>
        <v>0</v>
      </c>
      <c r="DZ60" s="195"/>
      <c r="EA60" s="344">
        <f t="shared" si="118"/>
        <v>0</v>
      </c>
      <c r="EB60" s="344">
        <f t="shared" si="119"/>
        <v>1</v>
      </c>
      <c r="EC60" s="344">
        <f t="shared" si="130"/>
        <v>1</v>
      </c>
      <c r="ED60" s="346"/>
      <c r="EE60" s="355">
        <f>COUNTIF('LS | Drawing List'!$H:$H,"LS-T09-9")</f>
        <v>1</v>
      </c>
      <c r="EF60" s="338">
        <f>COUNTIFS('LS | Drawing List'!$H:$H,"LS-T09-9",'LS | Drawing List'!$J:$J,1)</f>
        <v>0</v>
      </c>
      <c r="EG60" s="338">
        <f>COUNTIFS('LS | Drawing List'!$H:$H,"LS-T09-9",'LS | Drawing List'!$L:$L,1)</f>
        <v>1</v>
      </c>
      <c r="EH60" s="343">
        <f>COUNTIFS('LS | Drawing List'!$H:$H,"LS-T09-9",'LS | Drawing List'!M:M,1)</f>
        <v>1</v>
      </c>
      <c r="EI60" s="343">
        <f>COUNTIFS('LS | Drawing List'!$H:$H,"LS-T09-9",'LS | Drawing List'!N:N,1)</f>
        <v>0</v>
      </c>
      <c r="EJ60" s="343">
        <f>COUNTIFS('LS | Drawing List'!$H:$H,"LS-T09-9",'LS | Drawing List'!O:O,1)</f>
        <v>0</v>
      </c>
      <c r="EK60" s="343">
        <f>COUNTIFS('LS | Drawing List'!$H:$H,"LS-T09-9",'LS | Drawing List'!P:P,1)</f>
        <v>0</v>
      </c>
      <c r="EL60" s="343"/>
      <c r="EM60" s="338">
        <f>COUNTIFS('LS | Drawing List'!$H:$H,"LS-T09-9",'LS | Drawing List'!$Q:$Q,1)</f>
        <v>1</v>
      </c>
      <c r="EN60" s="343">
        <f>COUNTIFS('LS | Drawing List'!$H:$H,"LS-T09-9",'LS | Drawing List'!R:R,1)</f>
        <v>0</v>
      </c>
      <c r="EO60" s="343">
        <f>COUNTIFS('LS | Drawing List'!$H:$H,"LS-T09-9",'LS | Drawing List'!S:S,1)</f>
        <v>1</v>
      </c>
      <c r="EP60" s="343">
        <f>COUNTIFS('LS | Drawing List'!$H:$H,"LS-T09-9",'LS | Drawing List'!T:T,1)</f>
        <v>0</v>
      </c>
      <c r="EQ60" s="343">
        <f>COUNTIFS('LS | Drawing List'!$H:$H,"LS-T09-9",'LS | Drawing List'!U:U,1)</f>
        <v>0</v>
      </c>
      <c r="ER60" s="114"/>
      <c r="ES60" s="499"/>
      <c r="ET60" s="112"/>
    </row>
    <row r="61" spans="1:150" ht="3" customHeight="1" outlineLevel="1">
      <c r="A61" s="112"/>
      <c r="B61" s="163"/>
      <c r="C61" s="162"/>
      <c r="D61" s="114"/>
      <c r="E61" s="114"/>
      <c r="F61" s="197"/>
      <c r="G61" s="194"/>
      <c r="H61" s="328"/>
      <c r="I61" s="328">
        <f t="shared" si="12"/>
        <v>0</v>
      </c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47"/>
      <c r="W61" s="348"/>
      <c r="X61" s="348"/>
      <c r="Y61" s="348"/>
      <c r="Z61" s="346"/>
      <c r="AA61" s="355"/>
      <c r="AB61" s="355"/>
      <c r="AC61" s="355"/>
      <c r="AD61" s="356"/>
      <c r="AE61" s="356"/>
      <c r="AF61" s="356"/>
      <c r="AG61" s="356"/>
      <c r="AH61" s="356"/>
      <c r="AI61" s="355"/>
      <c r="AJ61" s="356"/>
      <c r="AK61" s="356"/>
      <c r="AL61" s="356"/>
      <c r="AM61" s="356"/>
      <c r="AN61" s="355"/>
      <c r="AO61" s="355"/>
      <c r="AP61" s="196"/>
      <c r="AQ61" s="194"/>
      <c r="AR61" s="332"/>
      <c r="AS61" s="328">
        <f t="shared" si="13"/>
        <v>0</v>
      </c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47"/>
      <c r="BG61" s="348"/>
      <c r="BH61" s="348"/>
      <c r="BI61" s="348"/>
      <c r="BJ61" s="346"/>
      <c r="BK61" s="355"/>
      <c r="BL61" s="355"/>
      <c r="BM61" s="355"/>
      <c r="BN61" s="356"/>
      <c r="BO61" s="356"/>
      <c r="BP61" s="356"/>
      <c r="BQ61" s="356"/>
      <c r="BR61" s="356"/>
      <c r="BS61" s="355"/>
      <c r="BT61" s="356"/>
      <c r="BU61" s="356"/>
      <c r="BV61" s="356"/>
      <c r="BW61" s="356"/>
      <c r="BX61" s="194"/>
      <c r="BY61" s="194"/>
      <c r="BZ61" s="196"/>
      <c r="CA61" s="194"/>
      <c r="CB61" s="332"/>
      <c r="CC61" s="328">
        <f t="shared" si="14"/>
        <v>0</v>
      </c>
      <c r="CD61" s="356"/>
      <c r="CE61" s="356"/>
      <c r="CF61" s="356"/>
      <c r="CG61" s="356"/>
      <c r="CH61" s="356"/>
      <c r="CI61" s="356"/>
      <c r="CJ61" s="356"/>
      <c r="CK61" s="480"/>
      <c r="CL61" s="480"/>
      <c r="CM61" s="480"/>
      <c r="CN61" s="480"/>
      <c r="CO61" s="480"/>
      <c r="CP61" s="347"/>
      <c r="CQ61" s="348"/>
      <c r="CR61" s="348"/>
      <c r="CS61" s="348"/>
      <c r="CT61" s="346"/>
      <c r="CU61" s="355"/>
      <c r="CV61" s="355"/>
      <c r="CW61" s="355"/>
      <c r="CX61" s="356"/>
      <c r="CY61" s="356"/>
      <c r="CZ61" s="356"/>
      <c r="DA61" s="356"/>
      <c r="DB61" s="356"/>
      <c r="DC61" s="355"/>
      <c r="DD61" s="356"/>
      <c r="DE61" s="356"/>
      <c r="DF61" s="356"/>
      <c r="DG61" s="356"/>
      <c r="DH61" s="194"/>
      <c r="DI61" s="194"/>
      <c r="DJ61" s="197"/>
      <c r="DK61" s="194"/>
      <c r="DL61" s="332"/>
      <c r="DM61" s="328">
        <f t="shared" si="15"/>
        <v>0</v>
      </c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47"/>
      <c r="EA61" s="348"/>
      <c r="EB61" s="348"/>
      <c r="EC61" s="348"/>
      <c r="ED61" s="346"/>
      <c r="EE61" s="355"/>
      <c r="EF61" s="355"/>
      <c r="EG61" s="355"/>
      <c r="EH61" s="356"/>
      <c r="EI61" s="356"/>
      <c r="EJ61" s="356"/>
      <c r="EK61" s="356"/>
      <c r="EL61" s="356"/>
      <c r="EM61" s="355"/>
      <c r="EN61" s="356"/>
      <c r="EO61" s="356"/>
      <c r="EP61" s="356"/>
      <c r="EQ61" s="356"/>
      <c r="ER61" s="114"/>
      <c r="ES61" s="499"/>
      <c r="ET61" s="112"/>
    </row>
    <row r="62" spans="1:150" ht="11.85" customHeight="1" outlineLevel="1">
      <c r="A62" s="112"/>
      <c r="B62" s="148"/>
      <c r="C62" s="212">
        <v>2</v>
      </c>
      <c r="D62" s="211" t="s">
        <v>64</v>
      </c>
      <c r="E62" s="149"/>
      <c r="F62" s="188">
        <f>SUM(F63:F67)</f>
        <v>0.5</v>
      </c>
      <c r="G62" s="188"/>
      <c r="H62" s="189">
        <f>F62*(5%*'BOQ COST'!E6)*1</f>
        <v>0.86375000000000002</v>
      </c>
      <c r="I62" s="189">
        <f t="shared" si="12"/>
        <v>0.86375000000000002</v>
      </c>
      <c r="J62" s="190">
        <f t="shared" ref="J62:AG62" si="137">SUM(J63:J67)</f>
        <v>0.51824999999999999</v>
      </c>
      <c r="K62" s="190">
        <f t="shared" si="137"/>
        <v>0.34550000000000003</v>
      </c>
      <c r="L62" s="190">
        <f t="shared" si="137"/>
        <v>0.34550000000000003</v>
      </c>
      <c r="M62" s="190">
        <f t="shared" si="137"/>
        <v>0</v>
      </c>
      <c r="N62" s="190">
        <f t="shared" si="137"/>
        <v>0</v>
      </c>
      <c r="O62" s="190">
        <f t="shared" si="137"/>
        <v>0</v>
      </c>
      <c r="P62" s="190"/>
      <c r="Q62" s="190">
        <f t="shared" ref="Q62:U62" si="138">SUM(Q63:Q67)</f>
        <v>0.34550000000000003</v>
      </c>
      <c r="R62" s="190">
        <f t="shared" si="138"/>
        <v>0.34550000000000003</v>
      </c>
      <c r="S62" s="190">
        <f t="shared" si="138"/>
        <v>0</v>
      </c>
      <c r="T62" s="190">
        <f t="shared" si="138"/>
        <v>0</v>
      </c>
      <c r="U62" s="190">
        <f t="shared" si="138"/>
        <v>0</v>
      </c>
      <c r="V62" s="190">
        <f t="shared" si="137"/>
        <v>0</v>
      </c>
      <c r="W62" s="190"/>
      <c r="X62" s="190"/>
      <c r="Y62" s="190"/>
      <c r="Z62" s="190">
        <f t="shared" si="137"/>
        <v>0</v>
      </c>
      <c r="AA62" s="190">
        <f t="shared" si="137"/>
        <v>24</v>
      </c>
      <c r="AB62" s="190">
        <f t="shared" si="137"/>
        <v>21</v>
      </c>
      <c r="AC62" s="190">
        <f t="shared" si="137"/>
        <v>3</v>
      </c>
      <c r="AD62" s="190">
        <f t="shared" si="137"/>
        <v>3</v>
      </c>
      <c r="AE62" s="190">
        <f t="shared" si="137"/>
        <v>0</v>
      </c>
      <c r="AF62" s="190">
        <f t="shared" si="137"/>
        <v>0</v>
      </c>
      <c r="AG62" s="190">
        <f t="shared" si="137"/>
        <v>0</v>
      </c>
      <c r="AH62" s="190"/>
      <c r="AI62" s="190">
        <f t="shared" ref="AI62:AM62" si="139">SUM(AI63:AI67)</f>
        <v>3</v>
      </c>
      <c r="AJ62" s="190">
        <f t="shared" si="139"/>
        <v>3</v>
      </c>
      <c r="AK62" s="190">
        <f t="shared" si="139"/>
        <v>0</v>
      </c>
      <c r="AL62" s="190">
        <f t="shared" si="139"/>
        <v>0</v>
      </c>
      <c r="AM62" s="190">
        <f t="shared" si="139"/>
        <v>0</v>
      </c>
      <c r="AN62" s="342"/>
      <c r="AO62" s="342"/>
      <c r="AP62" s="188">
        <v>0.55000000000000004</v>
      </c>
      <c r="AQ62" s="188"/>
      <c r="AR62" s="203">
        <f>AP62*(3%*'BOQ COST'!F6)*1</f>
        <v>0.41255775</v>
      </c>
      <c r="AS62" s="189">
        <f t="shared" si="13"/>
        <v>0.41255774999999995</v>
      </c>
      <c r="AT62" s="190">
        <f>SUM(AT63:AT67)+AT69+AT74+AT79</f>
        <v>0.23722070624999997</v>
      </c>
      <c r="AU62" s="190">
        <f>SUM(AU63:AU67)+AU69+AU74+AU79</f>
        <v>0.17533704374999998</v>
      </c>
      <c r="AV62" s="190">
        <f t="shared" ref="AV62:BQ62" si="140">SUM(AV63:AV67)+AV69+AV74+AV79</f>
        <v>0.17533704374999998</v>
      </c>
      <c r="AW62" s="190">
        <f t="shared" si="140"/>
        <v>0</v>
      </c>
      <c r="AX62" s="190">
        <f t="shared" si="140"/>
        <v>0</v>
      </c>
      <c r="AY62" s="190">
        <f t="shared" si="140"/>
        <v>0</v>
      </c>
      <c r="AZ62" s="190"/>
      <c r="BA62" s="190">
        <f>SUM(BA63:BA67)+BA69+BA74+BA79</f>
        <v>0.17533704374999998</v>
      </c>
      <c r="BB62" s="190">
        <f t="shared" si="140"/>
        <v>0.17533704374999998</v>
      </c>
      <c r="BC62" s="190">
        <f t="shared" si="140"/>
        <v>0</v>
      </c>
      <c r="BD62" s="190">
        <f t="shared" si="140"/>
        <v>0</v>
      </c>
      <c r="BE62" s="190">
        <f t="shared" si="140"/>
        <v>0</v>
      </c>
      <c r="BF62" s="190">
        <f t="shared" si="140"/>
        <v>0</v>
      </c>
      <c r="BG62" s="190"/>
      <c r="BH62" s="190"/>
      <c r="BI62" s="190"/>
      <c r="BJ62" s="190">
        <f t="shared" si="140"/>
        <v>0</v>
      </c>
      <c r="BK62" s="190">
        <f t="shared" si="140"/>
        <v>2</v>
      </c>
      <c r="BL62" s="190">
        <f t="shared" si="140"/>
        <v>2</v>
      </c>
      <c r="BM62" s="190">
        <f t="shared" si="140"/>
        <v>0</v>
      </c>
      <c r="BN62" s="190">
        <f t="shared" si="140"/>
        <v>0</v>
      </c>
      <c r="BO62" s="190">
        <f t="shared" si="140"/>
        <v>0</v>
      </c>
      <c r="BP62" s="190">
        <f t="shared" si="140"/>
        <v>0</v>
      </c>
      <c r="BQ62" s="190">
        <f t="shared" si="140"/>
        <v>0</v>
      </c>
      <c r="BR62" s="190"/>
      <c r="BS62" s="190">
        <f t="shared" ref="BS62:BW62" si="141">SUM(BS63:BS67)+BS69+BS74+BS79</f>
        <v>0</v>
      </c>
      <c r="BT62" s="190">
        <f t="shared" si="141"/>
        <v>0</v>
      </c>
      <c r="BU62" s="190">
        <f t="shared" si="141"/>
        <v>0</v>
      </c>
      <c r="BV62" s="190">
        <f t="shared" si="141"/>
        <v>0</v>
      </c>
      <c r="BW62" s="190">
        <f t="shared" si="141"/>
        <v>0</v>
      </c>
      <c r="BX62" s="188"/>
      <c r="BY62" s="188"/>
      <c r="BZ62" s="188">
        <f>SUM(BZ63:BZ67)</f>
        <v>0.65</v>
      </c>
      <c r="CA62" s="188"/>
      <c r="CB62" s="203">
        <f>BZ62*(2%*'BOQ COST'!G6)*1</f>
        <v>7.5410008700000003E-2</v>
      </c>
      <c r="CC62" s="189">
        <f t="shared" si="14"/>
        <v>7.5410008700000003E-2</v>
      </c>
      <c r="CD62" s="190">
        <f>SUM(CD63:CD67)</f>
        <v>0</v>
      </c>
      <c r="CE62" s="190">
        <f>SUM(CE63:CE67)</f>
        <v>7.5410008700000003E-2</v>
      </c>
      <c r="CF62" s="190">
        <f t="shared" ref="CF62:DA62" si="142">SUM(CF63:CF67)</f>
        <v>7.5410008700000003E-2</v>
      </c>
      <c r="CG62" s="190">
        <f t="shared" si="142"/>
        <v>0</v>
      </c>
      <c r="CH62" s="190">
        <f t="shared" si="142"/>
        <v>0</v>
      </c>
      <c r="CI62" s="190">
        <f t="shared" si="142"/>
        <v>0</v>
      </c>
      <c r="CJ62" s="190"/>
      <c r="CK62" s="477">
        <f t="shared" si="142"/>
        <v>7.5410008700000003E-2</v>
      </c>
      <c r="CL62" s="477">
        <f t="shared" si="142"/>
        <v>1.74023097E-2</v>
      </c>
      <c r="CM62" s="477">
        <f t="shared" si="142"/>
        <v>0</v>
      </c>
      <c r="CN62" s="477">
        <f t="shared" si="142"/>
        <v>5.8007699000000003E-2</v>
      </c>
      <c r="CO62" s="477">
        <f t="shared" si="142"/>
        <v>0</v>
      </c>
      <c r="CP62" s="190">
        <f t="shared" si="142"/>
        <v>0</v>
      </c>
      <c r="CQ62" s="190"/>
      <c r="CR62" s="190"/>
      <c r="CS62" s="190"/>
      <c r="CT62" s="190">
        <f t="shared" si="142"/>
        <v>0</v>
      </c>
      <c r="CU62" s="190">
        <f t="shared" si="142"/>
        <v>36</v>
      </c>
      <c r="CV62" s="190">
        <f t="shared" si="142"/>
        <v>4</v>
      </c>
      <c r="CW62" s="190">
        <f t="shared" si="142"/>
        <v>32</v>
      </c>
      <c r="CX62" s="190">
        <f t="shared" si="142"/>
        <v>32</v>
      </c>
      <c r="CY62" s="190">
        <f t="shared" si="142"/>
        <v>0</v>
      </c>
      <c r="CZ62" s="190">
        <f t="shared" si="142"/>
        <v>0</v>
      </c>
      <c r="DA62" s="190">
        <f t="shared" si="142"/>
        <v>0</v>
      </c>
      <c r="DB62" s="190"/>
      <c r="DC62" s="190">
        <f t="shared" ref="DC62:DG62" si="143">SUM(DC63:DC67)</f>
        <v>32</v>
      </c>
      <c r="DD62" s="190">
        <f t="shared" si="143"/>
        <v>28</v>
      </c>
      <c r="DE62" s="190">
        <f t="shared" si="143"/>
        <v>1</v>
      </c>
      <c r="DF62" s="190">
        <f t="shared" si="143"/>
        <v>3</v>
      </c>
      <c r="DG62" s="190">
        <f t="shared" si="143"/>
        <v>0</v>
      </c>
      <c r="DH62" s="188"/>
      <c r="DI62" s="188"/>
      <c r="DJ62" s="188">
        <f>SUM(DJ63:DJ67)</f>
        <v>0</v>
      </c>
      <c r="DK62" s="188"/>
      <c r="DL62" s="357">
        <v>0</v>
      </c>
      <c r="DM62" s="189">
        <f t="shared" si="15"/>
        <v>0</v>
      </c>
      <c r="DN62" s="190">
        <f>SUM(DN63:DN67)</f>
        <v>0</v>
      </c>
      <c r="DO62" s="190">
        <f>SUM(DO63:DO67)</f>
        <v>0</v>
      </c>
      <c r="DP62" s="190">
        <f t="shared" ref="DP62:EK62" si="144">SUM(DP63:DP67)</f>
        <v>0</v>
      </c>
      <c r="DQ62" s="190">
        <f t="shared" si="144"/>
        <v>0</v>
      </c>
      <c r="DR62" s="190">
        <f t="shared" si="144"/>
        <v>0</v>
      </c>
      <c r="DS62" s="190">
        <f t="shared" si="144"/>
        <v>0</v>
      </c>
      <c r="DT62" s="190"/>
      <c r="DU62" s="190">
        <f t="shared" si="144"/>
        <v>0</v>
      </c>
      <c r="DV62" s="190">
        <f t="shared" si="144"/>
        <v>0</v>
      </c>
      <c r="DW62" s="190">
        <f t="shared" si="144"/>
        <v>0</v>
      </c>
      <c r="DX62" s="190">
        <f t="shared" si="144"/>
        <v>0</v>
      </c>
      <c r="DY62" s="190">
        <f t="shared" si="144"/>
        <v>0</v>
      </c>
      <c r="DZ62" s="190">
        <f t="shared" si="144"/>
        <v>0</v>
      </c>
      <c r="EA62" s="190">
        <f t="shared" si="144"/>
        <v>0</v>
      </c>
      <c r="EB62" s="190">
        <f t="shared" si="144"/>
        <v>0</v>
      </c>
      <c r="EC62" s="190">
        <f t="shared" si="144"/>
        <v>0</v>
      </c>
      <c r="ED62" s="190">
        <f t="shared" si="144"/>
        <v>0</v>
      </c>
      <c r="EE62" s="190">
        <f t="shared" si="144"/>
        <v>0</v>
      </c>
      <c r="EF62" s="190">
        <f t="shared" si="144"/>
        <v>0</v>
      </c>
      <c r="EG62" s="190">
        <f t="shared" si="144"/>
        <v>0</v>
      </c>
      <c r="EH62" s="190">
        <f t="shared" si="144"/>
        <v>0</v>
      </c>
      <c r="EI62" s="190">
        <f t="shared" si="144"/>
        <v>0</v>
      </c>
      <c r="EJ62" s="190">
        <f t="shared" si="144"/>
        <v>0</v>
      </c>
      <c r="EK62" s="190">
        <f t="shared" si="144"/>
        <v>0</v>
      </c>
      <c r="EL62" s="190"/>
      <c r="EM62" s="190">
        <f t="shared" ref="EM62:EQ62" si="145">SUM(EM63:EM67)</f>
        <v>0</v>
      </c>
      <c r="EN62" s="190">
        <f t="shared" si="145"/>
        <v>0</v>
      </c>
      <c r="EO62" s="190">
        <f t="shared" si="145"/>
        <v>0</v>
      </c>
      <c r="EP62" s="190">
        <f t="shared" si="145"/>
        <v>0</v>
      </c>
      <c r="EQ62" s="190">
        <f t="shared" si="145"/>
        <v>0</v>
      </c>
      <c r="ER62" s="114"/>
      <c r="ES62" s="499"/>
      <c r="ET62" s="112"/>
    </row>
    <row r="63" spans="1:150" ht="11.85" customHeight="1" outlineLevel="2">
      <c r="A63" s="112"/>
      <c r="B63" s="162" t="s">
        <v>65</v>
      </c>
      <c r="C63" s="213">
        <v>1</v>
      </c>
      <c r="D63" s="214" t="s">
        <v>66</v>
      </c>
      <c r="E63" s="114"/>
      <c r="F63" s="197">
        <v>0</v>
      </c>
      <c r="G63" s="194"/>
      <c r="H63" s="395">
        <f>$H$62/$F$62*F63</f>
        <v>0</v>
      </c>
      <c r="I63" s="395">
        <f t="shared" si="12"/>
        <v>0</v>
      </c>
      <c r="J63" s="395">
        <f>IFERROR(IF(W63=100%,H63,0),0)</f>
        <v>0</v>
      </c>
      <c r="K63" s="395">
        <f>IFERROR(IF(AND((W63+X63)=100%,W63&lt;1),H63,0),0)</f>
        <v>0</v>
      </c>
      <c r="L63" s="395">
        <f t="shared" ref="L63:L82" si="146">IFERROR(IF(AND((AB63+AD63)=AA63,J63=0),H63,0),0)</f>
        <v>0</v>
      </c>
      <c r="M63" s="395">
        <f t="shared" ref="M63:M82" si="147">IFERROR(IF(AND((AB63+AD63+AE63)=AA63,J63=0,L63=0),H63,0),0)</f>
        <v>0</v>
      </c>
      <c r="N63" s="395">
        <f t="shared" ref="N63:N82" si="148">IFERROR(IF(AND((AB63+AD63+AE63+AF63)=AA63,J63=0,K63=0,L63=0,M63=0),H63,0),0)</f>
        <v>0</v>
      </c>
      <c r="O63" s="395">
        <f t="shared" ref="O63:O82" si="149">IFERROR(IF(AND((AB63+AD63+AE63+AF63+AG63)=AA63,J63=0,K63=0,L63=0,M63=0,N63=0),H63,0),0)</f>
        <v>0</v>
      </c>
      <c r="P63" s="343"/>
      <c r="Q63" s="343">
        <f>IFERROR(IF(AND((W63+Y63)=100%,W63&lt;1),H63,0),0)</f>
        <v>0</v>
      </c>
      <c r="R63" s="343">
        <f>IFERROR(IF(AND((AB63+AJ63)=AA63,J63=0),H63,0),0)</f>
        <v>0</v>
      </c>
      <c r="S63" s="343">
        <f>IFERROR(IF(AND((AB63+AJ63+AK63)=AA63,J63=0,R63=0),H63,0),0)</f>
        <v>0</v>
      </c>
      <c r="T63" s="343">
        <f>IFERROR(IF(AND((AB63+AJ63+AK63+AL63)=AA63,J63=0,R63=0,S63=0),H63,0),0)</f>
        <v>0</v>
      </c>
      <c r="U63" s="343">
        <f>IFERROR(IF(AND((AB63+AJ63+AK63+AL63+AM63)=AA63,J63=0,R63=0,S63=0,T63=0),H63,0),0)</f>
        <v>0</v>
      </c>
      <c r="V63" s="195"/>
      <c r="W63" s="344">
        <f>IFERROR(AB63/AA63,0)</f>
        <v>0</v>
      </c>
      <c r="X63" s="344">
        <f>IFERROR(AC63/AA63,0)</f>
        <v>0</v>
      </c>
      <c r="Y63" s="344">
        <f t="shared" ref="Y63:Y67" si="150">IFERROR(AI63/AA63,0)</f>
        <v>0</v>
      </c>
      <c r="Z63" s="345"/>
      <c r="AA63" s="355">
        <f>COUNTIF('AR | Drawing List'!$H:$H,"AR-ISS-1")</f>
        <v>0</v>
      </c>
      <c r="AB63" s="338">
        <f>COUNTIFS('AR | Drawing List'!$H:$H,"AR-ISS-1",'AR | Drawing List'!$J:$J,1)</f>
        <v>0</v>
      </c>
      <c r="AC63" s="338">
        <f>COUNTIFS('AR | Drawing List'!$H:$H,"AR-ISS-1",'AR | Drawing List'!$L:$L,1)</f>
        <v>0</v>
      </c>
      <c r="AD63" s="343">
        <f>COUNTIFS('AR | Drawing List'!$H:$H,"AR-ISS-1",'AR | Drawing List'!M:M,1)</f>
        <v>0</v>
      </c>
      <c r="AE63" s="343">
        <f>COUNTIFS('AR | Drawing List'!$H:$H,"AR-ISS-1",'AR | Drawing List'!N:N,1)</f>
        <v>0</v>
      </c>
      <c r="AF63" s="343">
        <f>COUNTIFS('AR | Drawing List'!$H:$H,"AR-ISS-1",'AR | Drawing List'!O:O,1)</f>
        <v>0</v>
      </c>
      <c r="AG63" s="343">
        <f>COUNTIFS('AR | Drawing List'!$H:$H,"AR-ISS-1",'AR | Drawing List'!P:P,1)</f>
        <v>0</v>
      </c>
      <c r="AH63" s="343"/>
      <c r="AI63" s="338">
        <f>COUNTIFS('AR | Drawing List'!$H:$H,"AR-ISS-1",'AR | Drawing List'!$Q:$Q,1)</f>
        <v>0</v>
      </c>
      <c r="AJ63" s="343">
        <f>COUNTIFS('AR | Drawing List'!$H:$H,"AR-ISS-1",'AR | Drawing List'!R:R,1)</f>
        <v>0</v>
      </c>
      <c r="AK63" s="343">
        <f>COUNTIFS('AR | Drawing List'!$H:$H,"AR-ISS-1",'AR | Drawing List'!S:S,1)</f>
        <v>0</v>
      </c>
      <c r="AL63" s="343">
        <f>COUNTIFS('AR | Drawing List'!$H:$H,"AR-ISS-1",'AR | Drawing List'!T:T,1)</f>
        <v>0</v>
      </c>
      <c r="AM63" s="343">
        <f>COUNTIFS('AR | Drawing List'!$H:$H,"AR-ISS-1",'AR | Drawing List'!U:U,1)</f>
        <v>0</v>
      </c>
      <c r="AN63" s="338"/>
      <c r="AO63" s="338"/>
      <c r="AP63" s="196">
        <v>0.05</v>
      </c>
      <c r="AQ63" s="194"/>
      <c r="AR63" s="447">
        <f>$AR$62*AP63</f>
        <v>2.0627887500000001E-2</v>
      </c>
      <c r="AS63" s="447">
        <f t="shared" si="13"/>
        <v>2.0627887500000001E-2</v>
      </c>
      <c r="AT63" s="447">
        <f>IFERROR(IF(BG63=100%,AR63,0),0)</f>
        <v>2.0627887500000001E-2</v>
      </c>
      <c r="AU63" s="343">
        <f>IFERROR(IF(AND((BG63+BH63)=100%,BG63&lt;1),AR63,0),0)</f>
        <v>0</v>
      </c>
      <c r="AV63" s="343">
        <f t="shared" ref="AV63:AV68" si="151">IFERROR(IF(AND((BL63+BN63)=BK63,AT63=0),AR63,0),0)</f>
        <v>0</v>
      </c>
      <c r="AW63" s="343">
        <f t="shared" ref="AW63:AW68" si="152">IFERROR(IF(AND((BL63+BN63+BO63)=BK63,AT63=0,AV63=0),AR63,0),0)</f>
        <v>0</v>
      </c>
      <c r="AX63" s="343">
        <f t="shared" ref="AX63:AX68" si="153">IFERROR(IF(AND((BL63+BN63+BO63+BP63)=BK63,AT63=0,AU63=0,AV63=0,AW63=0),AR63,0),0)</f>
        <v>0</v>
      </c>
      <c r="AY63" s="343">
        <f t="shared" ref="AY63:AY68" si="154">IFERROR(IF(AND((BL63+BN63+BO63+BP63+BQ63)=BK63,AT63=0,AU63=0,AV63=0,AW63=0,AX63=0),AR63,0),0)</f>
        <v>0</v>
      </c>
      <c r="AZ63" s="343"/>
      <c r="BA63" s="343">
        <f>IFERROR(IF(AND((BG63+BI63)=100%,BG63&lt;1),AR63,0),0)</f>
        <v>0</v>
      </c>
      <c r="BB63" s="343">
        <f>IFERROR(IF(AND((BL63+BT63)=BK63,AT63=0),AR63,0),0)</f>
        <v>0</v>
      </c>
      <c r="BC63" s="343">
        <f>IFERROR(IF(AND((BL63+BT63+BU63)=BK63,AT63=0,BB63=0),AR63,0),0)</f>
        <v>0</v>
      </c>
      <c r="BD63" s="343">
        <f>IFERROR(IF(AND((BL63+BT63+BU63+BV63)=BK63,AT63=0,BB63=0,BC63=0),AR63,0),0)</f>
        <v>0</v>
      </c>
      <c r="BE63" s="343">
        <f>IFERROR(IF(AND((BL63+BT63+BU63+BV63+BW63)=BK63,AT63=0,BB63=0,BC63=0,BD63=0),AR63,0),0)</f>
        <v>0</v>
      </c>
      <c r="BF63" s="195"/>
      <c r="BG63" s="344">
        <f>IFERROR(BL63/BK63,0)</f>
        <v>1</v>
      </c>
      <c r="BH63" s="344">
        <f>IFERROR(BM63/BK63,0)</f>
        <v>0</v>
      </c>
      <c r="BI63" s="344">
        <f t="shared" ref="BI63:BI67" si="155">IFERROR(BS63/BK63,0)</f>
        <v>0</v>
      </c>
      <c r="BJ63" s="345"/>
      <c r="BK63" s="355">
        <f>COUNTIF('ST | Drawing List'!$H:$H,"ST-ISS-1")</f>
        <v>2</v>
      </c>
      <c r="BL63" s="338">
        <f>COUNTIFS('ST | Drawing List'!$H:$H,"ST-ISS-1",'ST | Drawing List'!$J:$J,1)</f>
        <v>2</v>
      </c>
      <c r="BM63" s="338">
        <f>COUNTIFS('ST | Drawing List'!$H:$H,"ST-ISS-1",'ST | Drawing List'!$L:$L,1)</f>
        <v>0</v>
      </c>
      <c r="BN63" s="343">
        <f>COUNTIFS('ST | Drawing List'!$H:$H,"ST-ISS-1",'ST | Drawing List'!M:M,1)</f>
        <v>0</v>
      </c>
      <c r="BO63" s="343">
        <f>COUNTIFS('ST | Drawing List'!$H:$H,"ST-ISS-1",'ST | Drawing List'!N:N,1)</f>
        <v>0</v>
      </c>
      <c r="BP63" s="343">
        <f>COUNTIFS('ST | Drawing List'!$H:$H,"ST-ISS-1",'ST | Drawing List'!O:O,1)</f>
        <v>0</v>
      </c>
      <c r="BQ63" s="343">
        <f>COUNTIFS('ST | Drawing List'!$H:$H,"ST-ISS-1",'ST | Drawing List'!P:P,1)</f>
        <v>0</v>
      </c>
      <c r="BR63" s="343"/>
      <c r="BS63" s="338">
        <f>COUNTIFS('ST | Drawing List'!$H:$H,"ST-ISS-1",'ST | Drawing List'!$Q:$Q,1)</f>
        <v>0</v>
      </c>
      <c r="BT63" s="343">
        <f>COUNTIFS('ST | Drawing List'!$H:$H,"ST-ISS-1",'ST | Drawing List'!R:R,1)</f>
        <v>0</v>
      </c>
      <c r="BU63" s="343">
        <f>COUNTIFS('ST | Drawing List'!$H:$H,"ST-ISS-1",'ST | Drawing List'!S:S,1)</f>
        <v>0</v>
      </c>
      <c r="BV63" s="343">
        <f>COUNTIFS('ST | Drawing List'!$H:$H,"ST-ISS-1",'ST | Drawing List'!T:T,1)</f>
        <v>0</v>
      </c>
      <c r="BW63" s="343">
        <f>COUNTIFS('ST | Drawing List'!$H:$H,"ST-ISS-1",'ST | Drawing List'!U:U,1)</f>
        <v>0</v>
      </c>
      <c r="BX63" s="194"/>
      <c r="BY63" s="194"/>
      <c r="BZ63" s="196">
        <v>0</v>
      </c>
      <c r="CA63" s="194"/>
      <c r="CB63" s="446">
        <f>$CB$62/$BZ$62*BZ63</f>
        <v>0</v>
      </c>
      <c r="CC63" s="447">
        <f t="shared" si="14"/>
        <v>0</v>
      </c>
      <c r="CD63" s="448">
        <f>IFERROR(IF(CQ63=100%,CB63,0),0)</f>
        <v>0</v>
      </c>
      <c r="CE63" s="448">
        <f>IFERROR(IF(AND((CQ63+CR63)=100%,CQ63&lt;1),CB63,0),0)</f>
        <v>0</v>
      </c>
      <c r="CF63" s="448">
        <f t="shared" ref="CF63:CF82" si="156">IFERROR(IF(AND((CV63+CX63)=CU63,CD63=0),CB63,0),0)</f>
        <v>0</v>
      </c>
      <c r="CG63" s="343">
        <f t="shared" ref="CG63:CG82" si="157">IFERROR(IF(AND((CV63+CX63+CY63)=CU63,CD63=0,CF63=0),CB63,0),0)</f>
        <v>0</v>
      </c>
      <c r="CH63" s="343">
        <f t="shared" ref="CH63:CH82" si="158">IFERROR(IF(AND((CV63+CX63+CY63+CZ63)=CU63,CD63=0,CE63=0,CF63=0,CG63=0),CB63,0),0)</f>
        <v>0</v>
      </c>
      <c r="CI63" s="343">
        <f t="shared" ref="CI63:CI82" si="159">IFERROR(IF(AND((CV63+CX63+CY63+CZ63+DA63)=CU63,CD63=0,CE63=0,CF63=0,CG63=0,CH63=0),CB63,0),0)</f>
        <v>0</v>
      </c>
      <c r="CJ63" s="343"/>
      <c r="CK63" s="478">
        <f t="shared" ref="CK63:CK67" si="160">IFERROR(IF(AND((CQ63+CS63)=100%,CQ63&lt;1),CB63,0),0)</f>
        <v>0</v>
      </c>
      <c r="CL63" s="478">
        <f t="shared" ref="CL63:CL67" si="161">IFERROR(IF(AND((CV63+DD63)=CU63,CD63=0),CB63,0),0)</f>
        <v>0</v>
      </c>
      <c r="CM63" s="478">
        <f t="shared" ref="CM63:CM67" si="162">IFERROR(IF(AND((CV63+DD63+DE63)=CU63,CD63=0,CL63=0),CB63,0),0)</f>
        <v>0</v>
      </c>
      <c r="CN63" s="478">
        <f t="shared" ref="CN63:CN67" si="163">IFERROR(IF(AND((CV63+DD63+DE63+DF63)=CU63,CD63=0,CL63=0,CM63=0),CB63,0),0)</f>
        <v>0</v>
      </c>
      <c r="CO63" s="478">
        <f t="shared" ref="CO63:CO67" si="164">IFERROR(IF(AND((CV63+DD63+DE63+DF63+DG63)=CU63,CD63=0,CL63=0,CM63=0,CN63=0),CB63,0),0)</f>
        <v>0</v>
      </c>
      <c r="CP63" s="195"/>
      <c r="CQ63" s="344">
        <f>IFERROR(CV63/CU63,0)</f>
        <v>0</v>
      </c>
      <c r="CR63" s="344">
        <f>IFERROR(CW63/CU63,0)</f>
        <v>0</v>
      </c>
      <c r="CS63" s="344">
        <f t="shared" ref="CS63:CS67" si="165">IFERROR(DC63/CU63,0)</f>
        <v>0</v>
      </c>
      <c r="CT63" s="345"/>
      <c r="CU63" s="355">
        <f>COUNTIF('MEP | Drawing List'!$H:$H,"MEP-ST9-1")</f>
        <v>0</v>
      </c>
      <c r="CV63" s="338">
        <f>COUNTIFS('MEP | Drawing List'!$H:$H,"MEP-ST9-1",'MEP | Drawing List'!$J:$J,1)</f>
        <v>0</v>
      </c>
      <c r="CW63" s="338">
        <f>COUNTIFS('MEP | Drawing List'!$H:$H,"MEP-ST9-1",'MEP | Drawing List'!$L:$L,1)</f>
        <v>0</v>
      </c>
      <c r="CX63" s="343">
        <f>COUNTIFS('MEP | Drawing List'!$H:$H,"MEP-ST9-1",'MEP | Drawing List'!M:M,1)</f>
        <v>0</v>
      </c>
      <c r="CY63" s="343">
        <f>COUNTIFS('MEP | Drawing List'!$H:$H,"MEP-ST9-1",'MEP | Drawing List'!N:N,1)</f>
        <v>0</v>
      </c>
      <c r="CZ63" s="343">
        <f>COUNTIFS('MEP | Drawing List'!$H:$H,"MEP-ST9-1",'MEP | Drawing List'!O:O,1)</f>
        <v>0</v>
      </c>
      <c r="DA63" s="343">
        <f>COUNTIFS('MEP | Drawing List'!$H:$H,"MEP-ST9-1",'MEP | Drawing List'!P:P,1)</f>
        <v>0</v>
      </c>
      <c r="DB63" s="343"/>
      <c r="DC63" s="338">
        <f>COUNTIFS('MEP | Drawing List'!$H:$H,"MEP-ST9-1",'MEP | Drawing List'!$Q:$Q,1)</f>
        <v>0</v>
      </c>
      <c r="DD63" s="343">
        <f>COUNTIFS('MEP | Drawing List'!$H:$H,"MEP-ST9-1",'MEP | Drawing List'!R:R,1)</f>
        <v>0</v>
      </c>
      <c r="DE63" s="343">
        <f>COUNTIFS('MEP | Drawing List'!$H:$H,"MEP-ST9-1",'MEP | Drawing List'!S:S,1)</f>
        <v>0</v>
      </c>
      <c r="DF63" s="343">
        <f>COUNTIFS('MEP | Drawing List'!$H:$H,"MEP-ST9-1",'MEP | Drawing List'!T:T,1)</f>
        <v>0</v>
      </c>
      <c r="DG63" s="343">
        <f>COUNTIFS('MEP | Drawing List'!$H:$H,"MEP-ST9-1",'MEP | Drawing List'!U:U,1)</f>
        <v>0</v>
      </c>
      <c r="DH63" s="194"/>
      <c r="DI63" s="194"/>
      <c r="DJ63" s="196">
        <v>0</v>
      </c>
      <c r="DK63" s="194"/>
      <c r="DL63" s="332"/>
      <c r="DM63" s="328">
        <f t="shared" si="15"/>
        <v>0</v>
      </c>
      <c r="DN63" s="343">
        <f>IFERROR(IF(EA63=100%,DL63,0),0)</f>
        <v>0</v>
      </c>
      <c r="DO63" s="343">
        <f>IFERROR(IF(AND((EA63+EB63)=100%,EA63&lt;1),DL63,0),0)</f>
        <v>0</v>
      </c>
      <c r="DP63" s="343">
        <f>IFERROR(IF(AND((EF63+EH63)=EE63,DN63=0),DL63,0),0)</f>
        <v>0</v>
      </c>
      <c r="DQ63" s="343">
        <f>IFERROR(IF(AND((EF63+EH63+EI63)=EE63,DN63=0,DP63=0),DL63,0),0)</f>
        <v>0</v>
      </c>
      <c r="DR63" s="343">
        <f>IFERROR(IF(AND((EF63+EH63+EI63+EJ63)=EE63,DN63=0,DO63=0,DP63=0,DQ63=0),DL63,0),0)</f>
        <v>0</v>
      </c>
      <c r="DS63" s="343">
        <f>IFERROR(IF(AND((EF63+EH63+EI63+EJ63+EK63)=EE63,DN63=0,DO63=0,DP63=0,DQ63=0,DR63=0),DL63,0),0)</f>
        <v>0</v>
      </c>
      <c r="DT63" s="343"/>
      <c r="DU63" s="343">
        <f t="shared" ref="DU63:DU67" si="166">IFERROR(IF(AND((EA63+EC63)=100%,EA63&lt;1),DL63,0),0)</f>
        <v>0</v>
      </c>
      <c r="DV63" s="343">
        <f t="shared" ref="DV63:DV67" si="167">IFERROR(IF(AND((EF63+EN63)=EE63,DN63=0),DL63,0),0)</f>
        <v>0</v>
      </c>
      <c r="DW63" s="343">
        <f t="shared" ref="DW63:DW67" si="168">IFERROR(IF(AND((EF63+EN63+EO63)=EE63,DN63=0,DV63=0),DL63,0),0)</f>
        <v>0</v>
      </c>
      <c r="DX63" s="343">
        <f t="shared" ref="DX63:DX67" si="169">IFERROR(IF(AND((EF63+EN63+EO63+EP63)=EE63,DN63=0,DV63=0,DW63=0),DL63,0),0)</f>
        <v>0</v>
      </c>
      <c r="DY63" s="343">
        <f t="shared" ref="DY63:DY67" si="170">IFERROR(IF(AND((EF63+EN63+EO63+EP63+EQ63)=EE63,DN63=0,DV63=0,DW63=0,DX63=0),DL63,0),0)</f>
        <v>0</v>
      </c>
      <c r="DZ63" s="195"/>
      <c r="EA63" s="344"/>
      <c r="EB63" s="344"/>
      <c r="EC63" s="344"/>
      <c r="ED63" s="345"/>
      <c r="EE63" s="355"/>
      <c r="EF63" s="355"/>
      <c r="EG63" s="355"/>
      <c r="EH63" s="343"/>
      <c r="EI63" s="343"/>
      <c r="EJ63" s="343"/>
      <c r="EK63" s="343"/>
      <c r="EL63" s="343"/>
      <c r="EM63" s="355"/>
      <c r="EN63" s="343"/>
      <c r="EO63" s="343"/>
      <c r="EP63" s="343"/>
      <c r="EQ63" s="343"/>
      <c r="ER63" s="114"/>
      <c r="ES63" s="499"/>
      <c r="ET63" s="112"/>
    </row>
    <row r="64" spans="1:150" ht="11.85" customHeight="1" outlineLevel="2">
      <c r="A64" s="112"/>
      <c r="B64" s="162" t="s">
        <v>67</v>
      </c>
      <c r="C64" s="213">
        <v>2</v>
      </c>
      <c r="D64" s="214" t="s">
        <v>68</v>
      </c>
      <c r="E64" s="114"/>
      <c r="F64" s="197">
        <v>0.1</v>
      </c>
      <c r="G64" s="194"/>
      <c r="H64" s="395">
        <f>$H$62/$F$62*F64</f>
        <v>0.17275000000000001</v>
      </c>
      <c r="I64" s="395">
        <f t="shared" si="12"/>
        <v>0.17275000000000001</v>
      </c>
      <c r="J64" s="395">
        <f>IFERROR(IF(W64=100%,H64,0),0)</f>
        <v>0.17275000000000001</v>
      </c>
      <c r="K64" s="395">
        <f>IFERROR(IF(AND((W64+X64)=100%,W64&lt;1),H64,0),0)</f>
        <v>0</v>
      </c>
      <c r="L64" s="395">
        <f t="shared" si="146"/>
        <v>0</v>
      </c>
      <c r="M64" s="395">
        <f t="shared" si="147"/>
        <v>0</v>
      </c>
      <c r="N64" s="395">
        <f t="shared" si="148"/>
        <v>0</v>
      </c>
      <c r="O64" s="395">
        <f t="shared" si="149"/>
        <v>0</v>
      </c>
      <c r="P64" s="343"/>
      <c r="Q64" s="343">
        <f>IFERROR(IF(AND((W64+Y64)=100%,W64&lt;1),H64,0),0)</f>
        <v>0</v>
      </c>
      <c r="R64" s="343">
        <f>IFERROR(IF(AND((AB64+AJ64)=AA64,J64=0),H64,0),0)</f>
        <v>0</v>
      </c>
      <c r="S64" s="343">
        <f>IFERROR(IF(AND((AB64+AJ64+AK64)=AA64,J64=0,R64=0),H64,0),0)</f>
        <v>0</v>
      </c>
      <c r="T64" s="343">
        <f>IFERROR(IF(AND((AB64+AJ64+AK64+AL64)=AA64,J64=0,R64=0,S64=0),H64,0),0)</f>
        <v>0</v>
      </c>
      <c r="U64" s="343">
        <f>IFERROR(IF(AND((AB64+AJ64+AK64+AL64+AM64)=AA64,J64=0,R64=0,S64=0,T64=0),H64,0),0)</f>
        <v>0</v>
      </c>
      <c r="V64" s="195"/>
      <c r="W64" s="344">
        <f>IFERROR(AB64/AA64,0)</f>
        <v>1</v>
      </c>
      <c r="X64" s="344">
        <f>IFERROR(AC64/AA64,0)</f>
        <v>0</v>
      </c>
      <c r="Y64" s="344">
        <f t="shared" si="150"/>
        <v>0</v>
      </c>
      <c r="Z64" s="198"/>
      <c r="AA64" s="355">
        <f>COUNTIF('AR | Drawing List'!$H:$H,"AR-ST9-2")</f>
        <v>5</v>
      </c>
      <c r="AB64" s="338">
        <f>COUNTIFS('AR | Drawing List'!$H:$H,"AR-ST9-2",'AR | Drawing List'!$J:$J,1)</f>
        <v>5</v>
      </c>
      <c r="AC64" s="338">
        <f>COUNTIFS('AR | Drawing List'!$H:$H,"AR-ST9-2",'AR | Drawing List'!$L:$L,1)</f>
        <v>0</v>
      </c>
      <c r="AD64" s="343">
        <f>COUNTIFS('AR | Drawing List'!$H:$H,"AR-ST9-2",'AR | Drawing List'!M:M,1)</f>
        <v>0</v>
      </c>
      <c r="AE64" s="343">
        <f>COUNTIFS('AR | Drawing List'!$H:$H,"AR-ST9-2",'AR | Drawing List'!N:N,1)</f>
        <v>0</v>
      </c>
      <c r="AF64" s="343">
        <f>COUNTIFS('AR | Drawing List'!$H:$H,"AR-ST9-2",'AR | Drawing List'!O:O,1)</f>
        <v>0</v>
      </c>
      <c r="AG64" s="343">
        <f>COUNTIFS('AR | Drawing List'!$H:$H,"AR-ST9-2",'AR | Drawing List'!P:P,1)</f>
        <v>0</v>
      </c>
      <c r="AH64" s="343"/>
      <c r="AI64" s="338">
        <f>COUNTIFS('AR | Drawing List'!$H:$H,"AR-ST9-2",'AR | Drawing List'!$Q:$Q,1)</f>
        <v>0</v>
      </c>
      <c r="AJ64" s="343">
        <f>COUNTIFS('AR | Drawing List'!$H:$H,"AR-ST9-2",'AR | Drawing List'!R:R,1)</f>
        <v>0</v>
      </c>
      <c r="AK64" s="343">
        <f>COUNTIFS('AR | Drawing List'!$H:$H,"AR-ST9-2",'AR | Drawing List'!S:S,1)</f>
        <v>0</v>
      </c>
      <c r="AL64" s="343">
        <f>COUNTIFS('AR | Drawing List'!$H:$H,"AR-ST9-2",'AR | Drawing List'!T:T,1)</f>
        <v>0</v>
      </c>
      <c r="AM64" s="343">
        <f>COUNTIFS('AR | Drawing List'!$H:$H,"AR-ST9-2",'AR | Drawing List'!U:U,1)</f>
        <v>0</v>
      </c>
      <c r="AN64" s="338"/>
      <c r="AO64" s="338"/>
      <c r="AP64" s="196">
        <v>0</v>
      </c>
      <c r="AQ64" s="194"/>
      <c r="AR64" s="447">
        <v>0</v>
      </c>
      <c r="AS64" s="447">
        <f t="shared" si="13"/>
        <v>0</v>
      </c>
      <c r="AT64" s="447">
        <v>0</v>
      </c>
      <c r="AU64" s="204">
        <v>0</v>
      </c>
      <c r="AV64" s="343">
        <f t="shared" si="151"/>
        <v>0</v>
      </c>
      <c r="AW64" s="343">
        <f t="shared" si="152"/>
        <v>0</v>
      </c>
      <c r="AX64" s="343">
        <f t="shared" si="153"/>
        <v>0</v>
      </c>
      <c r="AY64" s="343">
        <f t="shared" si="154"/>
        <v>0</v>
      </c>
      <c r="AZ64" s="343"/>
      <c r="BA64" s="343">
        <f>IFERROR(IF(AND((BG64+BI64)=100%,BG64&lt;1),AR64,0),0)</f>
        <v>0</v>
      </c>
      <c r="BB64" s="343">
        <f>IFERROR(IF(AND((BL64+BT64)=BK64,AT64=0),AR64,0),0)</f>
        <v>0</v>
      </c>
      <c r="BC64" s="343">
        <f>IFERROR(IF(AND((BL64+BT64+BU64)=BK64,AT64=0,BB64=0),AR64,0),0)</f>
        <v>0</v>
      </c>
      <c r="BD64" s="343">
        <f>IFERROR(IF(AND((BL64+BT64+BU64+BV64)=BK64,AT64=0,BB64=0,BC64=0),AR64,0),0)</f>
        <v>0</v>
      </c>
      <c r="BE64" s="343">
        <f>IFERROR(IF(AND((BL64+BT64+BU64+BV64+BW64)=BK64,AT64=0,BB64=0,BC64=0,BD64=0),AR64,0),0)</f>
        <v>0</v>
      </c>
      <c r="BF64" s="195"/>
      <c r="BG64" s="196">
        <v>0</v>
      </c>
      <c r="BH64" s="196">
        <v>0</v>
      </c>
      <c r="BI64" s="344">
        <f t="shared" si="155"/>
        <v>0</v>
      </c>
      <c r="BJ64" s="198"/>
      <c r="BK64" s="196"/>
      <c r="BL64" s="196"/>
      <c r="BM64" s="196"/>
      <c r="BN64" s="343">
        <f>COUNTIFS('ST | Drawing List'!$H:$H,"ST-ISS-2",'ST | Drawing List'!M:M,1)</f>
        <v>0</v>
      </c>
      <c r="BO64" s="343">
        <f>COUNTIFS('ST | Drawing List'!$H:$H,"ST-ISS-2",'ST | Drawing List'!N:N,1)</f>
        <v>0</v>
      </c>
      <c r="BP64" s="343">
        <f>COUNTIFS('ST | Drawing List'!$H:$H,"ST-ISS-2",'ST | Drawing List'!O:O,1)</f>
        <v>0</v>
      </c>
      <c r="BQ64" s="343">
        <f>COUNTIFS('ST | Drawing List'!$H:$H,"ST-ISS-2",'ST | Drawing List'!P:P,1)</f>
        <v>0</v>
      </c>
      <c r="BR64" s="343"/>
      <c r="BS64" s="196"/>
      <c r="BT64" s="343">
        <f>COUNTIFS('ST | Drawing List'!$H:$H,"ST-ISS-2",'ST | Drawing List'!R:R,1)</f>
        <v>0</v>
      </c>
      <c r="BU64" s="343">
        <f>COUNTIFS('ST | Drawing List'!$H:$H,"ST-ISS-2",'ST | Drawing List'!S:S,1)</f>
        <v>0</v>
      </c>
      <c r="BV64" s="343">
        <f>COUNTIFS('ST | Drawing List'!$H:$H,"ST-ISS-2",'ST | Drawing List'!T:T,1)</f>
        <v>0</v>
      </c>
      <c r="BW64" s="343">
        <f>COUNTIFS('ST | Drawing List'!$H:$H,"ST-ISS-2",'ST | Drawing List'!U:U,1)</f>
        <v>0</v>
      </c>
      <c r="BX64" s="194"/>
      <c r="BY64" s="194"/>
      <c r="BZ64" s="196">
        <v>0.15</v>
      </c>
      <c r="CA64" s="194"/>
      <c r="CB64" s="446">
        <f>$CB$62/$BZ$62*BZ64</f>
        <v>1.74023097E-2</v>
      </c>
      <c r="CC64" s="447">
        <f t="shared" si="14"/>
        <v>1.74023097E-2</v>
      </c>
      <c r="CD64" s="448">
        <f>IFERROR(IF(CQ64=100%,CB64,0),0)</f>
        <v>0</v>
      </c>
      <c r="CE64" s="448">
        <f>IFERROR(IF(AND((CQ64+CR64)=100%,CQ64&lt;1),CB64,0),0)</f>
        <v>1.74023097E-2</v>
      </c>
      <c r="CF64" s="448">
        <f t="shared" si="156"/>
        <v>1.74023097E-2</v>
      </c>
      <c r="CG64" s="343">
        <f t="shared" si="157"/>
        <v>0</v>
      </c>
      <c r="CH64" s="343">
        <f t="shared" si="158"/>
        <v>0</v>
      </c>
      <c r="CI64" s="343">
        <f t="shared" si="159"/>
        <v>0</v>
      </c>
      <c r="CJ64" s="343"/>
      <c r="CK64" s="478">
        <f t="shared" si="160"/>
        <v>1.74023097E-2</v>
      </c>
      <c r="CL64" s="478">
        <f t="shared" si="161"/>
        <v>0</v>
      </c>
      <c r="CM64" s="478">
        <f t="shared" si="162"/>
        <v>0</v>
      </c>
      <c r="CN64" s="478">
        <f t="shared" si="163"/>
        <v>1.74023097E-2</v>
      </c>
      <c r="CO64" s="478">
        <f t="shared" si="164"/>
        <v>0</v>
      </c>
      <c r="CP64" s="195"/>
      <c r="CQ64" s="344">
        <f>IFERROR(CV64/CU64,0)</f>
        <v>0.5714285714285714</v>
      </c>
      <c r="CR64" s="344">
        <f>IFERROR(CW64/CU64,0)</f>
        <v>0.42857142857142855</v>
      </c>
      <c r="CS64" s="344">
        <f t="shared" si="165"/>
        <v>0.42857142857142855</v>
      </c>
      <c r="CT64" s="198"/>
      <c r="CU64" s="355">
        <f>COUNTIF('MEP | Drawing List'!$H:$H,"MEP-ST9-2")</f>
        <v>7</v>
      </c>
      <c r="CV64" s="338">
        <f>COUNTIFS('MEP | Drawing List'!$H:$H,"MEP-ST9-2",'MEP | Drawing List'!$J:$J,1)</f>
        <v>4</v>
      </c>
      <c r="CW64" s="338">
        <f>COUNTIFS('MEP | Drawing List'!$H:$H,"MEP-ST9-2",'MEP | Drawing List'!$L:$L,1)</f>
        <v>3</v>
      </c>
      <c r="CX64" s="343">
        <f>COUNTIFS('MEP | Drawing List'!$H:$H,"MEP-ST9-2",'MEP | Drawing List'!M:M,1)</f>
        <v>3</v>
      </c>
      <c r="CY64" s="343">
        <f>COUNTIFS('MEP | Drawing List'!$H:$H,"MEP-ST9-2",'MEP | Drawing List'!N:N,1)</f>
        <v>0</v>
      </c>
      <c r="CZ64" s="343">
        <f>COUNTIFS('MEP | Drawing List'!$H:$H,"MEP-ST9-2",'MEP | Drawing List'!O:O,1)</f>
        <v>0</v>
      </c>
      <c r="DA64" s="343">
        <f>COUNTIFS('MEP | Drawing List'!$H:$H,"MEP-ST9-2",'MEP | Drawing List'!P:P,1)</f>
        <v>0</v>
      </c>
      <c r="DB64" s="343"/>
      <c r="DC64" s="338">
        <f>COUNTIFS('MEP | Drawing List'!$H:$H,"MEP-ST9-2",'MEP | Drawing List'!$Q:$Q,1)</f>
        <v>3</v>
      </c>
      <c r="DD64" s="343">
        <f>COUNTIFS('MEP | Drawing List'!$H:$H,"MEP-ST9-2",'MEP | Drawing List'!R:R,1)</f>
        <v>1</v>
      </c>
      <c r="DE64" s="343">
        <f>COUNTIFS('MEP | Drawing List'!$H:$H,"MEP-ST9-2",'MEP | Drawing List'!S:S,1)</f>
        <v>1</v>
      </c>
      <c r="DF64" s="343">
        <f>COUNTIFS('MEP | Drawing List'!$H:$H,"MEP-ST9-2",'MEP | Drawing List'!T:T,1)</f>
        <v>1</v>
      </c>
      <c r="DG64" s="343">
        <f>COUNTIFS('MEP | Drawing List'!$H:$H,"MEP-ST9-2",'MEP | Drawing List'!U:U,1)</f>
        <v>0</v>
      </c>
      <c r="DH64" s="194"/>
      <c r="DI64" s="194"/>
      <c r="DJ64" s="202">
        <v>0</v>
      </c>
      <c r="DK64" s="194"/>
      <c r="DL64" s="332"/>
      <c r="DM64" s="328">
        <f t="shared" si="15"/>
        <v>0</v>
      </c>
      <c r="DN64" s="343">
        <f>IFERROR(IF(EA64=100%,DL64,0),0)</f>
        <v>0</v>
      </c>
      <c r="DO64" s="343">
        <f>IFERROR(IF(AND((EA64+EB64)=100%,EA64&lt;1),DL64,0),0)</f>
        <v>0</v>
      </c>
      <c r="DP64" s="343">
        <f>IFERROR(IF(AND((EF64+EH64)=EE64,DN64=0),DL64,0),0)</f>
        <v>0</v>
      </c>
      <c r="DQ64" s="343">
        <f>IFERROR(IF(AND((EF64+EH64+EI64)=EE64,DN64=0,DP64=0),DL64,0),0)</f>
        <v>0</v>
      </c>
      <c r="DR64" s="343">
        <f>IFERROR(IF(AND((EF64+EH64+EI64+EJ64)=EE64,DN64=0,DO64=0,DP64=0,DQ64=0),DL64,0),0)</f>
        <v>0</v>
      </c>
      <c r="DS64" s="343">
        <f>IFERROR(IF(AND((EF64+EH64+EI64+EJ64+EK64)=EE64,DN64=0,DO64=0,DP64=0,DQ64=0,DR64=0),DL64,0),0)</f>
        <v>0</v>
      </c>
      <c r="DT64" s="343"/>
      <c r="DU64" s="343">
        <f t="shared" si="166"/>
        <v>0</v>
      </c>
      <c r="DV64" s="343">
        <f t="shared" si="167"/>
        <v>0</v>
      </c>
      <c r="DW64" s="343">
        <f t="shared" si="168"/>
        <v>0</v>
      </c>
      <c r="DX64" s="343">
        <f t="shared" si="169"/>
        <v>0</v>
      </c>
      <c r="DY64" s="343">
        <f t="shared" si="170"/>
        <v>0</v>
      </c>
      <c r="DZ64" s="195"/>
      <c r="EA64" s="344"/>
      <c r="EB64" s="344"/>
      <c r="EC64" s="344"/>
      <c r="ED64" s="198"/>
      <c r="EE64" s="355"/>
      <c r="EF64" s="338"/>
      <c r="EG64" s="338"/>
      <c r="EH64" s="343"/>
      <c r="EI64" s="343"/>
      <c r="EJ64" s="343"/>
      <c r="EK64" s="343"/>
      <c r="EL64" s="343"/>
      <c r="EM64" s="338"/>
      <c r="EN64" s="343"/>
      <c r="EO64" s="343"/>
      <c r="EP64" s="343"/>
      <c r="EQ64" s="343"/>
      <c r="ER64" s="114"/>
      <c r="ES64" s="499"/>
      <c r="ET64" s="112"/>
    </row>
    <row r="65" spans="1:150" s="376" customFormat="1" ht="11.85" customHeight="1" outlineLevel="2">
      <c r="A65" s="360"/>
      <c r="B65" s="361" t="s">
        <v>69</v>
      </c>
      <c r="C65" s="362">
        <v>3</v>
      </c>
      <c r="D65" s="363" t="s">
        <v>70</v>
      </c>
      <c r="E65" s="364"/>
      <c r="F65" s="365">
        <v>0.15</v>
      </c>
      <c r="G65" s="366"/>
      <c r="H65" s="395">
        <f>$H$62/$F$62*F65</f>
        <v>0.25912499999999999</v>
      </c>
      <c r="I65" s="395">
        <f t="shared" si="12"/>
        <v>0.25912499999999999</v>
      </c>
      <c r="J65" s="395">
        <f>IFERROR(IF(W65=100%,H65,0),0)</f>
        <v>0.25912499999999999</v>
      </c>
      <c r="K65" s="395">
        <f>IFERROR(IF(AND((W65+X65)=100%,W65&lt;1),H65,0),0)</f>
        <v>0</v>
      </c>
      <c r="L65" s="395">
        <f t="shared" si="146"/>
        <v>0</v>
      </c>
      <c r="M65" s="395">
        <f t="shared" si="147"/>
        <v>0</v>
      </c>
      <c r="N65" s="395">
        <f t="shared" si="148"/>
        <v>0</v>
      </c>
      <c r="O65" s="395">
        <f t="shared" si="149"/>
        <v>0</v>
      </c>
      <c r="P65" s="368"/>
      <c r="Q65" s="368">
        <f>IFERROR(IF(AND((W65+Y65)=100%,W65&lt;1),H65,0),0)</f>
        <v>0</v>
      </c>
      <c r="R65" s="368">
        <f>IFERROR(IF(AND((AB65+AJ65)=AA65,J65=0),H65,0),0)</f>
        <v>0</v>
      </c>
      <c r="S65" s="368">
        <f>IFERROR(IF(AND((AB65+AJ65+AK65)=AA65,J65=0,R65=0),H65,0),0)</f>
        <v>0</v>
      </c>
      <c r="T65" s="368">
        <f>IFERROR(IF(AND((AB65+AJ65+AK65+AL65)=AA65,J65=0,R65=0,S65=0),H65,0),0)</f>
        <v>0</v>
      </c>
      <c r="U65" s="368">
        <f>IFERROR(IF(AND((AB65+AJ65+AK65+AL65+AM65)=AA65,J65=0,R65=0,S65=0,T65=0),H65,0),0)</f>
        <v>0</v>
      </c>
      <c r="V65" s="377"/>
      <c r="W65" s="370">
        <f>IFERROR(AB65/AA65,0)</f>
        <v>1</v>
      </c>
      <c r="X65" s="370">
        <f>IFERROR(AC65/AA65,0)</f>
        <v>0</v>
      </c>
      <c r="Y65" s="370">
        <f t="shared" si="150"/>
        <v>0</v>
      </c>
      <c r="Z65" s="378"/>
      <c r="AA65" s="372">
        <f>COUNTIF('AR | Drawing List'!$H:$H,"AR-ST9-3")</f>
        <v>3</v>
      </c>
      <c r="AB65" s="373">
        <f>COUNTIFS('AR | Drawing List'!$H:$H,"AR-ST9-3",'AR | Drawing List'!$J:$J,1)</f>
        <v>3</v>
      </c>
      <c r="AC65" s="373">
        <f>COUNTIFS('AR | Drawing List'!$H:$H,"AR-ST9-3",'AR | Drawing List'!$L:$L,1)</f>
        <v>0</v>
      </c>
      <c r="AD65" s="368">
        <f>COUNTIFS('AR | Drawing List'!$H:$H,"AR-ST9-3",'AR | Drawing List'!M:M,1)</f>
        <v>0</v>
      </c>
      <c r="AE65" s="368">
        <f>COUNTIFS('AR | Drawing List'!$H:$H,"AR-ST9-3",'AR | Drawing List'!N:N,1)</f>
        <v>0</v>
      </c>
      <c r="AF65" s="368">
        <f>COUNTIFS('AR | Drawing List'!$H:$H,"AR-ST9-3",'AR | Drawing List'!O:O,1)</f>
        <v>0</v>
      </c>
      <c r="AG65" s="368">
        <f>COUNTIFS('AR | Drawing List'!$H:$H,"AR-ST9-3",'AR | Drawing List'!P:P,1)</f>
        <v>0</v>
      </c>
      <c r="AH65" s="368"/>
      <c r="AI65" s="373">
        <f>COUNTIFS('AR | Drawing List'!$H:$H,"AR-ST9-3",'AR | Drawing List'!$Q:$Q,1)</f>
        <v>0</v>
      </c>
      <c r="AJ65" s="368">
        <f>COUNTIFS('AR | Drawing List'!$H:$H,"AR-ST9-3",'AR | Drawing List'!R:R,1)</f>
        <v>0</v>
      </c>
      <c r="AK65" s="368">
        <f>COUNTIFS('AR | Drawing List'!$H:$H,"AR-ST9-3",'AR | Drawing List'!S:S,1)</f>
        <v>0</v>
      </c>
      <c r="AL65" s="368">
        <f>COUNTIFS('AR | Drawing List'!$H:$H,"AR-ST9-3",'AR | Drawing List'!T:T,1)</f>
        <v>0</v>
      </c>
      <c r="AM65" s="368">
        <f>COUNTIFS('AR | Drawing List'!$H:$H,"AR-ST9-3",'AR | Drawing List'!U:U,1)</f>
        <v>0</v>
      </c>
      <c r="AN65" s="379"/>
      <c r="AO65" s="379"/>
      <c r="AP65" s="374">
        <v>0</v>
      </c>
      <c r="AQ65" s="366"/>
      <c r="AR65" s="447">
        <v>0</v>
      </c>
      <c r="AS65" s="447">
        <f t="shared" si="13"/>
        <v>0</v>
      </c>
      <c r="AT65" s="447">
        <v>0</v>
      </c>
      <c r="AU65" s="381">
        <v>0</v>
      </c>
      <c r="AV65" s="368">
        <f t="shared" si="151"/>
        <v>0</v>
      </c>
      <c r="AW65" s="368">
        <f t="shared" si="152"/>
        <v>0</v>
      </c>
      <c r="AX65" s="368">
        <f t="shared" si="153"/>
        <v>0</v>
      </c>
      <c r="AY65" s="368">
        <f t="shared" si="154"/>
        <v>0</v>
      </c>
      <c r="AZ65" s="368"/>
      <c r="BA65" s="368">
        <f>IFERROR(IF(AND((BG65+BI65)=100%,BG65&lt;1),AR65,0),0)</f>
        <v>0</v>
      </c>
      <c r="BB65" s="368">
        <f>IFERROR(IF(AND((BL65+BT65)=BK65,AT65=0),AR65,0),0)</f>
        <v>0</v>
      </c>
      <c r="BC65" s="368">
        <f>IFERROR(IF(AND((BL65+BT65+BU65)=BK65,AT65=0,BB65=0),AR65,0),0)</f>
        <v>0</v>
      </c>
      <c r="BD65" s="368">
        <f>IFERROR(IF(AND((BL65+BT65+BU65+BV65)=BK65,AT65=0,BB65=0,BC65=0),AR65,0),0)</f>
        <v>0</v>
      </c>
      <c r="BE65" s="368">
        <f>IFERROR(IF(AND((BL65+BT65+BU65+BV65+BW65)=BK65,AT65=0,BB65=0,BC65=0,BD65=0),AR65,0),0)</f>
        <v>0</v>
      </c>
      <c r="BF65" s="377"/>
      <c r="BG65" s="374">
        <v>0</v>
      </c>
      <c r="BH65" s="374">
        <v>0</v>
      </c>
      <c r="BI65" s="370">
        <f t="shared" si="155"/>
        <v>0</v>
      </c>
      <c r="BJ65" s="378"/>
      <c r="BK65" s="374"/>
      <c r="BL65" s="374"/>
      <c r="BM65" s="374"/>
      <c r="BN65" s="368">
        <f>COUNTIFS('ST | Drawing List'!$H:$H,"ST-ISS-3",'ST | Drawing List'!M:M,1)</f>
        <v>0</v>
      </c>
      <c r="BO65" s="368">
        <f>COUNTIFS('ST | Drawing List'!$H:$H,"ST-ISS-3",'ST | Drawing List'!N:N,1)</f>
        <v>0</v>
      </c>
      <c r="BP65" s="368">
        <f>COUNTIFS('ST | Drawing List'!$H:$H,"ST-ISS-3",'ST | Drawing List'!O:O,1)</f>
        <v>0</v>
      </c>
      <c r="BQ65" s="368">
        <f>COUNTIFS('ST | Drawing List'!$H:$H,"ST-ISS-3",'ST | Drawing List'!P:P,1)</f>
        <v>0</v>
      </c>
      <c r="BR65" s="368"/>
      <c r="BS65" s="374"/>
      <c r="BT65" s="368">
        <f>COUNTIFS('ST | Drawing List'!$H:$H,"ST-ISS-3",'ST | Drawing List'!R:R,1)</f>
        <v>0</v>
      </c>
      <c r="BU65" s="368">
        <f>COUNTIFS('ST | Drawing List'!$H:$H,"ST-ISS-3",'ST | Drawing List'!S:S,1)</f>
        <v>0</v>
      </c>
      <c r="BV65" s="368">
        <f>COUNTIFS('ST | Drawing List'!$H:$H,"ST-ISS-3",'ST | Drawing List'!T:T,1)</f>
        <v>0</v>
      </c>
      <c r="BW65" s="368">
        <f>COUNTIFS('ST | Drawing List'!$H:$H,"ST-ISS-3",'ST | Drawing List'!U:U,1)</f>
        <v>0</v>
      </c>
      <c r="BX65" s="366"/>
      <c r="BY65" s="366"/>
      <c r="BZ65" s="374">
        <v>0.2</v>
      </c>
      <c r="CA65" s="366"/>
      <c r="CB65" s="449">
        <f>$CB$62/$BZ$62*BZ65</f>
        <v>2.3203079600000003E-2</v>
      </c>
      <c r="CC65" s="450">
        <f t="shared" si="14"/>
        <v>2.3203079600000003E-2</v>
      </c>
      <c r="CD65" s="449">
        <f>IFERROR(IF(CQ65=100%,CB65,0),0)</f>
        <v>0</v>
      </c>
      <c r="CE65" s="449">
        <f>IFERROR(IF(AND((CQ65+CR65)=100%,CQ65&lt;1),CB65,0),0)</f>
        <v>2.3203079600000003E-2</v>
      </c>
      <c r="CF65" s="449">
        <f t="shared" si="156"/>
        <v>2.3203079600000003E-2</v>
      </c>
      <c r="CG65" s="368">
        <f t="shared" si="157"/>
        <v>0</v>
      </c>
      <c r="CH65" s="368">
        <f t="shared" si="158"/>
        <v>0</v>
      </c>
      <c r="CI65" s="368">
        <f t="shared" si="159"/>
        <v>0</v>
      </c>
      <c r="CJ65" s="368"/>
      <c r="CK65" s="479">
        <f t="shared" si="160"/>
        <v>2.3203079600000003E-2</v>
      </c>
      <c r="CL65" s="479">
        <f t="shared" si="161"/>
        <v>0</v>
      </c>
      <c r="CM65" s="479">
        <f t="shared" si="162"/>
        <v>0</v>
      </c>
      <c r="CN65" s="479">
        <f t="shared" si="163"/>
        <v>2.3203079600000003E-2</v>
      </c>
      <c r="CO65" s="479">
        <f t="shared" si="164"/>
        <v>0</v>
      </c>
      <c r="CP65" s="377"/>
      <c r="CQ65" s="370">
        <f>IFERROR(CV65/CU65,0)</f>
        <v>0</v>
      </c>
      <c r="CR65" s="370">
        <f>IFERROR(CW65/CU65,0)</f>
        <v>1</v>
      </c>
      <c r="CS65" s="344">
        <f t="shared" si="165"/>
        <v>1</v>
      </c>
      <c r="CT65" s="378"/>
      <c r="CU65" s="372">
        <f>COUNTIF('MEP | Drawing List'!$H:$H,"MEP-ST9-3")</f>
        <v>9</v>
      </c>
      <c r="CV65" s="373">
        <f>COUNTIFS('MEP | Drawing List'!$H:$H,"MEP-ST9-3",'MEP | Drawing List'!$J:$J,1)</f>
        <v>0</v>
      </c>
      <c r="CW65" s="373">
        <f>COUNTIFS('MEP | Drawing List'!$H:$H,"MEP-ST9-3",'MEP | Drawing List'!$L:$L,1)</f>
        <v>9</v>
      </c>
      <c r="CX65" s="368">
        <f>COUNTIFS('MEP | Drawing List'!$H:$H,"MEP-ST9-3",'MEP | Drawing List'!M:M,1)</f>
        <v>9</v>
      </c>
      <c r="CY65" s="368">
        <f>COUNTIFS('MEP | Drawing List'!$H:$H,"MEP-ST9-3",'MEP | Drawing List'!N:N,1)</f>
        <v>0</v>
      </c>
      <c r="CZ65" s="368">
        <f>COUNTIFS('MEP | Drawing List'!$H:$H,"MEP-ST9-3",'MEP | Drawing List'!O:O,1)</f>
        <v>0</v>
      </c>
      <c r="DA65" s="368">
        <f>COUNTIFS('MEP | Drawing List'!$H:$H,"MEP-ST9-3",'MEP | Drawing List'!P:P,1)</f>
        <v>0</v>
      </c>
      <c r="DB65" s="368"/>
      <c r="DC65" s="373">
        <f>COUNTIFS('MEP | Drawing List'!$H:$H,"MEP-ST9-3",'MEP | Drawing List'!$Q:$Q,1)</f>
        <v>9</v>
      </c>
      <c r="DD65" s="368">
        <f>COUNTIFS('MEP | Drawing List'!$H:$H,"MEP-ST9-3",'MEP | Drawing List'!R:R,1)</f>
        <v>8</v>
      </c>
      <c r="DE65" s="368">
        <f>COUNTIFS('MEP | Drawing List'!$H:$H,"MEP-ST9-3",'MEP | Drawing List'!S:S,1)</f>
        <v>0</v>
      </c>
      <c r="DF65" s="368">
        <f>COUNTIFS('MEP | Drawing List'!$H:$H,"MEP-ST9-3",'MEP | Drawing List'!T:T,1)</f>
        <v>1</v>
      </c>
      <c r="DG65" s="368">
        <f>COUNTIFS('MEP | Drawing List'!$H:$H,"MEP-ST9-3",'MEP | Drawing List'!U:U,1)</f>
        <v>0</v>
      </c>
      <c r="DH65" s="366"/>
      <c r="DI65" s="366"/>
      <c r="DJ65" s="382">
        <v>0</v>
      </c>
      <c r="DK65" s="366"/>
      <c r="DL65" s="375"/>
      <c r="DM65" s="367">
        <f t="shared" si="15"/>
        <v>0</v>
      </c>
      <c r="DN65" s="368">
        <f>IFERROR(IF(EA65=100%,DL65,0),0)</f>
        <v>0</v>
      </c>
      <c r="DO65" s="368">
        <f>IFERROR(IF(AND((EA65+EB65)=100%,EA65&lt;1),DL65,0),0)</f>
        <v>0</v>
      </c>
      <c r="DP65" s="368">
        <f>IFERROR(IF(AND((EF65+EH65)=EE65,DN65=0),DL65,0),0)</f>
        <v>0</v>
      </c>
      <c r="DQ65" s="368">
        <f>IFERROR(IF(AND((EF65+EH65+EI65)=EE65,DN65=0,DP65=0),DL65,0),0)</f>
        <v>0</v>
      </c>
      <c r="DR65" s="368">
        <f>IFERROR(IF(AND((EF65+EH65+EI65+EJ65)=EE65,DN65=0,DO65=0,DP65=0,DQ65=0),DL65,0),0)</f>
        <v>0</v>
      </c>
      <c r="DS65" s="368">
        <f>IFERROR(IF(AND((EF65+EH65+EI65+EJ65+EK65)=EE65,DN65=0,DO65=0,DP65=0,DQ65=0,DR65=0),DL65,0),0)</f>
        <v>0</v>
      </c>
      <c r="DT65" s="368"/>
      <c r="DU65" s="368">
        <f t="shared" si="166"/>
        <v>0</v>
      </c>
      <c r="DV65" s="368">
        <f t="shared" si="167"/>
        <v>0</v>
      </c>
      <c r="DW65" s="368">
        <f t="shared" si="168"/>
        <v>0</v>
      </c>
      <c r="DX65" s="368">
        <f t="shared" si="169"/>
        <v>0</v>
      </c>
      <c r="DY65" s="368">
        <f t="shared" si="170"/>
        <v>0</v>
      </c>
      <c r="DZ65" s="369"/>
      <c r="EA65" s="370"/>
      <c r="EB65" s="370"/>
      <c r="EC65" s="370"/>
      <c r="ED65" s="378"/>
      <c r="EE65" s="372"/>
      <c r="EF65" s="373"/>
      <c r="EG65" s="373"/>
      <c r="EH65" s="368"/>
      <c r="EI65" s="368"/>
      <c r="EJ65" s="368"/>
      <c r="EK65" s="368"/>
      <c r="EL65" s="368"/>
      <c r="EM65" s="373"/>
      <c r="EN65" s="368"/>
      <c r="EO65" s="368"/>
      <c r="EP65" s="368"/>
      <c r="EQ65" s="368"/>
      <c r="ER65" s="364"/>
      <c r="ES65" s="499"/>
      <c r="ET65" s="360"/>
    </row>
    <row r="66" spans="1:150" ht="11.85" customHeight="1" outlineLevel="2">
      <c r="A66" s="112"/>
      <c r="B66" s="162" t="s">
        <v>71</v>
      </c>
      <c r="C66" s="213">
        <v>4</v>
      </c>
      <c r="D66" s="463" t="s">
        <v>72</v>
      </c>
      <c r="E66" s="114"/>
      <c r="F66" s="197">
        <v>0.05</v>
      </c>
      <c r="G66" s="194"/>
      <c r="H66" s="395">
        <f>$H$62/$F$62*F66</f>
        <v>8.6375000000000007E-2</v>
      </c>
      <c r="I66" s="395">
        <f t="shared" si="12"/>
        <v>8.6375000000000007E-2</v>
      </c>
      <c r="J66" s="395">
        <f>IFERROR(IF(W66=100%,H66,0),0)</f>
        <v>8.6375000000000007E-2</v>
      </c>
      <c r="K66" s="395">
        <f>IFERROR(IF(AND((W66+X66)=100%,W66&lt;1),H66,0),0)</f>
        <v>0</v>
      </c>
      <c r="L66" s="395">
        <f t="shared" si="146"/>
        <v>0</v>
      </c>
      <c r="M66" s="395">
        <f t="shared" si="147"/>
        <v>0</v>
      </c>
      <c r="N66" s="395">
        <f t="shared" si="148"/>
        <v>0</v>
      </c>
      <c r="O66" s="395">
        <f t="shared" si="149"/>
        <v>0</v>
      </c>
      <c r="P66" s="343"/>
      <c r="Q66" s="343">
        <f>IFERROR(IF(AND((W66+Y66)=100%,W66&lt;1),H66,0),0)</f>
        <v>0</v>
      </c>
      <c r="R66" s="343">
        <f>IFERROR(IF(AND((AB66+AJ66)=AA66,J66=0),H66,0),0)</f>
        <v>0</v>
      </c>
      <c r="S66" s="343">
        <f>IFERROR(IF(AND((AB66+AJ66+AK66)=AA66,J66=0,R66=0),H66,0),0)</f>
        <v>0</v>
      </c>
      <c r="T66" s="343">
        <f>IFERROR(IF(AND((AB66+AJ66+AK66+AL66)=AA66,J66=0,R66=0,S66=0),H66,0),0)</f>
        <v>0</v>
      </c>
      <c r="U66" s="343">
        <f>IFERROR(IF(AND((AB66+AJ66+AK66+AL66+AM66)=AA66,J66=0,R66=0,S66=0,T66=0),H66,0),0)</f>
        <v>0</v>
      </c>
      <c r="V66" s="195"/>
      <c r="W66" s="344">
        <f>IFERROR(AB66/AA66,0)</f>
        <v>1</v>
      </c>
      <c r="X66" s="344">
        <f>IFERROR(AC66/AA66,0)</f>
        <v>0</v>
      </c>
      <c r="Y66" s="344">
        <f t="shared" si="150"/>
        <v>0</v>
      </c>
      <c r="Z66" s="345"/>
      <c r="AA66" s="355">
        <f>COUNTIF('AR | Drawing List'!$H:$H,"AR-ST9-4")</f>
        <v>1</v>
      </c>
      <c r="AB66" s="338">
        <f>COUNTIFS('AR | Drawing List'!$H:$H,"AR-ST9-4",'AR | Drawing List'!$J:$J,1)</f>
        <v>1</v>
      </c>
      <c r="AC66" s="338">
        <f>COUNTIFS('AR | Drawing List'!$H:$H,"AR-ST9-4",'AR | Drawing List'!$L:$L,1)</f>
        <v>0</v>
      </c>
      <c r="AD66" s="343">
        <f>COUNTIFS('AR | Drawing List'!$H:$H,"AR-ST9-4",'AR | Drawing List'!M:M,1)</f>
        <v>0</v>
      </c>
      <c r="AE66" s="343">
        <f>COUNTIFS('AR | Drawing List'!$H:$H,"AR-ST9-4",'AR | Drawing List'!N:N,1)</f>
        <v>0</v>
      </c>
      <c r="AF66" s="343">
        <f>COUNTIFS('AR | Drawing List'!$H:$H,"AR-ST9-4",'AR | Drawing List'!O:O,1)</f>
        <v>0</v>
      </c>
      <c r="AG66" s="343">
        <f>COUNTIFS('AR | Drawing List'!$H:$H,"AR-ST9-4",'AR | Drawing List'!P:P,1)</f>
        <v>0</v>
      </c>
      <c r="AH66" s="343"/>
      <c r="AI66" s="338">
        <f>COUNTIFS('AR | Drawing List'!$H:$H,"AR-ST9-4",'AR | Drawing List'!$Q:$Q,1)</f>
        <v>0</v>
      </c>
      <c r="AJ66" s="343">
        <f>COUNTIFS('AR | Drawing List'!$H:$H,"AR-ST9-4",'AR | Drawing List'!R:R,1)</f>
        <v>0</v>
      </c>
      <c r="AK66" s="343">
        <f>COUNTIFS('AR | Drawing List'!$H:$H,"AR-ST9-4",'AR | Drawing List'!S:S,1)</f>
        <v>0</v>
      </c>
      <c r="AL66" s="343">
        <f>COUNTIFS('AR | Drawing List'!$H:$H,"AR-ST9-4",'AR | Drawing List'!T:T,1)</f>
        <v>0</v>
      </c>
      <c r="AM66" s="343">
        <f>COUNTIFS('AR | Drawing List'!$H:$H,"AR-ST9-4",'AR | Drawing List'!U:U,1)</f>
        <v>0</v>
      </c>
      <c r="AN66" s="338"/>
      <c r="AO66" s="338"/>
      <c r="AP66" s="196">
        <v>0</v>
      </c>
      <c r="AQ66" s="194"/>
      <c r="AR66" s="447">
        <v>0</v>
      </c>
      <c r="AS66" s="447">
        <f t="shared" si="13"/>
        <v>0</v>
      </c>
      <c r="AT66" s="447">
        <v>0</v>
      </c>
      <c r="AU66" s="204">
        <v>0</v>
      </c>
      <c r="AV66" s="343">
        <f t="shared" si="151"/>
        <v>0</v>
      </c>
      <c r="AW66" s="343">
        <f t="shared" si="152"/>
        <v>0</v>
      </c>
      <c r="AX66" s="343">
        <f t="shared" si="153"/>
        <v>0</v>
      </c>
      <c r="AY66" s="343">
        <f t="shared" si="154"/>
        <v>0</v>
      </c>
      <c r="AZ66" s="343"/>
      <c r="BA66" s="343">
        <f>IFERROR(IF(AND((BG66+BI66)=100%,BG66&lt;1),AR66,0),0)</f>
        <v>0</v>
      </c>
      <c r="BB66" s="343">
        <f>IFERROR(IF(AND((BL66+BT66)=BK66,AT66=0),AR66,0),0)</f>
        <v>0</v>
      </c>
      <c r="BC66" s="343">
        <f>IFERROR(IF(AND((BL66+BT66+BU66)=BK66,AT66=0,BB66=0),AR66,0),0)</f>
        <v>0</v>
      </c>
      <c r="BD66" s="343">
        <f>IFERROR(IF(AND((BL66+BT66+BU66+BV66)=BK66,AT66=0,BB66=0,BC66=0),AR66,0),0)</f>
        <v>0</v>
      </c>
      <c r="BE66" s="343">
        <f>IFERROR(IF(AND((BL66+BT66+BU66+BV66+BW66)=BK66,AT66=0,BB66=0,BC66=0,BD66=0),AR66,0),0)</f>
        <v>0</v>
      </c>
      <c r="BF66" s="195"/>
      <c r="BG66" s="196">
        <v>0</v>
      </c>
      <c r="BH66" s="196">
        <v>0</v>
      </c>
      <c r="BI66" s="344">
        <f t="shared" si="155"/>
        <v>0</v>
      </c>
      <c r="BJ66" s="345"/>
      <c r="BK66" s="196"/>
      <c r="BL66" s="196"/>
      <c r="BM66" s="196"/>
      <c r="BN66" s="343">
        <f>COUNTIFS('ST | Drawing List'!$H:$H,"ST-ISS-4",'ST | Drawing List'!M:M,1)</f>
        <v>0</v>
      </c>
      <c r="BO66" s="343">
        <f>COUNTIFS('ST | Drawing List'!$H:$H,"ST-ISS-4",'ST | Drawing List'!N:N,1)</f>
        <v>0</v>
      </c>
      <c r="BP66" s="343">
        <f>COUNTIFS('ST | Drawing List'!$H:$H,"ST-ISS-4",'ST | Drawing List'!O:O,1)</f>
        <v>0</v>
      </c>
      <c r="BQ66" s="343">
        <f>COUNTIFS('ST | Drawing List'!$H:$H,"ST-ISS-4",'ST | Drawing List'!P:P,1)</f>
        <v>0</v>
      </c>
      <c r="BR66" s="343"/>
      <c r="BS66" s="196"/>
      <c r="BT66" s="343">
        <f>COUNTIFS('ST | Drawing List'!$H:$H,"ST-ISS-4",'ST | Drawing List'!R:R,1)</f>
        <v>0</v>
      </c>
      <c r="BU66" s="343">
        <f>COUNTIFS('ST | Drawing List'!$H:$H,"ST-ISS-4",'ST | Drawing List'!S:S,1)</f>
        <v>0</v>
      </c>
      <c r="BV66" s="343">
        <f>COUNTIFS('ST | Drawing List'!$H:$H,"ST-ISS-4",'ST | Drawing List'!T:T,1)</f>
        <v>0</v>
      </c>
      <c r="BW66" s="343">
        <f>COUNTIFS('ST | Drawing List'!$H:$H,"ST-ISS-4",'ST | Drawing List'!U:U,1)</f>
        <v>0</v>
      </c>
      <c r="BX66" s="194"/>
      <c r="BY66" s="194"/>
      <c r="BZ66" s="196">
        <v>0.15</v>
      </c>
      <c r="CA66" s="194"/>
      <c r="CB66" s="446">
        <f>$CB$62/$BZ$62*BZ66</f>
        <v>1.74023097E-2</v>
      </c>
      <c r="CC66" s="447">
        <f t="shared" si="14"/>
        <v>1.74023097E-2</v>
      </c>
      <c r="CD66" s="448">
        <f>IFERROR(IF(CQ66=100%,CB66,0),0)</f>
        <v>0</v>
      </c>
      <c r="CE66" s="448">
        <f>IFERROR(IF(AND((CQ66+CR66)=100%,CQ66&lt;1),CB66,0),0)</f>
        <v>1.74023097E-2</v>
      </c>
      <c r="CF66" s="448">
        <f t="shared" si="156"/>
        <v>1.74023097E-2</v>
      </c>
      <c r="CG66" s="343">
        <f t="shared" si="157"/>
        <v>0</v>
      </c>
      <c r="CH66" s="343">
        <f t="shared" si="158"/>
        <v>0</v>
      </c>
      <c r="CI66" s="343">
        <f t="shared" si="159"/>
        <v>0</v>
      </c>
      <c r="CJ66" s="343"/>
      <c r="CK66" s="478">
        <f t="shared" si="160"/>
        <v>1.74023097E-2</v>
      </c>
      <c r="CL66" s="478">
        <f t="shared" si="161"/>
        <v>0</v>
      </c>
      <c r="CM66" s="478">
        <f t="shared" si="162"/>
        <v>0</v>
      </c>
      <c r="CN66" s="478">
        <f t="shared" si="163"/>
        <v>1.74023097E-2</v>
      </c>
      <c r="CO66" s="478">
        <f t="shared" si="164"/>
        <v>0</v>
      </c>
      <c r="CP66" s="195"/>
      <c r="CQ66" s="344">
        <f>IFERROR(CV66/CU66,0)</f>
        <v>0</v>
      </c>
      <c r="CR66" s="344">
        <f>IFERROR(CW66/CU66,0)</f>
        <v>1</v>
      </c>
      <c r="CS66" s="344">
        <f t="shared" si="165"/>
        <v>1</v>
      </c>
      <c r="CT66" s="345"/>
      <c r="CU66" s="355">
        <f>COUNTIF('MEP | Drawing List'!$H:$H,"MEP-ST9-4")</f>
        <v>10</v>
      </c>
      <c r="CV66" s="338">
        <f>COUNTIFS('MEP | Drawing List'!$H:$H,"MEP-ST9-4",'MEP | Drawing List'!$J:$J,1)</f>
        <v>0</v>
      </c>
      <c r="CW66" s="338">
        <f>COUNTIFS('MEP | Drawing List'!$H:$H,"MEP-ST9-4",'MEP | Drawing List'!$L:$L,1)</f>
        <v>10</v>
      </c>
      <c r="CX66" s="343">
        <f>COUNTIFS('MEP | Drawing List'!$H:$H,"MEP-ST9-4",'MEP | Drawing List'!M:M,1)</f>
        <v>10</v>
      </c>
      <c r="CY66" s="343">
        <f>COUNTIFS('MEP | Drawing List'!$H:$H,"MEP-ST9-4",'MEP | Drawing List'!N:N,1)</f>
        <v>0</v>
      </c>
      <c r="CZ66" s="343">
        <f>COUNTIFS('MEP | Drawing List'!$H:$H,"MEP-ST9-4",'MEP | Drawing List'!O:O,1)</f>
        <v>0</v>
      </c>
      <c r="DA66" s="343">
        <f>COUNTIFS('MEP | Drawing List'!$H:$H,"MEP-ST9-4",'MEP | Drawing List'!P:P,1)</f>
        <v>0</v>
      </c>
      <c r="DB66" s="343"/>
      <c r="DC66" s="338">
        <f>COUNTIFS('MEP | Drawing List'!$H:$H,"MEP-ST9-4",'MEP | Drawing List'!$Q:$Q,1)</f>
        <v>10</v>
      </c>
      <c r="DD66" s="343">
        <f>COUNTIFS('MEP | Drawing List'!$H:$H,"MEP-ST9-4",'MEP | Drawing List'!R:R,1)</f>
        <v>9</v>
      </c>
      <c r="DE66" s="343">
        <f>COUNTIFS('MEP | Drawing List'!$H:$H,"MEP-ST9-4",'MEP | Drawing List'!S:S,1)</f>
        <v>0</v>
      </c>
      <c r="DF66" s="343">
        <f>COUNTIFS('MEP | Drawing List'!$H:$H,"MEP-ST9-4",'MEP | Drawing List'!T:T,1)</f>
        <v>1</v>
      </c>
      <c r="DG66" s="343">
        <f>COUNTIFS('MEP | Drawing List'!$H:$H,"MEP-ST9-4",'MEP | Drawing List'!U:U,1)</f>
        <v>0</v>
      </c>
      <c r="DH66" s="194"/>
      <c r="DI66" s="194"/>
      <c r="DJ66" s="196">
        <v>0</v>
      </c>
      <c r="DK66" s="194"/>
      <c r="DL66" s="332"/>
      <c r="DM66" s="328">
        <f t="shared" si="15"/>
        <v>0</v>
      </c>
      <c r="DN66" s="343">
        <f>IFERROR(IF(EA66=100%,DL66,0),0)</f>
        <v>0</v>
      </c>
      <c r="DO66" s="343">
        <f>IFERROR(IF(AND((EA66+EB66)=100%,EA66&lt;1),DL66,0),0)</f>
        <v>0</v>
      </c>
      <c r="DP66" s="343">
        <f>IFERROR(IF(AND((EF66+EH66)=EE66,DN66=0),DL66,0),0)</f>
        <v>0</v>
      </c>
      <c r="DQ66" s="343">
        <f>IFERROR(IF(AND((EF66+EH66+EI66)=EE66,DN66=0,DP66=0),DL66,0),0)</f>
        <v>0</v>
      </c>
      <c r="DR66" s="343">
        <f>IFERROR(IF(AND((EF66+EH66+EI66+EJ66)=EE66,DN66=0,DO66=0,DP66=0,DQ66=0),DL66,0),0)</f>
        <v>0</v>
      </c>
      <c r="DS66" s="343">
        <f>IFERROR(IF(AND((EF66+EH66+EI66+EJ66+EK66)=EE66,DN66=0,DO66=0,DP66=0,DQ66=0,DR66=0),DL66,0),0)</f>
        <v>0</v>
      </c>
      <c r="DT66" s="343"/>
      <c r="DU66" s="343">
        <f t="shared" si="166"/>
        <v>0</v>
      </c>
      <c r="DV66" s="343">
        <f t="shared" si="167"/>
        <v>0</v>
      </c>
      <c r="DW66" s="343">
        <f t="shared" si="168"/>
        <v>0</v>
      </c>
      <c r="DX66" s="343">
        <f t="shared" si="169"/>
        <v>0</v>
      </c>
      <c r="DY66" s="343">
        <f t="shared" si="170"/>
        <v>0</v>
      </c>
      <c r="DZ66" s="195"/>
      <c r="EA66" s="344"/>
      <c r="EB66" s="344"/>
      <c r="EC66" s="344"/>
      <c r="ED66" s="345"/>
      <c r="EE66" s="355"/>
      <c r="EF66" s="338"/>
      <c r="EG66" s="338"/>
      <c r="EH66" s="343"/>
      <c r="EI66" s="343"/>
      <c r="EJ66" s="343"/>
      <c r="EK66" s="343"/>
      <c r="EL66" s="343"/>
      <c r="EM66" s="338"/>
      <c r="EN66" s="343"/>
      <c r="EO66" s="343"/>
      <c r="EP66" s="343"/>
      <c r="EQ66" s="343"/>
      <c r="ER66" s="114"/>
      <c r="ES66" s="499"/>
      <c r="ET66" s="112"/>
    </row>
    <row r="67" spans="1:150" ht="11.85" customHeight="1" outlineLevel="2">
      <c r="A67" s="112"/>
      <c r="B67" s="162" t="s">
        <v>73</v>
      </c>
      <c r="C67" s="213">
        <v>5</v>
      </c>
      <c r="D67" s="214" t="s">
        <v>74</v>
      </c>
      <c r="E67" s="114"/>
      <c r="F67" s="197">
        <v>0.2</v>
      </c>
      <c r="G67" s="194"/>
      <c r="H67" s="395">
        <f>$H$62/$F$62*F67</f>
        <v>0.34550000000000003</v>
      </c>
      <c r="I67" s="395">
        <f t="shared" si="12"/>
        <v>0.34550000000000003</v>
      </c>
      <c r="J67" s="395">
        <f>IFERROR(IF(W67=100%,H67,0),0)</f>
        <v>0</v>
      </c>
      <c r="K67" s="395">
        <f>IFERROR(IF(AND((W67+X67)=100%,W67&lt;1),H67,0),0)</f>
        <v>0.34550000000000003</v>
      </c>
      <c r="L67" s="395">
        <f t="shared" si="146"/>
        <v>0.34550000000000003</v>
      </c>
      <c r="M67" s="395">
        <f t="shared" si="147"/>
        <v>0</v>
      </c>
      <c r="N67" s="395">
        <f t="shared" si="148"/>
        <v>0</v>
      </c>
      <c r="O67" s="395">
        <f t="shared" si="149"/>
        <v>0</v>
      </c>
      <c r="P67" s="343"/>
      <c r="Q67" s="343">
        <f>IFERROR(IF(AND((W67+Y67)=100%,W67&lt;1),H67,0),0)</f>
        <v>0.34550000000000003</v>
      </c>
      <c r="R67" s="343">
        <f>IFERROR(IF(AND((AB67+AJ67)=AA67,J67=0),H67,0),0)</f>
        <v>0.34550000000000003</v>
      </c>
      <c r="S67" s="343">
        <f>IFERROR(IF(AND((AB67+AJ67+AK67)=AA67,J67=0,R67=0),H67,0),0)</f>
        <v>0</v>
      </c>
      <c r="T67" s="343">
        <f>IFERROR(IF(AND((AB67+AJ67+AK67+AL67)=AA67,J67=0,R67=0,S67=0),H67,0),0)</f>
        <v>0</v>
      </c>
      <c r="U67" s="343">
        <f>IFERROR(IF(AND((AB67+AJ67+AK67+AL67+AM67)=AA67,J67=0,R67=0,S67=0,T67=0),H67,0),0)</f>
        <v>0</v>
      </c>
      <c r="V67" s="195"/>
      <c r="W67" s="344">
        <f>IFERROR(AB67/AA67,0)</f>
        <v>0.8</v>
      </c>
      <c r="X67" s="344">
        <f>IFERROR(AC67/AA67,0)</f>
        <v>0.2</v>
      </c>
      <c r="Y67" s="344">
        <f t="shared" si="150"/>
        <v>0.2</v>
      </c>
      <c r="Z67" s="345"/>
      <c r="AA67" s="355">
        <f>COUNTIF('AR | Drawing List'!$H:$H,"AR-ST9-5")</f>
        <v>15</v>
      </c>
      <c r="AB67" s="338">
        <f>COUNTIFS('AR | Drawing List'!$H:$H,"AR-ST9-5",'AR | Drawing List'!$J:$J,1)</f>
        <v>12</v>
      </c>
      <c r="AC67" s="338">
        <f>COUNTIFS('AR | Drawing List'!$H:$H,"AR-ST9-5",'AR | Drawing List'!$L:$L,1)</f>
        <v>3</v>
      </c>
      <c r="AD67" s="343">
        <f>COUNTIFS('AR | Drawing List'!$H:$H,"AR-ST9-5",'AR | Drawing List'!M:M,1)</f>
        <v>3</v>
      </c>
      <c r="AE67" s="343">
        <f>COUNTIFS('AR | Drawing List'!$H:$H,"AR-ST9-5",'AR | Drawing List'!N:N,1)</f>
        <v>0</v>
      </c>
      <c r="AF67" s="343">
        <f>COUNTIFS('AR | Drawing List'!$H:$H,"AR-ST9-5",'AR | Drawing List'!O:O,1)</f>
        <v>0</v>
      </c>
      <c r="AG67" s="343">
        <f>COUNTIFS('AR | Drawing List'!$H:$H,"AR-ST9-5",'AR | Drawing List'!P:P,1)</f>
        <v>0</v>
      </c>
      <c r="AH67" s="343"/>
      <c r="AI67" s="338">
        <f>COUNTIFS('AR | Drawing List'!$H:$H,"AR-ST9-5",'AR | Drawing List'!$Q:$Q,1)</f>
        <v>3</v>
      </c>
      <c r="AJ67" s="343">
        <f>COUNTIFS('AR | Drawing List'!$H:$H,"AR-ST9-5",'AR | Drawing List'!R:R,1)</f>
        <v>3</v>
      </c>
      <c r="AK67" s="343">
        <f>COUNTIFS('AR | Drawing List'!$H:$H,"AR-ST9-5",'AR | Drawing List'!S:S,1)</f>
        <v>0</v>
      </c>
      <c r="AL67" s="343">
        <f>COUNTIFS('AR | Drawing List'!$H:$H,"AR-ST9-5",'AR | Drawing List'!T:T,1)</f>
        <v>0</v>
      </c>
      <c r="AM67" s="343">
        <f>COUNTIFS('AR | Drawing List'!$H:$H,"AR-ST9-5",'AR | Drawing List'!U:U,1)</f>
        <v>0</v>
      </c>
      <c r="AN67" s="338"/>
      <c r="AO67" s="338"/>
      <c r="AP67" s="196">
        <v>0</v>
      </c>
      <c r="AQ67" s="194"/>
      <c r="AR67" s="447">
        <v>0</v>
      </c>
      <c r="AS67" s="447">
        <f t="shared" si="13"/>
        <v>0</v>
      </c>
      <c r="AT67" s="447">
        <v>0</v>
      </c>
      <c r="AU67" s="204">
        <v>0</v>
      </c>
      <c r="AV67" s="343">
        <f t="shared" si="151"/>
        <v>0</v>
      </c>
      <c r="AW67" s="343">
        <f t="shared" si="152"/>
        <v>0</v>
      </c>
      <c r="AX67" s="343">
        <f t="shared" si="153"/>
        <v>0</v>
      </c>
      <c r="AY67" s="343">
        <f t="shared" si="154"/>
        <v>0</v>
      </c>
      <c r="AZ67" s="343"/>
      <c r="BA67" s="343">
        <f>IFERROR(IF(AND((BG67+BI67)=100%,BG67&lt;1),AR67,0),0)</f>
        <v>0</v>
      </c>
      <c r="BB67" s="343">
        <f>IFERROR(IF(AND((BL67+BT67)=BK67,AT67=0),AR67,0),0)</f>
        <v>0</v>
      </c>
      <c r="BC67" s="343">
        <f>IFERROR(IF(AND((BL67+BT67+BU67)=BK67,AT67=0,BB67=0),AR67,0),0)</f>
        <v>0</v>
      </c>
      <c r="BD67" s="343">
        <f>IFERROR(IF(AND((BL67+BT67+BU67+BV67)=BK67,AT67=0,BB67=0,BC67=0),AR67,0),0)</f>
        <v>0</v>
      </c>
      <c r="BE67" s="343">
        <f>IFERROR(IF(AND((BL67+BT67+BU67+BV67+BW67)=BK67,AT67=0,BB67=0,BC67=0,BD67=0),AR67,0),0)</f>
        <v>0</v>
      </c>
      <c r="BF67" s="195"/>
      <c r="BG67" s="196">
        <v>0</v>
      </c>
      <c r="BH67" s="196">
        <v>0</v>
      </c>
      <c r="BI67" s="344">
        <f t="shared" si="155"/>
        <v>0</v>
      </c>
      <c r="BJ67" s="345"/>
      <c r="BK67" s="196"/>
      <c r="BL67" s="196"/>
      <c r="BM67" s="196"/>
      <c r="BN67" s="343">
        <f>COUNTIFS('ST | Drawing List'!$H:$H,"ST-ISS-5",'ST | Drawing List'!M:M,1)</f>
        <v>0</v>
      </c>
      <c r="BO67" s="343">
        <f>COUNTIFS('ST | Drawing List'!$H:$H,"ST-ISS-5",'ST | Drawing List'!N:N,1)</f>
        <v>0</v>
      </c>
      <c r="BP67" s="343">
        <f>COUNTIFS('ST | Drawing List'!$H:$H,"ST-ISS-5",'ST | Drawing List'!O:O,1)</f>
        <v>0</v>
      </c>
      <c r="BQ67" s="343">
        <f>COUNTIFS('ST | Drawing List'!$H:$H,"ST-ISS-5",'ST | Drawing List'!P:P,1)</f>
        <v>0</v>
      </c>
      <c r="BR67" s="343"/>
      <c r="BS67" s="196"/>
      <c r="BT67" s="343">
        <f>COUNTIFS('ST | Drawing List'!$H:$H,"ST-ISS-5",'ST | Drawing List'!R:R,1)</f>
        <v>0</v>
      </c>
      <c r="BU67" s="343">
        <f>COUNTIFS('ST | Drawing List'!$H:$H,"ST-ISS-5",'ST | Drawing List'!S:S,1)</f>
        <v>0</v>
      </c>
      <c r="BV67" s="343">
        <f>COUNTIFS('ST | Drawing List'!$H:$H,"ST-ISS-5",'ST | Drawing List'!T:T,1)</f>
        <v>0</v>
      </c>
      <c r="BW67" s="343">
        <f>COUNTIFS('ST | Drawing List'!$H:$H,"ST-ISS-5",'ST | Drawing List'!U:U,1)</f>
        <v>0</v>
      </c>
      <c r="BX67" s="194"/>
      <c r="BY67" s="194"/>
      <c r="BZ67" s="196">
        <v>0.15</v>
      </c>
      <c r="CA67" s="194"/>
      <c r="CB67" s="446">
        <f>$CB$62/$BZ$62*BZ67</f>
        <v>1.74023097E-2</v>
      </c>
      <c r="CC67" s="447">
        <f t="shared" si="14"/>
        <v>1.74023097E-2</v>
      </c>
      <c r="CD67" s="448">
        <f>IFERROR(IF(CQ67=100%,CB67,0),0)</f>
        <v>0</v>
      </c>
      <c r="CE67" s="448">
        <f>IFERROR(IF(AND((CQ67+CR67)=100%,CQ67&lt;1),CB67,0),0)</f>
        <v>1.74023097E-2</v>
      </c>
      <c r="CF67" s="448">
        <f t="shared" si="156"/>
        <v>1.74023097E-2</v>
      </c>
      <c r="CG67" s="343">
        <f t="shared" si="157"/>
        <v>0</v>
      </c>
      <c r="CH67" s="343">
        <f t="shared" si="158"/>
        <v>0</v>
      </c>
      <c r="CI67" s="343">
        <f t="shared" si="159"/>
        <v>0</v>
      </c>
      <c r="CJ67" s="343"/>
      <c r="CK67" s="478">
        <f t="shared" si="160"/>
        <v>1.74023097E-2</v>
      </c>
      <c r="CL67" s="478">
        <f t="shared" si="161"/>
        <v>1.74023097E-2</v>
      </c>
      <c r="CM67" s="478">
        <f t="shared" si="162"/>
        <v>0</v>
      </c>
      <c r="CN67" s="478">
        <f t="shared" si="163"/>
        <v>0</v>
      </c>
      <c r="CO67" s="478">
        <f t="shared" si="164"/>
        <v>0</v>
      </c>
      <c r="CP67" s="195"/>
      <c r="CQ67" s="344">
        <f>IFERROR(CV67/CU67,0)</f>
        <v>0</v>
      </c>
      <c r="CR67" s="344">
        <f>IFERROR(CW67/CU67,0)</f>
        <v>1</v>
      </c>
      <c r="CS67" s="344">
        <f t="shared" si="165"/>
        <v>1</v>
      </c>
      <c r="CT67" s="345"/>
      <c r="CU67" s="355">
        <f>COUNTIF('MEP | Drawing List'!$H:$H,"MEP-ST9-5")</f>
        <v>10</v>
      </c>
      <c r="CV67" s="338">
        <f>COUNTIFS('MEP | Drawing List'!$H:$H,"MEP-ST9-5",'MEP | Drawing List'!$J:$J,1)</f>
        <v>0</v>
      </c>
      <c r="CW67" s="338">
        <f>COUNTIFS('MEP | Drawing List'!$H:$H,"MEP-ST9-5",'MEP | Drawing List'!$L:$L,1)</f>
        <v>10</v>
      </c>
      <c r="CX67" s="343">
        <f>COUNTIFS('MEP | Drawing List'!$H:$H,"MEP-ST9-5",'MEP | Drawing List'!M:M,1)</f>
        <v>10</v>
      </c>
      <c r="CY67" s="343">
        <f>COUNTIFS('MEP | Drawing List'!$H:$H,"MEP-ST9-5",'MEP | Drawing List'!N:N,1)</f>
        <v>0</v>
      </c>
      <c r="CZ67" s="343">
        <f>COUNTIFS('MEP | Drawing List'!$H:$H,"MEP-ST9-5",'MEP | Drawing List'!O:O,1)</f>
        <v>0</v>
      </c>
      <c r="DA67" s="343">
        <f>COUNTIFS('MEP | Drawing List'!$H:$H,"MEP-ST9-5",'MEP | Drawing List'!P:P,1)</f>
        <v>0</v>
      </c>
      <c r="DB67" s="343"/>
      <c r="DC67" s="338">
        <f>COUNTIFS('MEP | Drawing List'!$H:$H,"MEP-ST9-5",'MEP | Drawing List'!$Q:$Q,1)</f>
        <v>10</v>
      </c>
      <c r="DD67" s="343">
        <f>COUNTIFS('MEP | Drawing List'!$H:$H,"MEP-ST9-5",'MEP | Drawing List'!R:R,1)</f>
        <v>10</v>
      </c>
      <c r="DE67" s="343">
        <f>COUNTIFS('MEP | Drawing List'!$H:$H,"MEP-ST9-5",'MEP | Drawing List'!S:S,1)</f>
        <v>0</v>
      </c>
      <c r="DF67" s="343">
        <f>COUNTIFS('MEP | Drawing List'!$H:$H,"MEP-ST9-5",'MEP | Drawing List'!T:T,1)</f>
        <v>0</v>
      </c>
      <c r="DG67" s="343">
        <f>COUNTIFS('MEP | Drawing List'!$H:$H,"MEP-ST9-5",'MEP | Drawing List'!U:U,1)</f>
        <v>0</v>
      </c>
      <c r="DH67" s="194"/>
      <c r="DI67" s="194"/>
      <c r="DJ67" s="202">
        <v>0</v>
      </c>
      <c r="DK67" s="194"/>
      <c r="DL67" s="332"/>
      <c r="DM67" s="328">
        <f t="shared" si="15"/>
        <v>0</v>
      </c>
      <c r="DN67" s="343">
        <f>IFERROR(IF(EA67=100%,DL67,0),0)</f>
        <v>0</v>
      </c>
      <c r="DO67" s="343">
        <f>IFERROR(IF(AND((EA67+EB67)=100%,EA67&lt;1),DL67,0),0)</f>
        <v>0</v>
      </c>
      <c r="DP67" s="343">
        <f>IFERROR(IF(AND((EF67+EH67)=EE67,DN67=0),DL67,0),0)</f>
        <v>0</v>
      </c>
      <c r="DQ67" s="343">
        <f>IFERROR(IF(AND((EF67+EH67+EI67)=EE67,DN67=0,DP67=0),DL67,0),0)</f>
        <v>0</v>
      </c>
      <c r="DR67" s="343">
        <f>IFERROR(IF(AND((EF67+EH67+EI67+EJ67)=EE67,DN67=0,DO67=0,DP67=0,DQ67=0),DL67,0),0)</f>
        <v>0</v>
      </c>
      <c r="DS67" s="343">
        <f>IFERROR(IF(AND((EF67+EH67+EI67+EJ67+EK67)=EE67,DN67=0,DO67=0,DP67=0,DQ67=0,DR67=0),DL67,0),0)</f>
        <v>0</v>
      </c>
      <c r="DT67" s="343"/>
      <c r="DU67" s="343">
        <f t="shared" si="166"/>
        <v>0</v>
      </c>
      <c r="DV67" s="343">
        <f t="shared" si="167"/>
        <v>0</v>
      </c>
      <c r="DW67" s="343">
        <f t="shared" si="168"/>
        <v>0</v>
      </c>
      <c r="DX67" s="343">
        <f t="shared" si="169"/>
        <v>0</v>
      </c>
      <c r="DY67" s="343">
        <f t="shared" si="170"/>
        <v>0</v>
      </c>
      <c r="DZ67" s="195"/>
      <c r="EA67" s="344"/>
      <c r="EB67" s="344"/>
      <c r="EC67" s="344"/>
      <c r="ED67" s="345"/>
      <c r="EE67" s="355"/>
      <c r="EF67" s="338"/>
      <c r="EG67" s="338"/>
      <c r="EH67" s="343"/>
      <c r="EI67" s="343"/>
      <c r="EJ67" s="343"/>
      <c r="EK67" s="343"/>
      <c r="EL67" s="343"/>
      <c r="EM67" s="338"/>
      <c r="EN67" s="343"/>
      <c r="EO67" s="343"/>
      <c r="EP67" s="343"/>
      <c r="EQ67" s="343"/>
      <c r="ER67" s="114"/>
      <c r="ES67" s="499"/>
      <c r="ET67" s="112"/>
    </row>
    <row r="68" spans="1:150" ht="3" customHeight="1" outlineLevel="2">
      <c r="A68" s="112"/>
      <c r="B68" s="165"/>
      <c r="C68" s="165"/>
      <c r="D68" s="114"/>
      <c r="E68" s="114"/>
      <c r="F68" s="197"/>
      <c r="G68" s="194"/>
      <c r="H68" s="328"/>
      <c r="I68" s="328"/>
      <c r="J68" s="343"/>
      <c r="K68" s="343"/>
      <c r="L68" s="343">
        <f t="shared" si="146"/>
        <v>0</v>
      </c>
      <c r="M68" s="343">
        <f t="shared" si="147"/>
        <v>0</v>
      </c>
      <c r="N68" s="343">
        <f t="shared" si="148"/>
        <v>0</v>
      </c>
      <c r="O68" s="343">
        <f t="shared" si="149"/>
        <v>0</v>
      </c>
      <c r="P68" s="343"/>
      <c r="Q68" s="343"/>
      <c r="R68" s="343">
        <f>IFERROR(IF(AND((AG68+AN68)=AF68,O68=0),N68,0),0)</f>
        <v>0</v>
      </c>
      <c r="S68" s="343">
        <f>IFERROR(IF(AND((AG68+AN68+AP68)=AF68,O68=0,R68=0),N68,0),0)</f>
        <v>0</v>
      </c>
      <c r="T68" s="343">
        <f>IFERROR(IF(AND((AG68+AN68+AP68+AQ68)=AF68,O68=0,Q68=0,R68=0,S68=0),N68,0),0)</f>
        <v>0</v>
      </c>
      <c r="U68" s="343">
        <f>IFERROR(IF(AND((AG68+AN68+AP68+AQ68+AR68)=AF68,O68=0,Q68=0,R68=0,S68=0,T68=0),N68,0),0)</f>
        <v>0</v>
      </c>
      <c r="V68" s="195"/>
      <c r="W68" s="344"/>
      <c r="X68" s="344"/>
      <c r="Y68" s="344"/>
      <c r="Z68" s="345"/>
      <c r="AA68" s="355"/>
      <c r="AB68" s="338"/>
      <c r="AC68" s="338"/>
      <c r="AD68" s="343"/>
      <c r="AE68" s="343"/>
      <c r="AF68" s="343"/>
      <c r="AG68" s="343"/>
      <c r="AH68" s="343"/>
      <c r="AI68" s="338"/>
      <c r="AJ68" s="343"/>
      <c r="AK68" s="343"/>
      <c r="AL68" s="343"/>
      <c r="AM68" s="343"/>
      <c r="AN68" s="338"/>
      <c r="AO68" s="338"/>
      <c r="AP68" s="196"/>
      <c r="AQ68" s="194"/>
      <c r="AR68" s="332"/>
      <c r="AS68" s="328">
        <f t="shared" si="13"/>
        <v>0</v>
      </c>
      <c r="AT68" s="343"/>
      <c r="AU68" s="343"/>
      <c r="AV68" s="343">
        <f t="shared" si="151"/>
        <v>0</v>
      </c>
      <c r="AW68" s="343">
        <f t="shared" si="152"/>
        <v>0</v>
      </c>
      <c r="AX68" s="343">
        <f t="shared" si="153"/>
        <v>0</v>
      </c>
      <c r="AY68" s="343">
        <f t="shared" si="154"/>
        <v>0</v>
      </c>
      <c r="AZ68" s="343"/>
      <c r="BA68" s="343"/>
      <c r="BB68" s="343">
        <f>IFERROR(IF(AND((BQ68+CE68)=BP68,AY68=0),AX68,0),0)</f>
        <v>0</v>
      </c>
      <c r="BC68" s="343">
        <f>IFERROR(IF(AND((BQ68+CE68+CF68)=BP68,AY68=0,BB68=0),AX68,0),0)</f>
        <v>0</v>
      </c>
      <c r="BD68" s="343">
        <f>IFERROR(IF(AND((BQ68+CE68+CF68+CG68)=BP68,AY68=0,BA68=0,BB68=0,BC68=0),AX68,0),0)</f>
        <v>0</v>
      </c>
      <c r="BE68" s="343">
        <f>IFERROR(IF(AND((BQ68+CE68+CF68+CG68+CH68)=BP68,AY68=0,BA68=0,BB68=0,BC68=0,BD68=0),AX68,0),0)</f>
        <v>0</v>
      </c>
      <c r="BF68" s="195"/>
      <c r="BG68" s="344"/>
      <c r="BH68" s="344"/>
      <c r="BI68" s="344"/>
      <c r="BJ68" s="345"/>
      <c r="BK68" s="355"/>
      <c r="BL68" s="338"/>
      <c r="BM68" s="338"/>
      <c r="BN68" s="343"/>
      <c r="BO68" s="343"/>
      <c r="BP68" s="343"/>
      <c r="BQ68" s="343"/>
      <c r="BR68" s="343"/>
      <c r="BS68" s="338"/>
      <c r="BT68" s="343"/>
      <c r="BU68" s="343"/>
      <c r="BV68" s="343"/>
      <c r="BW68" s="343"/>
      <c r="BX68" s="194"/>
      <c r="BY68" s="194"/>
      <c r="BZ68" s="196"/>
      <c r="CA68" s="194"/>
      <c r="CB68" s="446"/>
      <c r="CC68" s="447">
        <f t="shared" si="14"/>
        <v>0</v>
      </c>
      <c r="CD68" s="448"/>
      <c r="CE68" s="448"/>
      <c r="CF68" s="448">
        <f t="shared" si="156"/>
        <v>0</v>
      </c>
      <c r="CG68" s="343">
        <f t="shared" si="157"/>
        <v>0</v>
      </c>
      <c r="CH68" s="343">
        <f t="shared" si="158"/>
        <v>0</v>
      </c>
      <c r="CI68" s="343">
        <f t="shared" si="159"/>
        <v>0</v>
      </c>
      <c r="CJ68" s="343"/>
      <c r="CK68" s="478"/>
      <c r="CL68" s="478">
        <f>IFERROR(IF(AND((DA68+DO68)=CZ68,CI68=0),CH68,0),0)</f>
        <v>0</v>
      </c>
      <c r="CM68" s="478">
        <f>IFERROR(IF(AND((DA68+DO68+DP68)=CZ68,CI68=0,CL68=0),CH68,0),0)</f>
        <v>0</v>
      </c>
      <c r="CN68" s="478">
        <f>IFERROR(IF(AND((DA68+DO68+DP68+DQ68)=CZ68,CI68=0,CK68=0,CL68=0,CM68=0),CH68,0),0)</f>
        <v>0</v>
      </c>
      <c r="CO68" s="478">
        <f>IFERROR(IF(AND((DA68+DO68+DP68+DQ68+DR68)=CZ68,CI68=0,CK68=0,CL68=0,CM68=0,CN68=0),CH68,0),0)</f>
        <v>0</v>
      </c>
      <c r="CP68" s="195"/>
      <c r="CQ68" s="344"/>
      <c r="CR68" s="344"/>
      <c r="CS68" s="344"/>
      <c r="CT68" s="345"/>
      <c r="CU68" s="355"/>
      <c r="CV68" s="338"/>
      <c r="CW68" s="338"/>
      <c r="CX68" s="343"/>
      <c r="CY68" s="343"/>
      <c r="CZ68" s="343"/>
      <c r="DA68" s="343"/>
      <c r="DB68" s="343"/>
      <c r="DC68" s="338"/>
      <c r="DD68" s="343"/>
      <c r="DE68" s="343"/>
      <c r="DF68" s="343"/>
      <c r="DG68" s="343"/>
      <c r="DH68" s="194"/>
      <c r="DI68" s="194"/>
      <c r="DJ68" s="197"/>
      <c r="DK68" s="194"/>
      <c r="DL68" s="332"/>
      <c r="DM68" s="328">
        <f t="shared" si="15"/>
        <v>0</v>
      </c>
      <c r="DN68" s="343"/>
      <c r="DO68" s="343"/>
      <c r="DP68" s="343"/>
      <c r="DQ68" s="343"/>
      <c r="DR68" s="343"/>
      <c r="DS68" s="343"/>
      <c r="DT68" s="343"/>
      <c r="DU68" s="343"/>
      <c r="DV68" s="343">
        <f>IFERROR(IF(AND((EK68+#REF!)=EJ68,DS68=0),DR68,0),0)</f>
        <v>0</v>
      </c>
      <c r="DW68" s="343">
        <f>IFERROR(IF(AND((EK68+#REF!+#REF!)=EJ68,DS68=0,DV68=0),DR68,0),0)</f>
        <v>0</v>
      </c>
      <c r="DX68" s="343">
        <f>IFERROR(IF(AND((EK68+#REF!+#REF!+#REF!)=EJ68,DS68=0,DU68=0,DV68=0,DW68=0),DR68,0),0)</f>
        <v>0</v>
      </c>
      <c r="DY68" s="343">
        <f>IFERROR(IF(AND((EK68+#REF!+#REF!+#REF!+#REF!)=EJ68,DS68=0,DU68=0,DV68=0,DW68=0,DX68=0),DR68,0),0)</f>
        <v>0</v>
      </c>
      <c r="DZ68" s="195"/>
      <c r="EA68" s="344"/>
      <c r="EB68" s="344"/>
      <c r="EC68" s="344"/>
      <c r="ED68" s="345"/>
      <c r="EE68" s="355"/>
      <c r="EF68" s="338"/>
      <c r="EG68" s="338"/>
      <c r="EH68" s="343"/>
      <c r="EI68" s="343"/>
      <c r="EJ68" s="343"/>
      <c r="EK68" s="343"/>
      <c r="EL68" s="343"/>
      <c r="EM68" s="338"/>
      <c r="EN68" s="343"/>
      <c r="EO68" s="343"/>
      <c r="EP68" s="343"/>
      <c r="EQ68" s="343"/>
      <c r="ER68" s="114"/>
      <c r="ES68" s="499"/>
      <c r="ET68" s="112"/>
    </row>
    <row r="69" spans="1:150" ht="11.85" customHeight="1" outlineLevel="2">
      <c r="A69" s="112"/>
      <c r="B69" s="165">
        <v>3.1</v>
      </c>
      <c r="C69" s="165">
        <v>3.1</v>
      </c>
      <c r="D69" s="161" t="s">
        <v>75</v>
      </c>
      <c r="E69" s="114"/>
      <c r="F69" s="205">
        <v>0</v>
      </c>
      <c r="G69" s="205"/>
      <c r="H69" s="183">
        <v>0</v>
      </c>
      <c r="I69" s="183">
        <f t="shared" si="12"/>
        <v>0</v>
      </c>
      <c r="J69" s="343"/>
      <c r="K69" s="343"/>
      <c r="L69" s="343">
        <f t="shared" si="146"/>
        <v>0</v>
      </c>
      <c r="M69" s="343">
        <f t="shared" si="147"/>
        <v>0</v>
      </c>
      <c r="N69" s="343">
        <f t="shared" si="148"/>
        <v>0</v>
      </c>
      <c r="O69" s="343">
        <f t="shared" si="149"/>
        <v>0</v>
      </c>
      <c r="P69" s="343"/>
      <c r="Q69" s="343"/>
      <c r="R69" s="343">
        <f>IFERROR(IF(AND((AG69+AN69)=AF69,O69=0),N69,0),0)</f>
        <v>0</v>
      </c>
      <c r="S69" s="343">
        <f>IFERROR(IF(AND((AG69+AN69+AP69)=AF69,O69=0,R69=0),N69,0),0)</f>
        <v>0</v>
      </c>
      <c r="T69" s="343">
        <f>IFERROR(IF(AND((AG69+AN69+AP69+AQ69)=AF69,O69=0,Q69=0,R69=0,S69=0),N69,0),0)</f>
        <v>0</v>
      </c>
      <c r="U69" s="343">
        <f>IFERROR(IF(AND((AG69+AN69+AP69+AQ69+AR69)=AF69,O69=0,Q69=0,R69=0,S69=0,T69=0),N69,0),0)</f>
        <v>0</v>
      </c>
      <c r="V69" s="195"/>
      <c r="W69" s="344"/>
      <c r="X69" s="344"/>
      <c r="Y69" s="344"/>
      <c r="Z69" s="345"/>
      <c r="AA69" s="355"/>
      <c r="AB69" s="338"/>
      <c r="AC69" s="338"/>
      <c r="AD69" s="343"/>
      <c r="AE69" s="343"/>
      <c r="AF69" s="343"/>
      <c r="AG69" s="343"/>
      <c r="AH69" s="343"/>
      <c r="AI69" s="338"/>
      <c r="AJ69" s="343"/>
      <c r="AK69" s="343"/>
      <c r="AL69" s="343"/>
      <c r="AM69" s="343"/>
      <c r="AN69" s="338"/>
      <c r="AO69" s="338"/>
      <c r="AP69" s="205">
        <f>SUM(AP70:AP72)</f>
        <v>0.5</v>
      </c>
      <c r="AQ69" s="205"/>
      <c r="AR69" s="447">
        <f>AR62*25%</f>
        <v>0.1031394375</v>
      </c>
      <c r="AS69" s="447">
        <f t="shared" si="13"/>
        <v>0.1031394375</v>
      </c>
      <c r="AT69" s="447">
        <f>SUM(AT70:AT72)</f>
        <v>7.2197606250000004E-2</v>
      </c>
      <c r="AU69" s="184">
        <f>SUM(AU70:AU72)</f>
        <v>3.0941831249999999E-2</v>
      </c>
      <c r="AV69" s="184">
        <f t="shared" ref="AV69:BE69" si="171">SUM(AV70:AV72)</f>
        <v>3.0941831249999999E-2</v>
      </c>
      <c r="AW69" s="184">
        <f t="shared" si="171"/>
        <v>0</v>
      </c>
      <c r="AX69" s="184">
        <f t="shared" si="171"/>
        <v>0</v>
      </c>
      <c r="AY69" s="184">
        <f t="shared" si="171"/>
        <v>0</v>
      </c>
      <c r="AZ69" s="184"/>
      <c r="BA69" s="184">
        <f>SUM(BA70:BA72)</f>
        <v>3.0941831249999999E-2</v>
      </c>
      <c r="BB69" s="184">
        <f t="shared" si="171"/>
        <v>3.0941831249999999E-2</v>
      </c>
      <c r="BC69" s="184">
        <f t="shared" si="171"/>
        <v>0</v>
      </c>
      <c r="BD69" s="184">
        <f t="shared" si="171"/>
        <v>0</v>
      </c>
      <c r="BE69" s="184">
        <f t="shared" si="171"/>
        <v>0</v>
      </c>
      <c r="BF69" s="195"/>
      <c r="BG69" s="344"/>
      <c r="BH69" s="344"/>
      <c r="BI69" s="344"/>
      <c r="BJ69" s="345"/>
      <c r="BK69" s="355"/>
      <c r="BL69" s="338"/>
      <c r="BM69" s="338"/>
      <c r="BN69" s="343"/>
      <c r="BO69" s="343"/>
      <c r="BP69" s="343"/>
      <c r="BQ69" s="343"/>
      <c r="BR69" s="343"/>
      <c r="BS69" s="338"/>
      <c r="BT69" s="343"/>
      <c r="BU69" s="343"/>
      <c r="BV69" s="343"/>
      <c r="BW69" s="343"/>
      <c r="BX69" s="205"/>
      <c r="BY69" s="205"/>
      <c r="BZ69" s="205">
        <v>0</v>
      </c>
      <c r="CA69" s="205"/>
      <c r="CB69" s="446"/>
      <c r="CC69" s="451">
        <f t="shared" si="14"/>
        <v>0</v>
      </c>
      <c r="CD69" s="448"/>
      <c r="CE69" s="448"/>
      <c r="CF69" s="448">
        <f t="shared" si="156"/>
        <v>0</v>
      </c>
      <c r="CG69" s="343">
        <f t="shared" si="157"/>
        <v>0</v>
      </c>
      <c r="CH69" s="343">
        <f t="shared" si="158"/>
        <v>0</v>
      </c>
      <c r="CI69" s="343">
        <f t="shared" si="159"/>
        <v>0</v>
      </c>
      <c r="CJ69" s="343"/>
      <c r="CK69" s="478"/>
      <c r="CL69" s="478">
        <f>IFERROR(IF(AND((DA69+DO69)=CZ69,CI69=0),CH69,0),0)</f>
        <v>0</v>
      </c>
      <c r="CM69" s="478">
        <f>IFERROR(IF(AND((DA69+DO69+DP69)=CZ69,CI69=0,CL69=0),CH69,0),0)</f>
        <v>0</v>
      </c>
      <c r="CN69" s="478">
        <f>IFERROR(IF(AND((DA69+DO69+DP69+DQ69)=CZ69,CI69=0,CK69=0,CL69=0,CM69=0),CH69,0),0)</f>
        <v>0</v>
      </c>
      <c r="CO69" s="478">
        <f>IFERROR(IF(AND((DA69+DO69+DP69+DQ69+DR69)=CZ69,CI69=0,CK69=0,CL69=0,CM69=0,CN69=0),CH69,0),0)</f>
        <v>0</v>
      </c>
      <c r="CP69" s="195"/>
      <c r="CQ69" s="344"/>
      <c r="CR69" s="344"/>
      <c r="CS69" s="344"/>
      <c r="CT69" s="345"/>
      <c r="CU69" s="355"/>
      <c r="CV69" s="338"/>
      <c r="CW69" s="338"/>
      <c r="CX69" s="343"/>
      <c r="CY69" s="343"/>
      <c r="CZ69" s="343"/>
      <c r="DA69" s="343"/>
      <c r="DB69" s="343"/>
      <c r="DC69" s="338"/>
      <c r="DD69" s="343"/>
      <c r="DE69" s="343"/>
      <c r="DF69" s="343"/>
      <c r="DG69" s="343"/>
      <c r="DH69" s="205"/>
      <c r="DI69" s="205"/>
      <c r="DJ69" s="205">
        <v>0</v>
      </c>
      <c r="DK69" s="205"/>
      <c r="DL69" s="332"/>
      <c r="DM69" s="183">
        <f t="shared" si="15"/>
        <v>0</v>
      </c>
      <c r="DN69" s="343"/>
      <c r="DO69" s="343"/>
      <c r="DP69" s="343"/>
      <c r="DQ69" s="343"/>
      <c r="DR69" s="343"/>
      <c r="DS69" s="343"/>
      <c r="DT69" s="343"/>
      <c r="DU69" s="343"/>
      <c r="DV69" s="343">
        <f>IFERROR(IF(AND((EK69+#REF!)=EJ69,DS69=0),DR69,0),0)</f>
        <v>0</v>
      </c>
      <c r="DW69" s="343">
        <f>IFERROR(IF(AND((EK69+#REF!+#REF!)=EJ69,DS69=0,DV69=0),DR69,0),0)</f>
        <v>0</v>
      </c>
      <c r="DX69" s="343">
        <f>IFERROR(IF(AND((EK69+#REF!+#REF!+#REF!)=EJ69,DS69=0,DU69=0,DV69=0,DW69=0),DR69,0),0)</f>
        <v>0</v>
      </c>
      <c r="DY69" s="343">
        <f>IFERROR(IF(AND((EK69+#REF!+#REF!+#REF!+#REF!)=EJ69,DS69=0,DU69=0,DV69=0,DW69=0,DX69=0),DR69,0),0)</f>
        <v>0</v>
      </c>
      <c r="DZ69" s="195"/>
      <c r="EA69" s="344"/>
      <c r="EB69" s="344"/>
      <c r="EC69" s="344"/>
      <c r="ED69" s="345"/>
      <c r="EE69" s="355"/>
      <c r="EF69" s="338"/>
      <c r="EG69" s="338"/>
      <c r="EH69" s="343"/>
      <c r="EI69" s="343"/>
      <c r="EJ69" s="343"/>
      <c r="EK69" s="343"/>
      <c r="EL69" s="343"/>
      <c r="EM69" s="338"/>
      <c r="EN69" s="343"/>
      <c r="EO69" s="343"/>
      <c r="EP69" s="343"/>
      <c r="EQ69" s="343"/>
      <c r="ER69" s="114"/>
      <c r="ES69" s="499"/>
      <c r="ET69" s="112"/>
    </row>
    <row r="70" spans="1:150" ht="11.85" customHeight="1" outlineLevel="3">
      <c r="A70" s="112"/>
      <c r="B70" s="162" t="s">
        <v>76</v>
      </c>
      <c r="C70" s="213">
        <v>1</v>
      </c>
      <c r="D70" s="214" t="s">
        <v>68</v>
      </c>
      <c r="E70" s="114"/>
      <c r="F70" s="196">
        <v>0</v>
      </c>
      <c r="G70" s="194"/>
      <c r="H70" s="328"/>
      <c r="I70" s="328">
        <f t="shared" ref="I70:I94" si="172">J70+Q70</f>
        <v>0</v>
      </c>
      <c r="J70" s="343"/>
      <c r="K70" s="343"/>
      <c r="L70" s="343">
        <f t="shared" si="146"/>
        <v>0</v>
      </c>
      <c r="M70" s="343">
        <f t="shared" si="147"/>
        <v>0</v>
      </c>
      <c r="N70" s="343">
        <f t="shared" si="148"/>
        <v>0</v>
      </c>
      <c r="O70" s="343">
        <f t="shared" si="149"/>
        <v>0</v>
      </c>
      <c r="P70" s="343"/>
      <c r="Q70" s="343">
        <f>IFERROR(IF(AND((W70+Y70)=100%,Y70&lt;1),H70,0),0)</f>
        <v>0</v>
      </c>
      <c r="R70" s="343">
        <f>IFERROR(IF(AND((X70+Z70)=100%,Z70&lt;1),J70,0),0)</f>
        <v>0</v>
      </c>
      <c r="S70" s="343">
        <f t="shared" ref="S70:S72" si="173">IFERROR(IF(AND((Y70+AA70)=100%,AA70&lt;1),K70,0),0)</f>
        <v>0</v>
      </c>
      <c r="T70" s="343">
        <f t="shared" ref="T70:T72" si="174">IFERROR(IF(AND((Z70+AB70)=100%,AB70&lt;1),L70,0),0)</f>
        <v>0</v>
      </c>
      <c r="U70" s="343">
        <f t="shared" ref="U70:U72" si="175">IFERROR(IF(AND((AA70+AC70)=100%,AC70&lt;1),M70,0),0)</f>
        <v>0</v>
      </c>
      <c r="V70" s="195"/>
      <c r="W70" s="344"/>
      <c r="X70" s="344"/>
      <c r="Y70" s="344"/>
      <c r="Z70" s="345"/>
      <c r="AA70" s="355"/>
      <c r="AB70" s="338"/>
      <c r="AC70" s="338"/>
      <c r="AD70" s="343"/>
      <c r="AE70" s="343"/>
      <c r="AF70" s="343"/>
      <c r="AG70" s="343"/>
      <c r="AH70" s="343"/>
      <c r="AI70" s="338"/>
      <c r="AJ70" s="343"/>
      <c r="AK70" s="343"/>
      <c r="AL70" s="343"/>
      <c r="AM70" s="343"/>
      <c r="AN70" s="338"/>
      <c r="AO70" s="338"/>
      <c r="AP70" s="196">
        <v>0.2</v>
      </c>
      <c r="AQ70" s="194"/>
      <c r="AR70" s="447">
        <f>$AR$69/$AP$69*AP70</f>
        <v>4.1255775000000001E-2</v>
      </c>
      <c r="AS70" s="447">
        <f t="shared" ref="AS70:AS94" si="176">AT70+BA70</f>
        <v>4.1255775000000001E-2</v>
      </c>
      <c r="AT70" s="447">
        <f>IFERROR(IF(BG70=100%,AR70,0),0)</f>
        <v>4.1255775000000001E-2</v>
      </c>
      <c r="AU70" s="343">
        <f>IFERROR(IF(AND((BG70+BH70)=100%,BG70&lt;1),AR70,0),0)</f>
        <v>0</v>
      </c>
      <c r="AV70" s="343">
        <f>IFERROR(IF(AND((BL70+BN70)=BK70,AT70=0),AR70,0),0)</f>
        <v>0</v>
      </c>
      <c r="AW70" s="343">
        <f>IFERROR(IF(AND((BL70+BN70+BO70)=BK70,AT70=0,AV70=0),AR70,0),0)</f>
        <v>0</v>
      </c>
      <c r="AX70" s="343">
        <f>IFERROR(IF(AND((BL70+BN70+BO70+BP70)=BK70,AT70=0,AU70=0,AV70=0,AW70=0),AR70,0),0)</f>
        <v>0</v>
      </c>
      <c r="AY70" s="343">
        <f>IFERROR(IF(AND((BL70+BN70+BO70+BP70+BQ70)=BK70,AT70=0,AU70=0,AV70=0,AW70=0,AX70=0),AR70,0),0)</f>
        <v>0</v>
      </c>
      <c r="AZ70" s="343"/>
      <c r="BA70" s="343">
        <f>IFERROR(IF(AND((BG70+BI70)=100%,BG70&lt;1),AR70,0),0)</f>
        <v>0</v>
      </c>
      <c r="BB70" s="343">
        <f>IFERROR(IF(AND((BL70+BT70)=BK70,AT70=0),AR70,0),0)</f>
        <v>0</v>
      </c>
      <c r="BC70" s="343">
        <f>IFERROR(IF(AND((BL70+BT70+BU70)=BK70,AT70=0,BB70=0),AR70,0),0)</f>
        <v>0</v>
      </c>
      <c r="BD70" s="343">
        <f>IFERROR(IF(AND((BL70+BT70+BU70+BV70)=BK70,AT70=0,BB70=0,BC70=0),AR70,0),0)</f>
        <v>0</v>
      </c>
      <c r="BE70" s="343">
        <f>IFERROR(IF(AND((BL70+BT70+BU70+BV70+BW70)=BK70,AT70=0,BB70=0,BC70=0,BD70=0),AR70,0),0)</f>
        <v>0</v>
      </c>
      <c r="BF70" s="195"/>
      <c r="BG70" s="344">
        <f>IFERROR(BL70/BK70,0)</f>
        <v>1</v>
      </c>
      <c r="BH70" s="344">
        <f>IFERROR(BM70/BK70,0)</f>
        <v>0</v>
      </c>
      <c r="BI70" s="344">
        <f t="shared" ref="BI70:BI72" si="177">IFERROR(BS70/BK70,0)</f>
        <v>0</v>
      </c>
      <c r="BJ70" s="345"/>
      <c r="BK70" s="355">
        <f>COUNTIF('ST | Drawing List'!$H:$H,"ST-SSA-1")</f>
        <v>3</v>
      </c>
      <c r="BL70" s="338">
        <f>COUNTIFS('ST | Drawing List'!$H:$H,"ST-SSA-1",'ST | Drawing List'!$J:$J,1)</f>
        <v>3</v>
      </c>
      <c r="BM70" s="338">
        <f>COUNTIFS('ST | Drawing List'!$H:$H,"ST-SSA-1",'ST | Drawing List'!$L:$L,1)</f>
        <v>0</v>
      </c>
      <c r="BN70" s="343">
        <f>COUNTIFS('ST | Drawing List'!$H:$H,"ST-SSA-1",'ST | Drawing List'!M:M,1)</f>
        <v>0</v>
      </c>
      <c r="BO70" s="343">
        <f>COUNTIFS('ST | Drawing List'!$H:$H,"ST-SSA-1",'ST | Drawing List'!N:N,1)</f>
        <v>0</v>
      </c>
      <c r="BP70" s="343">
        <f>COUNTIFS('ST | Drawing List'!$H:$H,"ST-SSA-1",'ST | Drawing List'!O:O,1)</f>
        <v>0</v>
      </c>
      <c r="BQ70" s="343">
        <f>COUNTIFS('ST | Drawing List'!$H:$H,"ST-SSA-1",'ST | Drawing List'!P:P,1)</f>
        <v>0</v>
      </c>
      <c r="BR70" s="343"/>
      <c r="BS70" s="338">
        <f>COUNTIFS('ST | Drawing List'!$H:$H,"ST-SSA-1",'ST | Drawing List'!$Q:$Q,1)</f>
        <v>0</v>
      </c>
      <c r="BT70" s="343">
        <f>COUNTIFS('ST | Drawing List'!$H:$H,"ST-SSA-1",'ST | Drawing List'!R:R,1)</f>
        <v>0</v>
      </c>
      <c r="BU70" s="343">
        <f>COUNTIFS('ST | Drawing List'!$H:$H,"ST-SSA-1",'ST | Drawing List'!S:S,1)</f>
        <v>0</v>
      </c>
      <c r="BV70" s="343">
        <f>COUNTIFS('ST | Drawing List'!$H:$H,"ST-SSA-1",'ST | Drawing List'!T:T,1)</f>
        <v>0</v>
      </c>
      <c r="BW70" s="343">
        <f>COUNTIFS('ST | Drawing List'!$H:$H,"ST-SSA-1",'ST | Drawing List'!U:U,1)</f>
        <v>0</v>
      </c>
      <c r="BX70" s="194"/>
      <c r="BY70" s="194"/>
      <c r="BZ70" s="196">
        <v>0</v>
      </c>
      <c r="CA70" s="194"/>
      <c r="CB70" s="332"/>
      <c r="CC70" s="328">
        <f t="shared" ref="CC70:CC94" si="178">CD70+CK70</f>
        <v>0</v>
      </c>
      <c r="CD70" s="343"/>
      <c r="CE70" s="343"/>
      <c r="CF70" s="343">
        <f t="shared" si="156"/>
        <v>0</v>
      </c>
      <c r="CG70" s="343">
        <f t="shared" si="157"/>
        <v>0</v>
      </c>
      <c r="CH70" s="343">
        <f t="shared" si="158"/>
        <v>0</v>
      </c>
      <c r="CI70" s="343">
        <f t="shared" si="159"/>
        <v>0</v>
      </c>
      <c r="CJ70" s="343"/>
      <c r="CK70" s="478">
        <f t="shared" ref="CK70:CK72" si="179">IFERROR(IF(AND((CQ70+CS70)=100%,CQ70&lt;1),CB70,0),0)</f>
        <v>0</v>
      </c>
      <c r="CL70" s="478">
        <f t="shared" ref="CL70:CL72" si="180">IFERROR(IF(AND((CV70+DD70)=CU70,CD70=0),CB70,0),0)</f>
        <v>0</v>
      </c>
      <c r="CM70" s="478">
        <f t="shared" ref="CM70:CM72" si="181">IFERROR(IF(AND((CV70+DD70+DE70)=CU70,CD70=0,CL70=0),CB70,0),0)</f>
        <v>0</v>
      </c>
      <c r="CN70" s="478">
        <f t="shared" ref="CN70:CN72" si="182">IFERROR(IF(AND((CV70+DD70+DE70+DF70)=CU70,CD70=0,CL70=0,CM70=0),CB70,0),0)</f>
        <v>0</v>
      </c>
      <c r="CO70" s="478">
        <f t="shared" ref="CO70:CO72" si="183">IFERROR(IF(AND((CV70+DD70+DE70+DF70+DG70)=CU70,CD70=0,CL70=0,CM70=0,CN70=0),CB70,0),0)</f>
        <v>0</v>
      </c>
      <c r="CP70" s="195"/>
      <c r="CQ70" s="344"/>
      <c r="CR70" s="344"/>
      <c r="CS70" s="344"/>
      <c r="CT70" s="345"/>
      <c r="CU70" s="355"/>
      <c r="CV70" s="338"/>
      <c r="CW70" s="338"/>
      <c r="CX70" s="343"/>
      <c r="CY70" s="343"/>
      <c r="CZ70" s="343"/>
      <c r="DA70" s="343"/>
      <c r="DB70" s="343"/>
      <c r="DC70" s="338"/>
      <c r="DD70" s="343"/>
      <c r="DE70" s="343"/>
      <c r="DF70" s="343"/>
      <c r="DG70" s="343"/>
      <c r="DH70" s="194"/>
      <c r="DI70" s="194"/>
      <c r="DJ70" s="196">
        <v>0</v>
      </c>
      <c r="DK70" s="194"/>
      <c r="DL70" s="332"/>
      <c r="DM70" s="328">
        <f t="shared" ref="DM70:DM94" si="184">DN70+DU70</f>
        <v>0</v>
      </c>
      <c r="DN70" s="343"/>
      <c r="DO70" s="343"/>
      <c r="DP70" s="343"/>
      <c r="DQ70" s="343"/>
      <c r="DR70" s="343"/>
      <c r="DS70" s="343"/>
      <c r="DT70" s="343"/>
      <c r="DU70" s="343">
        <f t="shared" ref="DU70:DU72" si="185">IFERROR(IF(AND((EA70+EC70)=100%,EA70&lt;1),DL70,0),0)</f>
        <v>0</v>
      </c>
      <c r="DV70" s="343">
        <f t="shared" ref="DV70:DV72" si="186">IFERROR(IF(AND((EF70+EN70)=EE70,DN70=0),DL70,0),0)</f>
        <v>0</v>
      </c>
      <c r="DW70" s="343">
        <f t="shared" ref="DW70:DW72" si="187">IFERROR(IF(AND((EF70+EN70+EO70)=EE70,DN70=0,DV70=0),DL70,0),0)</f>
        <v>0</v>
      </c>
      <c r="DX70" s="343">
        <f t="shared" ref="DX70:DX72" si="188">IFERROR(IF(AND((EF70+EN70+EO70+EP70)=EE70,DN70=0,DV70=0,DW70=0),DL70,0),0)</f>
        <v>0</v>
      </c>
      <c r="DY70" s="343">
        <f t="shared" ref="DY70:DY72" si="189">IFERROR(IF(AND((EF70+EN70+EO70+EP70+EQ70)=EE70,DN70=0,DV70=0,DW70=0,DX70=0),DL70,0),0)</f>
        <v>0</v>
      </c>
      <c r="DZ70" s="195"/>
      <c r="EA70" s="344"/>
      <c r="EB70" s="344"/>
      <c r="EC70" s="344"/>
      <c r="ED70" s="345"/>
      <c r="EE70" s="355"/>
      <c r="EF70" s="338"/>
      <c r="EG70" s="338"/>
      <c r="EH70" s="343"/>
      <c r="EI70" s="343"/>
      <c r="EJ70" s="343"/>
      <c r="EK70" s="343"/>
      <c r="EL70" s="343"/>
      <c r="EM70" s="338"/>
      <c r="EN70" s="343"/>
      <c r="EO70" s="343"/>
      <c r="EP70" s="343"/>
      <c r="EQ70" s="343"/>
      <c r="ER70" s="114"/>
      <c r="ES70" s="499"/>
      <c r="ET70" s="112"/>
    </row>
    <row r="71" spans="1:150" ht="11.85" customHeight="1" outlineLevel="3">
      <c r="A71" s="112"/>
      <c r="B71" s="162" t="s">
        <v>77</v>
      </c>
      <c r="C71" s="213">
        <v>2</v>
      </c>
      <c r="D71" s="214" t="s">
        <v>70</v>
      </c>
      <c r="E71" s="114"/>
      <c r="F71" s="196">
        <v>0</v>
      </c>
      <c r="G71" s="194"/>
      <c r="H71" s="328"/>
      <c r="I71" s="328">
        <f t="shared" si="172"/>
        <v>0</v>
      </c>
      <c r="J71" s="343"/>
      <c r="K71" s="343"/>
      <c r="L71" s="343">
        <f t="shared" si="146"/>
        <v>0</v>
      </c>
      <c r="M71" s="343">
        <f t="shared" si="147"/>
        <v>0</v>
      </c>
      <c r="N71" s="343">
        <f t="shared" si="148"/>
        <v>0</v>
      </c>
      <c r="O71" s="343">
        <f t="shared" si="149"/>
        <v>0</v>
      </c>
      <c r="P71" s="343"/>
      <c r="Q71" s="343">
        <f>IFERROR(IF(AND((W71+Y71)=100%,Y71&lt;1),H71,0),0)</f>
        <v>0</v>
      </c>
      <c r="R71" s="343">
        <f>IFERROR(IF(AND((X71+Z71)=100%,Z71&lt;1),J71,0),0)</f>
        <v>0</v>
      </c>
      <c r="S71" s="343">
        <f t="shared" si="173"/>
        <v>0</v>
      </c>
      <c r="T71" s="343">
        <f t="shared" si="174"/>
        <v>0</v>
      </c>
      <c r="U71" s="343">
        <f t="shared" si="175"/>
        <v>0</v>
      </c>
      <c r="V71" s="195"/>
      <c r="W71" s="344"/>
      <c r="X71" s="344"/>
      <c r="Y71" s="344"/>
      <c r="Z71" s="345"/>
      <c r="AA71" s="355"/>
      <c r="AB71" s="338"/>
      <c r="AC71" s="338"/>
      <c r="AD71" s="343"/>
      <c r="AE71" s="343"/>
      <c r="AF71" s="343"/>
      <c r="AG71" s="343"/>
      <c r="AH71" s="343"/>
      <c r="AI71" s="338"/>
      <c r="AJ71" s="343"/>
      <c r="AK71" s="343"/>
      <c r="AL71" s="343"/>
      <c r="AM71" s="343"/>
      <c r="AN71" s="338"/>
      <c r="AO71" s="338"/>
      <c r="AP71" s="196">
        <v>0.15</v>
      </c>
      <c r="AQ71" s="194"/>
      <c r="AR71" s="447">
        <f>$AR$69/$AP$69*AP71</f>
        <v>3.0941831249999999E-2</v>
      </c>
      <c r="AS71" s="447">
        <f t="shared" si="176"/>
        <v>3.0941831249999999E-2</v>
      </c>
      <c r="AT71" s="447">
        <f>IFERROR(IF(BG71=100%,AR71,0),0)</f>
        <v>3.0941831249999999E-2</v>
      </c>
      <c r="AU71" s="343">
        <f>IFERROR(IF(AND((BG71+BH71)=100%,BG71&lt;1),AR71,0),0)</f>
        <v>0</v>
      </c>
      <c r="AV71" s="343">
        <f>IFERROR(IF(AND((BL71+BN71)=BK71,AT71=0),AR71,0),0)</f>
        <v>0</v>
      </c>
      <c r="AW71" s="343">
        <f>IFERROR(IF(AND((BL71+BN71+BO71)=BK71,AT71=0,AV71=0),AR71,0),0)</f>
        <v>0</v>
      </c>
      <c r="AX71" s="343">
        <f>IFERROR(IF(AND((BL71+BN71+BO71+BP71)=BK71,AT71=0,AU71=0,AV71=0,AW71=0),AR71,0),0)</f>
        <v>0</v>
      </c>
      <c r="AY71" s="343">
        <f>IFERROR(IF(AND((BL71+BN71+BO71+BP71+BQ71)=BK71,AT71=0,AU71=0,AV71=0,AW71=0,AX71=0),AR71,0),0)</f>
        <v>0</v>
      </c>
      <c r="AZ71" s="343"/>
      <c r="BA71" s="343">
        <f>IFERROR(IF(AND((BG71+BI71)=100%,BG71&lt;1),AR71,0),0)</f>
        <v>0</v>
      </c>
      <c r="BB71" s="343">
        <f>IFERROR(IF(AND((BL71+BT71)=BK71,AT71=0),AR71,0),0)</f>
        <v>0</v>
      </c>
      <c r="BC71" s="343">
        <f>IFERROR(IF(AND((BL71+BT71+BU71)=BK71,AT71=0,BB71=0),AR71,0),0)</f>
        <v>0</v>
      </c>
      <c r="BD71" s="343">
        <f>IFERROR(IF(AND((BL71+BT71+BU71+BV71)=BK71,AT71=0,BB71=0,BC71=0),AR71,0),0)</f>
        <v>0</v>
      </c>
      <c r="BE71" s="343">
        <f>IFERROR(IF(AND((BL71+BT71+BU71+BV71+BW71)=BK71,AT71=0,BB71=0,BC71=0,BD71=0),AR71,0),0)</f>
        <v>0</v>
      </c>
      <c r="BF71" s="195"/>
      <c r="BG71" s="344">
        <f>IFERROR(BL71/BK71,0)</f>
        <v>1</v>
      </c>
      <c r="BH71" s="344">
        <f>IFERROR(BM71/BK71,0)</f>
        <v>0</v>
      </c>
      <c r="BI71" s="344">
        <f t="shared" si="177"/>
        <v>0</v>
      </c>
      <c r="BJ71" s="345"/>
      <c r="BK71" s="355">
        <f>COUNTIF('ST | Drawing List'!$H:$H,"ST-SSA-2")</f>
        <v>5</v>
      </c>
      <c r="BL71" s="338">
        <f>COUNTIFS('ST | Drawing List'!$H:$H,"ST-SSA-2",'ST | Drawing List'!$J:$J,1)</f>
        <v>5</v>
      </c>
      <c r="BM71" s="338">
        <f>COUNTIFS('ST | Drawing List'!$H:$H,"ST-SSA-2",'ST | Drawing List'!$L:$L,1)</f>
        <v>0</v>
      </c>
      <c r="BN71" s="343">
        <f>COUNTIFS('ST | Drawing List'!$H:$H,"ST-SSA-2",'ST | Drawing List'!M:M,1)</f>
        <v>0</v>
      </c>
      <c r="BO71" s="343">
        <f>COUNTIFS('ST | Drawing List'!$H:$H,"ST-SSA-2",'ST | Drawing List'!N:N,1)</f>
        <v>0</v>
      </c>
      <c r="BP71" s="343">
        <f>COUNTIFS('ST | Drawing List'!$H:$H,"ST-SSA-2",'ST | Drawing List'!O:O,1)</f>
        <v>0</v>
      </c>
      <c r="BQ71" s="343">
        <f>COUNTIFS('ST | Drawing List'!$H:$H,"ST-SSA-2",'ST | Drawing List'!P:P,1)</f>
        <v>0</v>
      </c>
      <c r="BR71" s="343"/>
      <c r="BS71" s="338">
        <f>COUNTIFS('ST | Drawing List'!$H:$H,"ST-SSA-2",'ST | Drawing List'!$Q:$Q,1)</f>
        <v>0</v>
      </c>
      <c r="BT71" s="343">
        <f>COUNTIFS('ST | Drawing List'!$H:$H,"ST-SSA-2",'ST | Drawing List'!R:R,1)</f>
        <v>0</v>
      </c>
      <c r="BU71" s="343">
        <f>COUNTIFS('ST | Drawing List'!$H:$H,"ST-SSA-2",'ST | Drawing List'!S:S,1)</f>
        <v>0</v>
      </c>
      <c r="BV71" s="343">
        <f>COUNTIFS('ST | Drawing List'!$H:$H,"ST-SSA-2",'ST | Drawing List'!T:T,1)</f>
        <v>0</v>
      </c>
      <c r="BW71" s="343">
        <f>COUNTIFS('ST | Drawing List'!$H:$H,"ST-SSA-2",'ST | Drawing List'!U:U,1)</f>
        <v>0</v>
      </c>
      <c r="BX71" s="194"/>
      <c r="BY71" s="194"/>
      <c r="BZ71" s="196">
        <v>0</v>
      </c>
      <c r="CA71" s="194"/>
      <c r="CB71" s="332"/>
      <c r="CC71" s="328">
        <f t="shared" si="178"/>
        <v>0</v>
      </c>
      <c r="CD71" s="343"/>
      <c r="CE71" s="343"/>
      <c r="CF71" s="343">
        <f t="shared" si="156"/>
        <v>0</v>
      </c>
      <c r="CG71" s="343">
        <f t="shared" si="157"/>
        <v>0</v>
      </c>
      <c r="CH71" s="343">
        <f t="shared" si="158"/>
        <v>0</v>
      </c>
      <c r="CI71" s="343">
        <f t="shared" si="159"/>
        <v>0</v>
      </c>
      <c r="CJ71" s="343"/>
      <c r="CK71" s="478">
        <f t="shared" si="179"/>
        <v>0</v>
      </c>
      <c r="CL71" s="478">
        <f t="shared" si="180"/>
        <v>0</v>
      </c>
      <c r="CM71" s="478">
        <f t="shared" si="181"/>
        <v>0</v>
      </c>
      <c r="CN71" s="478">
        <f t="shared" si="182"/>
        <v>0</v>
      </c>
      <c r="CO71" s="478">
        <f t="shared" si="183"/>
        <v>0</v>
      </c>
      <c r="CP71" s="195"/>
      <c r="CQ71" s="344"/>
      <c r="CR71" s="344"/>
      <c r="CS71" s="344"/>
      <c r="CT71" s="345"/>
      <c r="CU71" s="355"/>
      <c r="CV71" s="338"/>
      <c r="CW71" s="338"/>
      <c r="CX71" s="343"/>
      <c r="CY71" s="343"/>
      <c r="CZ71" s="343"/>
      <c r="DA71" s="343"/>
      <c r="DB71" s="343"/>
      <c r="DC71" s="338"/>
      <c r="DD71" s="343"/>
      <c r="DE71" s="343"/>
      <c r="DF71" s="343"/>
      <c r="DG71" s="343"/>
      <c r="DH71" s="194"/>
      <c r="DI71" s="194"/>
      <c r="DJ71" s="196">
        <v>0</v>
      </c>
      <c r="DK71" s="194"/>
      <c r="DL71" s="332"/>
      <c r="DM71" s="328">
        <f t="shared" si="184"/>
        <v>0</v>
      </c>
      <c r="DN71" s="343"/>
      <c r="DO71" s="343"/>
      <c r="DP71" s="343"/>
      <c r="DQ71" s="343"/>
      <c r="DR71" s="343"/>
      <c r="DS71" s="343"/>
      <c r="DT71" s="343"/>
      <c r="DU71" s="343">
        <f t="shared" si="185"/>
        <v>0</v>
      </c>
      <c r="DV71" s="343">
        <f t="shared" si="186"/>
        <v>0</v>
      </c>
      <c r="DW71" s="343">
        <f t="shared" si="187"/>
        <v>0</v>
      </c>
      <c r="DX71" s="343">
        <f t="shared" si="188"/>
        <v>0</v>
      </c>
      <c r="DY71" s="343">
        <f t="shared" si="189"/>
        <v>0</v>
      </c>
      <c r="DZ71" s="195"/>
      <c r="EA71" s="344"/>
      <c r="EB71" s="344"/>
      <c r="EC71" s="344"/>
      <c r="ED71" s="345"/>
      <c r="EE71" s="355"/>
      <c r="EF71" s="338"/>
      <c r="EG71" s="338"/>
      <c r="EH71" s="343"/>
      <c r="EI71" s="343"/>
      <c r="EJ71" s="343"/>
      <c r="EK71" s="343"/>
      <c r="EL71" s="343"/>
      <c r="EM71" s="338"/>
      <c r="EN71" s="343"/>
      <c r="EO71" s="343"/>
      <c r="EP71" s="343"/>
      <c r="EQ71" s="343"/>
      <c r="ER71" s="114"/>
      <c r="ES71" s="499"/>
      <c r="ET71" s="112"/>
    </row>
    <row r="72" spans="1:150" ht="11.85" customHeight="1" outlineLevel="3">
      <c r="A72" s="112"/>
      <c r="B72" s="162" t="s">
        <v>78</v>
      </c>
      <c r="C72" s="213">
        <v>3</v>
      </c>
      <c r="D72" s="214" t="s">
        <v>72</v>
      </c>
      <c r="E72" s="114"/>
      <c r="F72" s="196">
        <v>0</v>
      </c>
      <c r="G72" s="194"/>
      <c r="H72" s="328"/>
      <c r="I72" s="328">
        <f t="shared" si="172"/>
        <v>0</v>
      </c>
      <c r="J72" s="343"/>
      <c r="K72" s="343"/>
      <c r="L72" s="343">
        <f t="shared" si="146"/>
        <v>0</v>
      </c>
      <c r="M72" s="343">
        <f t="shared" si="147"/>
        <v>0</v>
      </c>
      <c r="N72" s="343">
        <f t="shared" si="148"/>
        <v>0</v>
      </c>
      <c r="O72" s="343">
        <f t="shared" si="149"/>
        <v>0</v>
      </c>
      <c r="P72" s="343"/>
      <c r="Q72" s="343">
        <f>IFERROR(IF(AND((W72+Y72)=100%,Y72&lt;1),H72,0),0)</f>
        <v>0</v>
      </c>
      <c r="R72" s="343">
        <f>IFERROR(IF(AND((X72+Z72)=100%,Z72&lt;1),J72,0),0)</f>
        <v>0</v>
      </c>
      <c r="S72" s="343">
        <f t="shared" si="173"/>
        <v>0</v>
      </c>
      <c r="T72" s="343">
        <f t="shared" si="174"/>
        <v>0</v>
      </c>
      <c r="U72" s="343">
        <f t="shared" si="175"/>
        <v>0</v>
      </c>
      <c r="V72" s="195"/>
      <c r="W72" s="344"/>
      <c r="X72" s="344"/>
      <c r="Y72" s="344"/>
      <c r="Z72" s="345"/>
      <c r="AA72" s="355"/>
      <c r="AB72" s="338"/>
      <c r="AC72" s="338"/>
      <c r="AD72" s="343"/>
      <c r="AE72" s="343"/>
      <c r="AF72" s="343"/>
      <c r="AG72" s="343"/>
      <c r="AH72" s="343"/>
      <c r="AI72" s="338"/>
      <c r="AJ72" s="343"/>
      <c r="AK72" s="343"/>
      <c r="AL72" s="343"/>
      <c r="AM72" s="343"/>
      <c r="AN72" s="338"/>
      <c r="AO72" s="338"/>
      <c r="AP72" s="196">
        <v>0.15</v>
      </c>
      <c r="AQ72" s="194"/>
      <c r="AR72" s="447">
        <f>$AR$69/$AP$69*AP72</f>
        <v>3.0941831249999999E-2</v>
      </c>
      <c r="AS72" s="447">
        <f t="shared" si="176"/>
        <v>3.0941831249999999E-2</v>
      </c>
      <c r="AT72" s="447">
        <f>IFERROR(IF(BG72=100%,AR72,0),0)</f>
        <v>0</v>
      </c>
      <c r="AU72" s="343">
        <f>IFERROR(IF(AND((BG72+BH72)=100%,BG72&lt;1),AR72,0),0)</f>
        <v>3.0941831249999999E-2</v>
      </c>
      <c r="AV72" s="343">
        <f>IFERROR(IF(AND((BL72+BN72)=BK72,AT72=0),AR72,0),0)</f>
        <v>3.0941831249999999E-2</v>
      </c>
      <c r="AW72" s="343">
        <f>IFERROR(IF(AND((BL72+BN72+BO72)=BK72,AT72=0,AV72=0),AR72,0),0)</f>
        <v>0</v>
      </c>
      <c r="AX72" s="343">
        <f>IFERROR(IF(AND((BL72+BN72+BO72+BP72)=BK72,AT72=0,AU72=0,AV72=0,AW72=0),AR72,0),0)</f>
        <v>0</v>
      </c>
      <c r="AY72" s="343">
        <f>IFERROR(IF(AND((BL72+BN72+BO72+BP72+BQ72)=BK72,AT72=0,AU72=0,AV72=0,AW72=0,AX72=0),AR72,0),0)</f>
        <v>0</v>
      </c>
      <c r="AZ72" s="343"/>
      <c r="BA72" s="343">
        <f>IFERROR(IF(AND((BG72+BI72)=100%,BG72&lt;1),AR72,0),0)</f>
        <v>3.0941831249999999E-2</v>
      </c>
      <c r="BB72" s="343">
        <f>IFERROR(IF(AND((BL72+BT72)=BK72,AT72=0),AR72,0),0)</f>
        <v>3.0941831249999999E-2</v>
      </c>
      <c r="BC72" s="343">
        <f>IFERROR(IF(AND((BL72+BT72+BU72)=BK72,AT72=0,BB72=0),AR72,0),0)</f>
        <v>0</v>
      </c>
      <c r="BD72" s="343">
        <f>IFERROR(IF(AND((BL72+BT72+BU72+BV72)=BK72,AT72=0,BB72=0,BC72=0),AR72,0),0)</f>
        <v>0</v>
      </c>
      <c r="BE72" s="343">
        <f>IFERROR(IF(AND((BL72+BT72+BU72+BV72+BW72)=BK72,AT72=0,BB72=0,BC72=0,BD72=0),AR72,0),0)</f>
        <v>0</v>
      </c>
      <c r="BF72" s="195"/>
      <c r="BG72" s="344">
        <f>IFERROR(BL72/BK72,0)</f>
        <v>0</v>
      </c>
      <c r="BH72" s="344">
        <f>IFERROR(BM72/BK72,0)</f>
        <v>1</v>
      </c>
      <c r="BI72" s="344">
        <f t="shared" si="177"/>
        <v>1</v>
      </c>
      <c r="BJ72" s="345"/>
      <c r="BK72" s="355">
        <f>COUNTIF('ST | Drawing List'!$H:$H,"ST-SSA-3")</f>
        <v>2</v>
      </c>
      <c r="BL72" s="338">
        <f>COUNTIFS('ST | Drawing List'!$H:$H,"ST-SSA-3",'ST | Drawing List'!$J:$J,1)</f>
        <v>0</v>
      </c>
      <c r="BM72" s="338">
        <f>COUNTIFS('ST | Drawing List'!$H:$H,"ST-SSA-3",'ST | Drawing List'!$L:$L,1)</f>
        <v>2</v>
      </c>
      <c r="BN72" s="343">
        <f>COUNTIFS('ST | Drawing List'!$H:$H,"ST-SSA-3",'ST | Drawing List'!M:M,1)</f>
        <v>2</v>
      </c>
      <c r="BO72" s="343">
        <f>COUNTIFS('ST | Drawing List'!$H:$H,"ST-SSA-3",'ST | Drawing List'!N:N,1)</f>
        <v>0</v>
      </c>
      <c r="BP72" s="343">
        <f>COUNTIFS('ST | Drawing List'!$H:$H,"ST-SSA-3",'ST | Drawing List'!O:O,1)</f>
        <v>0</v>
      </c>
      <c r="BQ72" s="343">
        <f>COUNTIFS('ST | Drawing List'!$H:$H,"ST-SSA-3",'ST | Drawing List'!P:P,1)</f>
        <v>0</v>
      </c>
      <c r="BR72" s="343"/>
      <c r="BS72" s="338">
        <f>COUNTIFS('ST | Drawing List'!$H:$H,"ST-SSA-3",'ST | Drawing List'!$Q:$Q,1)</f>
        <v>2</v>
      </c>
      <c r="BT72" s="343">
        <f>COUNTIFS('ST | Drawing List'!$H:$H,"ST-SSA-3",'ST | Drawing List'!R:R,1)</f>
        <v>2</v>
      </c>
      <c r="BU72" s="343">
        <f>COUNTIFS('ST | Drawing List'!$H:$H,"ST-SSA-3",'ST | Drawing List'!S:S,1)</f>
        <v>0</v>
      </c>
      <c r="BV72" s="343">
        <f>COUNTIFS('ST | Drawing List'!$H:$H,"ST-SSA-3",'ST | Drawing List'!T:T,1)</f>
        <v>0</v>
      </c>
      <c r="BW72" s="343">
        <f>COUNTIFS('ST | Drawing List'!$H:$H,"ST-SSA-3",'ST | Drawing List'!U:U,1)</f>
        <v>0</v>
      </c>
      <c r="BX72" s="194"/>
      <c r="BY72" s="194"/>
      <c r="BZ72" s="196">
        <v>0</v>
      </c>
      <c r="CA72" s="194"/>
      <c r="CB72" s="332"/>
      <c r="CC72" s="328">
        <f t="shared" si="178"/>
        <v>0</v>
      </c>
      <c r="CD72" s="343"/>
      <c r="CE72" s="343"/>
      <c r="CF72" s="343">
        <f t="shared" si="156"/>
        <v>0</v>
      </c>
      <c r="CG72" s="343">
        <f t="shared" si="157"/>
        <v>0</v>
      </c>
      <c r="CH72" s="343">
        <f t="shared" si="158"/>
        <v>0</v>
      </c>
      <c r="CI72" s="343">
        <f t="shared" si="159"/>
        <v>0</v>
      </c>
      <c r="CJ72" s="343"/>
      <c r="CK72" s="478">
        <f t="shared" si="179"/>
        <v>0</v>
      </c>
      <c r="CL72" s="478">
        <f t="shared" si="180"/>
        <v>0</v>
      </c>
      <c r="CM72" s="478">
        <f t="shared" si="181"/>
        <v>0</v>
      </c>
      <c r="CN72" s="478">
        <f t="shared" si="182"/>
        <v>0</v>
      </c>
      <c r="CO72" s="478">
        <f t="shared" si="183"/>
        <v>0</v>
      </c>
      <c r="CP72" s="195"/>
      <c r="CQ72" s="344"/>
      <c r="CR72" s="344"/>
      <c r="CS72" s="344"/>
      <c r="CT72" s="345"/>
      <c r="CU72" s="355"/>
      <c r="CV72" s="338"/>
      <c r="CW72" s="338"/>
      <c r="CX72" s="343"/>
      <c r="CY72" s="343"/>
      <c r="CZ72" s="343"/>
      <c r="DA72" s="343"/>
      <c r="DB72" s="343"/>
      <c r="DC72" s="338"/>
      <c r="DD72" s="343"/>
      <c r="DE72" s="343"/>
      <c r="DF72" s="343"/>
      <c r="DG72" s="343"/>
      <c r="DH72" s="194"/>
      <c r="DI72" s="194"/>
      <c r="DJ72" s="196">
        <v>0</v>
      </c>
      <c r="DK72" s="194"/>
      <c r="DL72" s="332"/>
      <c r="DM72" s="328">
        <f t="shared" si="184"/>
        <v>0</v>
      </c>
      <c r="DN72" s="343"/>
      <c r="DO72" s="343"/>
      <c r="DP72" s="343"/>
      <c r="DQ72" s="343"/>
      <c r="DR72" s="343"/>
      <c r="DS72" s="343"/>
      <c r="DT72" s="343"/>
      <c r="DU72" s="343">
        <f t="shared" si="185"/>
        <v>0</v>
      </c>
      <c r="DV72" s="343">
        <f t="shared" si="186"/>
        <v>0</v>
      </c>
      <c r="DW72" s="343">
        <f t="shared" si="187"/>
        <v>0</v>
      </c>
      <c r="DX72" s="343">
        <f t="shared" si="188"/>
        <v>0</v>
      </c>
      <c r="DY72" s="343">
        <f t="shared" si="189"/>
        <v>0</v>
      </c>
      <c r="DZ72" s="195"/>
      <c r="EA72" s="344"/>
      <c r="EB72" s="344"/>
      <c r="EC72" s="344"/>
      <c r="ED72" s="345"/>
      <c r="EE72" s="355"/>
      <c r="EF72" s="338"/>
      <c r="EG72" s="338"/>
      <c r="EH72" s="343"/>
      <c r="EI72" s="343"/>
      <c r="EJ72" s="343"/>
      <c r="EK72" s="343"/>
      <c r="EL72" s="343"/>
      <c r="EM72" s="338"/>
      <c r="EN72" s="343"/>
      <c r="EO72" s="343"/>
      <c r="EP72" s="343"/>
      <c r="EQ72" s="343"/>
      <c r="ER72" s="114"/>
      <c r="ES72" s="499"/>
      <c r="ET72" s="112"/>
    </row>
    <row r="73" spans="1:150" ht="3" customHeight="1" outlineLevel="2">
      <c r="A73" s="112"/>
      <c r="B73" s="165"/>
      <c r="C73" s="165"/>
      <c r="D73" s="114"/>
      <c r="E73" s="114"/>
      <c r="F73" s="197"/>
      <c r="G73" s="194"/>
      <c r="H73" s="328"/>
      <c r="I73" s="328">
        <f t="shared" si="172"/>
        <v>0</v>
      </c>
      <c r="J73" s="343"/>
      <c r="K73" s="343"/>
      <c r="L73" s="343">
        <f t="shared" si="146"/>
        <v>0</v>
      </c>
      <c r="M73" s="343">
        <f t="shared" si="147"/>
        <v>0</v>
      </c>
      <c r="N73" s="343">
        <f t="shared" si="148"/>
        <v>0</v>
      </c>
      <c r="O73" s="343">
        <f t="shared" si="149"/>
        <v>0</v>
      </c>
      <c r="P73" s="343"/>
      <c r="Q73" s="343"/>
      <c r="R73" s="343">
        <f t="shared" ref="R73:R82" si="190">IFERROR(IF(AND((AG73+AN73)=AF73,O73=0),N73,0),0)</f>
        <v>0</v>
      </c>
      <c r="S73" s="343">
        <f t="shared" ref="S73:S82" si="191">IFERROR(IF(AND((AG73+AN73+AP73)=AF73,O73=0,R73=0),N73,0),0)</f>
        <v>0</v>
      </c>
      <c r="T73" s="343">
        <f t="shared" ref="T73:T82" si="192">IFERROR(IF(AND((AG73+AN73+AP73+AQ73)=AF73,O73=0,Q73=0,R73=0,S73=0),N73,0),0)</f>
        <v>0</v>
      </c>
      <c r="U73" s="343">
        <f t="shared" ref="U73:U82" si="193">IFERROR(IF(AND((AG73+AN73+AP73+AQ73+AR73)=AF73,O73=0,Q73=0,R73=0,S73=0,T73=0),N73,0),0)</f>
        <v>0</v>
      </c>
      <c r="V73" s="195"/>
      <c r="W73" s="344"/>
      <c r="X73" s="344"/>
      <c r="Y73" s="344"/>
      <c r="Z73" s="345"/>
      <c r="AA73" s="355"/>
      <c r="AB73" s="338"/>
      <c r="AC73" s="338"/>
      <c r="AD73" s="343"/>
      <c r="AE73" s="343"/>
      <c r="AF73" s="343"/>
      <c r="AG73" s="343"/>
      <c r="AH73" s="343"/>
      <c r="AI73" s="338"/>
      <c r="AJ73" s="343"/>
      <c r="AK73" s="343"/>
      <c r="AL73" s="343"/>
      <c r="AM73" s="343"/>
      <c r="AN73" s="338"/>
      <c r="AO73" s="338"/>
      <c r="AP73" s="196"/>
      <c r="AQ73" s="194"/>
      <c r="AR73" s="332"/>
      <c r="AS73" s="328">
        <f t="shared" si="176"/>
        <v>0</v>
      </c>
      <c r="AT73" s="343"/>
      <c r="AU73" s="343"/>
      <c r="AV73" s="343">
        <f>IFERROR(IF(AND((BL73+BN73)=BK73,AT73=0),AR73,0),0)</f>
        <v>0</v>
      </c>
      <c r="AW73" s="343">
        <f>IFERROR(IF(AND((BL73+BN73+BO73)=BK73,AT73=0,AV73=0),AR73,0),0)</f>
        <v>0</v>
      </c>
      <c r="AX73" s="343">
        <f>IFERROR(IF(AND((BL73+BN73+BO73+BP73)=BK73,AT73=0,AU73=0,AV73=0,AW73=0),AR73,0),0)</f>
        <v>0</v>
      </c>
      <c r="AY73" s="343">
        <f>IFERROR(IF(AND((BL73+BN73+BO73+BP73+BQ73)=BK73,AT73=0,AU73=0,AV73=0,AW73=0,AX73=0),AR73,0),0)</f>
        <v>0</v>
      </c>
      <c r="AZ73" s="343"/>
      <c r="BA73" s="343"/>
      <c r="BB73" s="343">
        <f>IFERROR(IF(AND((BQ73+CE73)=BP73,AY73=0),AX73,0),0)</f>
        <v>0</v>
      </c>
      <c r="BC73" s="343">
        <f>IFERROR(IF(AND((BQ73+CE73+CF73)=BP73,AY73=0,BB73=0),AX73,0),0)</f>
        <v>0</v>
      </c>
      <c r="BD73" s="343">
        <f>IFERROR(IF(AND((BQ73+CE73+CF73+CG73)=BP73,AY73=0,BA73=0,BB73=0,BC73=0),AX73,0),0)</f>
        <v>0</v>
      </c>
      <c r="BE73" s="343">
        <f>IFERROR(IF(AND((BQ73+CE73+CF73+CG73+CH73)=BP73,AY73=0,BA73=0,BB73=0,BC73=0,BD73=0),AX73,0),0)</f>
        <v>0</v>
      </c>
      <c r="BF73" s="195"/>
      <c r="BG73" s="344"/>
      <c r="BH73" s="344"/>
      <c r="BI73" s="344"/>
      <c r="BJ73" s="345"/>
      <c r="BK73" s="355"/>
      <c r="BL73" s="338"/>
      <c r="BM73" s="338"/>
      <c r="BN73" s="343"/>
      <c r="BO73" s="343"/>
      <c r="BP73" s="343"/>
      <c r="BQ73" s="343"/>
      <c r="BR73" s="343"/>
      <c r="BS73" s="338"/>
      <c r="BT73" s="343"/>
      <c r="BU73" s="343"/>
      <c r="BV73" s="343"/>
      <c r="BW73" s="343"/>
      <c r="BX73" s="194"/>
      <c r="BY73" s="194"/>
      <c r="BZ73" s="196"/>
      <c r="CA73" s="194"/>
      <c r="CB73" s="332"/>
      <c r="CC73" s="328">
        <f t="shared" si="178"/>
        <v>0</v>
      </c>
      <c r="CD73" s="343"/>
      <c r="CE73" s="343"/>
      <c r="CF73" s="343">
        <f t="shared" si="156"/>
        <v>0</v>
      </c>
      <c r="CG73" s="343">
        <f t="shared" si="157"/>
        <v>0</v>
      </c>
      <c r="CH73" s="343">
        <f t="shared" si="158"/>
        <v>0</v>
      </c>
      <c r="CI73" s="343">
        <f t="shared" si="159"/>
        <v>0</v>
      </c>
      <c r="CJ73" s="343"/>
      <c r="CK73" s="478"/>
      <c r="CL73" s="478">
        <f>IFERROR(IF(AND((DA73+DO73)=CZ73,CI73=0),CH73,0),0)</f>
        <v>0</v>
      </c>
      <c r="CM73" s="478">
        <f>IFERROR(IF(AND((DA73+DO73+DP73)=CZ73,CI73=0,CL73=0),CH73,0),0)</f>
        <v>0</v>
      </c>
      <c r="CN73" s="478">
        <f>IFERROR(IF(AND((DA73+DO73+DP73+DQ73)=CZ73,CI73=0,CK73=0,CL73=0,CM73=0),CH73,0),0)</f>
        <v>0</v>
      </c>
      <c r="CO73" s="478">
        <f>IFERROR(IF(AND((DA73+DO73+DP73+DQ73+DR73)=CZ73,CI73=0,CK73=0,CL73=0,CM73=0,CN73=0),CH73,0),0)</f>
        <v>0</v>
      </c>
      <c r="CP73" s="195"/>
      <c r="CQ73" s="344"/>
      <c r="CR73" s="344"/>
      <c r="CS73" s="344"/>
      <c r="CT73" s="345"/>
      <c r="CU73" s="355"/>
      <c r="CV73" s="338"/>
      <c r="CW73" s="338"/>
      <c r="CX73" s="343"/>
      <c r="CY73" s="343"/>
      <c r="CZ73" s="343"/>
      <c r="DA73" s="343"/>
      <c r="DB73" s="343"/>
      <c r="DC73" s="338"/>
      <c r="DD73" s="343"/>
      <c r="DE73" s="343"/>
      <c r="DF73" s="343"/>
      <c r="DG73" s="343"/>
      <c r="DH73" s="194"/>
      <c r="DI73" s="194"/>
      <c r="DJ73" s="197"/>
      <c r="DK73" s="194"/>
      <c r="DL73" s="332"/>
      <c r="DM73" s="328">
        <f t="shared" si="184"/>
        <v>0</v>
      </c>
      <c r="DN73" s="343"/>
      <c r="DO73" s="343"/>
      <c r="DP73" s="343"/>
      <c r="DQ73" s="343"/>
      <c r="DR73" s="343"/>
      <c r="DS73" s="343"/>
      <c r="DT73" s="343"/>
      <c r="DU73" s="343"/>
      <c r="DV73" s="343">
        <f>IFERROR(IF(AND((EK73+#REF!)=EJ73,DS73=0),DR73,0),0)</f>
        <v>0</v>
      </c>
      <c r="DW73" s="343">
        <f>IFERROR(IF(AND((EK73+#REF!+#REF!)=EJ73,DS73=0,DV73=0),DR73,0),0)</f>
        <v>0</v>
      </c>
      <c r="DX73" s="343">
        <f>IFERROR(IF(AND((EK73+#REF!+#REF!+#REF!)=EJ73,DS73=0,DU73=0,DV73=0,DW73=0),DR73,0),0)</f>
        <v>0</v>
      </c>
      <c r="DY73" s="343">
        <f>IFERROR(IF(AND((EK73+#REF!+#REF!+#REF!+#REF!)=EJ73,DS73=0,DU73=0,DV73=0,DW73=0,DX73=0),DR73,0),0)</f>
        <v>0</v>
      </c>
      <c r="DZ73" s="195"/>
      <c r="EA73" s="344"/>
      <c r="EB73" s="344"/>
      <c r="EC73" s="344"/>
      <c r="ED73" s="345"/>
      <c r="EE73" s="355"/>
      <c r="EF73" s="338"/>
      <c r="EG73" s="338"/>
      <c r="EH73" s="343"/>
      <c r="EI73" s="343"/>
      <c r="EJ73" s="343"/>
      <c r="EK73" s="343"/>
      <c r="EL73" s="343"/>
      <c r="EM73" s="338"/>
      <c r="EN73" s="343"/>
      <c r="EO73" s="343"/>
      <c r="EP73" s="343"/>
      <c r="EQ73" s="343"/>
      <c r="ER73" s="114"/>
      <c r="ES73" s="499"/>
      <c r="ET73" s="112"/>
    </row>
    <row r="74" spans="1:150" ht="11.85" customHeight="1" outlineLevel="2">
      <c r="A74" s="112"/>
      <c r="B74" s="165">
        <v>3.2</v>
      </c>
      <c r="C74" s="165">
        <v>3.2</v>
      </c>
      <c r="D74" s="161" t="s">
        <v>79</v>
      </c>
      <c r="E74" s="114"/>
      <c r="F74" s="205">
        <v>0</v>
      </c>
      <c r="G74" s="205"/>
      <c r="H74" s="183">
        <v>0</v>
      </c>
      <c r="I74" s="183">
        <f t="shared" si="172"/>
        <v>0</v>
      </c>
      <c r="J74" s="343"/>
      <c r="K74" s="343"/>
      <c r="L74" s="343">
        <f t="shared" si="146"/>
        <v>0</v>
      </c>
      <c r="M74" s="343">
        <f t="shared" si="147"/>
        <v>0</v>
      </c>
      <c r="N74" s="343">
        <f t="shared" si="148"/>
        <v>0</v>
      </c>
      <c r="O74" s="343">
        <f t="shared" si="149"/>
        <v>0</v>
      </c>
      <c r="P74" s="343"/>
      <c r="Q74" s="343"/>
      <c r="R74" s="343">
        <f t="shared" si="190"/>
        <v>0</v>
      </c>
      <c r="S74" s="343">
        <f t="shared" si="191"/>
        <v>0</v>
      </c>
      <c r="T74" s="343">
        <f t="shared" si="192"/>
        <v>0</v>
      </c>
      <c r="U74" s="343">
        <f t="shared" si="193"/>
        <v>0</v>
      </c>
      <c r="V74" s="195"/>
      <c r="W74" s="344"/>
      <c r="X74" s="344"/>
      <c r="Y74" s="344"/>
      <c r="Z74" s="345"/>
      <c r="AA74" s="355"/>
      <c r="AB74" s="338"/>
      <c r="AC74" s="338"/>
      <c r="AD74" s="343"/>
      <c r="AE74" s="343"/>
      <c r="AF74" s="343"/>
      <c r="AG74" s="343"/>
      <c r="AH74" s="343"/>
      <c r="AI74" s="338"/>
      <c r="AJ74" s="343"/>
      <c r="AK74" s="343"/>
      <c r="AL74" s="343"/>
      <c r="AM74" s="343"/>
      <c r="AN74" s="338"/>
      <c r="AO74" s="338"/>
      <c r="AP74" s="205">
        <f>SUM(AP75:AP77)</f>
        <v>0.5</v>
      </c>
      <c r="AQ74" s="205"/>
      <c r="AR74" s="447">
        <f>AR62*35%</f>
        <v>0.14439521249999998</v>
      </c>
      <c r="AS74" s="447">
        <f t="shared" si="176"/>
        <v>0.14439521249999998</v>
      </c>
      <c r="AT74" s="447">
        <f>SUM(AT75:AT77)</f>
        <v>0.14439521249999998</v>
      </c>
      <c r="AU74" s="184">
        <f>SUM(AU75:AU77)</f>
        <v>0</v>
      </c>
      <c r="AV74" s="184">
        <f t="shared" ref="AV74:BF74" si="194">SUM(AV75:AV77)</f>
        <v>0</v>
      </c>
      <c r="AW74" s="184">
        <f t="shared" si="194"/>
        <v>0</v>
      </c>
      <c r="AX74" s="184">
        <f t="shared" si="194"/>
        <v>0</v>
      </c>
      <c r="AY74" s="184">
        <f t="shared" si="194"/>
        <v>0</v>
      </c>
      <c r="AZ74" s="184"/>
      <c r="BA74" s="184">
        <f>SUM(BA75:BA77)</f>
        <v>0</v>
      </c>
      <c r="BB74" s="184">
        <f t="shared" si="194"/>
        <v>0</v>
      </c>
      <c r="BC74" s="184">
        <f t="shared" si="194"/>
        <v>0</v>
      </c>
      <c r="BD74" s="184">
        <f t="shared" si="194"/>
        <v>0</v>
      </c>
      <c r="BE74" s="184">
        <f t="shared" si="194"/>
        <v>0</v>
      </c>
      <c r="BF74" s="184">
        <f t="shared" si="194"/>
        <v>0</v>
      </c>
      <c r="BG74" s="344"/>
      <c r="BH74" s="344"/>
      <c r="BI74" s="344"/>
      <c r="BJ74" s="345"/>
      <c r="BK74" s="355"/>
      <c r="BL74" s="338"/>
      <c r="BM74" s="338"/>
      <c r="BN74" s="343"/>
      <c r="BO74" s="343"/>
      <c r="BP74" s="343"/>
      <c r="BQ74" s="343"/>
      <c r="BR74" s="343"/>
      <c r="BS74" s="338"/>
      <c r="BT74" s="343"/>
      <c r="BU74" s="343"/>
      <c r="BV74" s="343"/>
      <c r="BW74" s="343"/>
      <c r="BX74" s="205"/>
      <c r="BY74" s="205"/>
      <c r="BZ74" s="205">
        <v>0</v>
      </c>
      <c r="CA74" s="205"/>
      <c r="CB74" s="332"/>
      <c r="CC74" s="183">
        <f t="shared" si="178"/>
        <v>0</v>
      </c>
      <c r="CD74" s="343"/>
      <c r="CE74" s="343"/>
      <c r="CF74" s="343">
        <f t="shared" si="156"/>
        <v>0</v>
      </c>
      <c r="CG74" s="343">
        <f t="shared" si="157"/>
        <v>0</v>
      </c>
      <c r="CH74" s="343">
        <f t="shared" si="158"/>
        <v>0</v>
      </c>
      <c r="CI74" s="343">
        <f t="shared" si="159"/>
        <v>0</v>
      </c>
      <c r="CJ74" s="343"/>
      <c r="CK74" s="478"/>
      <c r="CL74" s="478">
        <f>IFERROR(IF(AND((DA74+DO74)=CZ74,CI74=0),CH74,0),0)</f>
        <v>0</v>
      </c>
      <c r="CM74" s="478">
        <f>IFERROR(IF(AND((DA74+DO74+DP74)=CZ74,CI74=0,CL74=0),CH74,0),0)</f>
        <v>0</v>
      </c>
      <c r="CN74" s="478">
        <f>IFERROR(IF(AND((DA74+DO74+DP74+DQ74)=CZ74,CI74=0,CK74=0,CL74=0,CM74=0),CH74,0),0)</f>
        <v>0</v>
      </c>
      <c r="CO74" s="478">
        <f>IFERROR(IF(AND((DA74+DO74+DP74+DQ74+DR74)=CZ74,CI74=0,CK74=0,CL74=0,CM74=0,CN74=0),CH74,0),0)</f>
        <v>0</v>
      </c>
      <c r="CP74" s="195"/>
      <c r="CQ74" s="344"/>
      <c r="CR74" s="344"/>
      <c r="CS74" s="344"/>
      <c r="CT74" s="345"/>
      <c r="CU74" s="355"/>
      <c r="CV74" s="338"/>
      <c r="CW74" s="338"/>
      <c r="CX74" s="343"/>
      <c r="CY74" s="343"/>
      <c r="CZ74" s="343"/>
      <c r="DA74" s="343"/>
      <c r="DB74" s="343"/>
      <c r="DC74" s="338"/>
      <c r="DD74" s="343"/>
      <c r="DE74" s="343"/>
      <c r="DF74" s="343"/>
      <c r="DG74" s="343"/>
      <c r="DH74" s="205"/>
      <c r="DI74" s="205"/>
      <c r="DJ74" s="205">
        <v>0</v>
      </c>
      <c r="DK74" s="205"/>
      <c r="DL74" s="332"/>
      <c r="DM74" s="183">
        <f t="shared" si="184"/>
        <v>0</v>
      </c>
      <c r="DN74" s="343"/>
      <c r="DO74" s="343"/>
      <c r="DP74" s="343"/>
      <c r="DQ74" s="343"/>
      <c r="DR74" s="343"/>
      <c r="DS74" s="343"/>
      <c r="DT74" s="343"/>
      <c r="DU74" s="343"/>
      <c r="DV74" s="343">
        <f>IFERROR(IF(AND((EK74+#REF!)=EJ74,DS74=0),DR74,0),0)</f>
        <v>0</v>
      </c>
      <c r="DW74" s="343">
        <f>IFERROR(IF(AND((EK74+#REF!+#REF!)=EJ74,DS74=0,DV74=0),DR74,0),0)</f>
        <v>0</v>
      </c>
      <c r="DX74" s="343">
        <f>IFERROR(IF(AND((EK74+#REF!+#REF!+#REF!)=EJ74,DS74=0,DU74=0,DV74=0,DW74=0),DR74,0),0)</f>
        <v>0</v>
      </c>
      <c r="DY74" s="343">
        <f>IFERROR(IF(AND((EK74+#REF!+#REF!+#REF!+#REF!)=EJ74,DS74=0,DU74=0,DV74=0,DW74=0,DX74=0),DR74,0),0)</f>
        <v>0</v>
      </c>
      <c r="DZ74" s="195"/>
      <c r="EA74" s="344"/>
      <c r="EB74" s="344"/>
      <c r="EC74" s="344"/>
      <c r="ED74" s="345"/>
      <c r="EE74" s="355"/>
      <c r="EF74" s="338"/>
      <c r="EG74" s="338"/>
      <c r="EH74" s="343"/>
      <c r="EI74" s="343"/>
      <c r="EJ74" s="343"/>
      <c r="EK74" s="343"/>
      <c r="EL74" s="343"/>
      <c r="EM74" s="338"/>
      <c r="EN74" s="343"/>
      <c r="EO74" s="343"/>
      <c r="EP74" s="343"/>
      <c r="EQ74" s="343"/>
      <c r="ER74" s="114"/>
      <c r="ES74" s="499"/>
      <c r="ET74" s="112"/>
    </row>
    <row r="75" spans="1:150" ht="11.85" customHeight="1" outlineLevel="3">
      <c r="A75" s="112"/>
      <c r="B75" s="162" t="s">
        <v>80</v>
      </c>
      <c r="C75" s="213">
        <v>1</v>
      </c>
      <c r="D75" s="214" t="s">
        <v>68</v>
      </c>
      <c r="E75" s="114"/>
      <c r="F75" s="196">
        <v>0</v>
      </c>
      <c r="G75" s="194"/>
      <c r="H75" s="328"/>
      <c r="I75" s="328">
        <f t="shared" si="172"/>
        <v>0</v>
      </c>
      <c r="J75" s="343"/>
      <c r="K75" s="343"/>
      <c r="L75" s="343">
        <f t="shared" si="146"/>
        <v>0</v>
      </c>
      <c r="M75" s="343">
        <f t="shared" si="147"/>
        <v>0</v>
      </c>
      <c r="N75" s="343">
        <f t="shared" si="148"/>
        <v>0</v>
      </c>
      <c r="O75" s="343">
        <f t="shared" si="149"/>
        <v>0</v>
      </c>
      <c r="P75" s="343"/>
      <c r="Q75" s="343"/>
      <c r="R75" s="343">
        <f t="shared" si="190"/>
        <v>0</v>
      </c>
      <c r="S75" s="343">
        <f t="shared" si="191"/>
        <v>0</v>
      </c>
      <c r="T75" s="343">
        <f t="shared" si="192"/>
        <v>0</v>
      </c>
      <c r="U75" s="343">
        <f t="shared" si="193"/>
        <v>0</v>
      </c>
      <c r="V75" s="195"/>
      <c r="W75" s="344"/>
      <c r="X75" s="344"/>
      <c r="Y75" s="344"/>
      <c r="Z75" s="345"/>
      <c r="AA75" s="355"/>
      <c r="AB75" s="338"/>
      <c r="AC75" s="338"/>
      <c r="AD75" s="343"/>
      <c r="AE75" s="343"/>
      <c r="AF75" s="343"/>
      <c r="AG75" s="343"/>
      <c r="AH75" s="343"/>
      <c r="AI75" s="338"/>
      <c r="AJ75" s="343"/>
      <c r="AK75" s="343"/>
      <c r="AL75" s="343"/>
      <c r="AM75" s="343"/>
      <c r="AN75" s="338"/>
      <c r="AO75" s="338"/>
      <c r="AP75" s="196">
        <v>0.2</v>
      </c>
      <c r="AQ75" s="194"/>
      <c r="AR75" s="447">
        <f>$AR$74/$AP$74*AP75</f>
        <v>5.7758084999999994E-2</v>
      </c>
      <c r="AS75" s="447">
        <f t="shared" si="176"/>
        <v>5.7758084999999994E-2</v>
      </c>
      <c r="AT75" s="447">
        <f>IFERROR(IF(BG75=100%,AR75,0),0)</f>
        <v>5.7758084999999994E-2</v>
      </c>
      <c r="AU75" s="343">
        <f>IFERROR(IF(AND((BG75+BH75)=100%,BG75&lt;1),AR75,0),0)</f>
        <v>0</v>
      </c>
      <c r="AV75" s="343">
        <f>IFERROR(IF(AND((BL75+BN75)=BK75,AT75=0),AR75,0),0)</f>
        <v>0</v>
      </c>
      <c r="AW75" s="343">
        <f>IFERROR(IF(AND((BL75+BN75+BO75)=BK75,AT75=0,AV75=0),AR75,0),0)</f>
        <v>0</v>
      </c>
      <c r="AX75" s="343">
        <f>IFERROR(IF(AND((BL75+BN75+BO75+BP75)=BK75,AT75=0,AU75=0,AV75=0,AW75=0),AR75,0),0)</f>
        <v>0</v>
      </c>
      <c r="AY75" s="343">
        <f>IFERROR(IF(AND((BL75+BN75+BO75+BP75+BQ75)=BK75,AT75=0,AU75=0,AV75=0,AW75=0,AX75=0),AR75,0),0)</f>
        <v>0</v>
      </c>
      <c r="AZ75" s="343"/>
      <c r="BA75" s="343">
        <f>IFERROR(IF(AND((BG75+BI75)=100%,BG75&lt;1),AR75,0),0)</f>
        <v>0</v>
      </c>
      <c r="BB75" s="343">
        <f>IFERROR(IF(AND((BL75+BT75)=BK75,AT75=0),AR75,0),0)</f>
        <v>0</v>
      </c>
      <c r="BC75" s="343">
        <f>IFERROR(IF(AND((BL75+BT75+BU75)=BK75,AT75=0,BB75=0),AR75,0),0)</f>
        <v>0</v>
      </c>
      <c r="BD75" s="343">
        <f>IFERROR(IF(AND((BL75+BT75+BU75+BV75)=BK75,AT75=0,BB75=0,BC75=0),AR75,0),0)</f>
        <v>0</v>
      </c>
      <c r="BE75" s="343">
        <f>IFERROR(IF(AND((BL75+BT75+BU75+BV75+BW75)=BK75,AT75=0,BB75=0,BC75=0,BD75=0),AR75,0),0)</f>
        <v>0</v>
      </c>
      <c r="BF75" s="195"/>
      <c r="BG75" s="344">
        <f>IFERROR(BL75/BK75,0)</f>
        <v>1</v>
      </c>
      <c r="BH75" s="344">
        <f>IFERROR(BM75/BK75,0)</f>
        <v>0</v>
      </c>
      <c r="BI75" s="344">
        <f t="shared" ref="BI75:BI77" si="195">IFERROR(BS75/BK75,0)</f>
        <v>0</v>
      </c>
      <c r="BJ75" s="345"/>
      <c r="BK75" s="355">
        <f>COUNTIF('ST | Drawing List'!$H:$H,"ST-SSB-1")</f>
        <v>3</v>
      </c>
      <c r="BL75" s="338">
        <f>COUNTIFS('ST | Drawing List'!$H:$H,"ST-SSB-1",'ST | Drawing List'!$J:$J,1)</f>
        <v>3</v>
      </c>
      <c r="BM75" s="338">
        <f>COUNTIFS('ST | Drawing List'!$H:$H,"ST-SSB-1",'ST | Drawing List'!$L:$L,1)</f>
        <v>0</v>
      </c>
      <c r="BN75" s="343">
        <f>COUNTIFS('ST | Drawing List'!$H:$H,"ST-SSB-1",'ST | Drawing List'!M:M,1)</f>
        <v>0</v>
      </c>
      <c r="BO75" s="343">
        <f>COUNTIFS('ST | Drawing List'!$H:$H,"ST-SSB-1",'ST | Drawing List'!N:N,1)</f>
        <v>0</v>
      </c>
      <c r="BP75" s="343">
        <f>COUNTIFS('ST | Drawing List'!$H:$H,"ST-SSB-1",'ST | Drawing List'!O:O,1)</f>
        <v>0</v>
      </c>
      <c r="BQ75" s="343">
        <f>COUNTIFS('ST | Drawing List'!$H:$H,"ST-SSB-1",'ST | Drawing List'!P:P,1)</f>
        <v>0</v>
      </c>
      <c r="BR75" s="343"/>
      <c r="BS75" s="338">
        <f>COUNTIFS('ST | Drawing List'!$H:$H,"ST-SSB-1",'ST | Drawing List'!$Q:$Q,1)</f>
        <v>0</v>
      </c>
      <c r="BT75" s="343">
        <f>COUNTIFS('ST | Drawing List'!$H:$H,"ST-SSB-1",'ST | Drawing List'!R:R,1)</f>
        <v>0</v>
      </c>
      <c r="BU75" s="343">
        <f>COUNTIFS('ST | Drawing List'!$H:$H,"ST-SSB-1",'ST | Drawing List'!S:S,1)</f>
        <v>0</v>
      </c>
      <c r="BV75" s="343">
        <f>COUNTIFS('ST | Drawing List'!$H:$H,"ST-SSB-1",'ST | Drawing List'!T:T,1)</f>
        <v>0</v>
      </c>
      <c r="BW75" s="343">
        <f>COUNTIFS('ST | Drawing List'!$H:$H,"ST-SSB-1",'ST | Drawing List'!U:U,1)</f>
        <v>0</v>
      </c>
      <c r="BX75" s="194"/>
      <c r="BY75" s="194"/>
      <c r="BZ75" s="196">
        <v>0</v>
      </c>
      <c r="CA75" s="194"/>
      <c r="CB75" s="332"/>
      <c r="CC75" s="328">
        <f t="shared" si="178"/>
        <v>0</v>
      </c>
      <c r="CD75" s="343"/>
      <c r="CE75" s="343"/>
      <c r="CF75" s="343">
        <f t="shared" si="156"/>
        <v>0</v>
      </c>
      <c r="CG75" s="343">
        <f t="shared" si="157"/>
        <v>0</v>
      </c>
      <c r="CH75" s="343">
        <f t="shared" si="158"/>
        <v>0</v>
      </c>
      <c r="CI75" s="343">
        <f t="shared" si="159"/>
        <v>0</v>
      </c>
      <c r="CJ75" s="343"/>
      <c r="CK75" s="478">
        <f t="shared" ref="CK75:CK77" si="196">IFERROR(IF(AND((CQ75+CS75)=100%,CQ75&lt;1),CB75,0),0)</f>
        <v>0</v>
      </c>
      <c r="CL75" s="478">
        <f t="shared" ref="CL75:CL77" si="197">IFERROR(IF(AND((CV75+DD75)=CU75,CD75=0),CB75,0),0)</f>
        <v>0</v>
      </c>
      <c r="CM75" s="478">
        <f t="shared" ref="CM75:CM77" si="198">IFERROR(IF(AND((CV75+DD75+DE75)=CU75,CD75=0,CL75=0),CB75,0),0)</f>
        <v>0</v>
      </c>
      <c r="CN75" s="478">
        <f t="shared" ref="CN75:CN77" si="199">IFERROR(IF(AND((CV75+DD75+DE75+DF75)=CU75,CD75=0,CL75=0,CM75=0),CB75,0),0)</f>
        <v>0</v>
      </c>
      <c r="CO75" s="478">
        <f t="shared" ref="CO75:CO77" si="200">IFERROR(IF(AND((CV75+DD75+DE75+DF75+DG75)=CU75,CD75=0,CL75=0,CM75=0,CN75=0),CB75,0),0)</f>
        <v>0</v>
      </c>
      <c r="CP75" s="195"/>
      <c r="CQ75" s="344"/>
      <c r="CR75" s="344"/>
      <c r="CS75" s="344"/>
      <c r="CT75" s="345"/>
      <c r="CU75" s="355"/>
      <c r="CV75" s="338"/>
      <c r="CW75" s="338"/>
      <c r="CX75" s="343"/>
      <c r="CY75" s="343"/>
      <c r="CZ75" s="343"/>
      <c r="DA75" s="343"/>
      <c r="DB75" s="343"/>
      <c r="DC75" s="338"/>
      <c r="DD75" s="343"/>
      <c r="DE75" s="343"/>
      <c r="DF75" s="343"/>
      <c r="DG75" s="343"/>
      <c r="DH75" s="194"/>
      <c r="DI75" s="194"/>
      <c r="DJ75" s="196">
        <v>0</v>
      </c>
      <c r="DK75" s="194"/>
      <c r="DL75" s="332"/>
      <c r="DM75" s="328">
        <f t="shared" si="184"/>
        <v>0</v>
      </c>
      <c r="DN75" s="343"/>
      <c r="DO75" s="343"/>
      <c r="DP75" s="343"/>
      <c r="DQ75" s="343"/>
      <c r="DR75" s="343"/>
      <c r="DS75" s="343"/>
      <c r="DT75" s="343"/>
      <c r="DU75" s="343">
        <f t="shared" ref="DU75:DU77" si="201">IFERROR(IF(AND((EA75+EC75)=100%,EA75&lt;1),DL75,0),0)</f>
        <v>0</v>
      </c>
      <c r="DV75" s="343">
        <f t="shared" ref="DV75:DV77" si="202">IFERROR(IF(AND((EF75+EN75)=EE75,DN75=0),DL75,0),0)</f>
        <v>0</v>
      </c>
      <c r="DW75" s="343">
        <f t="shared" ref="DW75:DW77" si="203">IFERROR(IF(AND((EF75+EN75+EO75)=EE75,DN75=0,DV75=0),DL75,0),0)</f>
        <v>0</v>
      </c>
      <c r="DX75" s="343">
        <f t="shared" ref="DX75:DX77" si="204">IFERROR(IF(AND((EF75+EN75+EO75+EP75)=EE75,DN75=0,DV75=0,DW75=0),DL75,0),0)</f>
        <v>0</v>
      </c>
      <c r="DY75" s="343">
        <f t="shared" ref="DY75:DY77" si="205">IFERROR(IF(AND((EF75+EN75+EO75+EP75+EQ75)=EE75,DN75=0,DV75=0,DW75=0,DX75=0),DL75,0),0)</f>
        <v>0</v>
      </c>
      <c r="DZ75" s="195"/>
      <c r="EA75" s="344"/>
      <c r="EB75" s="344"/>
      <c r="EC75" s="344"/>
      <c r="ED75" s="345"/>
      <c r="EE75" s="355"/>
      <c r="EF75" s="338"/>
      <c r="EG75" s="338"/>
      <c r="EH75" s="343"/>
      <c r="EI75" s="343"/>
      <c r="EJ75" s="343"/>
      <c r="EK75" s="343"/>
      <c r="EL75" s="343"/>
      <c r="EM75" s="338"/>
      <c r="EN75" s="343"/>
      <c r="EO75" s="343"/>
      <c r="EP75" s="343"/>
      <c r="EQ75" s="343"/>
      <c r="ER75" s="114"/>
      <c r="ES75" s="499"/>
      <c r="ET75" s="112"/>
    </row>
    <row r="76" spans="1:150" ht="11.85" customHeight="1" outlineLevel="3">
      <c r="A76" s="112"/>
      <c r="B76" s="162" t="s">
        <v>81</v>
      </c>
      <c r="C76" s="213">
        <v>2</v>
      </c>
      <c r="D76" s="214" t="s">
        <v>70</v>
      </c>
      <c r="E76" s="114"/>
      <c r="F76" s="196">
        <v>0</v>
      </c>
      <c r="G76" s="194"/>
      <c r="H76" s="328"/>
      <c r="I76" s="328">
        <f t="shared" si="172"/>
        <v>0</v>
      </c>
      <c r="J76" s="343"/>
      <c r="K76" s="343"/>
      <c r="L76" s="343">
        <f t="shared" si="146"/>
        <v>0</v>
      </c>
      <c r="M76" s="343">
        <f t="shared" si="147"/>
        <v>0</v>
      </c>
      <c r="N76" s="343">
        <f t="shared" si="148"/>
        <v>0</v>
      </c>
      <c r="O76" s="343">
        <f t="shared" si="149"/>
        <v>0</v>
      </c>
      <c r="P76" s="343"/>
      <c r="Q76" s="343"/>
      <c r="R76" s="343">
        <f t="shared" si="190"/>
        <v>0</v>
      </c>
      <c r="S76" s="343">
        <f t="shared" si="191"/>
        <v>0</v>
      </c>
      <c r="T76" s="343">
        <f t="shared" si="192"/>
        <v>0</v>
      </c>
      <c r="U76" s="343">
        <f t="shared" si="193"/>
        <v>0</v>
      </c>
      <c r="V76" s="195"/>
      <c r="W76" s="344"/>
      <c r="X76" s="344"/>
      <c r="Y76" s="344"/>
      <c r="Z76" s="345"/>
      <c r="AA76" s="355"/>
      <c r="AB76" s="338"/>
      <c r="AC76" s="338"/>
      <c r="AD76" s="343"/>
      <c r="AE76" s="343"/>
      <c r="AF76" s="343"/>
      <c r="AG76" s="343"/>
      <c r="AH76" s="343"/>
      <c r="AI76" s="338"/>
      <c r="AJ76" s="343"/>
      <c r="AK76" s="343"/>
      <c r="AL76" s="343"/>
      <c r="AM76" s="343"/>
      <c r="AN76" s="338"/>
      <c r="AO76" s="338"/>
      <c r="AP76" s="196">
        <v>0.15</v>
      </c>
      <c r="AQ76" s="194"/>
      <c r="AR76" s="447">
        <f>$AR$74/$AP$74*AP76</f>
        <v>4.331856374999999E-2</v>
      </c>
      <c r="AS76" s="447">
        <f t="shared" si="176"/>
        <v>4.331856374999999E-2</v>
      </c>
      <c r="AT76" s="447">
        <f>IFERROR(IF(BG76=100%,AR76,0),0)</f>
        <v>4.331856374999999E-2</v>
      </c>
      <c r="AU76" s="343">
        <f>IFERROR(IF(AND((BG76+BH76)=100%,BG76&lt;1),AR76,0),0)</f>
        <v>0</v>
      </c>
      <c r="AV76" s="343">
        <f>IFERROR(IF(AND((BL76+BN76)=BK76,AT76=0),AR76,0),0)</f>
        <v>0</v>
      </c>
      <c r="AW76" s="343">
        <f>IFERROR(IF(AND((BL76+BN76+BO76)=BK76,AT76=0,AV76=0),AR76,0),0)</f>
        <v>0</v>
      </c>
      <c r="AX76" s="343">
        <f>IFERROR(IF(AND((BL76+BN76+BO76+BP76)=BK76,AT76=0,AU76=0,AV76=0,AW76=0),AR76,0),0)</f>
        <v>0</v>
      </c>
      <c r="AY76" s="343">
        <f>IFERROR(IF(AND((BL76+BN76+BO76+BP76+BQ76)=BK76,AT76=0,AU76=0,AV76=0,AW76=0,AX76=0),AR76,0),0)</f>
        <v>0</v>
      </c>
      <c r="AZ76" s="343"/>
      <c r="BA76" s="343">
        <f>IFERROR(IF(AND((BG76+BI76)=100%,BG76&lt;1),AR76,0),0)</f>
        <v>0</v>
      </c>
      <c r="BB76" s="343">
        <f>IFERROR(IF(AND((BL76+BT76)=BK76,AT76=0),AR76,0),0)</f>
        <v>0</v>
      </c>
      <c r="BC76" s="343">
        <f>IFERROR(IF(AND((BL76+BT76+BU76)=BK76,AT76=0,BB76=0),AR76,0),0)</f>
        <v>0</v>
      </c>
      <c r="BD76" s="343">
        <f>IFERROR(IF(AND((BL76+BT76+BU76+BV76)=BK76,AT76=0,BB76=0,BC76=0),AR76,0),0)</f>
        <v>0</v>
      </c>
      <c r="BE76" s="343">
        <f>IFERROR(IF(AND((BL76+BT76+BU76+BV76+BW76)=BK76,AT76=0,BB76=0,BC76=0,BD76=0),AR76,0),0)</f>
        <v>0</v>
      </c>
      <c r="BF76" s="195"/>
      <c r="BG76" s="344">
        <f>IFERROR(BL76/BK76,0)</f>
        <v>1</v>
      </c>
      <c r="BH76" s="344">
        <f>IFERROR(BM76/BK76,0)</f>
        <v>0</v>
      </c>
      <c r="BI76" s="344">
        <f t="shared" si="195"/>
        <v>0</v>
      </c>
      <c r="BJ76" s="345"/>
      <c r="BK76" s="355">
        <f>COUNTIF('ST | Drawing List'!$H:$H,"ST-SSB-2")</f>
        <v>5</v>
      </c>
      <c r="BL76" s="338">
        <f>COUNTIFS('ST | Drawing List'!$H:$H,"ST-SSB-2",'ST | Drawing List'!$J:$J,1)</f>
        <v>5</v>
      </c>
      <c r="BM76" s="338">
        <f>COUNTIFS('ST | Drawing List'!$H:$H,"ST-SSB-2",'ST | Drawing List'!$L:$L,1)</f>
        <v>0</v>
      </c>
      <c r="BN76" s="343">
        <f>COUNTIFS('ST | Drawing List'!$H:$H,"ST-SSB-2",'ST | Drawing List'!M:M,1)</f>
        <v>0</v>
      </c>
      <c r="BO76" s="343">
        <f>COUNTIFS('ST | Drawing List'!$H:$H,"ST-SSB-2",'ST | Drawing List'!N:N,1)</f>
        <v>0</v>
      </c>
      <c r="BP76" s="343">
        <f>COUNTIFS('ST | Drawing List'!$H:$H,"ST-SSB-2",'ST | Drawing List'!O:O,1)</f>
        <v>0</v>
      </c>
      <c r="BQ76" s="343">
        <f>COUNTIFS('ST | Drawing List'!$H:$H,"ST-SSB-2",'ST | Drawing List'!P:P,1)</f>
        <v>0</v>
      </c>
      <c r="BR76" s="343"/>
      <c r="BS76" s="338">
        <f>COUNTIFS('ST | Drawing List'!$H:$H,"ST-SSB-2",'ST | Drawing List'!$Q:$Q,1)</f>
        <v>0</v>
      </c>
      <c r="BT76" s="343">
        <f>COUNTIFS('ST | Drawing List'!$H:$H,"ST-SSB-2",'ST | Drawing List'!R:R,1)</f>
        <v>0</v>
      </c>
      <c r="BU76" s="343">
        <f>COUNTIFS('ST | Drawing List'!$H:$H,"ST-SSB-2",'ST | Drawing List'!S:S,1)</f>
        <v>0</v>
      </c>
      <c r="BV76" s="343">
        <f>COUNTIFS('ST | Drawing List'!$H:$H,"ST-SSB-2",'ST | Drawing List'!T:T,1)</f>
        <v>0</v>
      </c>
      <c r="BW76" s="343">
        <f>COUNTIFS('ST | Drawing List'!$H:$H,"ST-SSB-2",'ST | Drawing List'!U:U,1)</f>
        <v>0</v>
      </c>
      <c r="BX76" s="194"/>
      <c r="BY76" s="194"/>
      <c r="BZ76" s="196">
        <v>0</v>
      </c>
      <c r="CA76" s="194"/>
      <c r="CB76" s="332"/>
      <c r="CC76" s="328">
        <f t="shared" si="178"/>
        <v>0</v>
      </c>
      <c r="CD76" s="343"/>
      <c r="CE76" s="343"/>
      <c r="CF76" s="343">
        <f t="shared" si="156"/>
        <v>0</v>
      </c>
      <c r="CG76" s="343">
        <f t="shared" si="157"/>
        <v>0</v>
      </c>
      <c r="CH76" s="343">
        <f t="shared" si="158"/>
        <v>0</v>
      </c>
      <c r="CI76" s="343">
        <f t="shared" si="159"/>
        <v>0</v>
      </c>
      <c r="CJ76" s="343"/>
      <c r="CK76" s="478">
        <f t="shared" si="196"/>
        <v>0</v>
      </c>
      <c r="CL76" s="478">
        <f t="shared" si="197"/>
        <v>0</v>
      </c>
      <c r="CM76" s="478">
        <f t="shared" si="198"/>
        <v>0</v>
      </c>
      <c r="CN76" s="478">
        <f t="shared" si="199"/>
        <v>0</v>
      </c>
      <c r="CO76" s="478">
        <f t="shared" si="200"/>
        <v>0</v>
      </c>
      <c r="CP76" s="195"/>
      <c r="CQ76" s="344"/>
      <c r="CR76" s="344"/>
      <c r="CS76" s="344"/>
      <c r="CT76" s="345"/>
      <c r="CU76" s="355"/>
      <c r="CV76" s="338"/>
      <c r="CW76" s="338"/>
      <c r="CX76" s="343"/>
      <c r="CY76" s="343"/>
      <c r="CZ76" s="343"/>
      <c r="DA76" s="343"/>
      <c r="DB76" s="343"/>
      <c r="DC76" s="338"/>
      <c r="DD76" s="343"/>
      <c r="DE76" s="343"/>
      <c r="DF76" s="343"/>
      <c r="DG76" s="343"/>
      <c r="DH76" s="194"/>
      <c r="DI76" s="194"/>
      <c r="DJ76" s="196">
        <v>0</v>
      </c>
      <c r="DK76" s="194"/>
      <c r="DL76" s="332"/>
      <c r="DM76" s="328">
        <f t="shared" si="184"/>
        <v>0</v>
      </c>
      <c r="DN76" s="343"/>
      <c r="DO76" s="343"/>
      <c r="DP76" s="343"/>
      <c r="DQ76" s="343"/>
      <c r="DR76" s="343"/>
      <c r="DS76" s="343"/>
      <c r="DT76" s="343"/>
      <c r="DU76" s="343">
        <f t="shared" si="201"/>
        <v>0</v>
      </c>
      <c r="DV76" s="343">
        <f t="shared" si="202"/>
        <v>0</v>
      </c>
      <c r="DW76" s="343">
        <f t="shared" si="203"/>
        <v>0</v>
      </c>
      <c r="DX76" s="343">
        <f t="shared" si="204"/>
        <v>0</v>
      </c>
      <c r="DY76" s="343">
        <f t="shared" si="205"/>
        <v>0</v>
      </c>
      <c r="DZ76" s="195"/>
      <c r="EA76" s="344"/>
      <c r="EB76" s="344"/>
      <c r="EC76" s="344"/>
      <c r="ED76" s="345"/>
      <c r="EE76" s="355"/>
      <c r="EF76" s="338"/>
      <c r="EG76" s="338"/>
      <c r="EH76" s="343"/>
      <c r="EI76" s="343"/>
      <c r="EJ76" s="343"/>
      <c r="EK76" s="343"/>
      <c r="EL76" s="343"/>
      <c r="EM76" s="338"/>
      <c r="EN76" s="343"/>
      <c r="EO76" s="343"/>
      <c r="EP76" s="343"/>
      <c r="EQ76" s="343"/>
      <c r="ER76" s="114"/>
      <c r="ES76" s="499"/>
      <c r="ET76" s="112"/>
    </row>
    <row r="77" spans="1:150" ht="11.85" customHeight="1" outlineLevel="3">
      <c r="A77" s="112"/>
      <c r="B77" s="162" t="s">
        <v>82</v>
      </c>
      <c r="C77" s="213">
        <v>3</v>
      </c>
      <c r="D77" s="214" t="s">
        <v>72</v>
      </c>
      <c r="E77" s="114"/>
      <c r="F77" s="196">
        <v>0</v>
      </c>
      <c r="G77" s="194"/>
      <c r="H77" s="328"/>
      <c r="I77" s="328">
        <f t="shared" si="172"/>
        <v>0</v>
      </c>
      <c r="J77" s="343"/>
      <c r="K77" s="343"/>
      <c r="L77" s="343">
        <f t="shared" si="146"/>
        <v>0</v>
      </c>
      <c r="M77" s="343">
        <f t="shared" si="147"/>
        <v>0</v>
      </c>
      <c r="N77" s="343">
        <f t="shared" si="148"/>
        <v>0</v>
      </c>
      <c r="O77" s="343">
        <f t="shared" si="149"/>
        <v>0</v>
      </c>
      <c r="P77" s="343"/>
      <c r="Q77" s="343"/>
      <c r="R77" s="343">
        <f t="shared" si="190"/>
        <v>0</v>
      </c>
      <c r="S77" s="343">
        <f t="shared" si="191"/>
        <v>0</v>
      </c>
      <c r="T77" s="343">
        <f t="shared" si="192"/>
        <v>0</v>
      </c>
      <c r="U77" s="343">
        <f t="shared" si="193"/>
        <v>0</v>
      </c>
      <c r="V77" s="195"/>
      <c r="W77" s="344"/>
      <c r="X77" s="344"/>
      <c r="Y77" s="344"/>
      <c r="Z77" s="345"/>
      <c r="AA77" s="355"/>
      <c r="AB77" s="338"/>
      <c r="AC77" s="338"/>
      <c r="AD77" s="343"/>
      <c r="AE77" s="343"/>
      <c r="AF77" s="343"/>
      <c r="AG77" s="343"/>
      <c r="AH77" s="343"/>
      <c r="AI77" s="338"/>
      <c r="AJ77" s="343"/>
      <c r="AK77" s="343"/>
      <c r="AL77" s="343"/>
      <c r="AM77" s="343"/>
      <c r="AN77" s="338"/>
      <c r="AO77" s="338"/>
      <c r="AP77" s="196">
        <v>0.15</v>
      </c>
      <c r="AQ77" s="194"/>
      <c r="AR77" s="447">
        <f>$AR$74/$AP$74*AP77</f>
        <v>4.331856374999999E-2</v>
      </c>
      <c r="AS77" s="447">
        <f t="shared" si="176"/>
        <v>4.331856374999999E-2</v>
      </c>
      <c r="AT77" s="447">
        <f>IFERROR(IF(BG77=100%,AR77,0),0)</f>
        <v>4.331856374999999E-2</v>
      </c>
      <c r="AU77" s="343">
        <f>IFERROR(IF(AND((BG77+BH77)=100%,BG77&lt;1),AR77,0),0)</f>
        <v>0</v>
      </c>
      <c r="AV77" s="343">
        <f>IFERROR(IF(AND((BL77+BN77)=BK77,AT77=0),AR77,0),0)</f>
        <v>0</v>
      </c>
      <c r="AW77" s="343">
        <f>IFERROR(IF(AND((BL77+BN77+BO77)=BK77,AT77=0,AV77=0),AR77,0),0)</f>
        <v>0</v>
      </c>
      <c r="AX77" s="343">
        <f>IFERROR(IF(AND((BL77+BN77+BO77+BP77)=BK77,AT77=0,AU77=0,AV77=0,AW77=0),AR77,0),0)</f>
        <v>0</v>
      </c>
      <c r="AY77" s="343">
        <f>IFERROR(IF(AND((BL77+BN77+BO77+BP77+BQ77)=BK77,AT77=0,AU77=0,AV77=0,AW77=0,AX77=0),AR77,0),0)</f>
        <v>0</v>
      </c>
      <c r="AZ77" s="343"/>
      <c r="BA77" s="343">
        <f>IFERROR(IF(AND((BG77+BI77)=100%,BG77&lt;1),AR77,0),0)</f>
        <v>0</v>
      </c>
      <c r="BB77" s="343">
        <f>IFERROR(IF(AND((BL77+BT77)=BK77,AT77=0),AR77,0),0)</f>
        <v>0</v>
      </c>
      <c r="BC77" s="343">
        <f>IFERROR(IF(AND((BL77+BT77+BU77)=BK77,AT77=0,BB77=0),AR77,0),0)</f>
        <v>0</v>
      </c>
      <c r="BD77" s="343">
        <f>IFERROR(IF(AND((BL77+BT77+BU77+BV77)=BK77,AT77=0,BB77=0,BC77=0),AR77,0),0)</f>
        <v>0</v>
      </c>
      <c r="BE77" s="343">
        <f>IFERROR(IF(AND((BL77+BT77+BU77+BV77+BW77)=BK77,AT77=0,BB77=0,BC77=0,BD77=0),AR77,0),0)</f>
        <v>0</v>
      </c>
      <c r="BF77" s="195"/>
      <c r="BG77" s="344">
        <f>IFERROR(BL77/BK77,0)</f>
        <v>1</v>
      </c>
      <c r="BH77" s="344">
        <f>IFERROR(BM77/BK77,0)</f>
        <v>0</v>
      </c>
      <c r="BI77" s="344">
        <f t="shared" si="195"/>
        <v>0</v>
      </c>
      <c r="BJ77" s="345"/>
      <c r="BK77" s="355">
        <f>COUNTIF('ST | Drawing List'!$H:$H,"ST-SSB-3")</f>
        <v>2</v>
      </c>
      <c r="BL77" s="338">
        <f>COUNTIFS('ST | Drawing List'!$H:$H,"ST-SSB-3",'ST | Drawing List'!$J:$J,1)</f>
        <v>2</v>
      </c>
      <c r="BM77" s="338">
        <f>COUNTIFS('ST | Drawing List'!$H:$H,"ST-SSB-3",'ST | Drawing List'!$L:$L,1)</f>
        <v>0</v>
      </c>
      <c r="BN77" s="343">
        <f>COUNTIFS('ST | Drawing List'!$H:$H,"ST-SSB-3",'ST | Drawing List'!M:M,1)</f>
        <v>0</v>
      </c>
      <c r="BO77" s="343">
        <f>COUNTIFS('ST | Drawing List'!$H:$H,"ST-SSB-3",'ST | Drawing List'!N:N,1)</f>
        <v>0</v>
      </c>
      <c r="BP77" s="343">
        <f>COUNTIFS('ST | Drawing List'!$H:$H,"ST-SSB-3",'ST | Drawing List'!O:O,1)</f>
        <v>0</v>
      </c>
      <c r="BQ77" s="343">
        <f>COUNTIFS('ST | Drawing List'!$H:$H,"ST-SSB-3",'ST | Drawing List'!P:P,1)</f>
        <v>0</v>
      </c>
      <c r="BR77" s="343"/>
      <c r="BS77" s="338">
        <f>COUNTIFS('ST | Drawing List'!$H:$H,"ST-SSB-3",'ST | Drawing List'!$Q:$Q,1)</f>
        <v>0</v>
      </c>
      <c r="BT77" s="343">
        <f>COUNTIFS('ST | Drawing List'!$H:$H,"ST-SSB-3",'ST | Drawing List'!R:R,1)</f>
        <v>0</v>
      </c>
      <c r="BU77" s="343">
        <f>COUNTIFS('ST | Drawing List'!$H:$H,"ST-SSB-3",'ST | Drawing List'!S:S,1)</f>
        <v>0</v>
      </c>
      <c r="BV77" s="343">
        <f>COUNTIFS('ST | Drawing List'!$H:$H,"ST-SSB-3",'ST | Drawing List'!T:T,1)</f>
        <v>0</v>
      </c>
      <c r="BW77" s="343">
        <f>COUNTIFS('ST | Drawing List'!$H:$H,"ST-SSB-3",'ST | Drawing List'!U:U,1)</f>
        <v>0</v>
      </c>
      <c r="BX77" s="194"/>
      <c r="BY77" s="194"/>
      <c r="BZ77" s="196">
        <v>0</v>
      </c>
      <c r="CA77" s="194"/>
      <c r="CB77" s="332"/>
      <c r="CC77" s="328">
        <f t="shared" si="178"/>
        <v>0</v>
      </c>
      <c r="CD77" s="343"/>
      <c r="CE77" s="343"/>
      <c r="CF77" s="343">
        <f t="shared" si="156"/>
        <v>0</v>
      </c>
      <c r="CG77" s="343">
        <f t="shared" si="157"/>
        <v>0</v>
      </c>
      <c r="CH77" s="343">
        <f t="shared" si="158"/>
        <v>0</v>
      </c>
      <c r="CI77" s="343">
        <f t="shared" si="159"/>
        <v>0</v>
      </c>
      <c r="CJ77" s="343"/>
      <c r="CK77" s="478">
        <f t="shared" si="196"/>
        <v>0</v>
      </c>
      <c r="CL77" s="478">
        <f t="shared" si="197"/>
        <v>0</v>
      </c>
      <c r="CM77" s="478">
        <f t="shared" si="198"/>
        <v>0</v>
      </c>
      <c r="CN77" s="478">
        <f t="shared" si="199"/>
        <v>0</v>
      </c>
      <c r="CO77" s="478">
        <f t="shared" si="200"/>
        <v>0</v>
      </c>
      <c r="CP77" s="195"/>
      <c r="CQ77" s="344"/>
      <c r="CR77" s="344"/>
      <c r="CS77" s="344"/>
      <c r="CT77" s="345"/>
      <c r="CU77" s="355"/>
      <c r="CV77" s="338"/>
      <c r="CW77" s="338"/>
      <c r="CX77" s="343"/>
      <c r="CY77" s="343"/>
      <c r="CZ77" s="343"/>
      <c r="DA77" s="343"/>
      <c r="DB77" s="343"/>
      <c r="DC77" s="338"/>
      <c r="DD77" s="343"/>
      <c r="DE77" s="343"/>
      <c r="DF77" s="343"/>
      <c r="DG77" s="343"/>
      <c r="DH77" s="194"/>
      <c r="DI77" s="194"/>
      <c r="DJ77" s="196">
        <v>0</v>
      </c>
      <c r="DK77" s="194"/>
      <c r="DL77" s="332"/>
      <c r="DM77" s="328">
        <f t="shared" si="184"/>
        <v>0</v>
      </c>
      <c r="DN77" s="343"/>
      <c r="DO77" s="343"/>
      <c r="DP77" s="343"/>
      <c r="DQ77" s="343"/>
      <c r="DR77" s="343"/>
      <c r="DS77" s="343"/>
      <c r="DT77" s="343"/>
      <c r="DU77" s="343">
        <f t="shared" si="201"/>
        <v>0</v>
      </c>
      <c r="DV77" s="343">
        <f t="shared" si="202"/>
        <v>0</v>
      </c>
      <c r="DW77" s="343">
        <f t="shared" si="203"/>
        <v>0</v>
      </c>
      <c r="DX77" s="343">
        <f t="shared" si="204"/>
        <v>0</v>
      </c>
      <c r="DY77" s="343">
        <f t="shared" si="205"/>
        <v>0</v>
      </c>
      <c r="DZ77" s="195"/>
      <c r="EA77" s="344"/>
      <c r="EB77" s="344"/>
      <c r="EC77" s="344"/>
      <c r="ED77" s="345"/>
      <c r="EE77" s="355"/>
      <c r="EF77" s="338"/>
      <c r="EG77" s="338"/>
      <c r="EH77" s="343"/>
      <c r="EI77" s="343"/>
      <c r="EJ77" s="343"/>
      <c r="EK77" s="343"/>
      <c r="EL77" s="343"/>
      <c r="EM77" s="338"/>
      <c r="EN77" s="343"/>
      <c r="EO77" s="343"/>
      <c r="EP77" s="343"/>
      <c r="EQ77" s="343"/>
      <c r="ER77" s="114"/>
      <c r="ES77" s="499"/>
      <c r="ET77" s="112"/>
    </row>
    <row r="78" spans="1:150" ht="3" customHeight="1" outlineLevel="2">
      <c r="A78" s="112"/>
      <c r="B78" s="165"/>
      <c r="C78" s="165"/>
      <c r="D78" s="114"/>
      <c r="E78" s="114"/>
      <c r="F78" s="197"/>
      <c r="G78" s="194"/>
      <c r="H78" s="328"/>
      <c r="I78" s="328">
        <f t="shared" si="172"/>
        <v>0</v>
      </c>
      <c r="J78" s="343"/>
      <c r="K78" s="343"/>
      <c r="L78" s="343">
        <f t="shared" si="146"/>
        <v>0</v>
      </c>
      <c r="M78" s="343">
        <f t="shared" si="147"/>
        <v>0</v>
      </c>
      <c r="N78" s="343">
        <f t="shared" si="148"/>
        <v>0</v>
      </c>
      <c r="O78" s="343">
        <f t="shared" si="149"/>
        <v>0</v>
      </c>
      <c r="P78" s="343"/>
      <c r="Q78" s="343"/>
      <c r="R78" s="343">
        <f t="shared" si="190"/>
        <v>0</v>
      </c>
      <c r="S78" s="343">
        <f t="shared" si="191"/>
        <v>0</v>
      </c>
      <c r="T78" s="343">
        <f t="shared" si="192"/>
        <v>0</v>
      </c>
      <c r="U78" s="343">
        <f t="shared" si="193"/>
        <v>0</v>
      </c>
      <c r="V78" s="195"/>
      <c r="W78" s="344"/>
      <c r="X78" s="344"/>
      <c r="Y78" s="344"/>
      <c r="Z78" s="345"/>
      <c r="AA78" s="355"/>
      <c r="AB78" s="338"/>
      <c r="AC78" s="338"/>
      <c r="AD78" s="343"/>
      <c r="AE78" s="343"/>
      <c r="AF78" s="343"/>
      <c r="AG78" s="343"/>
      <c r="AH78" s="343"/>
      <c r="AI78" s="338"/>
      <c r="AJ78" s="343"/>
      <c r="AK78" s="343"/>
      <c r="AL78" s="343"/>
      <c r="AM78" s="343"/>
      <c r="AN78" s="338"/>
      <c r="AO78" s="338"/>
      <c r="AP78" s="196"/>
      <c r="AQ78" s="194"/>
      <c r="AR78" s="332"/>
      <c r="AS78" s="328">
        <f t="shared" si="176"/>
        <v>0</v>
      </c>
      <c r="AT78" s="343"/>
      <c r="AU78" s="343"/>
      <c r="AV78" s="343">
        <f>IFERROR(IF(AND((BL78+BN78)=BK78,AT78=0),AR78,0),0)</f>
        <v>0</v>
      </c>
      <c r="AW78" s="343">
        <f>IFERROR(IF(AND((BL78+BN78+BO78)=BK78,AT78=0,AV78=0),AR78,0),0)</f>
        <v>0</v>
      </c>
      <c r="AX78" s="343">
        <f>IFERROR(IF(AND((BL78+BN78+BO78+BP78)=BK78,AT78=0,AU78=0,AV78=0,AW78=0),AR78,0),0)</f>
        <v>0</v>
      </c>
      <c r="AY78" s="343">
        <f>IFERROR(IF(AND((BL78+BN78+BO78+BP78+BQ78)=BK78,AT78=0,AU78=0,AV78=0,AW78=0,AX78=0),AR78,0),0)</f>
        <v>0</v>
      </c>
      <c r="AZ78" s="343"/>
      <c r="BA78" s="343"/>
      <c r="BB78" s="343">
        <f>IFERROR(IF(AND((BQ78+CE78)=BP78,AY78=0),AX78,0),0)</f>
        <v>0</v>
      </c>
      <c r="BC78" s="343">
        <f>IFERROR(IF(AND((BQ78+CE78+CF78)=BP78,AY78=0,BB78=0),AX78,0),0)</f>
        <v>0</v>
      </c>
      <c r="BD78" s="343">
        <f>IFERROR(IF(AND((BQ78+CE78+CF78+CG78)=BP78,AY78=0,BA78=0,BB78=0,BC78=0),AX78,0),0)</f>
        <v>0</v>
      </c>
      <c r="BE78" s="343">
        <f>IFERROR(IF(AND((BQ78+CE78+CF78+CG78+CH78)=BP78,AY78=0,BA78=0,BB78=0,BC78=0,BD78=0),AX78,0),0)</f>
        <v>0</v>
      </c>
      <c r="BF78" s="195"/>
      <c r="BG78" s="344"/>
      <c r="BH78" s="344"/>
      <c r="BI78" s="344"/>
      <c r="BJ78" s="345"/>
      <c r="BK78" s="355"/>
      <c r="BL78" s="338"/>
      <c r="BM78" s="338"/>
      <c r="BN78" s="343"/>
      <c r="BO78" s="343"/>
      <c r="BP78" s="343"/>
      <c r="BQ78" s="343"/>
      <c r="BR78" s="343"/>
      <c r="BS78" s="338"/>
      <c r="BT78" s="343"/>
      <c r="BU78" s="343"/>
      <c r="BV78" s="343"/>
      <c r="BW78" s="343"/>
      <c r="BX78" s="194"/>
      <c r="BY78" s="194"/>
      <c r="BZ78" s="196"/>
      <c r="CA78" s="194"/>
      <c r="CB78" s="332"/>
      <c r="CC78" s="328">
        <f t="shared" si="178"/>
        <v>0</v>
      </c>
      <c r="CD78" s="343"/>
      <c r="CE78" s="343"/>
      <c r="CF78" s="343">
        <f t="shared" si="156"/>
        <v>0</v>
      </c>
      <c r="CG78" s="343">
        <f t="shared" si="157"/>
        <v>0</v>
      </c>
      <c r="CH78" s="343">
        <f t="shared" si="158"/>
        <v>0</v>
      </c>
      <c r="CI78" s="343">
        <f t="shared" si="159"/>
        <v>0</v>
      </c>
      <c r="CJ78" s="343"/>
      <c r="CK78" s="478"/>
      <c r="CL78" s="478">
        <f>IFERROR(IF(AND((DA78+DO78)=CZ78,CI78=0),CH78,0),0)</f>
        <v>0</v>
      </c>
      <c r="CM78" s="478">
        <f>IFERROR(IF(AND((DA78+DO78+DP78)=CZ78,CI78=0,CL78=0),CH78,0),0)</f>
        <v>0</v>
      </c>
      <c r="CN78" s="478">
        <f>IFERROR(IF(AND((DA78+DO78+DP78+DQ78)=CZ78,CI78=0,CK78=0,CL78=0,CM78=0),CH78,0),0)</f>
        <v>0</v>
      </c>
      <c r="CO78" s="478">
        <f>IFERROR(IF(AND((DA78+DO78+DP78+DQ78+DR78)=CZ78,CI78=0,CK78=0,CL78=0,CM78=0,CN78=0),CH78,0),0)</f>
        <v>0</v>
      </c>
      <c r="CP78" s="195"/>
      <c r="CQ78" s="344"/>
      <c r="CR78" s="344"/>
      <c r="CS78" s="344"/>
      <c r="CT78" s="345"/>
      <c r="CU78" s="355"/>
      <c r="CV78" s="338"/>
      <c r="CW78" s="338"/>
      <c r="CX78" s="343"/>
      <c r="CY78" s="343"/>
      <c r="CZ78" s="343"/>
      <c r="DA78" s="343"/>
      <c r="DB78" s="343"/>
      <c r="DC78" s="338"/>
      <c r="DD78" s="343"/>
      <c r="DE78" s="343"/>
      <c r="DF78" s="343"/>
      <c r="DG78" s="343"/>
      <c r="DH78" s="194"/>
      <c r="DI78" s="194"/>
      <c r="DJ78" s="197"/>
      <c r="DK78" s="194"/>
      <c r="DL78" s="332"/>
      <c r="DM78" s="328">
        <f t="shared" si="184"/>
        <v>0</v>
      </c>
      <c r="DN78" s="343"/>
      <c r="DO78" s="343"/>
      <c r="DP78" s="343"/>
      <c r="DQ78" s="343"/>
      <c r="DR78" s="343"/>
      <c r="DS78" s="343"/>
      <c r="DT78" s="343"/>
      <c r="DU78" s="343"/>
      <c r="DV78" s="343">
        <f>IFERROR(IF(AND((EK78+#REF!)=EJ78,DS78=0),DR78,0),0)</f>
        <v>0</v>
      </c>
      <c r="DW78" s="343">
        <f>IFERROR(IF(AND((EK78+#REF!+#REF!)=EJ78,DS78=0,DV78=0),DR78,0),0)</f>
        <v>0</v>
      </c>
      <c r="DX78" s="343">
        <f>IFERROR(IF(AND((EK78+#REF!+#REF!+#REF!)=EJ78,DS78=0,DU78=0,DV78=0,DW78=0),DR78,0),0)</f>
        <v>0</v>
      </c>
      <c r="DY78" s="343">
        <f>IFERROR(IF(AND((EK78+#REF!+#REF!+#REF!+#REF!)=EJ78,DS78=0,DU78=0,DV78=0,DW78=0,DX78=0),DR78,0),0)</f>
        <v>0</v>
      </c>
      <c r="DZ78" s="195"/>
      <c r="EA78" s="344"/>
      <c r="EB78" s="344"/>
      <c r="EC78" s="344"/>
      <c r="ED78" s="345"/>
      <c r="EE78" s="355"/>
      <c r="EF78" s="338"/>
      <c r="EG78" s="338"/>
      <c r="EH78" s="343"/>
      <c r="EI78" s="343"/>
      <c r="EJ78" s="343"/>
      <c r="EK78" s="343"/>
      <c r="EL78" s="343"/>
      <c r="EM78" s="338"/>
      <c r="EN78" s="343"/>
      <c r="EO78" s="343"/>
      <c r="EP78" s="343"/>
      <c r="EQ78" s="343"/>
      <c r="ER78" s="114"/>
      <c r="ES78" s="499"/>
      <c r="ET78" s="112"/>
    </row>
    <row r="79" spans="1:150" ht="11.85" customHeight="1" outlineLevel="2">
      <c r="A79" s="112"/>
      <c r="B79" s="165">
        <v>3.3</v>
      </c>
      <c r="C79" s="165">
        <v>3.3</v>
      </c>
      <c r="D79" s="161" t="s">
        <v>83</v>
      </c>
      <c r="E79" s="114"/>
      <c r="F79" s="205">
        <v>0</v>
      </c>
      <c r="G79" s="205"/>
      <c r="H79" s="183">
        <v>0</v>
      </c>
      <c r="I79" s="183">
        <f t="shared" si="172"/>
        <v>0</v>
      </c>
      <c r="J79" s="356"/>
      <c r="K79" s="356"/>
      <c r="L79" s="343">
        <f t="shared" si="146"/>
        <v>0</v>
      </c>
      <c r="M79" s="343">
        <f t="shared" si="147"/>
        <v>0</v>
      </c>
      <c r="N79" s="343">
        <f t="shared" si="148"/>
        <v>0</v>
      </c>
      <c r="O79" s="343">
        <f t="shared" si="149"/>
        <v>0</v>
      </c>
      <c r="P79" s="343"/>
      <c r="Q79" s="356"/>
      <c r="R79" s="343">
        <f t="shared" si="190"/>
        <v>0</v>
      </c>
      <c r="S79" s="343">
        <f t="shared" si="191"/>
        <v>0</v>
      </c>
      <c r="T79" s="343">
        <f t="shared" si="192"/>
        <v>0</v>
      </c>
      <c r="U79" s="343">
        <f t="shared" si="193"/>
        <v>0</v>
      </c>
      <c r="V79" s="347"/>
      <c r="W79" s="348"/>
      <c r="X79" s="348"/>
      <c r="Y79" s="348"/>
      <c r="Z79" s="346"/>
      <c r="AA79" s="355"/>
      <c r="AB79" s="355"/>
      <c r="AC79" s="355"/>
      <c r="AD79" s="356"/>
      <c r="AE79" s="356"/>
      <c r="AF79" s="356"/>
      <c r="AG79" s="356"/>
      <c r="AH79" s="356"/>
      <c r="AI79" s="355"/>
      <c r="AJ79" s="356"/>
      <c r="AK79" s="356"/>
      <c r="AL79" s="356"/>
      <c r="AM79" s="356"/>
      <c r="AN79" s="355"/>
      <c r="AO79" s="355"/>
      <c r="AP79" s="205">
        <f>SUM(AP80:AP82)</f>
        <v>0.5</v>
      </c>
      <c r="AQ79" s="205"/>
      <c r="AR79" s="447">
        <f>AR62*35%</f>
        <v>0.14439521249999998</v>
      </c>
      <c r="AS79" s="447">
        <f t="shared" si="176"/>
        <v>0.14439521249999998</v>
      </c>
      <c r="AT79" s="447">
        <f>SUM(AT80:AT82)</f>
        <v>0</v>
      </c>
      <c r="AU79" s="184">
        <f>SUM(AU80:AU82)</f>
        <v>0.14439521249999998</v>
      </c>
      <c r="AV79" s="184">
        <f t="shared" ref="AV79:BE79" si="206">SUM(AV80:AV82)</f>
        <v>0.14439521249999998</v>
      </c>
      <c r="AW79" s="184">
        <f t="shared" si="206"/>
        <v>0</v>
      </c>
      <c r="AX79" s="184">
        <f t="shared" si="206"/>
        <v>0</v>
      </c>
      <c r="AY79" s="184">
        <f t="shared" si="206"/>
        <v>0</v>
      </c>
      <c r="AZ79" s="184"/>
      <c r="BA79" s="184">
        <f>SUM(BA80:BA82)</f>
        <v>0.14439521249999998</v>
      </c>
      <c r="BB79" s="184">
        <f t="shared" si="206"/>
        <v>0.14439521249999998</v>
      </c>
      <c r="BC79" s="184">
        <f t="shared" si="206"/>
        <v>0</v>
      </c>
      <c r="BD79" s="184">
        <f t="shared" si="206"/>
        <v>0</v>
      </c>
      <c r="BE79" s="184">
        <f t="shared" si="206"/>
        <v>0</v>
      </c>
      <c r="BF79" s="347"/>
      <c r="BG79" s="348"/>
      <c r="BH79" s="348"/>
      <c r="BI79" s="348"/>
      <c r="BJ79" s="346"/>
      <c r="BK79" s="355"/>
      <c r="BL79" s="355"/>
      <c r="BM79" s="355"/>
      <c r="BN79" s="356"/>
      <c r="BO79" s="356"/>
      <c r="BP79" s="356"/>
      <c r="BQ79" s="356"/>
      <c r="BR79" s="356"/>
      <c r="BS79" s="355"/>
      <c r="BT79" s="356"/>
      <c r="BU79" s="356"/>
      <c r="BV79" s="356"/>
      <c r="BW79" s="356"/>
      <c r="BX79" s="205"/>
      <c r="BY79" s="205"/>
      <c r="BZ79" s="205">
        <v>0</v>
      </c>
      <c r="CA79" s="205"/>
      <c r="CB79" s="185"/>
      <c r="CC79" s="183">
        <f t="shared" si="178"/>
        <v>0</v>
      </c>
      <c r="CD79" s="356"/>
      <c r="CE79" s="356"/>
      <c r="CF79" s="343">
        <f t="shared" si="156"/>
        <v>0</v>
      </c>
      <c r="CG79" s="343">
        <f t="shared" si="157"/>
        <v>0</v>
      </c>
      <c r="CH79" s="343">
        <f t="shared" si="158"/>
        <v>0</v>
      </c>
      <c r="CI79" s="343">
        <f t="shared" si="159"/>
        <v>0</v>
      </c>
      <c r="CJ79" s="343"/>
      <c r="CK79" s="480"/>
      <c r="CL79" s="478">
        <f>IFERROR(IF(AND((DA79+DO79)=CZ79,CI79=0),CH79,0),0)</f>
        <v>0</v>
      </c>
      <c r="CM79" s="478">
        <f>IFERROR(IF(AND((DA79+DO79+DP79)=CZ79,CI79=0,CL79=0),CH79,0),0)</f>
        <v>0</v>
      </c>
      <c r="CN79" s="478">
        <f>IFERROR(IF(AND((DA79+DO79+DP79+DQ79)=CZ79,CI79=0,CK79=0,CL79=0,CM79=0),CH79,0),0)</f>
        <v>0</v>
      </c>
      <c r="CO79" s="478">
        <f>IFERROR(IF(AND((DA79+DO79+DP79+DQ79+DR79)=CZ79,CI79=0,CK79=0,CL79=0,CM79=0,CN79=0),CH79,0),0)</f>
        <v>0</v>
      </c>
      <c r="CP79" s="347"/>
      <c r="CQ79" s="348"/>
      <c r="CR79" s="348"/>
      <c r="CS79" s="348"/>
      <c r="CT79" s="346"/>
      <c r="CU79" s="355"/>
      <c r="CV79" s="355"/>
      <c r="CW79" s="355"/>
      <c r="CX79" s="356"/>
      <c r="CY79" s="356"/>
      <c r="CZ79" s="356"/>
      <c r="DA79" s="356"/>
      <c r="DB79" s="356"/>
      <c r="DC79" s="355"/>
      <c r="DD79" s="356"/>
      <c r="DE79" s="356"/>
      <c r="DF79" s="356"/>
      <c r="DG79" s="356"/>
      <c r="DH79" s="205"/>
      <c r="DI79" s="205"/>
      <c r="DJ79" s="205">
        <v>0</v>
      </c>
      <c r="DK79" s="205"/>
      <c r="DL79" s="185"/>
      <c r="DM79" s="183">
        <f t="shared" si="184"/>
        <v>0</v>
      </c>
      <c r="DN79" s="356"/>
      <c r="DO79" s="356"/>
      <c r="DP79" s="356"/>
      <c r="DQ79" s="356"/>
      <c r="DR79" s="356"/>
      <c r="DS79" s="356"/>
      <c r="DT79" s="356"/>
      <c r="DU79" s="356"/>
      <c r="DV79" s="343">
        <f>IFERROR(IF(AND((EK79+#REF!)=EJ79,DS79=0),DR79,0),0)</f>
        <v>0</v>
      </c>
      <c r="DW79" s="343">
        <f>IFERROR(IF(AND((EK79+#REF!+#REF!)=EJ79,DS79=0,DV79=0),DR79,0),0)</f>
        <v>0</v>
      </c>
      <c r="DX79" s="343">
        <f>IFERROR(IF(AND((EK79+#REF!+#REF!+#REF!)=EJ79,DS79=0,DU79=0,DV79=0,DW79=0),DR79,0),0)</f>
        <v>0</v>
      </c>
      <c r="DY79" s="343">
        <f>IFERROR(IF(AND((EK79+#REF!+#REF!+#REF!+#REF!)=EJ79,DS79=0,DU79=0,DV79=0,DW79=0,DX79=0),DR79,0),0)</f>
        <v>0</v>
      </c>
      <c r="DZ79" s="347"/>
      <c r="EA79" s="348"/>
      <c r="EB79" s="348"/>
      <c r="EC79" s="348"/>
      <c r="ED79" s="346"/>
      <c r="EE79" s="355"/>
      <c r="EF79" s="355"/>
      <c r="EG79" s="355"/>
      <c r="EH79" s="356"/>
      <c r="EI79" s="356"/>
      <c r="EJ79" s="356"/>
      <c r="EK79" s="356"/>
      <c r="EL79" s="356"/>
      <c r="EM79" s="355"/>
      <c r="EN79" s="356"/>
      <c r="EO79" s="356"/>
      <c r="EP79" s="356"/>
      <c r="EQ79" s="356"/>
      <c r="ER79" s="114"/>
      <c r="ES79" s="499"/>
      <c r="ET79" s="112"/>
    </row>
    <row r="80" spans="1:150" ht="11.85" customHeight="1" outlineLevel="3">
      <c r="A80" s="112"/>
      <c r="B80" s="162" t="s">
        <v>84</v>
      </c>
      <c r="C80" s="213">
        <v>1</v>
      </c>
      <c r="D80" s="214" t="s">
        <v>68</v>
      </c>
      <c r="E80" s="114"/>
      <c r="F80" s="197">
        <v>0</v>
      </c>
      <c r="G80" s="194"/>
      <c r="H80" s="183"/>
      <c r="I80" s="183">
        <f t="shared" si="172"/>
        <v>0</v>
      </c>
      <c r="J80" s="184"/>
      <c r="K80" s="184"/>
      <c r="L80" s="343">
        <f t="shared" si="146"/>
        <v>0</v>
      </c>
      <c r="M80" s="343">
        <f t="shared" si="147"/>
        <v>0</v>
      </c>
      <c r="N80" s="343">
        <f t="shared" si="148"/>
        <v>0</v>
      </c>
      <c r="O80" s="343">
        <f t="shared" si="149"/>
        <v>0</v>
      </c>
      <c r="P80" s="343"/>
      <c r="Q80" s="184"/>
      <c r="R80" s="343">
        <f t="shared" si="190"/>
        <v>0</v>
      </c>
      <c r="S80" s="343">
        <f t="shared" si="191"/>
        <v>0</v>
      </c>
      <c r="T80" s="343">
        <f t="shared" si="192"/>
        <v>0</v>
      </c>
      <c r="U80" s="343">
        <f t="shared" si="193"/>
        <v>0</v>
      </c>
      <c r="V80" s="347"/>
      <c r="W80" s="348"/>
      <c r="X80" s="348"/>
      <c r="Y80" s="348"/>
      <c r="Z80" s="198"/>
      <c r="AA80" s="355"/>
      <c r="AB80" s="355"/>
      <c r="AC80" s="355"/>
      <c r="AD80" s="184"/>
      <c r="AE80" s="184"/>
      <c r="AF80" s="184"/>
      <c r="AG80" s="184"/>
      <c r="AH80" s="184"/>
      <c r="AI80" s="355"/>
      <c r="AJ80" s="184"/>
      <c r="AK80" s="184"/>
      <c r="AL80" s="184"/>
      <c r="AM80" s="184"/>
      <c r="AN80" s="355"/>
      <c r="AO80" s="355"/>
      <c r="AP80" s="196">
        <v>0.2</v>
      </c>
      <c r="AQ80" s="194"/>
      <c r="AR80" s="447">
        <f>$AR$79/$AP$79*AP80</f>
        <v>5.7758084999999994E-2</v>
      </c>
      <c r="AS80" s="447">
        <f t="shared" si="176"/>
        <v>5.7758084999999994E-2</v>
      </c>
      <c r="AT80" s="447">
        <f>IFERROR(IF(BG80=100%,AR80,0),0)</f>
        <v>0</v>
      </c>
      <c r="AU80" s="343">
        <f>IFERROR(IF(AND((BG80+BH80)=100%,BG80&lt;1),AR80,0),0)</f>
        <v>5.7758084999999994E-2</v>
      </c>
      <c r="AV80" s="343">
        <f>IFERROR(IF(AND((BL80+BN80)=BK80,AT80=0),AR80,0),0)</f>
        <v>5.7758084999999994E-2</v>
      </c>
      <c r="AW80" s="343">
        <f>IFERROR(IF(AND((BL80+BN80+BO80)=BK80,AT80=0,AV80=0),AR80,0),0)</f>
        <v>0</v>
      </c>
      <c r="AX80" s="343">
        <f>IFERROR(IF(AND((BL80+BN80+BO80+BP80)=BK80,AT80=0,AU80=0,AV80=0,AW80=0),AR80,0),0)</f>
        <v>0</v>
      </c>
      <c r="AY80" s="343">
        <f>IFERROR(IF(AND((BL80+BN80+BO80+BP80+BQ80)=BK80,AT80=0,AU80=0,AV80=0,AW80=0,AX80=0),AR80,0),0)</f>
        <v>0</v>
      </c>
      <c r="AZ80" s="343"/>
      <c r="BA80" s="343">
        <f>IFERROR(IF(AND((BG80+BI80)=100%,BG80&lt;1),AR80,0),0)</f>
        <v>5.7758084999999994E-2</v>
      </c>
      <c r="BB80" s="343">
        <f>IFERROR(IF(AND((BL80+BT80)=BK80,AT80=0),AR80,0),0)</f>
        <v>5.7758084999999994E-2</v>
      </c>
      <c r="BC80" s="343">
        <f>IFERROR(IF(AND((BL80+BT80+BU80)=BK80,AT80=0,BB80=0),AR80,0),0)</f>
        <v>0</v>
      </c>
      <c r="BD80" s="343">
        <f>IFERROR(IF(AND((BL80+BT80+BU80+BV80)=BK80,AT80=0,BB80=0,BC80=0),AR80,0),0)</f>
        <v>0</v>
      </c>
      <c r="BE80" s="343">
        <f>IFERROR(IF(AND((BL80+BT80+BU80+BV80+BW80)=BK80,AT80=0,BB80=0,BC80=0,BD80=0),AR80,0),0)</f>
        <v>0</v>
      </c>
      <c r="BF80" s="195"/>
      <c r="BG80" s="344">
        <f>IFERROR(BL80/BK80,0)</f>
        <v>0.7142857142857143</v>
      </c>
      <c r="BH80" s="344">
        <f>IFERROR(BM80/BK80,0)</f>
        <v>0.2857142857142857</v>
      </c>
      <c r="BI80" s="344">
        <f t="shared" ref="BI80:BI82" si="207">IFERROR(BS80/BK80,0)</f>
        <v>0.2857142857142857</v>
      </c>
      <c r="BJ80" s="198"/>
      <c r="BK80" s="355">
        <f>COUNTIF('ST | Drawing List'!$H:$H,"ST-SSC-1")</f>
        <v>7</v>
      </c>
      <c r="BL80" s="338">
        <f>COUNTIFS('ST | Drawing List'!$H:$H,"ST-SSC-1",'ST | Drawing List'!$J:$J,1)</f>
        <v>5</v>
      </c>
      <c r="BM80" s="338">
        <f>COUNTIFS('ST | Drawing List'!$H:$H,"ST-SSC-1",'ST | Drawing List'!$L:$L,1)</f>
        <v>2</v>
      </c>
      <c r="BN80" s="343">
        <f>COUNTIFS('ST | Drawing List'!$H:$H,"ST-SSC-1",'ST | Drawing List'!M:M,1)</f>
        <v>2</v>
      </c>
      <c r="BO80" s="343">
        <f>COUNTIFS('ST | Drawing List'!$H:$H,"ST-SSC-1",'ST | Drawing List'!N:N,1)</f>
        <v>0</v>
      </c>
      <c r="BP80" s="343">
        <f>COUNTIFS('ST | Drawing List'!$H:$H,"ST-SSC-1",'ST | Drawing List'!O:O,1)</f>
        <v>0</v>
      </c>
      <c r="BQ80" s="343">
        <f>COUNTIFS('ST | Drawing List'!$H:$H,"ST-SSC-1",'ST | Drawing List'!P:P,1)</f>
        <v>0</v>
      </c>
      <c r="BR80" s="343"/>
      <c r="BS80" s="338">
        <f>COUNTIFS('ST | Drawing List'!$H:$H,"ST-SSC-1",'ST | Drawing List'!$Q:$Q,1)</f>
        <v>2</v>
      </c>
      <c r="BT80" s="343">
        <f>COUNTIFS('ST | Drawing List'!$H:$H,"ST-SSC-1",'ST | Drawing List'!R:R,1)</f>
        <v>2</v>
      </c>
      <c r="BU80" s="343">
        <f>COUNTIFS('ST | Drawing List'!$H:$H,"ST-SSC-1",'ST | Drawing List'!S:S,1)</f>
        <v>0</v>
      </c>
      <c r="BV80" s="343">
        <f>COUNTIFS('ST | Drawing List'!$H:$H,"ST-SSC-1",'ST | Drawing List'!T:T,1)</f>
        <v>0</v>
      </c>
      <c r="BW80" s="343">
        <f>COUNTIFS('ST | Drawing List'!$H:$H,"ST-SSC-1",'ST | Drawing List'!U:U,1)</f>
        <v>0</v>
      </c>
      <c r="BX80" s="194"/>
      <c r="BY80" s="194"/>
      <c r="BZ80" s="196">
        <v>0</v>
      </c>
      <c r="CA80" s="194"/>
      <c r="CB80" s="185"/>
      <c r="CC80" s="183">
        <f t="shared" si="178"/>
        <v>0</v>
      </c>
      <c r="CD80" s="184"/>
      <c r="CE80" s="184"/>
      <c r="CF80" s="343">
        <f t="shared" si="156"/>
        <v>0</v>
      </c>
      <c r="CG80" s="343">
        <f t="shared" si="157"/>
        <v>0</v>
      </c>
      <c r="CH80" s="343">
        <f t="shared" si="158"/>
        <v>0</v>
      </c>
      <c r="CI80" s="343">
        <f t="shared" si="159"/>
        <v>0</v>
      </c>
      <c r="CJ80" s="343"/>
      <c r="CK80" s="478">
        <f t="shared" ref="CK80:CK82" si="208">IFERROR(IF(AND((CQ80+CS80)=100%,CQ80&lt;1),CB80,0),0)</f>
        <v>0</v>
      </c>
      <c r="CL80" s="478">
        <f t="shared" ref="CL80:CL82" si="209">IFERROR(IF(AND((CV80+DD80)=CU80,CD80=0),CB80,0),0)</f>
        <v>0</v>
      </c>
      <c r="CM80" s="478">
        <f t="shared" ref="CM80:CM82" si="210">IFERROR(IF(AND((CV80+DD80+DE80)=CU80,CD80=0,CL80=0),CB80,0),0)</f>
        <v>0</v>
      </c>
      <c r="CN80" s="478">
        <f t="shared" ref="CN80:CN82" si="211">IFERROR(IF(AND((CV80+DD80+DE80+DF80)=CU80,CD80=0,CL80=0,CM80=0),CB80,0),0)</f>
        <v>0</v>
      </c>
      <c r="CO80" s="478">
        <f t="shared" ref="CO80:CO82" si="212">IFERROR(IF(AND((CV80+DD80+DE80+DF80+DG80)=CU80,CD80=0,CL80=0,CM80=0,CN80=0),CB80,0),0)</f>
        <v>0</v>
      </c>
      <c r="CP80" s="347"/>
      <c r="CQ80" s="348"/>
      <c r="CR80" s="348"/>
      <c r="CS80" s="348"/>
      <c r="CT80" s="198"/>
      <c r="CU80" s="355"/>
      <c r="CV80" s="355"/>
      <c r="CW80" s="355"/>
      <c r="CX80" s="186"/>
      <c r="CY80" s="186"/>
      <c r="CZ80" s="186"/>
      <c r="DA80" s="186"/>
      <c r="DB80" s="186"/>
      <c r="DC80" s="355"/>
      <c r="DD80" s="186"/>
      <c r="DE80" s="186"/>
      <c r="DF80" s="186"/>
      <c r="DG80" s="186"/>
      <c r="DH80" s="194"/>
      <c r="DI80" s="194"/>
      <c r="DJ80" s="196">
        <v>0</v>
      </c>
      <c r="DK80" s="194"/>
      <c r="DL80" s="185"/>
      <c r="DM80" s="183">
        <f t="shared" si="184"/>
        <v>0</v>
      </c>
      <c r="DN80" s="184"/>
      <c r="DO80" s="184"/>
      <c r="DP80" s="186"/>
      <c r="DQ80" s="186"/>
      <c r="DR80" s="186"/>
      <c r="DS80" s="186"/>
      <c r="DT80" s="186"/>
      <c r="DU80" s="343">
        <f t="shared" ref="DU80:DU82" si="213">IFERROR(IF(AND((EA80+EC80)=100%,EA80&lt;1),DL80,0),0)</f>
        <v>0</v>
      </c>
      <c r="DV80" s="343">
        <f t="shared" ref="DV80:DV82" si="214">IFERROR(IF(AND((EF80+EN80)=EE80,DN80=0),DL80,0),0)</f>
        <v>0</v>
      </c>
      <c r="DW80" s="343">
        <f t="shared" ref="DW80:DW82" si="215">IFERROR(IF(AND((EF80+EN80+EO80)=EE80,DN80=0,DV80=0),DL80,0),0)</f>
        <v>0</v>
      </c>
      <c r="DX80" s="343">
        <f t="shared" ref="DX80:DX82" si="216">IFERROR(IF(AND((EF80+EN80+EO80+EP80)=EE80,DN80=0,DV80=0,DW80=0),DL80,0),0)</f>
        <v>0</v>
      </c>
      <c r="DY80" s="343">
        <f t="shared" ref="DY80:DY82" si="217">IFERROR(IF(AND((EF80+EN80+EO80+EP80+EQ80)=EE80,DN80=0,DV80=0,DW80=0,DX80=0),DL80,0),0)</f>
        <v>0</v>
      </c>
      <c r="DZ80" s="347"/>
      <c r="EA80" s="348"/>
      <c r="EB80" s="348"/>
      <c r="EC80" s="348"/>
      <c r="ED80" s="198"/>
      <c r="EE80" s="355"/>
      <c r="EF80" s="355"/>
      <c r="EG80" s="355"/>
      <c r="EH80" s="186"/>
      <c r="EI80" s="186"/>
      <c r="EJ80" s="186"/>
      <c r="EK80" s="186"/>
      <c r="EL80" s="186"/>
      <c r="EM80" s="355"/>
      <c r="EN80" s="186"/>
      <c r="EO80" s="186"/>
      <c r="EP80" s="186"/>
      <c r="EQ80" s="186"/>
      <c r="ER80" s="114"/>
      <c r="ES80" s="499"/>
      <c r="ET80" s="112"/>
    </row>
    <row r="81" spans="1:150" ht="11.85" customHeight="1" outlineLevel="3">
      <c r="A81" s="112"/>
      <c r="B81" s="162" t="s">
        <v>85</v>
      </c>
      <c r="C81" s="213">
        <v>2</v>
      </c>
      <c r="D81" s="214" t="s">
        <v>70</v>
      </c>
      <c r="E81" s="114"/>
      <c r="F81" s="197">
        <v>0</v>
      </c>
      <c r="G81" s="194"/>
      <c r="H81" s="328"/>
      <c r="I81" s="328">
        <f t="shared" si="172"/>
        <v>0</v>
      </c>
      <c r="J81" s="343"/>
      <c r="K81" s="343"/>
      <c r="L81" s="343">
        <f t="shared" si="146"/>
        <v>0</v>
      </c>
      <c r="M81" s="343">
        <f t="shared" si="147"/>
        <v>0</v>
      </c>
      <c r="N81" s="343">
        <f t="shared" si="148"/>
        <v>0</v>
      </c>
      <c r="O81" s="343">
        <f t="shared" si="149"/>
        <v>0</v>
      </c>
      <c r="P81" s="343"/>
      <c r="Q81" s="343"/>
      <c r="R81" s="343">
        <f t="shared" si="190"/>
        <v>0</v>
      </c>
      <c r="S81" s="343">
        <f t="shared" si="191"/>
        <v>0</v>
      </c>
      <c r="T81" s="343">
        <f t="shared" si="192"/>
        <v>0</v>
      </c>
      <c r="U81" s="343">
        <f t="shared" si="193"/>
        <v>0</v>
      </c>
      <c r="V81" s="347"/>
      <c r="W81" s="348"/>
      <c r="X81" s="348"/>
      <c r="Y81" s="348"/>
      <c r="Z81" s="345"/>
      <c r="AA81" s="355"/>
      <c r="AB81" s="355"/>
      <c r="AC81" s="355"/>
      <c r="AD81" s="343"/>
      <c r="AE81" s="343"/>
      <c r="AF81" s="343"/>
      <c r="AG81" s="343"/>
      <c r="AH81" s="343"/>
      <c r="AI81" s="355"/>
      <c r="AJ81" s="343"/>
      <c r="AK81" s="343"/>
      <c r="AL81" s="343"/>
      <c r="AM81" s="343"/>
      <c r="AN81" s="355"/>
      <c r="AO81" s="355"/>
      <c r="AP81" s="196">
        <v>0.15</v>
      </c>
      <c r="AQ81" s="194"/>
      <c r="AR81" s="447">
        <f>$AR$79/$AP$79*AP81</f>
        <v>4.331856374999999E-2</v>
      </c>
      <c r="AS81" s="447">
        <f t="shared" si="176"/>
        <v>4.331856374999999E-2</v>
      </c>
      <c r="AT81" s="447">
        <f>IFERROR(IF(BG81=100%,AR81,0),0)</f>
        <v>0</v>
      </c>
      <c r="AU81" s="343">
        <f>IFERROR(IF(AND((BG81+BH81)=100%,BG81&lt;1),AR81,0),0)</f>
        <v>4.331856374999999E-2</v>
      </c>
      <c r="AV81" s="343">
        <f>IFERROR(IF(AND((BL81+BN81)=BK81,AT81=0),AR81,0),0)</f>
        <v>4.331856374999999E-2</v>
      </c>
      <c r="AW81" s="343">
        <f>IFERROR(IF(AND((BL81+BN81+BO81)=BK81,AT81=0,AV81=0),AR81,0),0)</f>
        <v>0</v>
      </c>
      <c r="AX81" s="343">
        <f>IFERROR(IF(AND((BL81+BN81+BO81+BP81)=BK81,AT81=0,AU81=0,AV81=0,AW81=0),AR81,0),0)</f>
        <v>0</v>
      </c>
      <c r="AY81" s="343">
        <f>IFERROR(IF(AND((BL81+BN81+BO81+BP81+BQ81)=BK81,AT81=0,AU81=0,AV81=0,AW81=0,AX81=0),AR81,0),0)</f>
        <v>0</v>
      </c>
      <c r="AZ81" s="343"/>
      <c r="BA81" s="343">
        <f>IFERROR(IF(AND((BG81+BI81)=100%,BG81&lt;1),AR81,0),0)</f>
        <v>4.331856374999999E-2</v>
      </c>
      <c r="BB81" s="343">
        <f>IFERROR(IF(AND((BL81+BT81)=BK81,AT81=0),AR81,0),0)</f>
        <v>4.331856374999999E-2</v>
      </c>
      <c r="BC81" s="343">
        <f>IFERROR(IF(AND((BL81+BT81+BU81)=BK81,AT81=0,BB81=0),AR81,0),0)</f>
        <v>0</v>
      </c>
      <c r="BD81" s="343">
        <f>IFERROR(IF(AND((BL81+BT81+BU81+BV81)=BK81,AT81=0,BB81=0,BC81=0),AR81,0),0)</f>
        <v>0</v>
      </c>
      <c r="BE81" s="343">
        <f>IFERROR(IF(AND((BL81+BT81+BU81+BV81+BW81)=BK81,AT81=0,BB81=0,BC81=0,BD81=0),AR81,0),0)</f>
        <v>0</v>
      </c>
      <c r="BF81" s="195"/>
      <c r="BG81" s="344">
        <f>IFERROR(BL81/BK81,0)</f>
        <v>0.875</v>
      </c>
      <c r="BH81" s="344">
        <f>IFERROR(BM81/BK81,0)</f>
        <v>0.125</v>
      </c>
      <c r="BI81" s="344">
        <f t="shared" si="207"/>
        <v>0.125</v>
      </c>
      <c r="BJ81" s="345"/>
      <c r="BK81" s="355">
        <f>COUNTIF('ST | Drawing List'!$H:$H,"ST-SSC-2")</f>
        <v>8</v>
      </c>
      <c r="BL81" s="338">
        <f>COUNTIFS('ST | Drawing List'!$H:$H,"ST-SSC-2",'ST | Drawing List'!$J:$J,1)</f>
        <v>7</v>
      </c>
      <c r="BM81" s="338">
        <f>COUNTIFS('ST | Drawing List'!$H:$H,"ST-SSC-2",'ST | Drawing List'!$L:$L,1)</f>
        <v>1</v>
      </c>
      <c r="BN81" s="343">
        <f>COUNTIFS('ST | Drawing List'!$H:$H,"ST-SSC-2",'ST | Drawing List'!M:M,1)</f>
        <v>1</v>
      </c>
      <c r="BO81" s="343">
        <f>COUNTIFS('ST | Drawing List'!$H:$H,"ST-SSC-2",'ST | Drawing List'!N:N,1)</f>
        <v>0</v>
      </c>
      <c r="BP81" s="343">
        <f>COUNTIFS('ST | Drawing List'!$H:$H,"ST-SSC-2",'ST | Drawing List'!O:O,1)</f>
        <v>0</v>
      </c>
      <c r="BQ81" s="343">
        <f>COUNTIFS('ST | Drawing List'!$H:$H,"ST-SSC-2",'ST | Drawing List'!P:P,1)</f>
        <v>0</v>
      </c>
      <c r="BR81" s="343"/>
      <c r="BS81" s="338">
        <f>COUNTIFS('ST | Drawing List'!$H:$H,"ST-SSC-2",'ST | Drawing List'!$Q:$Q,1)</f>
        <v>1</v>
      </c>
      <c r="BT81" s="343">
        <f>COUNTIFS('ST | Drawing List'!$H:$H,"ST-SSC-2",'ST | Drawing List'!R:R,1)</f>
        <v>1</v>
      </c>
      <c r="BU81" s="343">
        <f>COUNTIFS('ST | Drawing List'!$H:$H,"ST-SSC-2",'ST | Drawing List'!S:S,1)</f>
        <v>0</v>
      </c>
      <c r="BV81" s="343">
        <f>COUNTIFS('ST | Drawing List'!$H:$H,"ST-SSC-2",'ST | Drawing List'!T:T,1)</f>
        <v>0</v>
      </c>
      <c r="BW81" s="343">
        <f>COUNTIFS('ST | Drawing List'!$H:$H,"ST-SSC-2",'ST | Drawing List'!U:U,1)</f>
        <v>0</v>
      </c>
      <c r="BX81" s="194"/>
      <c r="BY81" s="194"/>
      <c r="BZ81" s="196">
        <v>0</v>
      </c>
      <c r="CA81" s="194"/>
      <c r="CB81" s="332"/>
      <c r="CC81" s="328">
        <f t="shared" si="178"/>
        <v>0</v>
      </c>
      <c r="CD81" s="343"/>
      <c r="CE81" s="343"/>
      <c r="CF81" s="343">
        <f t="shared" si="156"/>
        <v>0</v>
      </c>
      <c r="CG81" s="343">
        <f t="shared" si="157"/>
        <v>0</v>
      </c>
      <c r="CH81" s="343">
        <f t="shared" si="158"/>
        <v>0</v>
      </c>
      <c r="CI81" s="343">
        <f t="shared" si="159"/>
        <v>0</v>
      </c>
      <c r="CJ81" s="343"/>
      <c r="CK81" s="478">
        <f t="shared" si="208"/>
        <v>0</v>
      </c>
      <c r="CL81" s="478">
        <f t="shared" si="209"/>
        <v>0</v>
      </c>
      <c r="CM81" s="478">
        <f t="shared" si="210"/>
        <v>0</v>
      </c>
      <c r="CN81" s="478">
        <f t="shared" si="211"/>
        <v>0</v>
      </c>
      <c r="CO81" s="478">
        <f t="shared" si="212"/>
        <v>0</v>
      </c>
      <c r="CP81" s="347"/>
      <c r="CQ81" s="348"/>
      <c r="CR81" s="348"/>
      <c r="CS81" s="348"/>
      <c r="CT81" s="345"/>
      <c r="CU81" s="355"/>
      <c r="CV81" s="355"/>
      <c r="CW81" s="355"/>
      <c r="CX81" s="343"/>
      <c r="CY81" s="343"/>
      <c r="CZ81" s="343"/>
      <c r="DA81" s="343"/>
      <c r="DB81" s="343"/>
      <c r="DC81" s="355"/>
      <c r="DD81" s="343"/>
      <c r="DE81" s="343"/>
      <c r="DF81" s="343"/>
      <c r="DG81" s="343"/>
      <c r="DH81" s="194"/>
      <c r="DI81" s="194"/>
      <c r="DJ81" s="196">
        <v>0</v>
      </c>
      <c r="DK81" s="194"/>
      <c r="DL81" s="332"/>
      <c r="DM81" s="328">
        <f t="shared" si="184"/>
        <v>0</v>
      </c>
      <c r="DN81" s="343"/>
      <c r="DO81" s="343"/>
      <c r="DP81" s="343"/>
      <c r="DQ81" s="343"/>
      <c r="DR81" s="343"/>
      <c r="DS81" s="343"/>
      <c r="DT81" s="343"/>
      <c r="DU81" s="343">
        <f t="shared" si="213"/>
        <v>0</v>
      </c>
      <c r="DV81" s="343">
        <f t="shared" si="214"/>
        <v>0</v>
      </c>
      <c r="DW81" s="343">
        <f t="shared" si="215"/>
        <v>0</v>
      </c>
      <c r="DX81" s="343">
        <f t="shared" si="216"/>
        <v>0</v>
      </c>
      <c r="DY81" s="343">
        <f t="shared" si="217"/>
        <v>0</v>
      </c>
      <c r="DZ81" s="347"/>
      <c r="EA81" s="348"/>
      <c r="EB81" s="348"/>
      <c r="EC81" s="348"/>
      <c r="ED81" s="345"/>
      <c r="EE81" s="355"/>
      <c r="EF81" s="355"/>
      <c r="EG81" s="355"/>
      <c r="EH81" s="343"/>
      <c r="EI81" s="343"/>
      <c r="EJ81" s="343"/>
      <c r="EK81" s="343"/>
      <c r="EL81" s="343"/>
      <c r="EM81" s="355"/>
      <c r="EN81" s="343"/>
      <c r="EO81" s="343"/>
      <c r="EP81" s="343"/>
      <c r="EQ81" s="343"/>
      <c r="ER81" s="114"/>
      <c r="ES81" s="499"/>
      <c r="ET81" s="112"/>
    </row>
    <row r="82" spans="1:150" ht="11.85" customHeight="1" outlineLevel="3">
      <c r="A82" s="112"/>
      <c r="B82" s="162" t="s">
        <v>86</v>
      </c>
      <c r="C82" s="213">
        <v>3</v>
      </c>
      <c r="D82" s="214" t="s">
        <v>72</v>
      </c>
      <c r="E82" s="114"/>
      <c r="F82" s="197">
        <v>0</v>
      </c>
      <c r="G82" s="194"/>
      <c r="H82" s="328"/>
      <c r="I82" s="328">
        <f t="shared" si="172"/>
        <v>0</v>
      </c>
      <c r="J82" s="343"/>
      <c r="K82" s="343"/>
      <c r="L82" s="343">
        <f t="shared" si="146"/>
        <v>0</v>
      </c>
      <c r="M82" s="343">
        <f t="shared" si="147"/>
        <v>0</v>
      </c>
      <c r="N82" s="343">
        <f t="shared" si="148"/>
        <v>0</v>
      </c>
      <c r="O82" s="343">
        <f t="shared" si="149"/>
        <v>0</v>
      </c>
      <c r="P82" s="343"/>
      <c r="Q82" s="343"/>
      <c r="R82" s="343">
        <f t="shared" si="190"/>
        <v>0</v>
      </c>
      <c r="S82" s="343">
        <f t="shared" si="191"/>
        <v>0</v>
      </c>
      <c r="T82" s="343">
        <f t="shared" si="192"/>
        <v>0</v>
      </c>
      <c r="U82" s="343">
        <f t="shared" si="193"/>
        <v>0</v>
      </c>
      <c r="V82" s="195"/>
      <c r="W82" s="344"/>
      <c r="X82" s="344"/>
      <c r="Y82" s="344"/>
      <c r="Z82" s="345"/>
      <c r="AA82" s="355"/>
      <c r="AB82" s="338"/>
      <c r="AC82" s="338"/>
      <c r="AD82" s="343"/>
      <c r="AE82" s="343"/>
      <c r="AF82" s="343"/>
      <c r="AG82" s="343"/>
      <c r="AH82" s="343"/>
      <c r="AI82" s="338"/>
      <c r="AJ82" s="343"/>
      <c r="AK82" s="343"/>
      <c r="AL82" s="343"/>
      <c r="AM82" s="343"/>
      <c r="AN82" s="338"/>
      <c r="AO82" s="338"/>
      <c r="AP82" s="196">
        <v>0.15</v>
      </c>
      <c r="AQ82" s="194"/>
      <c r="AR82" s="447">
        <f>$AR$79/$AP$79*AP82</f>
        <v>4.331856374999999E-2</v>
      </c>
      <c r="AS82" s="447">
        <f t="shared" si="176"/>
        <v>4.331856374999999E-2</v>
      </c>
      <c r="AT82" s="447">
        <f>IFERROR(IF(BG82=100%,AR82,0),0)</f>
        <v>0</v>
      </c>
      <c r="AU82" s="343">
        <f>IFERROR(IF(AND((BG82+BH82)=100%,BG82&lt;1),AR82,0),0)</f>
        <v>4.331856374999999E-2</v>
      </c>
      <c r="AV82" s="343">
        <f>IFERROR(IF(AND((BL82+BN82)=BK82,AT82=0),AR82,0),0)</f>
        <v>4.331856374999999E-2</v>
      </c>
      <c r="AW82" s="343">
        <f>IFERROR(IF(AND((BL82+BN82+BO82)=BK82,AT82=0,AV82=0),AR82,0),0)</f>
        <v>0</v>
      </c>
      <c r="AX82" s="343">
        <f>IFERROR(IF(AND((BL82+BN82+BO82+BP82)=BK82,AT82=0,AU82=0,AV82=0,AW82=0),AR82,0),0)</f>
        <v>0</v>
      </c>
      <c r="AY82" s="343">
        <f>IFERROR(IF(AND((BL82+BN82+BO82+BP82+BQ82)=BK82,AT82=0,AU82=0,AV82=0,AW82=0,AX82=0),AR82,0),0)</f>
        <v>0</v>
      </c>
      <c r="AZ82" s="343"/>
      <c r="BA82" s="343">
        <f>IFERROR(IF(AND((BG82+BI82)=100%,BG82&lt;1),AR82,0),0)</f>
        <v>4.331856374999999E-2</v>
      </c>
      <c r="BB82" s="343">
        <f>IFERROR(IF(AND((BL82+BT82)=BK82,AT82=0),AR82,0),0)</f>
        <v>4.331856374999999E-2</v>
      </c>
      <c r="BC82" s="343">
        <f>IFERROR(IF(AND((BL82+BT82+BU82)=BK82,AT82=0,BB82=0),AR82,0),0)</f>
        <v>0</v>
      </c>
      <c r="BD82" s="343">
        <f>IFERROR(IF(AND((BL82+BT82+BU82+BV82)=BK82,AT82=0,BB82=0,BC82=0),AR82,0),0)</f>
        <v>0</v>
      </c>
      <c r="BE82" s="343">
        <f>IFERROR(IF(AND((BL82+BT82+BU82+BV82+BW82)=BK82,AT82=0,BB82=0,BC82=0,BD82=0),AR82,0),0)</f>
        <v>0</v>
      </c>
      <c r="BF82" s="195"/>
      <c r="BG82" s="344">
        <f>IFERROR(BL82/BK82,0)</f>
        <v>0.5</v>
      </c>
      <c r="BH82" s="344">
        <f>IFERROR(BM82/BK82,0)</f>
        <v>0.5</v>
      </c>
      <c r="BI82" s="344">
        <f t="shared" si="207"/>
        <v>0.5</v>
      </c>
      <c r="BJ82" s="345"/>
      <c r="BK82" s="355">
        <f>COUNTIF('ST | Drawing List'!$H:$H,"ST-SSC-3")</f>
        <v>4</v>
      </c>
      <c r="BL82" s="338">
        <f>COUNTIFS('ST | Drawing List'!$H:$H,"ST-SSC-3",'ST | Drawing List'!$J:$J,1)</f>
        <v>2</v>
      </c>
      <c r="BM82" s="338">
        <f>COUNTIFS('ST | Drawing List'!$H:$H,"ST-SSC-3",'ST | Drawing List'!$L:$L,1)</f>
        <v>2</v>
      </c>
      <c r="BN82" s="343">
        <f>COUNTIFS('ST | Drawing List'!$H:$H,"ST-SSC-3",'ST | Drawing List'!M:M,1)</f>
        <v>2</v>
      </c>
      <c r="BO82" s="343">
        <f>COUNTIFS('ST | Drawing List'!$H:$H,"ST-SSC-3",'ST | Drawing List'!N:N,1)</f>
        <v>0</v>
      </c>
      <c r="BP82" s="343">
        <f>COUNTIFS('ST | Drawing List'!$H:$H,"ST-SSC-3",'ST | Drawing List'!O:O,1)</f>
        <v>0</v>
      </c>
      <c r="BQ82" s="343">
        <f>COUNTIFS('ST | Drawing List'!$H:$H,"ST-SSC-3",'ST | Drawing List'!P:P,1)</f>
        <v>0</v>
      </c>
      <c r="BR82" s="343"/>
      <c r="BS82" s="338">
        <f>COUNTIFS('ST | Drawing List'!$H:$H,"ST-SSC-3",'ST | Drawing List'!$Q:$Q,1)</f>
        <v>2</v>
      </c>
      <c r="BT82" s="343">
        <f>COUNTIFS('ST | Drawing List'!$H:$H,"ST-SSC-3",'ST | Drawing List'!R:R,1)</f>
        <v>2</v>
      </c>
      <c r="BU82" s="343">
        <f>COUNTIFS('ST | Drawing List'!$H:$H,"ST-SSC-3",'ST | Drawing List'!S:S,1)</f>
        <v>0</v>
      </c>
      <c r="BV82" s="343">
        <f>COUNTIFS('ST | Drawing List'!$H:$H,"ST-SSC-3",'ST | Drawing List'!T:T,1)</f>
        <v>0</v>
      </c>
      <c r="BW82" s="343">
        <f>COUNTIFS('ST | Drawing List'!$H:$H,"ST-SSC-3",'ST | Drawing List'!U:U,1)</f>
        <v>0</v>
      </c>
      <c r="BX82" s="194"/>
      <c r="BY82" s="194"/>
      <c r="BZ82" s="196">
        <v>0</v>
      </c>
      <c r="CA82" s="194"/>
      <c r="CB82" s="332"/>
      <c r="CC82" s="328">
        <f t="shared" si="178"/>
        <v>0</v>
      </c>
      <c r="CD82" s="343"/>
      <c r="CE82" s="343"/>
      <c r="CF82" s="343">
        <f t="shared" si="156"/>
        <v>0</v>
      </c>
      <c r="CG82" s="343">
        <f t="shared" si="157"/>
        <v>0</v>
      </c>
      <c r="CH82" s="343">
        <f t="shared" si="158"/>
        <v>0</v>
      </c>
      <c r="CI82" s="343">
        <f t="shared" si="159"/>
        <v>0</v>
      </c>
      <c r="CJ82" s="343"/>
      <c r="CK82" s="478">
        <f t="shared" si="208"/>
        <v>0</v>
      </c>
      <c r="CL82" s="478">
        <f t="shared" si="209"/>
        <v>0</v>
      </c>
      <c r="CM82" s="478">
        <f t="shared" si="210"/>
        <v>0</v>
      </c>
      <c r="CN82" s="478">
        <f t="shared" si="211"/>
        <v>0</v>
      </c>
      <c r="CO82" s="478">
        <f t="shared" si="212"/>
        <v>0</v>
      </c>
      <c r="CP82" s="195"/>
      <c r="CQ82" s="344"/>
      <c r="CR82" s="344"/>
      <c r="CS82" s="344"/>
      <c r="CT82" s="345"/>
      <c r="CU82" s="355"/>
      <c r="CV82" s="338"/>
      <c r="CW82" s="338"/>
      <c r="CX82" s="343"/>
      <c r="CY82" s="343"/>
      <c r="CZ82" s="343"/>
      <c r="DA82" s="343"/>
      <c r="DB82" s="343"/>
      <c r="DC82" s="338"/>
      <c r="DD82" s="343"/>
      <c r="DE82" s="343"/>
      <c r="DF82" s="343"/>
      <c r="DG82" s="343"/>
      <c r="DH82" s="194"/>
      <c r="DI82" s="194"/>
      <c r="DJ82" s="196">
        <v>0</v>
      </c>
      <c r="DK82" s="194"/>
      <c r="DL82" s="332"/>
      <c r="DM82" s="328">
        <f t="shared" si="184"/>
        <v>0</v>
      </c>
      <c r="DN82" s="343"/>
      <c r="DO82" s="343"/>
      <c r="DP82" s="343"/>
      <c r="DQ82" s="343"/>
      <c r="DR82" s="343"/>
      <c r="DS82" s="343"/>
      <c r="DT82" s="343"/>
      <c r="DU82" s="343">
        <f t="shared" si="213"/>
        <v>0</v>
      </c>
      <c r="DV82" s="343">
        <f t="shared" si="214"/>
        <v>0</v>
      </c>
      <c r="DW82" s="343">
        <f t="shared" si="215"/>
        <v>0</v>
      </c>
      <c r="DX82" s="343">
        <f t="shared" si="216"/>
        <v>0</v>
      </c>
      <c r="DY82" s="343">
        <f t="shared" si="217"/>
        <v>0</v>
      </c>
      <c r="DZ82" s="195"/>
      <c r="EA82" s="344"/>
      <c r="EB82" s="344"/>
      <c r="EC82" s="344"/>
      <c r="ED82" s="345"/>
      <c r="EE82" s="355"/>
      <c r="EF82" s="338"/>
      <c r="EG82" s="338"/>
      <c r="EH82" s="343"/>
      <c r="EI82" s="343"/>
      <c r="EJ82" s="343"/>
      <c r="EK82" s="343"/>
      <c r="EL82" s="343"/>
      <c r="EM82" s="338"/>
      <c r="EN82" s="343"/>
      <c r="EO82" s="343"/>
      <c r="EP82" s="343"/>
      <c r="EQ82" s="343"/>
      <c r="ER82" s="114"/>
      <c r="ES82" s="499"/>
      <c r="ET82" s="112"/>
    </row>
    <row r="83" spans="1:150" ht="3" customHeight="1" outlineLevel="2">
      <c r="A83" s="112"/>
      <c r="B83" s="165"/>
      <c r="C83" s="165"/>
      <c r="D83" s="114"/>
      <c r="E83" s="114"/>
      <c r="F83" s="205"/>
      <c r="G83" s="205"/>
      <c r="H83" s="328"/>
      <c r="I83" s="328">
        <f t="shared" si="172"/>
        <v>0</v>
      </c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195"/>
      <c r="W83" s="344"/>
      <c r="X83" s="344"/>
      <c r="Y83" s="344"/>
      <c r="Z83" s="345"/>
      <c r="AA83" s="355"/>
      <c r="AB83" s="338"/>
      <c r="AC83" s="338"/>
      <c r="AD83" s="343"/>
      <c r="AE83" s="343"/>
      <c r="AF83" s="343"/>
      <c r="AG83" s="343"/>
      <c r="AH83" s="343"/>
      <c r="AI83" s="338"/>
      <c r="AJ83" s="343"/>
      <c r="AK83" s="343"/>
      <c r="AL83" s="343"/>
      <c r="AM83" s="343"/>
      <c r="AN83" s="338"/>
      <c r="AO83" s="338"/>
      <c r="AP83" s="205"/>
      <c r="AQ83" s="205"/>
      <c r="AR83" s="332"/>
      <c r="AS83" s="328">
        <f t="shared" si="176"/>
        <v>0</v>
      </c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195"/>
      <c r="BG83" s="344"/>
      <c r="BH83" s="344"/>
      <c r="BI83" s="344"/>
      <c r="BJ83" s="345"/>
      <c r="BK83" s="355"/>
      <c r="BL83" s="338"/>
      <c r="BM83" s="338"/>
      <c r="BN83" s="343"/>
      <c r="BO83" s="343"/>
      <c r="BP83" s="343"/>
      <c r="BQ83" s="343"/>
      <c r="BR83" s="343"/>
      <c r="BS83" s="338"/>
      <c r="BT83" s="343"/>
      <c r="BU83" s="343"/>
      <c r="BV83" s="343"/>
      <c r="BW83" s="343"/>
      <c r="BX83" s="205"/>
      <c r="BY83" s="205"/>
      <c r="BZ83" s="205"/>
      <c r="CA83" s="205"/>
      <c r="CB83" s="332"/>
      <c r="CC83" s="328">
        <f t="shared" si="178"/>
        <v>0</v>
      </c>
      <c r="CD83" s="343"/>
      <c r="CE83" s="343"/>
      <c r="CF83" s="343"/>
      <c r="CG83" s="343"/>
      <c r="CH83" s="343"/>
      <c r="CI83" s="343"/>
      <c r="CJ83" s="343"/>
      <c r="CK83" s="478"/>
      <c r="CL83" s="478"/>
      <c r="CM83" s="478"/>
      <c r="CN83" s="478"/>
      <c r="CO83" s="478"/>
      <c r="CP83" s="195"/>
      <c r="CQ83" s="344"/>
      <c r="CR83" s="344"/>
      <c r="CS83" s="344"/>
      <c r="CT83" s="345"/>
      <c r="CU83" s="355"/>
      <c r="CV83" s="338"/>
      <c r="CW83" s="338"/>
      <c r="CX83" s="343"/>
      <c r="CY83" s="343"/>
      <c r="CZ83" s="343"/>
      <c r="DA83" s="343"/>
      <c r="DB83" s="343"/>
      <c r="DC83" s="338"/>
      <c r="DD83" s="343"/>
      <c r="DE83" s="343"/>
      <c r="DF83" s="343"/>
      <c r="DG83" s="343"/>
      <c r="DH83" s="205"/>
      <c r="DI83" s="205"/>
      <c r="DJ83" s="205"/>
      <c r="DK83" s="205"/>
      <c r="DL83" s="332"/>
      <c r="DM83" s="328">
        <f t="shared" si="184"/>
        <v>0</v>
      </c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195"/>
      <c r="EA83" s="344"/>
      <c r="EB83" s="344"/>
      <c r="EC83" s="344"/>
      <c r="ED83" s="345"/>
      <c r="EE83" s="355"/>
      <c r="EF83" s="338"/>
      <c r="EG83" s="338"/>
      <c r="EH83" s="343"/>
      <c r="EI83" s="343"/>
      <c r="EJ83" s="343"/>
      <c r="EK83" s="343"/>
      <c r="EL83" s="343"/>
      <c r="EM83" s="338"/>
      <c r="EN83" s="343"/>
      <c r="EO83" s="343"/>
      <c r="EP83" s="343"/>
      <c r="EQ83" s="343"/>
      <c r="ER83" s="114"/>
      <c r="ES83" s="499"/>
      <c r="ET83" s="112"/>
    </row>
    <row r="84" spans="1:150" ht="3" customHeight="1" outlineLevel="1">
      <c r="A84" s="112"/>
      <c r="B84" s="165"/>
      <c r="C84" s="165"/>
      <c r="D84" s="114"/>
      <c r="E84" s="114"/>
      <c r="F84" s="197"/>
      <c r="G84" s="194"/>
      <c r="H84" s="328"/>
      <c r="I84" s="328">
        <f t="shared" si="172"/>
        <v>0</v>
      </c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195"/>
      <c r="W84" s="344"/>
      <c r="X84" s="344"/>
      <c r="Y84" s="344"/>
      <c r="Z84" s="345"/>
      <c r="AA84" s="355"/>
      <c r="AB84" s="338"/>
      <c r="AC84" s="338"/>
      <c r="AD84" s="343"/>
      <c r="AE84" s="343"/>
      <c r="AF84" s="343"/>
      <c r="AG84" s="343"/>
      <c r="AH84" s="343"/>
      <c r="AI84" s="338"/>
      <c r="AJ84" s="343"/>
      <c r="AK84" s="343"/>
      <c r="AL84" s="343"/>
      <c r="AM84" s="343"/>
      <c r="AN84" s="338"/>
      <c r="AO84" s="338"/>
      <c r="AP84" s="196"/>
      <c r="AQ84" s="194"/>
      <c r="AR84" s="332"/>
      <c r="AS84" s="328">
        <f t="shared" si="176"/>
        <v>0</v>
      </c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195"/>
      <c r="BG84" s="344"/>
      <c r="BH84" s="344"/>
      <c r="BI84" s="344"/>
      <c r="BJ84" s="345"/>
      <c r="BK84" s="355"/>
      <c r="BL84" s="338"/>
      <c r="BM84" s="338"/>
      <c r="BN84" s="343"/>
      <c r="BO84" s="343"/>
      <c r="BP84" s="343"/>
      <c r="BQ84" s="343"/>
      <c r="BR84" s="343"/>
      <c r="BS84" s="338"/>
      <c r="BT84" s="343"/>
      <c r="BU84" s="343"/>
      <c r="BV84" s="343"/>
      <c r="BW84" s="343"/>
      <c r="BX84" s="194"/>
      <c r="BY84" s="194"/>
      <c r="BZ84" s="196"/>
      <c r="CA84" s="194"/>
      <c r="CB84" s="332"/>
      <c r="CC84" s="328">
        <f t="shared" si="178"/>
        <v>0</v>
      </c>
      <c r="CD84" s="343"/>
      <c r="CE84" s="343"/>
      <c r="CF84" s="343"/>
      <c r="CG84" s="343"/>
      <c r="CH84" s="343"/>
      <c r="CI84" s="343"/>
      <c r="CJ84" s="343"/>
      <c r="CK84" s="478"/>
      <c r="CL84" s="478"/>
      <c r="CM84" s="478"/>
      <c r="CN84" s="478"/>
      <c r="CO84" s="478"/>
      <c r="CP84" s="195"/>
      <c r="CQ84" s="344"/>
      <c r="CR84" s="344"/>
      <c r="CS84" s="344"/>
      <c r="CT84" s="345"/>
      <c r="CU84" s="355"/>
      <c r="CV84" s="338"/>
      <c r="CW84" s="338"/>
      <c r="CX84" s="343"/>
      <c r="CY84" s="343"/>
      <c r="CZ84" s="343"/>
      <c r="DA84" s="343"/>
      <c r="DB84" s="343"/>
      <c r="DC84" s="338"/>
      <c r="DD84" s="343"/>
      <c r="DE84" s="343"/>
      <c r="DF84" s="343"/>
      <c r="DG84" s="343"/>
      <c r="DH84" s="194"/>
      <c r="DI84" s="194"/>
      <c r="DJ84" s="197"/>
      <c r="DK84" s="194"/>
      <c r="DL84" s="332"/>
      <c r="DM84" s="328">
        <f t="shared" si="184"/>
        <v>0</v>
      </c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195"/>
      <c r="EA84" s="344"/>
      <c r="EB84" s="344"/>
      <c r="EC84" s="344"/>
      <c r="ED84" s="345"/>
      <c r="EE84" s="355"/>
      <c r="EF84" s="338"/>
      <c r="EG84" s="338"/>
      <c r="EH84" s="343"/>
      <c r="EI84" s="343"/>
      <c r="EJ84" s="343"/>
      <c r="EK84" s="343"/>
      <c r="EL84" s="343"/>
      <c r="EM84" s="338"/>
      <c r="EN84" s="343"/>
      <c r="EO84" s="343"/>
      <c r="EP84" s="343"/>
      <c r="EQ84" s="343"/>
      <c r="ER84" s="114"/>
      <c r="ES84" s="499"/>
      <c r="ET84" s="112"/>
    </row>
    <row r="85" spans="1:150" ht="13.2" outlineLevel="1">
      <c r="A85" s="112"/>
      <c r="B85" s="148"/>
      <c r="C85" s="212">
        <v>3</v>
      </c>
      <c r="D85" s="211" t="s">
        <v>87</v>
      </c>
      <c r="E85" s="149"/>
      <c r="F85" s="188">
        <f>SUM(F86:F89)</f>
        <v>0.5</v>
      </c>
      <c r="G85" s="188"/>
      <c r="H85" s="189">
        <f>F85*(5%*'BOQ COST'!E8)*1</f>
        <v>0.38440000000000002</v>
      </c>
      <c r="I85" s="189">
        <f t="shared" si="172"/>
        <v>0.38440000000000002</v>
      </c>
      <c r="J85" s="190">
        <f t="shared" ref="J85:V85" si="218">SUM(J86:J89)</f>
        <v>0.19220000000000001</v>
      </c>
      <c r="K85" s="190">
        <f t="shared" si="218"/>
        <v>0.19220000000000001</v>
      </c>
      <c r="L85" s="190">
        <f t="shared" si="218"/>
        <v>0.19220000000000001</v>
      </c>
      <c r="M85" s="190">
        <f t="shared" si="218"/>
        <v>0</v>
      </c>
      <c r="N85" s="190">
        <f t="shared" si="218"/>
        <v>0</v>
      </c>
      <c r="O85" s="190">
        <f t="shared" si="218"/>
        <v>0</v>
      </c>
      <c r="P85" s="190"/>
      <c r="Q85" s="190">
        <f t="shared" si="218"/>
        <v>0.19220000000000001</v>
      </c>
      <c r="R85" s="190">
        <f t="shared" si="218"/>
        <v>3.8440000000000002E-2</v>
      </c>
      <c r="S85" s="190">
        <f t="shared" si="218"/>
        <v>3.8440000000000002E-2</v>
      </c>
      <c r="T85" s="190">
        <f t="shared" si="218"/>
        <v>0.11532000000000001</v>
      </c>
      <c r="U85" s="190">
        <f t="shared" si="218"/>
        <v>0</v>
      </c>
      <c r="V85" s="190">
        <f t="shared" si="218"/>
        <v>0</v>
      </c>
      <c r="W85" s="190"/>
      <c r="X85" s="190"/>
      <c r="Y85" s="190"/>
      <c r="Z85" s="190">
        <f t="shared" ref="Z85:AM85" si="219">SUM(Z86:Z89)</f>
        <v>0</v>
      </c>
      <c r="AA85" s="190">
        <f t="shared" si="219"/>
        <v>59</v>
      </c>
      <c r="AB85" s="190">
        <f t="shared" si="219"/>
        <v>48</v>
      </c>
      <c r="AC85" s="190">
        <f t="shared" si="219"/>
        <v>11</v>
      </c>
      <c r="AD85" s="190">
        <f t="shared" si="219"/>
        <v>11</v>
      </c>
      <c r="AE85" s="190">
        <f t="shared" si="219"/>
        <v>0</v>
      </c>
      <c r="AF85" s="190">
        <f t="shared" si="219"/>
        <v>0</v>
      </c>
      <c r="AG85" s="190">
        <f t="shared" si="219"/>
        <v>0</v>
      </c>
      <c r="AH85" s="190"/>
      <c r="AI85" s="190">
        <f t="shared" si="219"/>
        <v>11</v>
      </c>
      <c r="AJ85" s="190">
        <f t="shared" si="219"/>
        <v>1</v>
      </c>
      <c r="AK85" s="190">
        <f t="shared" si="219"/>
        <v>3</v>
      </c>
      <c r="AL85" s="190">
        <f t="shared" si="219"/>
        <v>7</v>
      </c>
      <c r="AM85" s="190">
        <f t="shared" si="219"/>
        <v>0</v>
      </c>
      <c r="AN85" s="342"/>
      <c r="AO85" s="342"/>
      <c r="AP85" s="188">
        <f>SUM(AP86:AP89)</f>
        <v>0.55000000000000004</v>
      </c>
      <c r="AQ85" s="188"/>
      <c r="AR85" s="203">
        <f>AP85*(3%*'BOQ COST'!F8)*1</f>
        <v>0.24486000000000002</v>
      </c>
      <c r="AS85" s="189">
        <f t="shared" si="176"/>
        <v>0.24485999999999997</v>
      </c>
      <c r="AT85" s="190">
        <f t="shared" ref="AT85:BF85" si="220">SUM(AT86:AT89)</f>
        <v>0</v>
      </c>
      <c r="AU85" s="190">
        <f t="shared" si="220"/>
        <v>0.24485999999999997</v>
      </c>
      <c r="AV85" s="190">
        <f t="shared" si="220"/>
        <v>0.24485999999999997</v>
      </c>
      <c r="AW85" s="190">
        <f t="shared" si="220"/>
        <v>0</v>
      </c>
      <c r="AX85" s="190">
        <f t="shared" si="220"/>
        <v>0</v>
      </c>
      <c r="AY85" s="190">
        <f t="shared" si="220"/>
        <v>0</v>
      </c>
      <c r="AZ85" s="190"/>
      <c r="BA85" s="190">
        <f t="shared" si="220"/>
        <v>0.24485999999999997</v>
      </c>
      <c r="BB85" s="190">
        <f t="shared" si="220"/>
        <v>0.1113</v>
      </c>
      <c r="BC85" s="190">
        <f t="shared" si="220"/>
        <v>0.13355999999999998</v>
      </c>
      <c r="BD85" s="190">
        <f t="shared" si="220"/>
        <v>0</v>
      </c>
      <c r="BE85" s="190">
        <f t="shared" si="220"/>
        <v>0</v>
      </c>
      <c r="BF85" s="190">
        <f t="shared" si="220"/>
        <v>0</v>
      </c>
      <c r="BG85" s="190"/>
      <c r="BH85" s="190"/>
      <c r="BI85" s="190"/>
      <c r="BJ85" s="190">
        <f t="shared" ref="BJ85:BW85" si="221">SUM(BJ86:BJ89)</f>
        <v>0</v>
      </c>
      <c r="BK85" s="190">
        <f t="shared" si="221"/>
        <v>17</v>
      </c>
      <c r="BL85" s="190">
        <f t="shared" si="221"/>
        <v>3</v>
      </c>
      <c r="BM85" s="190">
        <f t="shared" si="221"/>
        <v>14</v>
      </c>
      <c r="BN85" s="190">
        <f t="shared" si="221"/>
        <v>14</v>
      </c>
      <c r="BO85" s="190">
        <f t="shared" si="221"/>
        <v>0</v>
      </c>
      <c r="BP85" s="190">
        <f t="shared" si="221"/>
        <v>0</v>
      </c>
      <c r="BQ85" s="190">
        <f t="shared" si="221"/>
        <v>0</v>
      </c>
      <c r="BR85" s="190"/>
      <c r="BS85" s="190">
        <f t="shared" si="221"/>
        <v>14</v>
      </c>
      <c r="BT85" s="190">
        <f t="shared" si="221"/>
        <v>7</v>
      </c>
      <c r="BU85" s="190">
        <f t="shared" si="221"/>
        <v>7</v>
      </c>
      <c r="BV85" s="190">
        <f t="shared" si="221"/>
        <v>0</v>
      </c>
      <c r="BW85" s="190">
        <f t="shared" si="221"/>
        <v>0</v>
      </c>
      <c r="BX85" s="188"/>
      <c r="BY85" s="188"/>
      <c r="BZ85" s="188">
        <f>SUM(BZ86:BZ89)</f>
        <v>0.65</v>
      </c>
      <c r="CA85" s="188"/>
      <c r="CB85" s="203">
        <f>BZ85*(2%*'BOQ COST'!G8)*1</f>
        <v>0.19102147093282762</v>
      </c>
      <c r="CC85" s="189">
        <f t="shared" si="178"/>
        <v>0.146939593025252</v>
      </c>
      <c r="CD85" s="190">
        <f t="shared" ref="CD85:CP85" si="222">SUM(CD86:CD89)</f>
        <v>0</v>
      </c>
      <c r="CE85" s="190">
        <f t="shared" si="222"/>
        <v>0.19102147093282759</v>
      </c>
      <c r="CF85" s="190">
        <f t="shared" si="222"/>
        <v>0.19102147093282759</v>
      </c>
      <c r="CG85" s="190">
        <f t="shared" si="222"/>
        <v>0</v>
      </c>
      <c r="CH85" s="190">
        <f t="shared" si="222"/>
        <v>0</v>
      </c>
      <c r="CI85" s="190">
        <f t="shared" si="222"/>
        <v>0</v>
      </c>
      <c r="CJ85" s="190"/>
      <c r="CK85" s="477">
        <f t="shared" si="222"/>
        <v>0.146939593025252</v>
      </c>
      <c r="CL85" s="477">
        <f t="shared" si="222"/>
        <v>0.146939593025252</v>
      </c>
      <c r="CM85" s="477">
        <f t="shared" si="222"/>
        <v>0</v>
      </c>
      <c r="CN85" s="477">
        <f t="shared" si="222"/>
        <v>0</v>
      </c>
      <c r="CO85" s="477">
        <f t="shared" si="222"/>
        <v>0</v>
      </c>
      <c r="CP85" s="190">
        <f t="shared" si="222"/>
        <v>0</v>
      </c>
      <c r="CQ85" s="190"/>
      <c r="CR85" s="190"/>
      <c r="CS85" s="190"/>
      <c r="CT85" s="190">
        <f t="shared" ref="CT85:DG85" si="223">SUM(CT86:CT89)</f>
        <v>0</v>
      </c>
      <c r="CU85" s="190">
        <f t="shared" si="223"/>
        <v>37</v>
      </c>
      <c r="CV85" s="190">
        <f t="shared" si="223"/>
        <v>11</v>
      </c>
      <c r="CW85" s="190">
        <f t="shared" si="223"/>
        <v>26</v>
      </c>
      <c r="CX85" s="190">
        <f t="shared" si="223"/>
        <v>26</v>
      </c>
      <c r="CY85" s="190">
        <f t="shared" si="223"/>
        <v>0</v>
      </c>
      <c r="CZ85" s="190">
        <f t="shared" si="223"/>
        <v>0</v>
      </c>
      <c r="DA85" s="190">
        <f t="shared" si="223"/>
        <v>0</v>
      </c>
      <c r="DB85" s="190"/>
      <c r="DC85" s="190">
        <f t="shared" si="223"/>
        <v>22</v>
      </c>
      <c r="DD85" s="190">
        <f t="shared" si="223"/>
        <v>22</v>
      </c>
      <c r="DE85" s="190">
        <f t="shared" si="223"/>
        <v>0</v>
      </c>
      <c r="DF85" s="190">
        <f t="shared" si="223"/>
        <v>0</v>
      </c>
      <c r="DG85" s="190">
        <f t="shared" si="223"/>
        <v>0</v>
      </c>
      <c r="DH85" s="188"/>
      <c r="DI85" s="188"/>
      <c r="DJ85" s="188">
        <f>SUM(DJ86:DJ89)</f>
        <v>0.55000000000000004</v>
      </c>
      <c r="DK85" s="188"/>
      <c r="DL85" s="203">
        <f>DJ85*(7%*'BOQ COST'!H8)*1</f>
        <v>1.4245000000000002E-2</v>
      </c>
      <c r="DM85" s="189">
        <f t="shared" si="184"/>
        <v>1.4245000000000001E-2</v>
      </c>
      <c r="DN85" s="190">
        <f t="shared" ref="DN85:DZ85" si="224">SUM(DN86:DN89)</f>
        <v>0</v>
      </c>
      <c r="DO85" s="190">
        <f t="shared" si="224"/>
        <v>1.4245000000000001E-2</v>
      </c>
      <c r="DP85" s="190">
        <f t="shared" si="224"/>
        <v>1.4245000000000001E-2</v>
      </c>
      <c r="DQ85" s="190">
        <f t="shared" si="224"/>
        <v>0</v>
      </c>
      <c r="DR85" s="190">
        <f t="shared" si="224"/>
        <v>0</v>
      </c>
      <c r="DS85" s="190">
        <f t="shared" si="224"/>
        <v>0</v>
      </c>
      <c r="DT85" s="190"/>
      <c r="DU85" s="190">
        <f t="shared" si="224"/>
        <v>1.4245000000000001E-2</v>
      </c>
      <c r="DV85" s="190">
        <f t="shared" si="224"/>
        <v>0</v>
      </c>
      <c r="DW85" s="190">
        <f t="shared" si="224"/>
        <v>1.4245000000000001E-2</v>
      </c>
      <c r="DX85" s="190">
        <f t="shared" si="224"/>
        <v>0</v>
      </c>
      <c r="DY85" s="190">
        <f t="shared" si="224"/>
        <v>0</v>
      </c>
      <c r="DZ85" s="190">
        <f t="shared" si="224"/>
        <v>0</v>
      </c>
      <c r="EA85" s="190"/>
      <c r="EB85" s="190"/>
      <c r="EC85" s="190"/>
      <c r="ED85" s="190">
        <f t="shared" ref="ED85:EQ85" si="225">SUM(ED86:ED89)</f>
        <v>0</v>
      </c>
      <c r="EE85" s="190">
        <f t="shared" si="225"/>
        <v>11</v>
      </c>
      <c r="EF85" s="190">
        <f t="shared" si="225"/>
        <v>0</v>
      </c>
      <c r="EG85" s="190">
        <f t="shared" si="225"/>
        <v>11</v>
      </c>
      <c r="EH85" s="190">
        <f t="shared" si="225"/>
        <v>11</v>
      </c>
      <c r="EI85" s="190">
        <f t="shared" si="225"/>
        <v>0</v>
      </c>
      <c r="EJ85" s="190">
        <f t="shared" si="225"/>
        <v>0</v>
      </c>
      <c r="EK85" s="190">
        <f t="shared" si="225"/>
        <v>0</v>
      </c>
      <c r="EL85" s="190"/>
      <c r="EM85" s="190">
        <f t="shared" si="225"/>
        <v>11</v>
      </c>
      <c r="EN85" s="190">
        <f t="shared" si="225"/>
        <v>0</v>
      </c>
      <c r="EO85" s="190">
        <f t="shared" si="225"/>
        <v>11</v>
      </c>
      <c r="EP85" s="190">
        <f t="shared" si="225"/>
        <v>0</v>
      </c>
      <c r="EQ85" s="190">
        <f t="shared" si="225"/>
        <v>0</v>
      </c>
      <c r="ER85" s="112"/>
      <c r="ES85" s="499"/>
      <c r="ET85" s="112"/>
    </row>
    <row r="86" spans="1:150" ht="11.85" customHeight="1" outlineLevel="2">
      <c r="A86" s="112"/>
      <c r="B86" s="162" t="s">
        <v>88</v>
      </c>
      <c r="C86" s="213">
        <v>1</v>
      </c>
      <c r="D86" s="455" t="s">
        <v>22</v>
      </c>
      <c r="E86" s="114"/>
      <c r="F86" s="197">
        <v>0.25</v>
      </c>
      <c r="G86" s="194"/>
      <c r="H86" s="447">
        <f t="shared" ref="H86:H89" si="226">$H$85/$F$85*F86</f>
        <v>0.19220000000000001</v>
      </c>
      <c r="I86" s="447">
        <f t="shared" si="172"/>
        <v>0.19220000000000001</v>
      </c>
      <c r="J86" s="448">
        <f>IFERROR(IF(W86=100%,H86,0),0)</f>
        <v>0.19220000000000001</v>
      </c>
      <c r="K86" s="448">
        <f>IFERROR(IF(AND((W86+X86)=100%,W86&lt;1),H86,0),0)</f>
        <v>0</v>
      </c>
      <c r="L86" s="448">
        <f>IFERROR(IF(AND((AB86+AD86)=AA86,J86=0),H86,0),0)</f>
        <v>0</v>
      </c>
      <c r="M86" s="448">
        <f>IFERROR(IF(AND((AB86+AD86+AE86)=AA86,J86=0,L86=0),H86,0),0)</f>
        <v>0</v>
      </c>
      <c r="N86" s="448">
        <f>IFERROR(IF(AND((AB86+AD86+AE86+AF86)=AA86,J86=0,K86=0,L86=0,M86=0),H86,0),0)</f>
        <v>0</v>
      </c>
      <c r="O86" s="448">
        <f>IFERROR(IF(AND((AB86+AD86+AE86+AF86+AG86)=AA86,J86=0,K86=0,L86=0,M86=0,N86=0),H86,0),0)</f>
        <v>0</v>
      </c>
      <c r="P86" s="448"/>
      <c r="Q86" s="448">
        <f>IFERROR(IF(AND((W86+Y86)=100%,W86&lt;1),H86,0),0)</f>
        <v>0</v>
      </c>
      <c r="R86" s="448">
        <f>IFERROR(IF(AND((AB86+AJ86)=AA86,J86=0),H86,0),0)</f>
        <v>0</v>
      </c>
      <c r="S86" s="448">
        <f>IFERROR(IF(AND((AB86+AJ86+AK86)=AA86,J86=0,R86=0),H86,0),0)</f>
        <v>0</v>
      </c>
      <c r="T86" s="448">
        <f>IFERROR(IF(AND((AB86+AJ86+AK86+AL86)=AA86,J86=0,R86=0,S86=0),H86,0),0)</f>
        <v>0</v>
      </c>
      <c r="U86" s="448">
        <f>IFERROR(IF(AND((AB86+AJ86+AK86+AL86+AM86)=AA86,J86=0,R86=0,S86=0,T86=0),H86,0),0)</f>
        <v>0</v>
      </c>
      <c r="V86" s="195"/>
      <c r="W86" s="344">
        <f t="shared" ref="W86:W89" si="227">IFERROR(AB86/AA86,0)</f>
        <v>1</v>
      </c>
      <c r="X86" s="344">
        <f t="shared" ref="X86:X89" si="228">IFERROR(AC86/AA86,0)</f>
        <v>0</v>
      </c>
      <c r="Y86" s="344">
        <f t="shared" ref="Y86:Y89" si="229">IFERROR(AI86/AA86,0)</f>
        <v>0</v>
      </c>
      <c r="Z86" s="346"/>
      <c r="AA86" s="355">
        <f>COUNTIF('AR | Drawing List'!$H:$H,"AR-SDV-1")</f>
        <v>30</v>
      </c>
      <c r="AB86" s="338">
        <f>COUNTIFS('AR | Drawing List'!$H:$H,"AR-SDV-1",'AR | Drawing List'!$J:$J,1)</f>
        <v>30</v>
      </c>
      <c r="AC86" s="338">
        <f>COUNTIFS('AR | Drawing List'!$H:$H,"AR-SDV-1",'AR | Drawing List'!$L:$L,1)</f>
        <v>0</v>
      </c>
      <c r="AD86" s="343">
        <f>COUNTIFS('AR | Drawing List'!$H:$H,"AR-SDV-1",'AR | Drawing List'!M:M,1)</f>
        <v>0</v>
      </c>
      <c r="AE86" s="343">
        <f>COUNTIFS('AR | Drawing List'!$H:$H,"AR-SDV-1",'AR | Drawing List'!N:N,1)</f>
        <v>0</v>
      </c>
      <c r="AF86" s="343">
        <f>COUNTIFS('AR | Drawing List'!$H:$H,"AR-SDV-1",'AR | Drawing List'!O:O,1)</f>
        <v>0</v>
      </c>
      <c r="AG86" s="343">
        <f>COUNTIFS('AR | Drawing List'!$H:$H,"AR-SDV-1",'AR | Drawing List'!P:P,1)</f>
        <v>0</v>
      </c>
      <c r="AH86" s="343"/>
      <c r="AI86" s="338">
        <f>COUNTIFS('AR | Drawing List'!$H:$H,"AR-SDV-1",'AR | Drawing List'!$Q:$Q,1)</f>
        <v>0</v>
      </c>
      <c r="AJ86" s="343">
        <f>COUNTIFS('AR | Drawing List'!$H:$H,"AR-SDV-1",'AR | Drawing List'!R:R,1)</f>
        <v>0</v>
      </c>
      <c r="AK86" s="343">
        <f>COUNTIFS('AR | Drawing List'!$H:$H,"AR-SDV-1",'AR | Drawing List'!S:S,1)</f>
        <v>0</v>
      </c>
      <c r="AL86" s="343">
        <f>COUNTIFS('AR | Drawing List'!$H:$H,"AR-SDV-1",'AR | Drawing List'!T:T,1)</f>
        <v>0</v>
      </c>
      <c r="AM86" s="343">
        <f>COUNTIFS('AR | Drawing List'!$H:$H,"AR-SDV-1",'AR | Drawing List'!U:U,1)</f>
        <v>0</v>
      </c>
      <c r="AN86" s="355"/>
      <c r="AO86" s="355"/>
      <c r="AP86" s="197">
        <v>0</v>
      </c>
      <c r="AQ86" s="194"/>
      <c r="AR86" s="447">
        <f t="shared" ref="AR86:AR89" si="230">$AR$85/$AP$85*AP86</f>
        <v>0</v>
      </c>
      <c r="AS86" s="447">
        <f t="shared" si="176"/>
        <v>0</v>
      </c>
      <c r="AT86" s="447">
        <f>IFERROR(IF(BG86=100%,AR86,0),0)</f>
        <v>0</v>
      </c>
      <c r="AU86" s="343">
        <f>IFERROR(IF(AND((BG86+BH86)=100%,BG86&lt;1),AR86,0),0)</f>
        <v>0</v>
      </c>
      <c r="AV86" s="343">
        <f>IFERROR(IF(AND((BL86+BN86)=BK86,AT86=0),AR86,0),0)</f>
        <v>0</v>
      </c>
      <c r="AW86" s="343">
        <f>IFERROR(IF(AND((BL86+BN86+BO86)=BK86,AT86=0,AV86=0),AR86,0),0)</f>
        <v>0</v>
      </c>
      <c r="AX86" s="343">
        <f>IFERROR(IF(AND((BL86+BN86+BO86+BP86)=BK86,AT86=0,AU86=0,AV86=0,AW86=0),AR86,0),0)</f>
        <v>0</v>
      </c>
      <c r="AY86" s="343">
        <f>IFERROR(IF(AND((BL86+BN86+BO86+BP86+BQ86)=BK86,AT86=0,AU86=0,AV86=0,AW86=0,AX86=0),AR86,0),0)</f>
        <v>0</v>
      </c>
      <c r="AZ86" s="343"/>
      <c r="BA86" s="343">
        <f>IFERROR(IF(AND((BG86+BI86)=100%,BG86&lt;1),AR86,0),0)</f>
        <v>0</v>
      </c>
      <c r="BB86" s="394">
        <f>IFERROR(IF(AND((BL86+BT86)=BK86,AT86=0),AR86,0),0)</f>
        <v>0</v>
      </c>
      <c r="BC86" s="343">
        <f>IFERROR(IF(AND((BL86+BT86+BU86)=BK86,AT86=0,BB86=0),AR86,0),0)</f>
        <v>0</v>
      </c>
      <c r="BD86" s="343">
        <f>IFERROR(IF(AND((BL86+BT86+BU86+BV86)=BK86,AT86=0,BB86=0,BC86=0),AR86,0),0)</f>
        <v>0</v>
      </c>
      <c r="BE86" s="343">
        <f>IFERROR(IF(AND((BL86+BT86+BU86+BV86+BW86)=BK86,AT86=0,BB86=0,BC86=0,BD86=0),AR86,0),0)</f>
        <v>0</v>
      </c>
      <c r="BF86" s="195"/>
      <c r="BG86" s="344">
        <f t="shared" ref="BG86:BG89" si="231">IFERROR(BL86/BK86,0)</f>
        <v>0</v>
      </c>
      <c r="BH86" s="344">
        <f t="shared" ref="BH86:BH89" si="232">IFERROR(BM86/BK86,0)</f>
        <v>0</v>
      </c>
      <c r="BI86" s="344">
        <f t="shared" ref="BI86:BI89" si="233">IFERROR(BS86/BK86,0)</f>
        <v>0</v>
      </c>
      <c r="BJ86" s="346"/>
      <c r="BK86" s="355">
        <f>COUNTIF('ST | Drawing List'!$H:$H,"ST-SDV-1")</f>
        <v>0</v>
      </c>
      <c r="BL86" s="338">
        <f>COUNTIFS('ST | Drawing List'!$H:$H,"ST-SDV-1",'ST | Drawing List'!$J:$J,1)</f>
        <v>0</v>
      </c>
      <c r="BM86" s="338">
        <f>COUNTIFS('ST | Drawing List'!$H:$H,"ST-SDV-1",'ST | Drawing List'!$L:$L,1)</f>
        <v>0</v>
      </c>
      <c r="BN86" s="343">
        <f>COUNTIFS('ST | Drawing List'!$H:$H,"ST-SDV-1",'ST | Drawing List'!M:M,1)</f>
        <v>0</v>
      </c>
      <c r="BO86" s="343">
        <f>COUNTIFS('ST | Drawing List'!$H:$H,"ST-SDV-1",'ST | Drawing List'!N:N,1)</f>
        <v>0</v>
      </c>
      <c r="BP86" s="343">
        <f>COUNTIFS('ST | Drawing List'!$H:$H,"ST-SDV-1",'ST | Drawing List'!O:O,1)</f>
        <v>0</v>
      </c>
      <c r="BQ86" s="343">
        <f>COUNTIFS('ST | Drawing List'!$H:$H,"ST-SDV-1",'ST | Drawing List'!P:P,1)</f>
        <v>0</v>
      </c>
      <c r="BR86" s="343"/>
      <c r="BS86" s="338">
        <f>COUNTIFS('ST | Drawing List'!$H:$H,"ST-SDV-1",'ST | Drawing List'!$Q:$Q,1)</f>
        <v>0</v>
      </c>
      <c r="BT86" s="343">
        <f>COUNTIFS('ST | Drawing List'!$H:$H,"ST-SDV-1",'ST | Drawing List'!R:R,1)</f>
        <v>0</v>
      </c>
      <c r="BU86" s="343">
        <f>COUNTIFS('ST | Drawing List'!$H:$H,"ST-SDV-1",'ST | Drawing List'!S:S,1)</f>
        <v>0</v>
      </c>
      <c r="BV86" s="343">
        <f>COUNTIFS('ST | Drawing List'!$H:$H,"ST-SDV-1",'ST | Drawing List'!T:T,1)</f>
        <v>0</v>
      </c>
      <c r="BW86" s="343">
        <f>COUNTIFS('ST | Drawing List'!$H:$H,"ST-SDV-1",'ST | Drawing List'!U:U,1)</f>
        <v>0</v>
      </c>
      <c r="BX86" s="194"/>
      <c r="BY86" s="194"/>
      <c r="BZ86" s="196">
        <v>0.15</v>
      </c>
      <c r="CA86" s="194"/>
      <c r="CB86" s="333">
        <f t="shared" ref="CB86:CB89" si="234">$CB$85/$BZ$85*BZ86</f>
        <v>4.4081877907575596E-2</v>
      </c>
      <c r="CC86" s="328">
        <f t="shared" si="178"/>
        <v>0</v>
      </c>
      <c r="CD86" s="343">
        <f t="shared" ref="CD86:CD89" si="235">IFERROR(IF(CQ86=100%,CB86,0),0)</f>
        <v>0</v>
      </c>
      <c r="CE86" s="343">
        <f t="shared" ref="CE86:CE89" si="236">IFERROR(IF(AND((CQ86+CR86)=100%,CQ86&lt;1),CB86,0),0)</f>
        <v>4.4081877907575596E-2</v>
      </c>
      <c r="CF86" s="343">
        <f t="shared" ref="CF86:CF89" si="237">IFERROR(IF(AND((CV86+CX86)=CU86,CD86=0),CB86,0),0)</f>
        <v>4.4081877907575596E-2</v>
      </c>
      <c r="CG86" s="343">
        <f t="shared" ref="CG86:CG89" si="238">IFERROR(IF(AND((CV86+CX86+CY86)=CU86,CD86=0,CF86=0),CB86,0),0)</f>
        <v>0</v>
      </c>
      <c r="CH86" s="343">
        <f t="shared" ref="CH86:CH89" si="239">IFERROR(IF(AND((CV86+CX86+CY86+CZ86)=CU86,CD86=0,CE86=0,CF86=0,CG86=0),CB86,0),0)</f>
        <v>0</v>
      </c>
      <c r="CI86" s="343">
        <f t="shared" ref="CI86:CI89" si="240">IFERROR(IF(AND((CV86+CX86+CY86+CZ86+DA86)=CU86,CD86=0,CE86=0,CF86=0,CG86=0,CH86=0),CB86,0),0)</f>
        <v>0</v>
      </c>
      <c r="CJ86" s="343"/>
      <c r="CK86" s="478">
        <f t="shared" ref="CK86:CK89" si="241">IFERROR(IF(AND((CQ86+CS86)=100%,CQ86&lt;1),CB86,0),0)</f>
        <v>0</v>
      </c>
      <c r="CL86" s="478">
        <f t="shared" ref="CL86:CL89" si="242">IFERROR(IF(AND((CV86+DD86)=CU86,CD86=0),CB86,0),0)</f>
        <v>0</v>
      </c>
      <c r="CM86" s="478">
        <f t="shared" ref="CM86:CM89" si="243">IFERROR(IF(AND((CV86+DD86+DE86)=CU86,CD86=0,CL86=0),CB86,0),0)</f>
        <v>0</v>
      </c>
      <c r="CN86" s="478">
        <f t="shared" ref="CN86:CN89" si="244">IFERROR(IF(AND((CV86+DD86+DE86+DF86)=CU86,CD86=0,CL86=0,CM86=0),CB86,0),0)</f>
        <v>0</v>
      </c>
      <c r="CO86" s="478">
        <f t="shared" ref="CO86:CO89" si="245">IFERROR(IF(AND((CV86+DD86+DE86+DF86+DG86)=CU86,CD86=0,CL86=0,CM86=0,CN86=0),CB86,0),0)</f>
        <v>0</v>
      </c>
      <c r="CP86" s="195"/>
      <c r="CQ86" s="344">
        <f t="shared" ref="CQ86:CQ89" si="246">IFERROR(CV86/CU86,0)</f>
        <v>0.47368421052631576</v>
      </c>
      <c r="CR86" s="344">
        <f t="shared" ref="CR86:CR89" si="247">IFERROR(CW86/CU86,0)</f>
        <v>0.52631578947368418</v>
      </c>
      <c r="CS86" s="344">
        <f t="shared" ref="CS86:CS89" si="248">IFERROR(DC86/CU86,0)</f>
        <v>0.31578947368421051</v>
      </c>
      <c r="CT86" s="346"/>
      <c r="CU86" s="355">
        <f>COUNTIF('MEP | Drawing List'!$H:$H,"MEP-SDV-1")</f>
        <v>19</v>
      </c>
      <c r="CV86" s="338">
        <f>COUNTIFS('MEP | Drawing List'!$H:$H,"MEP-SDV-1",'MEP | Drawing List'!$J:$J,1)</f>
        <v>9</v>
      </c>
      <c r="CW86" s="338">
        <f>COUNTIFS('MEP | Drawing List'!$H:$H,"MEP-SDV-1",'MEP | Drawing List'!$L:$L,1)</f>
        <v>10</v>
      </c>
      <c r="CX86" s="343">
        <f>COUNTIFS('MEP | Drawing List'!$H:$H,"MEP-SDV-1",'MEP | Drawing List'!M:M,1)</f>
        <v>10</v>
      </c>
      <c r="CY86" s="343">
        <f>COUNTIFS('MEP | Drawing List'!$H:$H,"MEP-SDV-1",'MEP | Drawing List'!N:N,1)</f>
        <v>0</v>
      </c>
      <c r="CZ86" s="343">
        <f>COUNTIFS('MEP | Drawing List'!$H:$H,"MEP-SDV-1",'MEP | Drawing List'!O:O,1)</f>
        <v>0</v>
      </c>
      <c r="DA86" s="343">
        <f>COUNTIFS('MEP | Drawing List'!$H:$H,"MEP-SDV-1",'MEP | Drawing List'!P:P,1)</f>
        <v>0</v>
      </c>
      <c r="DB86" s="343"/>
      <c r="DC86" s="338">
        <f>COUNTIFS('MEP | Drawing List'!$H:$H,"MEP-SDV-1",'MEP | Drawing List'!$Q:$Q,1)</f>
        <v>6</v>
      </c>
      <c r="DD86" s="343">
        <f>COUNTIFS('MEP | Drawing List'!$H:$H,"MEP-SDV-1",'MEP | Drawing List'!R:R,1)</f>
        <v>6</v>
      </c>
      <c r="DE86" s="343">
        <f>COUNTIFS('MEP | Drawing List'!$H:$H,"MEP-SDV-1",'MEP | Drawing List'!S:S,1)</f>
        <v>0</v>
      </c>
      <c r="DF86" s="343">
        <f>COUNTIFS('MEP | Drawing List'!$H:$H,"MEP-SDV-1",'MEP | Drawing List'!T:T,1)</f>
        <v>0</v>
      </c>
      <c r="DG86" s="343">
        <f>COUNTIFS('MEP | Drawing List'!$H:$H,"MEP-SDV-1",'MEP | Drawing List'!U:U,1)</f>
        <v>0</v>
      </c>
      <c r="DH86" s="194"/>
      <c r="DI86" s="194"/>
      <c r="DJ86" s="197">
        <v>0.25</v>
      </c>
      <c r="DK86" s="194"/>
      <c r="DL86" s="496">
        <f t="shared" ref="DL86:DL89" si="249">$DL$85/$DJ$85*DJ86</f>
        <v>6.4750000000000007E-3</v>
      </c>
      <c r="DM86" s="328">
        <f t="shared" si="184"/>
        <v>6.4750000000000007E-3</v>
      </c>
      <c r="DN86" s="343">
        <f t="shared" ref="DN86:DN89" si="250">IFERROR(IF(EA86=100%,DL86,0),0)</f>
        <v>0</v>
      </c>
      <c r="DO86" s="343">
        <f t="shared" ref="DO86:DO89" si="251">IFERROR(IF(AND((EA86+EB86)=100%,EA86&lt;1),DL86,0),0)</f>
        <v>6.4750000000000007E-3</v>
      </c>
      <c r="DP86" s="343">
        <f t="shared" ref="DP86:DP89" si="252">IFERROR(IF(AND((EF86+EH86)=EE86,DN86=0),DL86,0),0)</f>
        <v>6.4750000000000007E-3</v>
      </c>
      <c r="DQ86" s="343">
        <f t="shared" ref="DQ86:DQ89" si="253">IFERROR(IF(AND((EF86+EH86+EI86)=EE86,DN86=0,DP86=0),DL86,0),0)</f>
        <v>0</v>
      </c>
      <c r="DR86" s="343">
        <f t="shared" ref="DR86:DR89" si="254">IFERROR(IF(AND((EF86+EH86+EI86+EJ86)=EE86,DN86=0,DO86=0,DP86=0,DQ86=0),DL86,0),0)</f>
        <v>0</v>
      </c>
      <c r="DS86" s="343">
        <f t="shared" ref="DS86:DS89" si="255">IFERROR(IF(AND((EF86+EH86+EI86+EJ86+EK86)=EE86,DN86=0,DO86=0,DP86=0,DQ86=0,DR86=0),DL86,0),0)</f>
        <v>0</v>
      </c>
      <c r="DT86" s="343"/>
      <c r="DU86" s="343">
        <f t="shared" ref="DU86:DU89" si="256">IFERROR(IF(AND((EA86+EC86)=100%,EA86&lt;1),DL86,0),0)</f>
        <v>6.4750000000000007E-3</v>
      </c>
      <c r="DV86" s="343">
        <f t="shared" ref="DV86:DV89" si="257">IFERROR(IF(AND((EF86+EN86)=EE86,DN86=0),DL86,0),0)</f>
        <v>0</v>
      </c>
      <c r="DW86" s="343">
        <f t="shared" ref="DW86:DW89" si="258">IFERROR(IF(AND((EF86+EN86+EO86)=EE86,DN86=0,DV86=0),DL86,0),0)</f>
        <v>6.4750000000000007E-3</v>
      </c>
      <c r="DX86" s="343">
        <f t="shared" ref="DX86:DX89" si="259">IFERROR(IF(AND((EF86+EN86+EO86+EP86)=EE86,DN86=0,DV86=0,DW86=0),DL86,0),0)</f>
        <v>0</v>
      </c>
      <c r="DY86" s="343">
        <f t="shared" ref="DY86:DY89" si="260">IFERROR(IF(AND((EF86+EN86+EO86+EP86+EQ86)=EE86,DN86=0,DV86=0,DW86=0,DX86=0),DL86,0),0)</f>
        <v>0</v>
      </c>
      <c r="DZ86" s="195"/>
      <c r="EA86" s="344">
        <f t="shared" ref="EA86:EA89" si="261">IFERROR(EF86/EE86,0)</f>
        <v>0</v>
      </c>
      <c r="EB86" s="344">
        <f t="shared" ref="EB86:EB89" si="262">IFERROR(EG86/EE86,0)</f>
        <v>1</v>
      </c>
      <c r="EC86" s="344">
        <f t="shared" ref="EC86:EC89" si="263">IFERROR(EM86/EE86,0)</f>
        <v>1</v>
      </c>
      <c r="ED86" s="346"/>
      <c r="EE86" s="355">
        <f>COUNTIF('LS | Drawing List'!$H:$H,"LS-SDV-1")</f>
        <v>9</v>
      </c>
      <c r="EF86" s="338">
        <f>COUNTIFS('LS | Drawing List'!$H:$H,"LS-SDV-1",'LS | Drawing List'!$J:$J,1)</f>
        <v>0</v>
      </c>
      <c r="EG86" s="338">
        <f>COUNTIFS('LS | Drawing List'!$H:$H,"LS-SDV-1",'LS | Drawing List'!$L:$L,1)</f>
        <v>9</v>
      </c>
      <c r="EH86" s="343">
        <f>COUNTIFS('LS | Drawing List'!$H:$H,"LS-SDV-1",'LS | Drawing List'!M:M,1)</f>
        <v>9</v>
      </c>
      <c r="EI86" s="343">
        <f>COUNTIFS('LS | Drawing List'!$H:$H,"LS-SDV-1",'LS | Drawing List'!N:N,1)</f>
        <v>0</v>
      </c>
      <c r="EJ86" s="343">
        <f>COUNTIFS('LS | Drawing List'!$H:$H,"LS-SDV-1",'LS | Drawing List'!O:O,1)</f>
        <v>0</v>
      </c>
      <c r="EK86" s="343">
        <f>COUNTIFS('LS | Drawing List'!$H:$H,"LS-SDV-1",'LS | Drawing List'!P:P,1)</f>
        <v>0</v>
      </c>
      <c r="EL86" s="343"/>
      <c r="EM86" s="338">
        <f>COUNTIFS('LS | Drawing List'!$H:$H,"LS-SDV-1",'LS | Drawing List'!$Q:$Q,1)</f>
        <v>9</v>
      </c>
      <c r="EN86" s="343">
        <f>COUNTIFS('LS | Drawing List'!$H:$H,"LS-SDV-1",'LS | Drawing List'!R:R,1)</f>
        <v>0</v>
      </c>
      <c r="EO86" s="343">
        <f>COUNTIFS('LS | Drawing List'!$H:$H,"LS-SDV-1",'LS | Drawing List'!S:S,1)</f>
        <v>9</v>
      </c>
      <c r="EP86" s="343">
        <f>COUNTIFS('LS | Drawing List'!$H:$H,"LS-SDV-1",'LS | Drawing List'!T:T,1)</f>
        <v>0</v>
      </c>
      <c r="EQ86" s="343">
        <f>COUNTIFS('LS | Drawing List'!$H:$H,"LS-SDV-1",'LS | Drawing List'!U:U,1)</f>
        <v>0</v>
      </c>
      <c r="ER86" s="114"/>
      <c r="ES86" s="499"/>
      <c r="ET86" s="112"/>
    </row>
    <row r="87" spans="1:150" ht="11.85" customHeight="1" outlineLevel="2">
      <c r="A87" s="112"/>
      <c r="B87" s="162" t="s">
        <v>89</v>
      </c>
      <c r="C87" s="213">
        <v>2</v>
      </c>
      <c r="D87" s="455" t="s">
        <v>90</v>
      </c>
      <c r="E87" s="114"/>
      <c r="F87" s="197">
        <v>0.15</v>
      </c>
      <c r="G87" s="194"/>
      <c r="H87" s="447">
        <f t="shared" si="226"/>
        <v>0.11532000000000001</v>
      </c>
      <c r="I87" s="447">
        <f t="shared" si="172"/>
        <v>0.11532000000000001</v>
      </c>
      <c r="J87" s="448">
        <f>IFERROR(IF(W87=100%,H87,0),0)</f>
        <v>0</v>
      </c>
      <c r="K87" s="448">
        <f>IFERROR(IF(AND((W87+X87)=100%,W87&lt;1),H87,0),0)</f>
        <v>0.11532000000000001</v>
      </c>
      <c r="L87" s="448">
        <f>IFERROR(IF(AND((AB87+AD87)=AA87,J87=0),H87,0),0)</f>
        <v>0.11532000000000001</v>
      </c>
      <c r="M87" s="448">
        <f>IFERROR(IF(AND((AB87+AD87+AE87)=AA87,J87=0,L87=0),H87,0),0)</f>
        <v>0</v>
      </c>
      <c r="N87" s="448">
        <f>IFERROR(IF(AND((AB87+AD87+AE87+AF87)=AA87,J87=0,K87=0,L87=0,M87=0),H87,0),0)</f>
        <v>0</v>
      </c>
      <c r="O87" s="448">
        <f>IFERROR(IF(AND((AB87+AD87+AE87+AF87+AG87)=AA87,J87=0,K87=0,L87=0,M87=0,N87=0),H87,0),0)</f>
        <v>0</v>
      </c>
      <c r="P87" s="448"/>
      <c r="Q87" s="448">
        <f>IFERROR(IF(AND((W87+Y87)=100%,W87&lt;1),H87,0),0)</f>
        <v>0.11532000000000001</v>
      </c>
      <c r="R87" s="448">
        <f>IFERROR(IF(AND((AB87+AJ87)=AA87,J87=0),H87,0),0)</f>
        <v>0</v>
      </c>
      <c r="S87" s="448">
        <f>IFERROR(IF(AND((AB87+AJ87+AK87)=AA87,J87=0,R87=0),H87,0),0)</f>
        <v>0</v>
      </c>
      <c r="T87" s="448">
        <f>IFERROR(IF(AND((AB87+AJ87+AK87+AL87)=AA87,J87=0,R87=0,S87=0),H87,0),0)</f>
        <v>0.11532000000000001</v>
      </c>
      <c r="U87" s="448">
        <f>IFERROR(IF(AND((AB87+AJ87+AK87+AL87+AM87)=AA87,J87=0,R87=0,S87=0,T87=0),H87,0),0)</f>
        <v>0</v>
      </c>
      <c r="V87" s="195"/>
      <c r="W87" s="344">
        <f t="shared" si="227"/>
        <v>0.72</v>
      </c>
      <c r="X87" s="344">
        <f t="shared" si="228"/>
        <v>0.28000000000000003</v>
      </c>
      <c r="Y87" s="344">
        <f t="shared" si="229"/>
        <v>0.28000000000000003</v>
      </c>
      <c r="Z87" s="346"/>
      <c r="AA87" s="355">
        <f>COUNTIF('AR | Drawing List'!$H:$H,"AR-SDV-2")</f>
        <v>25</v>
      </c>
      <c r="AB87" s="338">
        <f>COUNTIFS('AR | Drawing List'!$H:$H,"AR-SDV-2",'AR | Drawing List'!$J:$J,1)</f>
        <v>18</v>
      </c>
      <c r="AC87" s="338">
        <f>COUNTIFS('AR | Drawing List'!$H:$H,"AR-SDV-2",'AR | Drawing List'!$L:$L,1)</f>
        <v>7</v>
      </c>
      <c r="AD87" s="343">
        <f>COUNTIFS('AR | Drawing List'!$H:$H,"AR-SDV-2",'AR | Drawing List'!M:M,1)</f>
        <v>7</v>
      </c>
      <c r="AE87" s="343">
        <f>COUNTIFS('AR | Drawing List'!$H:$H,"AR-SDV-2",'AR | Drawing List'!N:N,1)</f>
        <v>0</v>
      </c>
      <c r="AF87" s="343">
        <f>COUNTIFS('AR | Drawing List'!$H:$H,"AR-SDV-2",'AR | Drawing List'!O:O,1)</f>
        <v>0</v>
      </c>
      <c r="AG87" s="343">
        <f>COUNTIFS('AR | Drawing List'!$H:$H,"AR-SDV-2",'AR | Drawing List'!P:P,1)</f>
        <v>0</v>
      </c>
      <c r="AH87" s="343"/>
      <c r="AI87" s="338">
        <f>COUNTIFS('AR | Drawing List'!$H:$H,"AR-SDV-2",'AR | Drawing List'!$Q:$Q,1)</f>
        <v>7</v>
      </c>
      <c r="AJ87" s="343">
        <f>COUNTIFS('AR | Drawing List'!$H:$H,"AR-SDV-2",'AR | Drawing List'!R:R,1)</f>
        <v>0</v>
      </c>
      <c r="AK87" s="343">
        <f>COUNTIFS('AR | Drawing List'!$H:$H,"AR-SDV-2",'AR | Drawing List'!S:S,1)</f>
        <v>0</v>
      </c>
      <c r="AL87" s="343">
        <f>COUNTIFS('AR | Drawing List'!$H:$H,"AR-SDV-2",'AR | Drawing List'!T:T,1)</f>
        <v>7</v>
      </c>
      <c r="AM87" s="343">
        <f>COUNTIFS('AR | Drawing List'!$H:$H,"AR-SDV-2",'AR | Drawing List'!U:U,1)</f>
        <v>0</v>
      </c>
      <c r="AN87" s="355"/>
      <c r="AO87" s="355"/>
      <c r="AP87" s="197">
        <v>0.3</v>
      </c>
      <c r="AQ87" s="194"/>
      <c r="AR87" s="447">
        <f t="shared" si="230"/>
        <v>0.13355999999999998</v>
      </c>
      <c r="AS87" s="447">
        <f t="shared" si="176"/>
        <v>0.13355999999999998</v>
      </c>
      <c r="AT87" s="447">
        <f>IFERROR(IF(BG87=100%,AR87,0),0)</f>
        <v>0</v>
      </c>
      <c r="AU87" s="343">
        <f>IFERROR(IF(AND((BG87+BH87)=100%,BG87&lt;1),AR87,0),0)</f>
        <v>0.13355999999999998</v>
      </c>
      <c r="AV87" s="343">
        <f>IFERROR(IF(AND((BL87+BN87)=BK87,AT87=0),AR87,0),0)</f>
        <v>0.13355999999999998</v>
      </c>
      <c r="AW87" s="343">
        <f>IFERROR(IF(AND((BL87+BN87+BO87)=BK87,AT87=0,AV87=0),AR87,0),0)</f>
        <v>0</v>
      </c>
      <c r="AX87" s="343">
        <f>IFERROR(IF(AND((BL87+BN87+BO87+BP87)=BK87,AT87=0,AU87=0,AV87=0,AW87=0),AR87,0),0)</f>
        <v>0</v>
      </c>
      <c r="AY87" s="343">
        <f>IFERROR(IF(AND((BL87+BN87+BO87+BP87+BQ87)=BK87,AT87=0,AU87=0,AV87=0,AW87=0,AX87=0),AR87,0),0)</f>
        <v>0</v>
      </c>
      <c r="AZ87" s="343"/>
      <c r="BA87" s="343">
        <f>IFERROR(IF(AND((BG87+BI87)=100%,BG87&lt;1),AR87,0),0)</f>
        <v>0.13355999999999998</v>
      </c>
      <c r="BB87" s="394">
        <f>IFERROR(IF(AND((BL87+BT87)=BK87,AT87=0),AR87,0),0)</f>
        <v>0</v>
      </c>
      <c r="BC87" s="343">
        <f>IFERROR(IF(AND((BL87+BT87+BU87)=BK87,AT87=0,BB87=0),AR87,0),0)</f>
        <v>0.13355999999999998</v>
      </c>
      <c r="BD87" s="343">
        <f>IFERROR(IF(AND((BL87+BT87+BU87+BV87)=BK87,AT87=0,BB87=0,BC87=0),AR87,0),0)</f>
        <v>0</v>
      </c>
      <c r="BE87" s="343">
        <f>IFERROR(IF(AND((BL87+BT87+BU87+BV87+BW87)=BK87,AT87=0,BB87=0,BC87=0,BD87=0),AR87,0),0)</f>
        <v>0</v>
      </c>
      <c r="BF87" s="195"/>
      <c r="BG87" s="344">
        <f t="shared" si="231"/>
        <v>0.21428571428571427</v>
      </c>
      <c r="BH87" s="344">
        <f t="shared" si="232"/>
        <v>0.7857142857142857</v>
      </c>
      <c r="BI87" s="344">
        <f t="shared" si="233"/>
        <v>0.7857142857142857</v>
      </c>
      <c r="BJ87" s="346"/>
      <c r="BK87" s="355">
        <f>COUNTIF('ST | Drawing List'!$H:$H,"ST-SDV-2")</f>
        <v>14</v>
      </c>
      <c r="BL87" s="338">
        <f>COUNTIFS('ST | Drawing List'!$H:$H,"ST-SDV-2",'ST | Drawing List'!$J:$J,1)</f>
        <v>3</v>
      </c>
      <c r="BM87" s="338">
        <f>COUNTIFS('ST | Drawing List'!$H:$H,"ST-SDV-2",'ST | Drawing List'!$L:$L,1)</f>
        <v>11</v>
      </c>
      <c r="BN87" s="343">
        <f>COUNTIFS('ST | Drawing List'!$H:$H,"ST-SDV-2",'ST | Drawing List'!M:M,1)</f>
        <v>11</v>
      </c>
      <c r="BO87" s="343">
        <f>COUNTIFS('ST | Drawing List'!$H:$H,"ST-SDV-2",'ST | Drawing List'!N:N,1)</f>
        <v>0</v>
      </c>
      <c r="BP87" s="343">
        <f>COUNTIFS('ST | Drawing List'!$H:$H,"ST-SDV-2",'ST | Drawing List'!O:O,1)</f>
        <v>0</v>
      </c>
      <c r="BQ87" s="343">
        <f>COUNTIFS('ST | Drawing List'!$H:$H,"ST-SDV-2",'ST | Drawing List'!P:P,1)</f>
        <v>0</v>
      </c>
      <c r="BR87" s="343"/>
      <c r="BS87" s="338">
        <f>COUNTIFS('ST | Drawing List'!$H:$H,"ST-SDV-2",'ST | Drawing List'!$Q:$Q,1)</f>
        <v>11</v>
      </c>
      <c r="BT87" s="343">
        <f>COUNTIFS('ST | Drawing List'!$H:$H,"ST-SDV-2",'ST | Drawing List'!R:R,1)</f>
        <v>4</v>
      </c>
      <c r="BU87" s="343">
        <f>COUNTIFS('ST | Drawing List'!$H:$H,"ST-SDV-2",'ST | Drawing List'!S:S,1)</f>
        <v>7</v>
      </c>
      <c r="BV87" s="343">
        <f>COUNTIFS('ST | Drawing List'!$H:$H,"ST-SDV-2",'ST | Drawing List'!T:T,1)</f>
        <v>0</v>
      </c>
      <c r="BW87" s="343">
        <f>COUNTIFS('ST | Drawing List'!$H:$H,"ST-SDV-2",'ST | Drawing List'!U:U,1)</f>
        <v>0</v>
      </c>
      <c r="BX87" s="194"/>
      <c r="BY87" s="194"/>
      <c r="BZ87" s="196">
        <v>0</v>
      </c>
      <c r="CA87" s="194"/>
      <c r="CB87" s="332">
        <f t="shared" si="234"/>
        <v>0</v>
      </c>
      <c r="CC87" s="328">
        <f t="shared" si="178"/>
        <v>0</v>
      </c>
      <c r="CD87" s="343">
        <f t="shared" si="235"/>
        <v>0</v>
      </c>
      <c r="CE87" s="343">
        <f t="shared" si="236"/>
        <v>0</v>
      </c>
      <c r="CF87" s="343">
        <f t="shared" si="237"/>
        <v>0</v>
      </c>
      <c r="CG87" s="343">
        <f t="shared" si="238"/>
        <v>0</v>
      </c>
      <c r="CH87" s="343">
        <f t="shared" si="239"/>
        <v>0</v>
      </c>
      <c r="CI87" s="343">
        <f t="shared" si="240"/>
        <v>0</v>
      </c>
      <c r="CJ87" s="343"/>
      <c r="CK87" s="478">
        <f t="shared" si="241"/>
        <v>0</v>
      </c>
      <c r="CL87" s="478">
        <f t="shared" si="242"/>
        <v>0</v>
      </c>
      <c r="CM87" s="478">
        <f t="shared" si="243"/>
        <v>0</v>
      </c>
      <c r="CN87" s="478">
        <f t="shared" si="244"/>
        <v>0</v>
      </c>
      <c r="CO87" s="478">
        <f t="shared" si="245"/>
        <v>0</v>
      </c>
      <c r="CP87" s="195"/>
      <c r="CQ87" s="344">
        <f t="shared" si="246"/>
        <v>0</v>
      </c>
      <c r="CR87" s="344">
        <f t="shared" si="247"/>
        <v>0</v>
      </c>
      <c r="CS87" s="344">
        <f t="shared" si="248"/>
        <v>0</v>
      </c>
      <c r="CT87" s="346"/>
      <c r="CU87" s="355">
        <f>COUNTIF('MEP | Drawing List'!$H:$H,"MEP-SDV-2")</f>
        <v>0</v>
      </c>
      <c r="CV87" s="338">
        <f>COUNTIFS('MEP | Drawing List'!$H:$H,"MEP-SDV-2",'MEP | Drawing List'!$J:$J,1)</f>
        <v>0</v>
      </c>
      <c r="CW87" s="338">
        <f>COUNTIFS('MEP | Drawing List'!$H:$H,"MEP-SDV-2",'MEP | Drawing List'!$L:$L,1)</f>
        <v>0</v>
      </c>
      <c r="CX87" s="343">
        <f>COUNTIFS('MEP | Drawing List'!$H:$H,"MEP-SDV-2",'MEP | Drawing List'!M:M,1)</f>
        <v>0</v>
      </c>
      <c r="CY87" s="343">
        <f>COUNTIFS('MEP | Drawing List'!$H:$H,"MEP-SDV-2",'MEP | Drawing List'!N:N,1)</f>
        <v>0</v>
      </c>
      <c r="CZ87" s="343">
        <f>COUNTIFS('MEP | Drawing List'!$H:$H,"MEP-SDV-2",'MEP | Drawing List'!O:O,1)</f>
        <v>0</v>
      </c>
      <c r="DA87" s="343">
        <f>COUNTIFS('MEP | Drawing List'!$H:$H,"MEP-SDV-2",'MEP | Drawing List'!P:P,1)</f>
        <v>0</v>
      </c>
      <c r="DB87" s="343"/>
      <c r="DC87" s="338">
        <f>COUNTIFS('MEP | Drawing List'!$H:$H,"MEP-SDV-2",'MEP | Drawing List'!$Q:$Q,1)</f>
        <v>0</v>
      </c>
      <c r="DD87" s="343">
        <f>COUNTIFS('MEP | Drawing List'!$H:$H,"MEP-SDV-2",'MEP | Drawing List'!R:R,1)</f>
        <v>0</v>
      </c>
      <c r="DE87" s="343">
        <f>COUNTIFS('MEP | Drawing List'!$H:$H,"MEP-SDV-2",'MEP | Drawing List'!S:S,1)</f>
        <v>0</v>
      </c>
      <c r="DF87" s="343">
        <f>COUNTIFS('MEP | Drawing List'!$H:$H,"MEP-SDV-2",'MEP | Drawing List'!T:T,1)</f>
        <v>0</v>
      </c>
      <c r="DG87" s="343">
        <f>COUNTIFS('MEP | Drawing List'!$H:$H,"MEP-SDV-2",'MEP | Drawing List'!U:U,1)</f>
        <v>0</v>
      </c>
      <c r="DH87" s="194"/>
      <c r="DI87" s="194"/>
      <c r="DJ87" s="196">
        <v>0</v>
      </c>
      <c r="DK87" s="194"/>
      <c r="DL87" s="332">
        <f t="shared" si="249"/>
        <v>0</v>
      </c>
      <c r="DM87" s="328">
        <f t="shared" si="184"/>
        <v>0</v>
      </c>
      <c r="DN87" s="343">
        <f t="shared" si="250"/>
        <v>0</v>
      </c>
      <c r="DO87" s="343">
        <f t="shared" si="251"/>
        <v>0</v>
      </c>
      <c r="DP87" s="343">
        <f t="shared" si="252"/>
        <v>0</v>
      </c>
      <c r="DQ87" s="343">
        <f t="shared" si="253"/>
        <v>0</v>
      </c>
      <c r="DR87" s="343">
        <f t="shared" si="254"/>
        <v>0</v>
      </c>
      <c r="DS87" s="343">
        <f t="shared" si="255"/>
        <v>0</v>
      </c>
      <c r="DT87" s="343"/>
      <c r="DU87" s="343">
        <f t="shared" si="256"/>
        <v>0</v>
      </c>
      <c r="DV87" s="343">
        <f t="shared" si="257"/>
        <v>0</v>
      </c>
      <c r="DW87" s="343">
        <f t="shared" si="258"/>
        <v>0</v>
      </c>
      <c r="DX87" s="343">
        <f t="shared" si="259"/>
        <v>0</v>
      </c>
      <c r="DY87" s="343">
        <f t="shared" si="260"/>
        <v>0</v>
      </c>
      <c r="DZ87" s="195"/>
      <c r="EA87" s="344">
        <f t="shared" si="261"/>
        <v>0</v>
      </c>
      <c r="EB87" s="344">
        <f t="shared" si="262"/>
        <v>0</v>
      </c>
      <c r="EC87" s="344">
        <f t="shared" si="263"/>
        <v>0</v>
      </c>
      <c r="ED87" s="346"/>
      <c r="EE87" s="355">
        <f>COUNTIF('LS | Drawing List'!$H:$H,"LS-SDV-2")</f>
        <v>0</v>
      </c>
      <c r="EF87" s="338">
        <f>COUNTIFS('LS | Drawing List'!$H:$H,"LS-SDV-2",'LS | Drawing List'!$J:$J,1)</f>
        <v>0</v>
      </c>
      <c r="EG87" s="338">
        <f>COUNTIFS('LS | Drawing List'!$H:$H,"LS-SDV-2",'LS | Drawing List'!$L:$L,1)</f>
        <v>0</v>
      </c>
      <c r="EH87" s="343">
        <f>COUNTIFS('LS | Drawing List'!$H:$H,"LS-SDV-2",'LS | Drawing List'!M:M,1)</f>
        <v>0</v>
      </c>
      <c r="EI87" s="343">
        <f>COUNTIFS('LS | Drawing List'!$H:$H,"LS-SDV-2",'LS | Drawing List'!N:N,1)</f>
        <v>0</v>
      </c>
      <c r="EJ87" s="343">
        <f>COUNTIFS('LS | Drawing List'!$H:$H,"LS-SDV-2",'LS | Drawing List'!O:O,1)</f>
        <v>0</v>
      </c>
      <c r="EK87" s="343">
        <f>COUNTIFS('LS | Drawing List'!$H:$H,"LS-SDV-2",'LS | Drawing List'!P:P,1)</f>
        <v>0</v>
      </c>
      <c r="EL87" s="343"/>
      <c r="EM87" s="338">
        <f>COUNTIFS('LS | Drawing List'!$H:$H,"LS-SDV-2",'LS | Drawing List'!$Q:$Q,1)</f>
        <v>0</v>
      </c>
      <c r="EN87" s="343">
        <f>COUNTIFS('LS | Drawing List'!$H:$H,"LS-SDV-2",'LS | Drawing List'!R:R,1)</f>
        <v>0</v>
      </c>
      <c r="EO87" s="343">
        <f>COUNTIFS('LS | Drawing List'!$H:$H,"LS-SDV-2",'LS | Drawing List'!S:S,1)</f>
        <v>0</v>
      </c>
      <c r="EP87" s="343">
        <f>COUNTIFS('LS | Drawing List'!$H:$H,"LS-SDV-2",'LS | Drawing List'!T:T,1)</f>
        <v>0</v>
      </c>
      <c r="EQ87" s="343">
        <f>COUNTIFS('LS | Drawing List'!$H:$H,"LS-SDV-2",'LS | Drawing List'!U:U,1)</f>
        <v>0</v>
      </c>
      <c r="ER87" s="114"/>
      <c r="ES87" s="499"/>
      <c r="ET87" s="112"/>
    </row>
    <row r="88" spans="1:150" ht="11.85" customHeight="1" outlineLevel="2">
      <c r="A88" s="112"/>
      <c r="B88" s="162" t="s">
        <v>91</v>
      </c>
      <c r="C88" s="213">
        <v>3</v>
      </c>
      <c r="D88" s="455" t="s">
        <v>92</v>
      </c>
      <c r="E88" s="114"/>
      <c r="F88" s="197">
        <v>0.05</v>
      </c>
      <c r="G88" s="194"/>
      <c r="H88" s="447">
        <f t="shared" si="226"/>
        <v>3.8440000000000002E-2</v>
      </c>
      <c r="I88" s="447">
        <f t="shared" si="172"/>
        <v>3.8440000000000002E-2</v>
      </c>
      <c r="J88" s="448">
        <f>IFERROR(IF(W88=100%,H88,0),0)</f>
        <v>0</v>
      </c>
      <c r="K88" s="448">
        <f>IFERROR(IF(AND((W88+X88)=100%,W88&lt;1),H88,0),0)</f>
        <v>3.8440000000000002E-2</v>
      </c>
      <c r="L88" s="448">
        <f>IFERROR(IF(AND((AB88+AD88)=AA88,J88=0),H88,0),0)</f>
        <v>3.8440000000000002E-2</v>
      </c>
      <c r="M88" s="448">
        <f>IFERROR(IF(AND((AB88+AD88+AE88)=AA88,J88=0,L88=0),H88,0),0)</f>
        <v>0</v>
      </c>
      <c r="N88" s="448">
        <f>IFERROR(IF(AND((AB88+AD88+AE88+AF88)=AA88,J88=0,K88=0,L88=0,M88=0),H88,0),0)</f>
        <v>0</v>
      </c>
      <c r="O88" s="448">
        <f>IFERROR(IF(AND((AB88+AD88+AE88+AF88+AG88)=AA88,J88=0,K88=0,L88=0,M88=0,N88=0),H88,0),0)</f>
        <v>0</v>
      </c>
      <c r="P88" s="448"/>
      <c r="Q88" s="448">
        <f>IFERROR(IF(AND((W88+Y88)=100%,W88&lt;1),H88,0),0)</f>
        <v>3.8440000000000002E-2</v>
      </c>
      <c r="R88" s="448">
        <f>IFERROR(IF(AND((AB88+AJ88)=AA88,J88=0),H88,0),0)</f>
        <v>0</v>
      </c>
      <c r="S88" s="448">
        <f>IFERROR(IF(AND((AB88+AJ88+AK88)=AA88,J88=0,R88=0),H88,0),0)</f>
        <v>3.8440000000000002E-2</v>
      </c>
      <c r="T88" s="448">
        <f>IFERROR(IF(AND((AB88+AJ88+AK88+AL88)=AA88,J88=0,R88=0,S88=0),H88,0),0)</f>
        <v>0</v>
      </c>
      <c r="U88" s="448">
        <f>IFERROR(IF(AND((AB88+AJ88+AK88+AL88+AM88)=AA88,J88=0,R88=0,S88=0,T88=0),H88,0),0)</f>
        <v>0</v>
      </c>
      <c r="V88" s="195"/>
      <c r="W88" s="344">
        <f t="shared" si="227"/>
        <v>0</v>
      </c>
      <c r="X88" s="344">
        <f t="shared" si="228"/>
        <v>1</v>
      </c>
      <c r="Y88" s="344">
        <f t="shared" si="229"/>
        <v>1</v>
      </c>
      <c r="Z88" s="346"/>
      <c r="AA88" s="355">
        <f>COUNTIF('AR | Drawing List'!$H:$H,"AR-SDV-4")</f>
        <v>3</v>
      </c>
      <c r="AB88" s="338">
        <f>COUNTIFS('AR | Drawing List'!$H:$H,"AR-SDV-4",'AR | Drawing List'!$J:$J,1)</f>
        <v>0</v>
      </c>
      <c r="AC88" s="338">
        <f>COUNTIFS('AR | Drawing List'!$H:$H,"AR-SDV-4",'AR | Drawing List'!$L:$L,1)</f>
        <v>3</v>
      </c>
      <c r="AD88" s="343">
        <f>COUNTIFS('AR | Drawing List'!$H:$H,"AR-SDV-4",'AR | Drawing List'!M:M,1)</f>
        <v>3</v>
      </c>
      <c r="AE88" s="343">
        <f>COUNTIFS('AR | Drawing List'!$H:$H,"AR-SDV-4",'AR | Drawing List'!N:N,1)</f>
        <v>0</v>
      </c>
      <c r="AF88" s="343">
        <f>COUNTIFS('AR | Drawing List'!$H:$H,"AR-SDV-4",'AR | Drawing List'!O:O,1)</f>
        <v>0</v>
      </c>
      <c r="AG88" s="343">
        <f>COUNTIFS('AR | Drawing List'!$H:$H,"AR-SDV-4",'AR | Drawing List'!P:P,1)</f>
        <v>0</v>
      </c>
      <c r="AH88" s="343"/>
      <c r="AI88" s="338">
        <f>COUNTIFS('AR | Drawing List'!$H:$H,"AR-SDV-4",'AR | Drawing List'!$Q:$Q,1)</f>
        <v>3</v>
      </c>
      <c r="AJ88" s="343">
        <f>COUNTIFS('AR | Drawing List'!$H:$H,"AR-SDV-4",'AR | Drawing List'!R:R,1)</f>
        <v>0</v>
      </c>
      <c r="AK88" s="343">
        <f>COUNTIFS('AR | Drawing List'!$H:$H,"AR-SDV-4",'AR | Drawing List'!S:S,1)</f>
        <v>3</v>
      </c>
      <c r="AL88" s="343">
        <f>COUNTIFS('AR | Drawing List'!$H:$H,"AR-SDV-4",'AR | Drawing List'!T:T,1)</f>
        <v>0</v>
      </c>
      <c r="AM88" s="343">
        <f>COUNTIFS('AR | Drawing List'!$H:$H,"AR-SDV-4",'AR | Drawing List'!U:U,1)</f>
        <v>0</v>
      </c>
      <c r="AN88" s="355"/>
      <c r="AO88" s="355"/>
      <c r="AP88" s="197">
        <v>0.25</v>
      </c>
      <c r="AQ88" s="194"/>
      <c r="AR88" s="447">
        <f t="shared" si="230"/>
        <v>0.1113</v>
      </c>
      <c r="AS88" s="447">
        <f t="shared" si="176"/>
        <v>0.1113</v>
      </c>
      <c r="AT88" s="447">
        <f>IFERROR(IF(BG88=100%,AR88,0),0)</f>
        <v>0</v>
      </c>
      <c r="AU88" s="343">
        <f>IFERROR(IF(AND((BG88+BH88)=100%,BG88&lt;1),AR88,0),0)</f>
        <v>0.1113</v>
      </c>
      <c r="AV88" s="343">
        <f>IFERROR(IF(AND((BL88+BN88)=BK88,AT88=0),AR88,0),0)</f>
        <v>0.1113</v>
      </c>
      <c r="AW88" s="343">
        <f>IFERROR(IF(AND((BL88+BN88+BO88)=BK88,AT88=0,AV88=0),AR88,0),0)</f>
        <v>0</v>
      </c>
      <c r="AX88" s="343">
        <f>IFERROR(IF(AND((BL88+BN88+BO88+BP88)=BK88,AT88=0,AU88=0,AV88=0,AW88=0),AR88,0),0)</f>
        <v>0</v>
      </c>
      <c r="AY88" s="343">
        <f>IFERROR(IF(AND((BL88+BN88+BO88+BP88+BQ88)=BK88,AT88=0,AU88=0,AV88=0,AW88=0,AX88=0),AR88,0),0)</f>
        <v>0</v>
      </c>
      <c r="AZ88" s="343"/>
      <c r="BA88" s="343">
        <f>IFERROR(IF(AND((BG88+BI88)=100%,BG88&lt;1),AR88,0),0)</f>
        <v>0.1113</v>
      </c>
      <c r="BB88" s="394">
        <f>IFERROR(IF(AND((BL88+BT88)=BK88,AT88=0),AR88,0),0)</f>
        <v>0.1113</v>
      </c>
      <c r="BC88" s="343">
        <f>IFERROR(IF(AND((BL88+BT88+BU88)=BK88,AT88=0,BB88=0),AR88,0),0)</f>
        <v>0</v>
      </c>
      <c r="BD88" s="343">
        <f>IFERROR(IF(AND((BL88+BT88+BU88+BV88)=BK88,AT88=0,BB88=0,BC88=0),AR88,0),0)</f>
        <v>0</v>
      </c>
      <c r="BE88" s="343">
        <f>IFERROR(IF(AND((BL88+BT88+BU88+BV88+BW88)=BK88,AT88=0,BB88=0,BC88=0,BD88=0),AR88,0),0)</f>
        <v>0</v>
      </c>
      <c r="BF88" s="195"/>
      <c r="BG88" s="344">
        <f t="shared" si="231"/>
        <v>0</v>
      </c>
      <c r="BH88" s="344">
        <f t="shared" si="232"/>
        <v>1</v>
      </c>
      <c r="BI88" s="344">
        <f t="shared" si="233"/>
        <v>1</v>
      </c>
      <c r="BJ88" s="346"/>
      <c r="BK88" s="355">
        <f>COUNTIF('ST | Drawing List'!$H:$H,"ST-SDV-4")</f>
        <v>3</v>
      </c>
      <c r="BL88" s="338">
        <f>COUNTIFS('ST | Drawing List'!$H:$H,"ST-SDV-4",'ST | Drawing List'!$J:$J,1)</f>
        <v>0</v>
      </c>
      <c r="BM88" s="338">
        <f>COUNTIFS('ST | Drawing List'!$H:$H,"ST-SDV-4",'ST | Drawing List'!$L:$L,1)</f>
        <v>3</v>
      </c>
      <c r="BN88" s="343">
        <f>COUNTIFS('ST | Drawing List'!$H:$H,"ST-SDV-4",'ST | Drawing List'!M:M,1)</f>
        <v>3</v>
      </c>
      <c r="BO88" s="343">
        <f>COUNTIFS('ST | Drawing List'!$H:$H,"ST-SDV-4",'ST | Drawing List'!N:N,1)</f>
        <v>0</v>
      </c>
      <c r="BP88" s="343">
        <f>COUNTIFS('ST | Drawing List'!$H:$H,"ST-SDV-4",'ST | Drawing List'!O:O,1)</f>
        <v>0</v>
      </c>
      <c r="BQ88" s="343">
        <f>COUNTIFS('ST | Drawing List'!$H:$H,"ST-SDV-4",'ST | Drawing List'!P:P,1)</f>
        <v>0</v>
      </c>
      <c r="BR88" s="343"/>
      <c r="BS88" s="338">
        <f>COUNTIFS('ST | Drawing List'!$H:$H,"ST-SDV-4",'ST | Drawing List'!$Q:$Q,1)</f>
        <v>3</v>
      </c>
      <c r="BT88" s="343">
        <f>COUNTIFS('ST | Drawing List'!$H:$H,"ST-SDV-4",'ST | Drawing List'!R:R,1)</f>
        <v>3</v>
      </c>
      <c r="BU88" s="343">
        <f>COUNTIFS('ST | Drawing List'!$H:$H,"ST-SDV-4",'ST | Drawing List'!S:S,1)</f>
        <v>0</v>
      </c>
      <c r="BV88" s="343">
        <f>COUNTIFS('ST | Drawing List'!$H:$H,"ST-SDV-4",'ST | Drawing List'!T:T,1)</f>
        <v>0</v>
      </c>
      <c r="BW88" s="343">
        <f>COUNTIFS('ST | Drawing List'!$H:$H,"ST-SDV-4",'ST | Drawing List'!U:U,1)</f>
        <v>0</v>
      </c>
      <c r="BX88" s="194"/>
      <c r="BY88" s="194"/>
      <c r="BZ88" s="196">
        <v>0.5</v>
      </c>
      <c r="CA88" s="194"/>
      <c r="CB88" s="454">
        <f t="shared" si="234"/>
        <v>0.146939593025252</v>
      </c>
      <c r="CC88" s="328">
        <f t="shared" si="178"/>
        <v>0.146939593025252</v>
      </c>
      <c r="CD88" s="343">
        <f t="shared" si="235"/>
        <v>0</v>
      </c>
      <c r="CE88" s="343">
        <f t="shared" si="236"/>
        <v>0.146939593025252</v>
      </c>
      <c r="CF88" s="343">
        <f t="shared" si="237"/>
        <v>0.146939593025252</v>
      </c>
      <c r="CG88" s="343">
        <f t="shared" si="238"/>
        <v>0</v>
      </c>
      <c r="CH88" s="343">
        <f t="shared" si="239"/>
        <v>0</v>
      </c>
      <c r="CI88" s="343">
        <f t="shared" si="240"/>
        <v>0</v>
      </c>
      <c r="CJ88" s="343"/>
      <c r="CK88" s="478">
        <f t="shared" si="241"/>
        <v>0.146939593025252</v>
      </c>
      <c r="CL88" s="478">
        <f t="shared" si="242"/>
        <v>0.146939593025252</v>
      </c>
      <c r="CM88" s="478">
        <f t="shared" si="243"/>
        <v>0</v>
      </c>
      <c r="CN88" s="478">
        <f t="shared" si="244"/>
        <v>0</v>
      </c>
      <c r="CO88" s="478">
        <f t="shared" si="245"/>
        <v>0</v>
      </c>
      <c r="CP88" s="195"/>
      <c r="CQ88" s="344">
        <f t="shared" si="246"/>
        <v>0.1111111111111111</v>
      </c>
      <c r="CR88" s="344">
        <f t="shared" si="247"/>
        <v>0.88888888888888884</v>
      </c>
      <c r="CS88" s="344">
        <f t="shared" si="248"/>
        <v>0.88888888888888884</v>
      </c>
      <c r="CT88" s="346"/>
      <c r="CU88" s="355">
        <f>COUNTIF('MEP | Drawing List'!$H:$H,"MEP-SDV-4")</f>
        <v>18</v>
      </c>
      <c r="CV88" s="338">
        <f>COUNTIFS('MEP | Drawing List'!$H:$H,"MEP-SDV-4",'MEP | Drawing List'!$J:$J,1)</f>
        <v>2</v>
      </c>
      <c r="CW88" s="338">
        <f>COUNTIFS('MEP | Drawing List'!$H:$H,"MEP-SDV-4",'MEP | Drawing List'!$L:$L,1)</f>
        <v>16</v>
      </c>
      <c r="CX88" s="343">
        <f>COUNTIFS('MEP | Drawing List'!$H:$H,"MEP-SDV-4",'MEP | Drawing List'!M:M,1)</f>
        <v>16</v>
      </c>
      <c r="CY88" s="343">
        <f>COUNTIFS('MEP | Drawing List'!$H:$H,"MEP-SDV-4",'MEP | Drawing List'!N:N,1)</f>
        <v>0</v>
      </c>
      <c r="CZ88" s="343">
        <f>COUNTIFS('MEP | Drawing List'!$H:$H,"MEP-SDV-4",'MEP | Drawing List'!O:O,1)</f>
        <v>0</v>
      </c>
      <c r="DA88" s="343">
        <f>COUNTIFS('MEP | Drawing List'!$H:$H,"MEP-SDV-4",'MEP | Drawing List'!P:P,1)</f>
        <v>0</v>
      </c>
      <c r="DB88" s="343"/>
      <c r="DC88" s="338">
        <f>COUNTIFS('MEP | Drawing List'!$H:$H,"MEP-SDV-4",'MEP | Drawing List'!$Q:$Q,1)</f>
        <v>16</v>
      </c>
      <c r="DD88" s="343">
        <f>COUNTIFS('MEP | Drawing List'!$H:$H,"MEP-SDV-4",'MEP | Drawing List'!R:R,1)</f>
        <v>16</v>
      </c>
      <c r="DE88" s="343">
        <f>COUNTIFS('MEP | Drawing List'!$H:$H,"MEP-SDV-4",'MEP | Drawing List'!S:S,1)</f>
        <v>0</v>
      </c>
      <c r="DF88" s="343">
        <f>COUNTIFS('MEP | Drawing List'!$H:$H,"MEP-SDV-4",'MEP | Drawing List'!T:T,1)</f>
        <v>0</v>
      </c>
      <c r="DG88" s="343">
        <f>COUNTIFS('MEP | Drawing List'!$H:$H,"MEP-SDV-4",'MEP | Drawing List'!U:U,1)</f>
        <v>0</v>
      </c>
      <c r="DH88" s="194"/>
      <c r="DI88" s="194"/>
      <c r="DJ88" s="196">
        <v>0</v>
      </c>
      <c r="DK88" s="194"/>
      <c r="DL88" s="332">
        <f t="shared" si="249"/>
        <v>0</v>
      </c>
      <c r="DM88" s="328">
        <f t="shared" si="184"/>
        <v>0</v>
      </c>
      <c r="DN88" s="343">
        <f t="shared" si="250"/>
        <v>0</v>
      </c>
      <c r="DO88" s="343">
        <f t="shared" si="251"/>
        <v>0</v>
      </c>
      <c r="DP88" s="343">
        <f t="shared" si="252"/>
        <v>0</v>
      </c>
      <c r="DQ88" s="343">
        <f t="shared" si="253"/>
        <v>0</v>
      </c>
      <c r="DR88" s="343">
        <f t="shared" si="254"/>
        <v>0</v>
      </c>
      <c r="DS88" s="343">
        <f t="shared" si="255"/>
        <v>0</v>
      </c>
      <c r="DT88" s="343"/>
      <c r="DU88" s="343">
        <f t="shared" si="256"/>
        <v>0</v>
      </c>
      <c r="DV88" s="343">
        <f t="shared" si="257"/>
        <v>0</v>
      </c>
      <c r="DW88" s="343">
        <f t="shared" si="258"/>
        <v>0</v>
      </c>
      <c r="DX88" s="343">
        <f t="shared" si="259"/>
        <v>0</v>
      </c>
      <c r="DY88" s="343">
        <f t="shared" si="260"/>
        <v>0</v>
      </c>
      <c r="DZ88" s="195"/>
      <c r="EA88" s="344">
        <f t="shared" si="261"/>
        <v>0</v>
      </c>
      <c r="EB88" s="344">
        <f t="shared" si="262"/>
        <v>0</v>
      </c>
      <c r="EC88" s="344">
        <f t="shared" si="263"/>
        <v>0</v>
      </c>
      <c r="ED88" s="346"/>
      <c r="EE88" s="355">
        <f>COUNTIF('LS | Drawing List'!$H:$H,"LS-SDV-4")</f>
        <v>0</v>
      </c>
      <c r="EF88" s="338">
        <f>COUNTIFS('LS | Drawing List'!$H:$H,"LS-SDV-4",'LS | Drawing List'!$J:$J,1)</f>
        <v>0</v>
      </c>
      <c r="EG88" s="338">
        <f>COUNTIFS('LS | Drawing List'!$H:$H,"LS-SDV-4",'LS | Drawing List'!$L:$L,1)</f>
        <v>0</v>
      </c>
      <c r="EH88" s="343">
        <f>COUNTIFS('LS | Drawing List'!$H:$H,"LS-SDV-4",'LS | Drawing List'!M:M,1)</f>
        <v>0</v>
      </c>
      <c r="EI88" s="343">
        <f>COUNTIFS('LS | Drawing List'!$H:$H,"LS-SDV-4",'LS | Drawing List'!N:N,1)</f>
        <v>0</v>
      </c>
      <c r="EJ88" s="343">
        <f>COUNTIFS('LS | Drawing List'!$H:$H,"LS-SDV-4",'LS | Drawing List'!O:O,1)</f>
        <v>0</v>
      </c>
      <c r="EK88" s="343">
        <f>COUNTIFS('LS | Drawing List'!$H:$H,"LS-SDV-4",'LS | Drawing List'!P:P,1)</f>
        <v>0</v>
      </c>
      <c r="EL88" s="343"/>
      <c r="EM88" s="338">
        <f>COUNTIFS('LS | Drawing List'!$H:$H,"LS-SDV-4",'LS | Drawing List'!$Q:$Q,1)</f>
        <v>0</v>
      </c>
      <c r="EN88" s="343">
        <f>COUNTIFS('LS | Drawing List'!$H:$H,"LS-SDV-4",'LS | Drawing List'!R:R,1)</f>
        <v>0</v>
      </c>
      <c r="EO88" s="343">
        <f>COUNTIFS('LS | Drawing List'!$H:$H,"LS-SDV-4",'LS | Drawing List'!S:S,1)</f>
        <v>0</v>
      </c>
      <c r="EP88" s="343">
        <f>COUNTIFS('LS | Drawing List'!$H:$H,"LS-SDV-4",'LS | Drawing List'!T:T,1)</f>
        <v>0</v>
      </c>
      <c r="EQ88" s="343">
        <f>COUNTIFS('LS | Drawing List'!$H:$H,"LS-SDV-4",'LS | Drawing List'!U:U,1)</f>
        <v>0</v>
      </c>
      <c r="ER88" s="114"/>
      <c r="ES88" s="499"/>
      <c r="ET88" s="112"/>
    </row>
    <row r="89" spans="1:150" ht="11.85" customHeight="1" outlineLevel="2">
      <c r="A89" s="112"/>
      <c r="B89" s="162" t="s">
        <v>93</v>
      </c>
      <c r="C89" s="213">
        <v>4</v>
      </c>
      <c r="D89" s="455" t="s">
        <v>94</v>
      </c>
      <c r="E89" s="114"/>
      <c r="F89" s="197">
        <v>0.05</v>
      </c>
      <c r="G89" s="194"/>
      <c r="H89" s="447">
        <f t="shared" si="226"/>
        <v>3.8440000000000002E-2</v>
      </c>
      <c r="I89" s="447">
        <f t="shared" si="172"/>
        <v>3.8440000000000002E-2</v>
      </c>
      <c r="J89" s="448">
        <f>IFERROR(IF(W89=100%,H89,0),0)</f>
        <v>0</v>
      </c>
      <c r="K89" s="448">
        <f>IFERROR(IF(AND((W89+X89)=100%,W89&lt;1),H89,0),0)</f>
        <v>3.8440000000000002E-2</v>
      </c>
      <c r="L89" s="448">
        <f>IFERROR(IF(AND((AB89+AD89)=AA89,J89=0),H89,0),0)</f>
        <v>3.8440000000000002E-2</v>
      </c>
      <c r="M89" s="448">
        <f>IFERROR(IF(AND((AB89+AD89+AE89)=AA89,J89=0,L89=0),H89,0),0)</f>
        <v>0</v>
      </c>
      <c r="N89" s="448">
        <f>IFERROR(IF(AND((AB89+AD89+AE89+AF89)=AA89,J89=0,K89=0,L89=0,M89=0),H89,0),0)</f>
        <v>0</v>
      </c>
      <c r="O89" s="448">
        <f>IFERROR(IF(AND((AB89+AD89+AE89+AF89+AG89)=AA89,J89=0,K89=0,L89=0,M89=0,N89=0),H89,0),0)</f>
        <v>0</v>
      </c>
      <c r="P89" s="448"/>
      <c r="Q89" s="448">
        <f>IFERROR(IF(AND((W89+Y89)=100%,W89&lt;1),H89,0),0)</f>
        <v>3.8440000000000002E-2</v>
      </c>
      <c r="R89" s="448">
        <f>IFERROR(IF(AND((AB89+AJ89)=AA89,J89=0),H89,0),0)</f>
        <v>3.8440000000000002E-2</v>
      </c>
      <c r="S89" s="448">
        <f>IFERROR(IF(AND((AB89+AJ89+AK89)=AA89,J89=0,R89=0),H89,0),0)</f>
        <v>0</v>
      </c>
      <c r="T89" s="448">
        <f>IFERROR(IF(AND((AB89+AJ89+AK89+AL89)=AA89,J89=0,R89=0,S89=0),H89,0),0)</f>
        <v>0</v>
      </c>
      <c r="U89" s="448">
        <f>IFERROR(IF(AND((AB89+AJ89+AK89+AL89+AM89)=AA89,J89=0,R89=0,S89=0,T89=0),H89,0),0)</f>
        <v>0</v>
      </c>
      <c r="V89" s="195"/>
      <c r="W89" s="344">
        <f t="shared" si="227"/>
        <v>0</v>
      </c>
      <c r="X89" s="344">
        <f t="shared" si="228"/>
        <v>1</v>
      </c>
      <c r="Y89" s="344">
        <f t="shared" si="229"/>
        <v>1</v>
      </c>
      <c r="Z89" s="346"/>
      <c r="AA89" s="355">
        <f>COUNTIF('AR | Drawing List'!$H:$H,"AR-SDV-9")</f>
        <v>1</v>
      </c>
      <c r="AB89" s="338">
        <f>COUNTIFS('AR | Drawing List'!$H:$H,"AR-SDV-9",'AR | Drawing List'!$J:$J,1)</f>
        <v>0</v>
      </c>
      <c r="AC89" s="338">
        <f>COUNTIFS('AR | Drawing List'!$H:$H,"AR-SDV-9",'AR | Drawing List'!$L:$L,1)</f>
        <v>1</v>
      </c>
      <c r="AD89" s="343">
        <f>COUNTIFS('AR | Drawing List'!$H:$H,"AR-SDV-9",'AR | Drawing List'!M:M,1)</f>
        <v>1</v>
      </c>
      <c r="AE89" s="343">
        <f>COUNTIFS('AR | Drawing List'!$H:$H,"AR-SDV-9",'AR | Drawing List'!N:N,1)</f>
        <v>0</v>
      </c>
      <c r="AF89" s="343">
        <f>COUNTIFS('AR | Drawing List'!$H:$H,"AR-SDV-9",'AR | Drawing List'!O:O,1)</f>
        <v>0</v>
      </c>
      <c r="AG89" s="343">
        <f>COUNTIFS('AR | Drawing List'!$H:$H,"AR-SDV-9",'AR | Drawing List'!P:P,1)</f>
        <v>0</v>
      </c>
      <c r="AH89" s="343"/>
      <c r="AI89" s="338">
        <f>COUNTIFS('AR | Drawing List'!$H:$H,"AR-SDV-9",'AR | Drawing List'!$Q:$Q,1)</f>
        <v>1</v>
      </c>
      <c r="AJ89" s="343">
        <f>COUNTIFS('AR | Drawing List'!$H:$H,"AR-SDV-9",'AR | Drawing List'!R:R,1)</f>
        <v>1</v>
      </c>
      <c r="AK89" s="343">
        <f>COUNTIFS('AR | Drawing List'!$H:$H,"AR-SDV-9",'AR | Drawing List'!S:S,1)</f>
        <v>0</v>
      </c>
      <c r="AL89" s="343">
        <f>COUNTIFS('AR | Drawing List'!$H:$H,"AR-SDV-9",'AR | Drawing List'!T:T,1)</f>
        <v>0</v>
      </c>
      <c r="AM89" s="343">
        <f>COUNTIFS('AR | Drawing List'!$H:$H,"AR-SDV-9",'AR | Drawing List'!U:U,1)</f>
        <v>0</v>
      </c>
      <c r="AN89" s="355"/>
      <c r="AO89" s="355"/>
      <c r="AP89" s="197">
        <v>0</v>
      </c>
      <c r="AQ89" s="194"/>
      <c r="AR89" s="447">
        <f t="shared" si="230"/>
        <v>0</v>
      </c>
      <c r="AS89" s="447">
        <f t="shared" si="176"/>
        <v>0</v>
      </c>
      <c r="AT89" s="447">
        <f>IFERROR(IF(BG89=100%,AR89,0),0)</f>
        <v>0</v>
      </c>
      <c r="AU89" s="343">
        <f>IFERROR(IF(AND((BG89+BH89)=100%,BG89&lt;1),AR89,0),0)</f>
        <v>0</v>
      </c>
      <c r="AV89" s="343">
        <f>IFERROR(IF(AND((BL89+BN89)=BK89,AT89=0),AR89,0),0)</f>
        <v>0</v>
      </c>
      <c r="AW89" s="343">
        <f>IFERROR(IF(AND((BL89+BN89+BO89)=BK89,AT89=0,AV89=0),AR89,0),0)</f>
        <v>0</v>
      </c>
      <c r="AX89" s="343">
        <f>IFERROR(IF(AND((BL89+BN89+BO89+BP89)=BK89,AT89=0,AU89=0,AV89=0,AW89=0),AR89,0),0)</f>
        <v>0</v>
      </c>
      <c r="AY89" s="343">
        <f>IFERROR(IF(AND((BL89+BN89+BO89+BP89+BQ89)=BK89,AT89=0,AU89=0,AV89=0,AW89=0,AX89=0),AR89,0),0)</f>
        <v>0</v>
      </c>
      <c r="AZ89" s="343"/>
      <c r="BA89" s="343">
        <f>IFERROR(IF(AND((BG89+BI89)=100%,BG89&lt;1),AR89,0),0)</f>
        <v>0</v>
      </c>
      <c r="BB89" s="394">
        <f>IFERROR(IF(AND((BL89+BT89)=BK89,AT89=0),AR89,0),0)</f>
        <v>0</v>
      </c>
      <c r="BC89" s="343">
        <f>IFERROR(IF(AND((BL89+BT89+BU89)=BK89,AT89=0,BB89=0),AR89,0),0)</f>
        <v>0</v>
      </c>
      <c r="BD89" s="343">
        <f>IFERROR(IF(AND((BL89+BT89+BU89+BV89)=BK89,AT89=0,BB89=0,BC89=0),AR89,0),0)</f>
        <v>0</v>
      </c>
      <c r="BE89" s="343">
        <f>IFERROR(IF(AND((BL89+BT89+BU89+BV89+BW89)=BK89,AT89=0,BB89=0,BC89=0,BD89=0),AR89,0),0)</f>
        <v>0</v>
      </c>
      <c r="BF89" s="195"/>
      <c r="BG89" s="344">
        <f t="shared" si="231"/>
        <v>0</v>
      </c>
      <c r="BH89" s="344">
        <f t="shared" si="232"/>
        <v>0</v>
      </c>
      <c r="BI89" s="344">
        <f t="shared" si="233"/>
        <v>0</v>
      </c>
      <c r="BJ89" s="346"/>
      <c r="BK89" s="355">
        <f>COUNTIF('ST | Drawing List'!$H:$H,"ST-SDV-9")</f>
        <v>0</v>
      </c>
      <c r="BL89" s="338">
        <f>COUNTIFS('ST | Drawing List'!$H:$H,"ST-SDV-9",'ST | Drawing List'!$J:$J,1)</f>
        <v>0</v>
      </c>
      <c r="BM89" s="338">
        <f>COUNTIFS('ST | Drawing List'!$H:$H,"ST-SDV-9",'ST | Drawing List'!$L:$L,1)</f>
        <v>0</v>
      </c>
      <c r="BN89" s="343">
        <f>COUNTIFS('ST | Drawing List'!$H:$H,"ST-SDV-9",'ST | Drawing List'!M:M,1)</f>
        <v>0</v>
      </c>
      <c r="BO89" s="343">
        <f>COUNTIFS('ST | Drawing List'!$H:$H,"ST-SDV-9",'ST | Drawing List'!N:N,1)</f>
        <v>0</v>
      </c>
      <c r="BP89" s="343">
        <f>COUNTIFS('ST | Drawing List'!$H:$H,"ST-SDV-9",'ST | Drawing List'!O:O,1)</f>
        <v>0</v>
      </c>
      <c r="BQ89" s="343">
        <f>COUNTIFS('ST | Drawing List'!$H:$H,"ST-SDV-9",'ST | Drawing List'!P:P,1)</f>
        <v>0</v>
      </c>
      <c r="BR89" s="343"/>
      <c r="BS89" s="338">
        <f>COUNTIFS('ST | Drawing List'!$H:$H,"ST-SDV-9",'ST | Drawing List'!$Q:$Q,1)</f>
        <v>0</v>
      </c>
      <c r="BT89" s="343">
        <f>COUNTIFS('ST | Drawing List'!$H:$H,"ST-SDV-9",'ST | Drawing List'!R:R,1)</f>
        <v>0</v>
      </c>
      <c r="BU89" s="343">
        <f>COUNTIFS('ST | Drawing List'!$H:$H,"ST-SDV-9",'ST | Drawing List'!S:S,1)</f>
        <v>0</v>
      </c>
      <c r="BV89" s="343">
        <f>COUNTIFS('ST | Drawing List'!$H:$H,"ST-SDV-9",'ST | Drawing List'!T:T,1)</f>
        <v>0</v>
      </c>
      <c r="BW89" s="343">
        <f>COUNTIFS('ST | Drawing List'!$H:$H,"ST-SDV-9",'ST | Drawing List'!U:U,1)</f>
        <v>0</v>
      </c>
      <c r="BX89" s="194"/>
      <c r="BY89" s="194"/>
      <c r="BZ89" s="202">
        <v>0</v>
      </c>
      <c r="CA89" s="194"/>
      <c r="CB89" s="332">
        <f t="shared" si="234"/>
        <v>0</v>
      </c>
      <c r="CC89" s="328">
        <f t="shared" si="178"/>
        <v>0</v>
      </c>
      <c r="CD89" s="343">
        <f t="shared" si="235"/>
        <v>0</v>
      </c>
      <c r="CE89" s="343">
        <f t="shared" si="236"/>
        <v>0</v>
      </c>
      <c r="CF89" s="343">
        <f t="shared" si="237"/>
        <v>0</v>
      </c>
      <c r="CG89" s="343">
        <f t="shared" si="238"/>
        <v>0</v>
      </c>
      <c r="CH89" s="343">
        <f t="shared" si="239"/>
        <v>0</v>
      </c>
      <c r="CI89" s="343">
        <f t="shared" si="240"/>
        <v>0</v>
      </c>
      <c r="CJ89" s="343"/>
      <c r="CK89" s="478">
        <f t="shared" si="241"/>
        <v>0</v>
      </c>
      <c r="CL89" s="478">
        <f t="shared" si="242"/>
        <v>0</v>
      </c>
      <c r="CM89" s="478">
        <f t="shared" si="243"/>
        <v>0</v>
      </c>
      <c r="CN89" s="478">
        <f t="shared" si="244"/>
        <v>0</v>
      </c>
      <c r="CO89" s="478">
        <f t="shared" si="245"/>
        <v>0</v>
      </c>
      <c r="CP89" s="195"/>
      <c r="CQ89" s="344">
        <f t="shared" si="246"/>
        <v>0</v>
      </c>
      <c r="CR89" s="344">
        <f t="shared" si="247"/>
        <v>0</v>
      </c>
      <c r="CS89" s="344">
        <f t="shared" si="248"/>
        <v>0</v>
      </c>
      <c r="CT89" s="346"/>
      <c r="CU89" s="355">
        <f>COUNTIF('MEP | Drawing List'!$H:$H,"MEP-SDV-9")</f>
        <v>0</v>
      </c>
      <c r="CV89" s="338">
        <f>COUNTIFS('MEP | Drawing List'!$H:$H,"MEP-SDV-9",'MEP | Drawing List'!$J:$J,1)</f>
        <v>0</v>
      </c>
      <c r="CW89" s="338">
        <f>COUNTIFS('MEP | Drawing List'!$H:$H,"MEP-SDV-9",'MEP | Drawing List'!$L:$L,1)</f>
        <v>0</v>
      </c>
      <c r="CX89" s="343">
        <f>COUNTIFS('MEP | Drawing List'!$H:$H,"MEP-SDV-9",'MEP | Drawing List'!M:M,1)</f>
        <v>0</v>
      </c>
      <c r="CY89" s="343">
        <f>COUNTIFS('MEP | Drawing List'!$H:$H,"MEP-SDV-9",'MEP | Drawing List'!N:N,1)</f>
        <v>0</v>
      </c>
      <c r="CZ89" s="343">
        <f>COUNTIFS('MEP | Drawing List'!$H:$H,"MEP-SDV-9",'MEP | Drawing List'!O:O,1)</f>
        <v>0</v>
      </c>
      <c r="DA89" s="343">
        <f>COUNTIFS('MEP | Drawing List'!$H:$H,"MEP-SDV-9",'MEP | Drawing List'!P:P,1)</f>
        <v>0</v>
      </c>
      <c r="DB89" s="343"/>
      <c r="DC89" s="338">
        <f>COUNTIFS('MEP | Drawing List'!$H:$H,"MEP-SDV-9",'MEP | Drawing List'!$Q:$Q,1)</f>
        <v>0</v>
      </c>
      <c r="DD89" s="343">
        <f>COUNTIFS('MEP | Drawing List'!$H:$H,"MEP-SDV-9",'MEP | Drawing List'!R:R,1)</f>
        <v>0</v>
      </c>
      <c r="DE89" s="343">
        <f>COUNTIFS('MEP | Drawing List'!$H:$H,"MEP-SDV-9",'MEP | Drawing List'!S:S,1)</f>
        <v>0</v>
      </c>
      <c r="DF89" s="343">
        <f>COUNTIFS('MEP | Drawing List'!$H:$H,"MEP-SDV-9",'MEP | Drawing List'!T:T,1)</f>
        <v>0</v>
      </c>
      <c r="DG89" s="343">
        <f>COUNTIFS('MEP | Drawing List'!$H:$H,"MEP-SDV-9",'MEP | Drawing List'!U:U,1)</f>
        <v>0</v>
      </c>
      <c r="DH89" s="194"/>
      <c r="DI89" s="194"/>
      <c r="DJ89" s="197">
        <v>0.3</v>
      </c>
      <c r="DK89" s="194"/>
      <c r="DL89" s="332">
        <f t="shared" si="249"/>
        <v>7.7700000000000009E-3</v>
      </c>
      <c r="DM89" s="328">
        <f t="shared" si="184"/>
        <v>7.7700000000000009E-3</v>
      </c>
      <c r="DN89" s="343">
        <f t="shared" si="250"/>
        <v>0</v>
      </c>
      <c r="DO89" s="343">
        <f t="shared" si="251"/>
        <v>7.7700000000000009E-3</v>
      </c>
      <c r="DP89" s="343">
        <f t="shared" si="252"/>
        <v>7.7700000000000009E-3</v>
      </c>
      <c r="DQ89" s="343">
        <f t="shared" si="253"/>
        <v>0</v>
      </c>
      <c r="DR89" s="343">
        <f t="shared" si="254"/>
        <v>0</v>
      </c>
      <c r="DS89" s="343">
        <f t="shared" si="255"/>
        <v>0</v>
      </c>
      <c r="DT89" s="343"/>
      <c r="DU89" s="343">
        <f t="shared" si="256"/>
        <v>7.7700000000000009E-3</v>
      </c>
      <c r="DV89" s="343">
        <f t="shared" si="257"/>
        <v>0</v>
      </c>
      <c r="DW89" s="343">
        <f t="shared" si="258"/>
        <v>7.7700000000000009E-3</v>
      </c>
      <c r="DX89" s="343">
        <f t="shared" si="259"/>
        <v>0</v>
      </c>
      <c r="DY89" s="343">
        <f t="shared" si="260"/>
        <v>0</v>
      </c>
      <c r="DZ89" s="195"/>
      <c r="EA89" s="344">
        <f t="shared" si="261"/>
        <v>0</v>
      </c>
      <c r="EB89" s="344">
        <f t="shared" si="262"/>
        <v>1</v>
      </c>
      <c r="EC89" s="344">
        <f t="shared" si="263"/>
        <v>1</v>
      </c>
      <c r="ED89" s="346"/>
      <c r="EE89" s="355">
        <f>COUNTIF('LS | Drawing List'!$H:$H,"LS-SDV-9")</f>
        <v>2</v>
      </c>
      <c r="EF89" s="338">
        <f>COUNTIFS('LS | Drawing List'!$H:$H,"LS-SDV-9",'LS | Drawing List'!$J:$J,1)</f>
        <v>0</v>
      </c>
      <c r="EG89" s="338">
        <f>COUNTIFS('LS | Drawing List'!$H:$H,"LS-SDV-9",'LS | Drawing List'!$L:$L,1)</f>
        <v>2</v>
      </c>
      <c r="EH89" s="343">
        <f>COUNTIFS('LS | Drawing List'!$H:$H,"LS-SDV-9",'LS | Drawing List'!M:M,1)</f>
        <v>2</v>
      </c>
      <c r="EI89" s="343">
        <f>COUNTIFS('LS | Drawing List'!$H:$H,"LS-SDV-9",'LS | Drawing List'!N:N,1)</f>
        <v>0</v>
      </c>
      <c r="EJ89" s="343">
        <f>COUNTIFS('LS | Drawing List'!$H:$H,"LS-SDV-9",'LS | Drawing List'!O:O,1)</f>
        <v>0</v>
      </c>
      <c r="EK89" s="343">
        <f>COUNTIFS('LS | Drawing List'!$H:$H,"LS-SDV-9",'LS | Drawing List'!P:P,1)</f>
        <v>0</v>
      </c>
      <c r="EL89" s="343"/>
      <c r="EM89" s="338">
        <f>COUNTIFS('LS | Drawing List'!$H:$H,"LS-SDV-9",'LS | Drawing List'!$Q:$Q,1)</f>
        <v>2</v>
      </c>
      <c r="EN89" s="343">
        <f>COUNTIFS('LS | Drawing List'!$H:$H,"LS-SDV-9",'LS | Drawing List'!R:R,1)</f>
        <v>0</v>
      </c>
      <c r="EO89" s="343">
        <f>COUNTIFS('LS | Drawing List'!$H:$H,"LS-SDV-9",'LS | Drawing List'!S:S,1)</f>
        <v>2</v>
      </c>
      <c r="EP89" s="343">
        <f>COUNTIFS('LS | Drawing List'!$H:$H,"LS-SDV-9",'LS | Drawing List'!T:T,1)</f>
        <v>0</v>
      </c>
      <c r="EQ89" s="343">
        <f>COUNTIFS('LS | Drawing List'!$H:$H,"LS-SDV-9",'LS | Drawing List'!U:U,1)</f>
        <v>0</v>
      </c>
      <c r="ER89" s="114"/>
      <c r="ES89" s="499"/>
      <c r="ET89" s="112"/>
    </row>
    <row r="90" spans="1:150" ht="3" customHeight="1">
      <c r="A90" s="112"/>
      <c r="B90" s="113"/>
      <c r="C90" s="113"/>
      <c r="D90" s="114"/>
      <c r="E90" s="114"/>
      <c r="F90" s="197"/>
      <c r="G90" s="194"/>
      <c r="H90" s="328"/>
      <c r="I90" s="328">
        <f t="shared" si="172"/>
        <v>0</v>
      </c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47"/>
      <c r="W90" s="348"/>
      <c r="X90" s="348"/>
      <c r="Y90" s="348"/>
      <c r="Z90" s="346"/>
      <c r="AA90" s="355"/>
      <c r="AB90" s="355"/>
      <c r="AC90" s="355"/>
      <c r="AD90" s="356"/>
      <c r="AE90" s="356"/>
      <c r="AF90" s="356"/>
      <c r="AG90" s="356"/>
      <c r="AH90" s="356"/>
      <c r="AI90" s="355"/>
      <c r="AJ90" s="356"/>
      <c r="AK90" s="356"/>
      <c r="AL90" s="356"/>
      <c r="AM90" s="356"/>
      <c r="AN90" s="355"/>
      <c r="AO90" s="355"/>
      <c r="AP90" s="196"/>
      <c r="AQ90" s="194"/>
      <c r="AR90" s="332"/>
      <c r="AS90" s="328">
        <f t="shared" si="176"/>
        <v>0</v>
      </c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47"/>
      <c r="BG90" s="348"/>
      <c r="BH90" s="348"/>
      <c r="BI90" s="348"/>
      <c r="BJ90" s="346"/>
      <c r="BK90" s="355"/>
      <c r="BL90" s="355"/>
      <c r="BM90" s="355"/>
      <c r="BN90" s="356"/>
      <c r="BO90" s="356"/>
      <c r="BP90" s="356"/>
      <c r="BQ90" s="356"/>
      <c r="BR90" s="356"/>
      <c r="BS90" s="355"/>
      <c r="BT90" s="356"/>
      <c r="BU90" s="356"/>
      <c r="BV90" s="356"/>
      <c r="BW90" s="356"/>
      <c r="BX90" s="194"/>
      <c r="BY90" s="194"/>
      <c r="BZ90" s="196"/>
      <c r="CA90" s="194"/>
      <c r="CB90" s="332"/>
      <c r="CC90" s="328">
        <f t="shared" si="178"/>
        <v>0</v>
      </c>
      <c r="CD90" s="356"/>
      <c r="CE90" s="356"/>
      <c r="CF90" s="356"/>
      <c r="CG90" s="356"/>
      <c r="CH90" s="356"/>
      <c r="CI90" s="356"/>
      <c r="CJ90" s="356"/>
      <c r="CK90" s="480"/>
      <c r="CL90" s="480"/>
      <c r="CM90" s="480"/>
      <c r="CN90" s="480"/>
      <c r="CO90" s="480"/>
      <c r="CP90" s="347"/>
      <c r="CQ90" s="348"/>
      <c r="CR90" s="348"/>
      <c r="CS90" s="348"/>
      <c r="CT90" s="346"/>
      <c r="CU90" s="355"/>
      <c r="CV90" s="355"/>
      <c r="CW90" s="355"/>
      <c r="CX90" s="356"/>
      <c r="CY90" s="356"/>
      <c r="CZ90" s="356"/>
      <c r="DA90" s="356"/>
      <c r="DB90" s="356"/>
      <c r="DC90" s="355"/>
      <c r="DD90" s="356"/>
      <c r="DE90" s="356"/>
      <c r="DF90" s="356"/>
      <c r="DG90" s="356"/>
      <c r="DH90" s="194"/>
      <c r="DI90" s="194"/>
      <c r="DJ90" s="197"/>
      <c r="DK90" s="194"/>
      <c r="DL90" s="332"/>
      <c r="DM90" s="328">
        <f t="shared" si="184"/>
        <v>0</v>
      </c>
      <c r="DN90" s="164"/>
      <c r="DO90" s="164"/>
      <c r="DP90" s="164"/>
      <c r="DQ90" s="164"/>
      <c r="DR90" s="164"/>
      <c r="DS90" s="164"/>
      <c r="DT90" s="164"/>
      <c r="DU90" s="356"/>
      <c r="DV90" s="356"/>
      <c r="DW90" s="356"/>
      <c r="DX90" s="356"/>
      <c r="DY90" s="356"/>
      <c r="DZ90" s="119"/>
      <c r="EA90" s="118"/>
      <c r="EB90" s="118"/>
      <c r="EC90" s="118"/>
      <c r="ED90" s="120"/>
      <c r="EE90" s="121"/>
      <c r="EF90" s="121"/>
      <c r="EG90" s="121"/>
      <c r="EH90" s="164"/>
      <c r="EI90" s="164"/>
      <c r="EJ90" s="164"/>
      <c r="EK90" s="164"/>
      <c r="EL90" s="164"/>
      <c r="EM90" s="121"/>
      <c r="EN90" s="164"/>
      <c r="EO90" s="164"/>
      <c r="EP90" s="164"/>
      <c r="EQ90" s="164"/>
      <c r="ER90" s="114"/>
      <c r="ES90" s="499"/>
      <c r="ET90" s="112"/>
    </row>
    <row r="91" spans="1:150" ht="17.399999999999999">
      <c r="A91" s="112"/>
      <c r="B91" s="112"/>
      <c r="C91" s="497" t="s">
        <v>95</v>
      </c>
      <c r="D91" s="497"/>
      <c r="E91" s="132"/>
      <c r="F91" s="327"/>
      <c r="G91" s="182"/>
      <c r="H91" s="183">
        <f>H93</f>
        <v>0.36401500000000009</v>
      </c>
      <c r="I91" s="183">
        <f t="shared" si="172"/>
        <v>0</v>
      </c>
      <c r="J91" s="187">
        <f t="shared" ref="J91:O91" si="264">J93</f>
        <v>0</v>
      </c>
      <c r="K91" s="187">
        <f t="shared" si="264"/>
        <v>0.36401500000000009</v>
      </c>
      <c r="L91" s="187">
        <f t="shared" si="264"/>
        <v>0</v>
      </c>
      <c r="M91" s="187">
        <f t="shared" si="264"/>
        <v>0.36401500000000009</v>
      </c>
      <c r="N91" s="187">
        <f t="shared" si="264"/>
        <v>0</v>
      </c>
      <c r="O91" s="187">
        <f t="shared" si="264"/>
        <v>0</v>
      </c>
      <c r="P91" s="187"/>
      <c r="Q91" s="187">
        <f t="shared" ref="Q91:U91" si="265">Q93</f>
        <v>0</v>
      </c>
      <c r="R91" s="187">
        <f t="shared" si="265"/>
        <v>0</v>
      </c>
      <c r="S91" s="187">
        <f t="shared" si="265"/>
        <v>0</v>
      </c>
      <c r="T91" s="187">
        <f t="shared" si="265"/>
        <v>0</v>
      </c>
      <c r="U91" s="187">
        <f t="shared" si="265"/>
        <v>0</v>
      </c>
      <c r="V91" s="330"/>
      <c r="W91" s="330"/>
      <c r="X91" s="330"/>
      <c r="Y91" s="330"/>
      <c r="Z91" s="330"/>
      <c r="AA91" s="338"/>
      <c r="AB91" s="338"/>
      <c r="AC91" s="338"/>
      <c r="AD91" s="184"/>
      <c r="AE91" s="184"/>
      <c r="AF91" s="184"/>
      <c r="AG91" s="184"/>
      <c r="AH91" s="184"/>
      <c r="AI91" s="338"/>
      <c r="AJ91" s="184"/>
      <c r="AK91" s="184"/>
      <c r="AL91" s="184"/>
      <c r="AM91" s="184"/>
      <c r="AN91" s="338"/>
      <c r="AO91" s="338"/>
      <c r="AP91" s="331"/>
      <c r="AQ91" s="182"/>
      <c r="AR91" s="185">
        <f>AR93</f>
        <v>0.13539555</v>
      </c>
      <c r="AS91" s="183">
        <f t="shared" si="176"/>
        <v>0</v>
      </c>
      <c r="AT91" s="184">
        <f>AT93</f>
        <v>0</v>
      </c>
      <c r="AU91" s="184">
        <f t="shared" ref="AU91:AY91" si="266">AU93</f>
        <v>0.13539555</v>
      </c>
      <c r="AV91" s="184">
        <f t="shared" si="266"/>
        <v>0</v>
      </c>
      <c r="AW91" s="184">
        <f t="shared" si="266"/>
        <v>0.13539555</v>
      </c>
      <c r="AX91" s="184">
        <f t="shared" si="266"/>
        <v>0</v>
      </c>
      <c r="AY91" s="184">
        <f t="shared" si="266"/>
        <v>0</v>
      </c>
      <c r="AZ91" s="186"/>
      <c r="BA91" s="187">
        <f t="shared" ref="BA91:BE91" si="267">BA93</f>
        <v>0</v>
      </c>
      <c r="BB91" s="187">
        <f t="shared" si="267"/>
        <v>0</v>
      </c>
      <c r="BC91" s="187">
        <f t="shared" si="267"/>
        <v>0</v>
      </c>
      <c r="BD91" s="187">
        <f t="shared" si="267"/>
        <v>0</v>
      </c>
      <c r="BE91" s="187">
        <f t="shared" si="267"/>
        <v>0</v>
      </c>
      <c r="BF91" s="330"/>
      <c r="BG91" s="330"/>
      <c r="BH91" s="330"/>
      <c r="BI91" s="330"/>
      <c r="BJ91" s="330"/>
      <c r="BK91" s="338"/>
      <c r="BL91" s="338"/>
      <c r="BM91" s="338"/>
      <c r="BN91" s="186"/>
      <c r="BO91" s="186"/>
      <c r="BP91" s="186"/>
      <c r="BQ91" s="186"/>
      <c r="BR91" s="186"/>
      <c r="BS91" s="338"/>
      <c r="BT91" s="186"/>
      <c r="BU91" s="186"/>
      <c r="BV91" s="186"/>
      <c r="BW91" s="186"/>
      <c r="BX91" s="182"/>
      <c r="BY91" s="182"/>
      <c r="BZ91" s="331"/>
      <c r="CA91" s="182"/>
      <c r="CB91" s="185">
        <f>CB93</f>
        <v>4.7460086382525211E-2</v>
      </c>
      <c r="CC91" s="183">
        <f t="shared" si="178"/>
        <v>0</v>
      </c>
      <c r="CD91" s="184">
        <f>CD93</f>
        <v>0</v>
      </c>
      <c r="CE91" s="184">
        <f t="shared" ref="CE91:CI91" si="268">CE93</f>
        <v>4.7460086382525211E-2</v>
      </c>
      <c r="CF91" s="184">
        <f t="shared" si="268"/>
        <v>0</v>
      </c>
      <c r="CG91" s="184">
        <f t="shared" si="268"/>
        <v>4.7460086382525211E-2</v>
      </c>
      <c r="CH91" s="184">
        <f t="shared" si="268"/>
        <v>0</v>
      </c>
      <c r="CI91" s="184">
        <f t="shared" si="268"/>
        <v>0</v>
      </c>
      <c r="CJ91" s="186"/>
      <c r="CK91" s="475">
        <f t="shared" ref="CK91:CO91" si="269">CK93</f>
        <v>0</v>
      </c>
      <c r="CL91" s="475">
        <f t="shared" si="269"/>
        <v>0</v>
      </c>
      <c r="CM91" s="475">
        <f t="shared" si="269"/>
        <v>0</v>
      </c>
      <c r="CN91" s="475">
        <f t="shared" si="269"/>
        <v>0</v>
      </c>
      <c r="CO91" s="475">
        <f t="shared" si="269"/>
        <v>0</v>
      </c>
      <c r="CP91" s="330"/>
      <c r="CQ91" s="330"/>
      <c r="CR91" s="330"/>
      <c r="CS91" s="330"/>
      <c r="CT91" s="330"/>
      <c r="CU91" s="338"/>
      <c r="CV91" s="338"/>
      <c r="CW91" s="338"/>
      <c r="CX91" s="186"/>
      <c r="CY91" s="186"/>
      <c r="CZ91" s="186"/>
      <c r="DA91" s="186"/>
      <c r="DB91" s="186"/>
      <c r="DC91" s="338"/>
      <c r="DD91" s="186"/>
      <c r="DE91" s="186"/>
      <c r="DF91" s="186"/>
      <c r="DG91" s="186"/>
      <c r="DH91" s="182"/>
      <c r="DI91" s="182"/>
      <c r="DJ91" s="327"/>
      <c r="DK91" s="182"/>
      <c r="DL91" s="185">
        <f>DL93</f>
        <v>3.6697500000000003E-3</v>
      </c>
      <c r="DM91" s="183">
        <f t="shared" si="184"/>
        <v>0</v>
      </c>
      <c r="DN91" s="142"/>
      <c r="DO91" s="142"/>
      <c r="DP91" s="144"/>
      <c r="DQ91" s="144"/>
      <c r="DR91" s="144"/>
      <c r="DS91" s="144"/>
      <c r="DT91" s="144"/>
      <c r="DU91" s="187">
        <f t="shared" ref="DU91:DY91" si="270">DU93</f>
        <v>0</v>
      </c>
      <c r="DV91" s="187">
        <f t="shared" si="270"/>
        <v>0</v>
      </c>
      <c r="DW91" s="187">
        <f t="shared" si="270"/>
        <v>0</v>
      </c>
      <c r="DX91" s="187">
        <f t="shared" si="270"/>
        <v>0</v>
      </c>
      <c r="DY91" s="187">
        <f t="shared" si="270"/>
        <v>0</v>
      </c>
      <c r="DZ91" s="134"/>
      <c r="EA91" s="134"/>
      <c r="EB91" s="134"/>
      <c r="EC91" s="134"/>
      <c r="ED91" s="134"/>
      <c r="EE91" s="143"/>
      <c r="EF91" s="143"/>
      <c r="EG91" s="143"/>
      <c r="EH91" s="144"/>
      <c r="EI91" s="144"/>
      <c r="EJ91" s="144"/>
      <c r="EK91" s="144"/>
      <c r="EL91" s="144"/>
      <c r="EM91" s="143"/>
      <c r="EN91" s="144"/>
      <c r="EO91" s="144"/>
      <c r="EP91" s="144"/>
      <c r="EQ91" s="144"/>
      <c r="ER91" s="132"/>
      <c r="ES91" s="112"/>
      <c r="ET91" s="112"/>
    </row>
    <row r="92" spans="1:150" ht="3" customHeight="1" outlineLevel="1">
      <c r="A92" s="112"/>
      <c r="B92" s="113"/>
      <c r="C92" s="113"/>
      <c r="D92" s="131"/>
      <c r="E92" s="132"/>
      <c r="F92" s="327"/>
      <c r="G92" s="182"/>
      <c r="H92" s="183"/>
      <c r="I92" s="183">
        <f t="shared" si="172"/>
        <v>0</v>
      </c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330"/>
      <c r="W92" s="330"/>
      <c r="X92" s="330"/>
      <c r="Y92" s="330"/>
      <c r="Z92" s="330"/>
      <c r="AA92" s="338"/>
      <c r="AB92" s="338"/>
      <c r="AC92" s="338"/>
      <c r="AD92" s="184"/>
      <c r="AE92" s="184"/>
      <c r="AF92" s="184"/>
      <c r="AG92" s="184"/>
      <c r="AH92" s="184"/>
      <c r="AI92" s="338"/>
      <c r="AJ92" s="184"/>
      <c r="AK92" s="184"/>
      <c r="AL92" s="184"/>
      <c r="AM92" s="184"/>
      <c r="AN92" s="338"/>
      <c r="AO92" s="338"/>
      <c r="AP92" s="331"/>
      <c r="AQ92" s="182"/>
      <c r="AR92" s="185"/>
      <c r="AS92" s="183">
        <f t="shared" si="176"/>
        <v>0</v>
      </c>
      <c r="AT92" s="184"/>
      <c r="AU92" s="184"/>
      <c r="AV92" s="186"/>
      <c r="AW92" s="186"/>
      <c r="AX92" s="186"/>
      <c r="AY92" s="186"/>
      <c r="AZ92" s="186"/>
      <c r="BA92" s="184"/>
      <c r="BB92" s="184"/>
      <c r="BC92" s="184"/>
      <c r="BD92" s="184"/>
      <c r="BE92" s="184"/>
      <c r="BF92" s="330"/>
      <c r="BG92" s="330"/>
      <c r="BH92" s="330"/>
      <c r="BI92" s="330"/>
      <c r="BJ92" s="330"/>
      <c r="BK92" s="338"/>
      <c r="BL92" s="338"/>
      <c r="BM92" s="338"/>
      <c r="BN92" s="186"/>
      <c r="BO92" s="186"/>
      <c r="BP92" s="186"/>
      <c r="BQ92" s="186"/>
      <c r="BR92" s="186"/>
      <c r="BS92" s="338"/>
      <c r="BT92" s="186"/>
      <c r="BU92" s="186"/>
      <c r="BV92" s="186"/>
      <c r="BW92" s="186"/>
      <c r="BX92" s="182"/>
      <c r="BY92" s="182"/>
      <c r="BZ92" s="331"/>
      <c r="CA92" s="182"/>
      <c r="CB92" s="185"/>
      <c r="CC92" s="183">
        <f t="shared" si="178"/>
        <v>0</v>
      </c>
      <c r="CD92" s="184"/>
      <c r="CE92" s="184"/>
      <c r="CF92" s="186"/>
      <c r="CG92" s="186"/>
      <c r="CH92" s="186"/>
      <c r="CI92" s="186"/>
      <c r="CJ92" s="186"/>
      <c r="CK92" s="476"/>
      <c r="CL92" s="476"/>
      <c r="CM92" s="476"/>
      <c r="CN92" s="476"/>
      <c r="CO92" s="476"/>
      <c r="CP92" s="330"/>
      <c r="CQ92" s="330"/>
      <c r="CR92" s="330"/>
      <c r="CS92" s="330"/>
      <c r="CT92" s="330"/>
      <c r="CU92" s="338"/>
      <c r="CV92" s="338"/>
      <c r="CW92" s="338"/>
      <c r="CX92" s="186"/>
      <c r="CY92" s="186"/>
      <c r="CZ92" s="186"/>
      <c r="DA92" s="186"/>
      <c r="DB92" s="186"/>
      <c r="DC92" s="338"/>
      <c r="DD92" s="186"/>
      <c r="DE92" s="186"/>
      <c r="DF92" s="186"/>
      <c r="DG92" s="186"/>
      <c r="DH92" s="182"/>
      <c r="DI92" s="182"/>
      <c r="DJ92" s="327"/>
      <c r="DK92" s="182"/>
      <c r="DL92" s="185"/>
      <c r="DM92" s="183">
        <f t="shared" si="184"/>
        <v>0</v>
      </c>
      <c r="DN92" s="142"/>
      <c r="DO92" s="142"/>
      <c r="DP92" s="144"/>
      <c r="DQ92" s="144"/>
      <c r="DR92" s="144"/>
      <c r="DS92" s="144"/>
      <c r="DT92" s="144"/>
      <c r="DU92" s="184"/>
      <c r="DV92" s="184"/>
      <c r="DW92" s="184"/>
      <c r="DX92" s="184"/>
      <c r="DY92" s="184"/>
      <c r="DZ92" s="134"/>
      <c r="EA92" s="134"/>
      <c r="EB92" s="134"/>
      <c r="EC92" s="134"/>
      <c r="ED92" s="134"/>
      <c r="EE92" s="143"/>
      <c r="EF92" s="143"/>
      <c r="EG92" s="143"/>
      <c r="EH92" s="144"/>
      <c r="EI92" s="144"/>
      <c r="EJ92" s="144"/>
      <c r="EK92" s="144"/>
      <c r="EL92" s="144"/>
      <c r="EM92" s="143"/>
      <c r="EN92" s="144"/>
      <c r="EO92" s="144"/>
      <c r="EP92" s="144"/>
      <c r="EQ92" s="144"/>
      <c r="ER92" s="132"/>
      <c r="ES92" s="112"/>
      <c r="ET92" s="112"/>
    </row>
    <row r="93" spans="1:150" ht="11.85" customHeight="1" outlineLevel="1">
      <c r="A93" s="112"/>
      <c r="B93" s="148">
        <v>1</v>
      </c>
      <c r="C93" s="148">
        <v>1</v>
      </c>
      <c r="D93" s="149" t="s">
        <v>96</v>
      </c>
      <c r="E93" s="149"/>
      <c r="F93" s="188">
        <v>0.05</v>
      </c>
      <c r="G93" s="188"/>
      <c r="H93" s="452">
        <f>F93*(5%*'BOQ COST'!$E$4)*1</f>
        <v>0.36401500000000009</v>
      </c>
      <c r="I93" s="189">
        <f t="shared" si="172"/>
        <v>0</v>
      </c>
      <c r="J93" s="190">
        <f t="shared" ref="J93:U93" si="271">J94</f>
        <v>0</v>
      </c>
      <c r="K93" s="190">
        <f t="shared" si="271"/>
        <v>0.36401500000000009</v>
      </c>
      <c r="L93" s="190">
        <f t="shared" si="271"/>
        <v>0</v>
      </c>
      <c r="M93" s="190">
        <f t="shared" si="271"/>
        <v>0.36401500000000009</v>
      </c>
      <c r="N93" s="190">
        <f t="shared" si="271"/>
        <v>0</v>
      </c>
      <c r="O93" s="190">
        <f t="shared" si="271"/>
        <v>0</v>
      </c>
      <c r="P93" s="190"/>
      <c r="Q93" s="190">
        <f t="shared" si="271"/>
        <v>0</v>
      </c>
      <c r="R93" s="190">
        <f t="shared" si="271"/>
        <v>0</v>
      </c>
      <c r="S93" s="190">
        <f t="shared" si="271"/>
        <v>0</v>
      </c>
      <c r="T93" s="190">
        <f t="shared" si="271"/>
        <v>0</v>
      </c>
      <c r="U93" s="190">
        <f t="shared" si="271"/>
        <v>0</v>
      </c>
      <c r="V93" s="191"/>
      <c r="W93" s="339"/>
      <c r="X93" s="339"/>
      <c r="Y93" s="339"/>
      <c r="Z93" s="340"/>
      <c r="AA93" s="341"/>
      <c r="AB93" s="342"/>
      <c r="AC93" s="342"/>
      <c r="AD93" s="190"/>
      <c r="AE93" s="190"/>
      <c r="AF93" s="190"/>
      <c r="AG93" s="190"/>
      <c r="AH93" s="190"/>
      <c r="AI93" s="342"/>
      <c r="AJ93" s="190"/>
      <c r="AK93" s="190"/>
      <c r="AL93" s="190"/>
      <c r="AM93" s="190"/>
      <c r="AN93" s="342"/>
      <c r="AO93" s="342"/>
      <c r="AP93" s="188">
        <v>0.05</v>
      </c>
      <c r="AQ93" s="188"/>
      <c r="AR93" s="453">
        <f>AP93*(3%*'BOQ COST'!$F$4)*1</f>
        <v>0.13539555</v>
      </c>
      <c r="AS93" s="189">
        <f t="shared" si="176"/>
        <v>0</v>
      </c>
      <c r="AT93" s="190">
        <f>AT94</f>
        <v>0</v>
      </c>
      <c r="AU93" s="190">
        <f>AU94</f>
        <v>0.13539555</v>
      </c>
      <c r="AV93" s="190"/>
      <c r="AW93" s="190">
        <f>AR93</f>
        <v>0.13539555</v>
      </c>
      <c r="AX93" s="190"/>
      <c r="AY93" s="190"/>
      <c r="AZ93" s="190"/>
      <c r="BA93" s="190">
        <f t="shared" ref="BA93:BE93" si="272">BA94</f>
        <v>0</v>
      </c>
      <c r="BB93" s="190">
        <f t="shared" si="272"/>
        <v>0</v>
      </c>
      <c r="BC93" s="190">
        <f t="shared" si="272"/>
        <v>0</v>
      </c>
      <c r="BD93" s="190">
        <f t="shared" si="272"/>
        <v>0</v>
      </c>
      <c r="BE93" s="190">
        <f t="shared" si="272"/>
        <v>0</v>
      </c>
      <c r="BF93" s="191"/>
      <c r="BG93" s="339"/>
      <c r="BH93" s="339"/>
      <c r="BI93" s="339"/>
      <c r="BJ93" s="340"/>
      <c r="BK93" s="341"/>
      <c r="BL93" s="342"/>
      <c r="BM93" s="342"/>
      <c r="BN93" s="190"/>
      <c r="BO93" s="190"/>
      <c r="BP93" s="190"/>
      <c r="BQ93" s="190"/>
      <c r="BR93" s="190"/>
      <c r="BS93" s="342"/>
      <c r="BT93" s="190"/>
      <c r="BU93" s="190"/>
      <c r="BV93" s="190"/>
      <c r="BW93" s="190"/>
      <c r="BX93" s="188"/>
      <c r="BY93" s="188"/>
      <c r="BZ93" s="188">
        <v>0.05</v>
      </c>
      <c r="CA93" s="188"/>
      <c r="CB93" s="453">
        <f>BZ93*(2%*'BOQ COST'!$G$4)*1</f>
        <v>4.7460086382525211E-2</v>
      </c>
      <c r="CC93" s="189">
        <f t="shared" si="178"/>
        <v>0</v>
      </c>
      <c r="CD93" s="190">
        <f>CD94</f>
        <v>0</v>
      </c>
      <c r="CE93" s="190">
        <f>CE94</f>
        <v>4.7460086382525211E-2</v>
      </c>
      <c r="CF93" s="190"/>
      <c r="CG93" s="190">
        <f>CB93</f>
        <v>4.7460086382525211E-2</v>
      </c>
      <c r="CH93" s="190"/>
      <c r="CI93" s="190"/>
      <c r="CJ93" s="190"/>
      <c r="CK93" s="477">
        <f t="shared" ref="CK93:CO93" si="273">CK94</f>
        <v>0</v>
      </c>
      <c r="CL93" s="477">
        <f t="shared" si="273"/>
        <v>0</v>
      </c>
      <c r="CM93" s="477">
        <f t="shared" si="273"/>
        <v>0</v>
      </c>
      <c r="CN93" s="477">
        <f t="shared" si="273"/>
        <v>0</v>
      </c>
      <c r="CO93" s="477">
        <f t="shared" si="273"/>
        <v>0</v>
      </c>
      <c r="CP93" s="191"/>
      <c r="CQ93" s="339"/>
      <c r="CR93" s="339"/>
      <c r="CS93" s="339"/>
      <c r="CT93" s="340"/>
      <c r="CU93" s="341"/>
      <c r="CV93" s="342"/>
      <c r="CW93" s="342"/>
      <c r="CX93" s="190"/>
      <c r="CY93" s="190"/>
      <c r="CZ93" s="190"/>
      <c r="DA93" s="190"/>
      <c r="DB93" s="190"/>
      <c r="DC93" s="342"/>
      <c r="DD93" s="190"/>
      <c r="DE93" s="190"/>
      <c r="DF93" s="190"/>
      <c r="DG93" s="190"/>
      <c r="DH93" s="188"/>
      <c r="DI93" s="188"/>
      <c r="DJ93" s="188">
        <v>0.05</v>
      </c>
      <c r="DK93" s="188"/>
      <c r="DL93" s="453">
        <f>DJ93*(7%*'BOQ COST'!$H$4)*1</f>
        <v>3.6697500000000003E-3</v>
      </c>
      <c r="DM93" s="189">
        <f t="shared" si="184"/>
        <v>0</v>
      </c>
      <c r="DN93" s="151">
        <f>DN94</f>
        <v>0</v>
      </c>
      <c r="DO93" s="190">
        <f>DO94</f>
        <v>3.6697500000000003E-3</v>
      </c>
      <c r="DP93" s="151"/>
      <c r="DQ93" s="190">
        <f>DL93</f>
        <v>3.6697500000000003E-3</v>
      </c>
      <c r="DR93" s="151"/>
      <c r="DS93" s="151"/>
      <c r="DT93" s="151"/>
      <c r="DU93" s="190">
        <f t="shared" ref="DU93:DY93" si="274">DU94</f>
        <v>0</v>
      </c>
      <c r="DV93" s="190">
        <f t="shared" si="274"/>
        <v>0</v>
      </c>
      <c r="DW93" s="190">
        <f t="shared" si="274"/>
        <v>0</v>
      </c>
      <c r="DX93" s="190">
        <f t="shared" si="274"/>
        <v>0</v>
      </c>
      <c r="DY93" s="190">
        <f t="shared" si="274"/>
        <v>0</v>
      </c>
      <c r="DZ93" s="157"/>
      <c r="EA93" s="158"/>
      <c r="EB93" s="158"/>
      <c r="EC93" s="158"/>
      <c r="ED93" s="159"/>
      <c r="EE93" s="152"/>
      <c r="EF93" s="152"/>
      <c r="EG93" s="152"/>
      <c r="EH93" s="151"/>
      <c r="EI93" s="151"/>
      <c r="EJ93" s="151"/>
      <c r="EK93" s="151"/>
      <c r="EL93" s="151"/>
      <c r="EM93" s="152"/>
      <c r="EN93" s="151"/>
      <c r="EO93" s="151"/>
      <c r="EP93" s="151"/>
      <c r="EQ93" s="151"/>
      <c r="ER93" s="112"/>
      <c r="ES93" s="112"/>
      <c r="ET93" s="112"/>
    </row>
    <row r="94" spans="1:150" ht="11.85" customHeight="1" outlineLevel="2">
      <c r="A94" s="112"/>
      <c r="B94" s="162">
        <v>1</v>
      </c>
      <c r="C94" s="162">
        <v>1</v>
      </c>
      <c r="D94" s="114" t="s">
        <v>97</v>
      </c>
      <c r="E94" s="114"/>
      <c r="F94" s="197">
        <v>0.05</v>
      </c>
      <c r="G94" s="194"/>
      <c r="H94" s="395">
        <f>H93</f>
        <v>0.36401500000000009</v>
      </c>
      <c r="I94" s="328">
        <f t="shared" si="172"/>
        <v>0</v>
      </c>
      <c r="J94" s="343">
        <f>IFERROR(IF(W94=100%,H94,0),0)</f>
        <v>0</v>
      </c>
      <c r="K94" s="343">
        <f>H94</f>
        <v>0.36401500000000009</v>
      </c>
      <c r="L94" s="343"/>
      <c r="M94" s="343">
        <f>H94</f>
        <v>0.36401500000000009</v>
      </c>
      <c r="N94" s="343"/>
      <c r="O94" s="343"/>
      <c r="P94" s="343"/>
      <c r="Q94" s="343">
        <f>IFERROR(IF(AND((AB94+AC94)=100%,AB94&lt;1),N94,0),0)</f>
        <v>0</v>
      </c>
      <c r="R94" s="343"/>
      <c r="S94" s="343"/>
      <c r="T94" s="343"/>
      <c r="U94" s="343"/>
      <c r="V94" s="195"/>
      <c r="W94" s="344">
        <f>IFERROR(AB94/AA94,0)</f>
        <v>0</v>
      </c>
      <c r="X94" s="344">
        <f>IFERROR(AC94/AA94,0)</f>
        <v>0</v>
      </c>
      <c r="Y94" s="344">
        <f>IFERROR(#REF!/AA94,0)</f>
        <v>0</v>
      </c>
      <c r="Z94" s="346"/>
      <c r="AA94" s="355"/>
      <c r="AB94" s="355"/>
      <c r="AC94" s="355"/>
      <c r="AD94" s="343"/>
      <c r="AE94" s="343"/>
      <c r="AF94" s="343"/>
      <c r="AG94" s="343"/>
      <c r="AH94" s="343"/>
      <c r="AI94" s="355"/>
      <c r="AJ94" s="343"/>
      <c r="AK94" s="343"/>
      <c r="AL94" s="343"/>
      <c r="AM94" s="343"/>
      <c r="AN94" s="355"/>
      <c r="AO94" s="355"/>
      <c r="AP94" s="196">
        <v>0.05</v>
      </c>
      <c r="AQ94" s="194"/>
      <c r="AR94" s="454">
        <f>AR93</f>
        <v>0.13539555</v>
      </c>
      <c r="AS94" s="328">
        <f t="shared" si="176"/>
        <v>0</v>
      </c>
      <c r="AT94" s="343">
        <f>IFERROR(IF(BG94=100%,AR94,0),0)</f>
        <v>0</v>
      </c>
      <c r="AU94" s="343">
        <f>AR94</f>
        <v>0.13539555</v>
      </c>
      <c r="AV94" s="343"/>
      <c r="AW94" s="343">
        <f>AR94</f>
        <v>0.13539555</v>
      </c>
      <c r="AX94" s="343"/>
      <c r="AY94" s="343"/>
      <c r="AZ94" s="343"/>
      <c r="BA94" s="343">
        <f>IFERROR(IF(AND((BL94+BM94)=100%,BL94&lt;1),AX94,0),0)</f>
        <v>0</v>
      </c>
      <c r="BB94" s="343"/>
      <c r="BC94" s="343"/>
      <c r="BD94" s="343"/>
      <c r="BE94" s="343"/>
      <c r="BF94" s="195"/>
      <c r="BG94" s="344">
        <f>IFERROR(BL94/BK94,0)</f>
        <v>0</v>
      </c>
      <c r="BH94" s="344">
        <f>IFERROR(BM94/BK94,0)</f>
        <v>0</v>
      </c>
      <c r="BI94" s="344">
        <f>IFERROR(#REF!/BK94,0)</f>
        <v>0</v>
      </c>
      <c r="BJ94" s="346"/>
      <c r="BK94" s="355"/>
      <c r="BL94" s="355"/>
      <c r="BM94" s="355"/>
      <c r="BN94" s="343"/>
      <c r="BO94" s="343"/>
      <c r="BP94" s="343"/>
      <c r="BQ94" s="343"/>
      <c r="BR94" s="343"/>
      <c r="BS94" s="355"/>
      <c r="BT94" s="343"/>
      <c r="BU94" s="343"/>
      <c r="BV94" s="343"/>
      <c r="BW94" s="343"/>
      <c r="BX94" s="194"/>
      <c r="BY94" s="194"/>
      <c r="BZ94" s="197">
        <v>0.05</v>
      </c>
      <c r="CA94" s="194"/>
      <c r="CB94" s="454">
        <f>CB93</f>
        <v>4.7460086382525211E-2</v>
      </c>
      <c r="CC94" s="328">
        <f t="shared" si="178"/>
        <v>0</v>
      </c>
      <c r="CD94" s="343">
        <f>IFERROR(IF(CQ94=100%,CB94,0),0)</f>
        <v>0</v>
      </c>
      <c r="CE94" s="343">
        <f>CB94</f>
        <v>4.7460086382525211E-2</v>
      </c>
      <c r="CF94" s="343"/>
      <c r="CG94" s="343">
        <f>CB94</f>
        <v>4.7460086382525211E-2</v>
      </c>
      <c r="CH94" s="343"/>
      <c r="CI94" s="343"/>
      <c r="CJ94" s="343"/>
      <c r="CK94" s="478">
        <f>IFERROR(IF(AND((CV94+CW94)=100%,CV94&lt;1),CH94,0),0)</f>
        <v>0</v>
      </c>
      <c r="CL94" s="478"/>
      <c r="CM94" s="478"/>
      <c r="CN94" s="478"/>
      <c r="CO94" s="478"/>
      <c r="CP94" s="195"/>
      <c r="CQ94" s="344">
        <f>IFERROR(CV94/CU94,0)</f>
        <v>0</v>
      </c>
      <c r="CR94" s="344">
        <f>IFERROR(CW94/CU94,0)</f>
        <v>0</v>
      </c>
      <c r="CS94" s="344">
        <f>IFERROR(#REF!/CU94,0)</f>
        <v>0</v>
      </c>
      <c r="CT94" s="346"/>
      <c r="CU94" s="355"/>
      <c r="CV94" s="355"/>
      <c r="CW94" s="355"/>
      <c r="CX94" s="343"/>
      <c r="CY94" s="343"/>
      <c r="CZ94" s="343"/>
      <c r="DA94" s="343"/>
      <c r="DB94" s="343"/>
      <c r="DC94" s="355"/>
      <c r="DD94" s="343"/>
      <c r="DE94" s="343"/>
      <c r="DF94" s="343"/>
      <c r="DG94" s="343"/>
      <c r="DH94" s="194"/>
      <c r="DI94" s="194"/>
      <c r="DJ94" s="196">
        <v>0.05</v>
      </c>
      <c r="DK94" s="194"/>
      <c r="DL94" s="454">
        <f>DL93</f>
        <v>3.6697500000000003E-3</v>
      </c>
      <c r="DM94" s="328">
        <f t="shared" si="184"/>
        <v>0</v>
      </c>
      <c r="DN94" s="154">
        <f>IFERROR(IF(EA94=100%,DL94,0),0)</f>
        <v>0</v>
      </c>
      <c r="DO94" s="343">
        <f>DL94</f>
        <v>3.6697500000000003E-3</v>
      </c>
      <c r="DP94" s="154"/>
      <c r="DQ94" s="343">
        <f>DL94</f>
        <v>3.6697500000000003E-3</v>
      </c>
      <c r="DR94" s="154"/>
      <c r="DS94" s="154"/>
      <c r="DT94" s="154"/>
      <c r="DU94" s="343">
        <f>IFERROR(IF(AND((EF94+EG94)=100%,EF94&lt;1),DR94,0),0)</f>
        <v>0</v>
      </c>
      <c r="DV94" s="343"/>
      <c r="DW94" s="343"/>
      <c r="DX94" s="343"/>
      <c r="DY94" s="343"/>
      <c r="DZ94" s="155"/>
      <c r="EA94" s="156">
        <f>IFERROR(EF94/EE94,0)</f>
        <v>0</v>
      </c>
      <c r="EB94" s="156">
        <f>IFERROR(EG94/EE94,0)</f>
        <v>0</v>
      </c>
      <c r="EC94" s="156">
        <f>IFERROR(#REF!/EE94,0)</f>
        <v>0</v>
      </c>
      <c r="ED94" s="120"/>
      <c r="EE94" s="121"/>
      <c r="EF94" s="121"/>
      <c r="EG94" s="121"/>
      <c r="EH94" s="154"/>
      <c r="EI94" s="154"/>
      <c r="EJ94" s="154"/>
      <c r="EK94" s="154"/>
      <c r="EL94" s="154"/>
      <c r="EM94" s="121"/>
      <c r="EN94" s="154"/>
      <c r="EO94" s="154"/>
      <c r="EP94" s="154"/>
      <c r="EQ94" s="154"/>
      <c r="ER94" s="114"/>
      <c r="ES94" s="112"/>
      <c r="ET94" s="112"/>
    </row>
    <row r="95" spans="1:150" ht="3" customHeight="1">
      <c r="A95" s="112"/>
      <c r="B95" s="113"/>
      <c r="C95" s="113"/>
      <c r="D95" s="114"/>
      <c r="E95" s="112"/>
      <c r="F95" s="327"/>
      <c r="G95" s="358"/>
      <c r="H95" s="328"/>
      <c r="I95" s="32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7"/>
      <c r="W95" s="348"/>
      <c r="X95" s="348"/>
      <c r="Y95" s="348"/>
      <c r="Z95" s="346"/>
      <c r="AA95" s="355"/>
      <c r="AB95" s="355"/>
      <c r="AC95" s="355"/>
      <c r="AD95" s="348"/>
      <c r="AE95" s="348"/>
      <c r="AF95" s="348"/>
      <c r="AG95" s="348"/>
      <c r="AH95" s="348"/>
      <c r="AI95" s="355"/>
      <c r="AJ95" s="348"/>
      <c r="AK95" s="348"/>
      <c r="AL95" s="348"/>
      <c r="AM95" s="348"/>
      <c r="AN95" s="355"/>
      <c r="AO95" s="355"/>
      <c r="AP95" s="359"/>
      <c r="AQ95" s="358"/>
      <c r="AR95" s="332"/>
      <c r="AS95" s="328"/>
      <c r="AT95" s="348"/>
      <c r="AU95" s="348"/>
      <c r="AV95" s="348"/>
      <c r="AW95" s="348"/>
      <c r="AX95" s="348"/>
      <c r="AY95" s="348"/>
      <c r="AZ95" s="348"/>
      <c r="BA95" s="348"/>
      <c r="BB95" s="348"/>
      <c r="BC95" s="348"/>
      <c r="BD95" s="348"/>
      <c r="BE95" s="348"/>
      <c r="BF95" s="347"/>
      <c r="BG95" s="348"/>
      <c r="BH95" s="348"/>
      <c r="BI95" s="348"/>
      <c r="BJ95" s="346"/>
      <c r="BK95" s="355"/>
      <c r="BL95" s="355"/>
      <c r="BM95" s="355"/>
      <c r="BN95" s="348"/>
      <c r="BO95" s="348"/>
      <c r="BP95" s="348"/>
      <c r="BQ95" s="348"/>
      <c r="BR95" s="348"/>
      <c r="BS95" s="355"/>
      <c r="BT95" s="348"/>
      <c r="BU95" s="348"/>
      <c r="BV95" s="348"/>
      <c r="BW95" s="348"/>
      <c r="BX95" s="358"/>
      <c r="BY95" s="358"/>
      <c r="BZ95" s="359"/>
      <c r="CA95" s="358"/>
      <c r="CB95" s="332"/>
      <c r="CC95" s="328"/>
      <c r="CD95" s="348"/>
      <c r="CE95" s="348"/>
      <c r="CF95" s="348"/>
      <c r="CG95" s="348"/>
      <c r="CH95" s="348"/>
      <c r="CI95" s="348"/>
      <c r="CJ95" s="348"/>
      <c r="CK95" s="480"/>
      <c r="CL95" s="480"/>
      <c r="CM95" s="480"/>
      <c r="CN95" s="480"/>
      <c r="CO95" s="480"/>
      <c r="CP95" s="347"/>
      <c r="CQ95" s="348"/>
      <c r="CR95" s="348"/>
      <c r="CS95" s="348"/>
      <c r="CT95" s="346"/>
      <c r="CU95" s="355"/>
      <c r="CV95" s="355"/>
      <c r="CW95" s="355"/>
      <c r="CX95" s="348"/>
      <c r="CY95" s="348"/>
      <c r="CZ95" s="348"/>
      <c r="DA95" s="348"/>
      <c r="DB95" s="348"/>
      <c r="DC95" s="355"/>
      <c r="DD95" s="348"/>
      <c r="DE95" s="348"/>
      <c r="DF95" s="348"/>
      <c r="DG95" s="348"/>
      <c r="DH95" s="358"/>
      <c r="DI95" s="358"/>
      <c r="DJ95" s="327"/>
      <c r="DK95" s="358"/>
      <c r="DL95" s="332"/>
      <c r="DM95" s="328"/>
      <c r="DN95" s="118"/>
      <c r="DO95" s="118"/>
      <c r="DP95" s="118"/>
      <c r="DQ95" s="118"/>
      <c r="DR95" s="118"/>
      <c r="DS95" s="118"/>
      <c r="DT95" s="118"/>
      <c r="DU95" s="348"/>
      <c r="DV95" s="348"/>
      <c r="DW95" s="348"/>
      <c r="DX95" s="348"/>
      <c r="DY95" s="348"/>
      <c r="DZ95" s="119"/>
      <c r="EA95" s="118"/>
      <c r="EB95" s="118"/>
      <c r="EC95" s="118"/>
      <c r="ED95" s="120"/>
      <c r="EE95" s="121"/>
      <c r="EF95" s="121"/>
      <c r="EG95" s="121"/>
      <c r="EH95" s="118"/>
      <c r="EI95" s="118"/>
      <c r="EJ95" s="118"/>
      <c r="EK95" s="118"/>
      <c r="EL95" s="118"/>
      <c r="EM95" s="121"/>
      <c r="EN95" s="118"/>
      <c r="EO95" s="118"/>
      <c r="EP95" s="118"/>
      <c r="EQ95" s="118"/>
      <c r="ER95" s="112"/>
      <c r="ES95" s="112"/>
      <c r="ET95" s="112"/>
    </row>
    <row r="96" spans="1:150" s="172" customFormat="1" ht="11.85" customHeight="1">
      <c r="A96" s="166"/>
      <c r="B96" s="137"/>
      <c r="C96" s="137"/>
      <c r="D96" s="167"/>
      <c r="E96" s="168"/>
      <c r="F96" s="169"/>
      <c r="G96" s="169"/>
      <c r="H96" s="170"/>
      <c r="I96" s="170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71"/>
      <c r="AS96" s="170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69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71"/>
      <c r="CC96" s="170"/>
      <c r="CD96" s="169"/>
      <c r="CE96" s="169"/>
      <c r="CF96" s="169"/>
      <c r="CG96" s="169"/>
      <c r="CH96" s="169"/>
      <c r="CI96" s="169"/>
      <c r="CJ96" s="169"/>
      <c r="CK96" s="481"/>
      <c r="CL96" s="481"/>
      <c r="CM96" s="481"/>
      <c r="CN96" s="481"/>
      <c r="CO96" s="481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  <c r="DG96" s="169"/>
      <c r="DH96" s="169"/>
      <c r="DI96" s="169"/>
      <c r="DJ96" s="169"/>
      <c r="DK96" s="169"/>
      <c r="DL96" s="171"/>
      <c r="DM96" s="170"/>
      <c r="DN96" s="169"/>
      <c r="DO96" s="169"/>
      <c r="DP96" s="169"/>
      <c r="DQ96" s="169"/>
      <c r="DR96" s="169"/>
      <c r="DS96" s="169"/>
      <c r="DT96" s="169"/>
      <c r="DU96" s="169"/>
      <c r="DV96" s="169"/>
      <c r="DW96" s="169"/>
      <c r="DX96" s="169"/>
      <c r="DY96" s="169"/>
      <c r="DZ96" s="169"/>
      <c r="EA96" s="169"/>
      <c r="EB96" s="169"/>
      <c r="EC96" s="169"/>
      <c r="ED96" s="169"/>
      <c r="EE96" s="169"/>
      <c r="EF96" s="169"/>
      <c r="EG96" s="169"/>
      <c r="EH96" s="169"/>
      <c r="EI96" s="169"/>
      <c r="EJ96" s="169"/>
      <c r="EK96" s="169"/>
      <c r="EL96" s="169"/>
      <c r="EM96" s="169"/>
      <c r="EN96" s="169"/>
      <c r="EO96" s="169"/>
      <c r="EP96" s="169"/>
      <c r="EQ96" s="169"/>
      <c r="ER96" s="169"/>
      <c r="ES96" s="169"/>
      <c r="ET96" s="166"/>
    </row>
    <row r="97" spans="1:150" ht="3" customHeight="1">
      <c r="A97" s="112"/>
      <c r="B97" s="113"/>
      <c r="C97" s="113"/>
      <c r="D97" s="114"/>
      <c r="E97" s="112"/>
      <c r="F97" s="115"/>
      <c r="G97" s="116"/>
      <c r="H97" s="117"/>
      <c r="I97" s="117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9"/>
      <c r="W97" s="118"/>
      <c r="X97" s="118"/>
      <c r="Y97" s="118"/>
      <c r="Z97" s="120"/>
      <c r="AA97" s="121"/>
      <c r="AB97" s="121"/>
      <c r="AC97" s="121"/>
      <c r="AD97" s="118"/>
      <c r="AE97" s="118"/>
      <c r="AF97" s="118"/>
      <c r="AG97" s="118"/>
      <c r="AH97" s="118"/>
      <c r="AI97" s="121"/>
      <c r="AJ97" s="118"/>
      <c r="AK97" s="118"/>
      <c r="AL97" s="118"/>
      <c r="AM97" s="118"/>
      <c r="AN97" s="121"/>
      <c r="AO97" s="121"/>
      <c r="AP97" s="122"/>
      <c r="AQ97" s="116"/>
      <c r="AR97" s="123"/>
      <c r="AS97" s="117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  <c r="BE97" s="118"/>
      <c r="BF97" s="119"/>
      <c r="BG97" s="118"/>
      <c r="BH97" s="118"/>
      <c r="BI97" s="118"/>
      <c r="BJ97" s="120"/>
      <c r="BK97" s="121"/>
      <c r="BL97" s="121"/>
      <c r="BM97" s="121"/>
      <c r="BN97" s="118"/>
      <c r="BO97" s="118"/>
      <c r="BP97" s="118"/>
      <c r="BQ97" s="118"/>
      <c r="BR97" s="118"/>
      <c r="BS97" s="121"/>
      <c r="BT97" s="118"/>
      <c r="BU97" s="118"/>
      <c r="BV97" s="118"/>
      <c r="BW97" s="118"/>
      <c r="BX97" s="116"/>
      <c r="BY97" s="116"/>
      <c r="BZ97" s="122"/>
      <c r="CA97" s="116"/>
      <c r="CB97" s="123"/>
      <c r="CC97" s="117"/>
      <c r="CD97" s="118"/>
      <c r="CE97" s="118"/>
      <c r="CF97" s="118"/>
      <c r="CG97" s="118"/>
      <c r="CH97" s="118"/>
      <c r="CI97" s="118"/>
      <c r="CJ97" s="118"/>
      <c r="CK97" s="482"/>
      <c r="CL97" s="482"/>
      <c r="CM97" s="482"/>
      <c r="CN97" s="482"/>
      <c r="CO97" s="482"/>
      <c r="CP97" s="119"/>
      <c r="CQ97" s="118"/>
      <c r="CR97" s="118"/>
      <c r="CS97" s="118"/>
      <c r="CT97" s="120"/>
      <c r="CU97" s="121"/>
      <c r="CV97" s="121"/>
      <c r="CW97" s="121"/>
      <c r="CX97" s="118"/>
      <c r="CY97" s="118"/>
      <c r="CZ97" s="118"/>
      <c r="DA97" s="118"/>
      <c r="DB97" s="118"/>
      <c r="DC97" s="121"/>
      <c r="DD97" s="118"/>
      <c r="DE97" s="118"/>
      <c r="DF97" s="118"/>
      <c r="DG97" s="118"/>
      <c r="DH97" s="116"/>
      <c r="DI97" s="116"/>
      <c r="DJ97" s="115"/>
      <c r="DK97" s="116"/>
      <c r="DL97" s="123"/>
      <c r="DM97" s="117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9"/>
      <c r="EA97" s="118"/>
      <c r="EB97" s="118"/>
      <c r="EC97" s="118"/>
      <c r="ED97" s="120"/>
      <c r="EE97" s="121"/>
      <c r="EF97" s="121"/>
      <c r="EG97" s="121"/>
      <c r="EH97" s="118"/>
      <c r="EI97" s="118"/>
      <c r="EJ97" s="118"/>
      <c r="EK97" s="118"/>
      <c r="EL97" s="118"/>
      <c r="EM97" s="121"/>
      <c r="EN97" s="118"/>
      <c r="EO97" s="118"/>
      <c r="EP97" s="118"/>
      <c r="EQ97" s="118"/>
      <c r="ER97" s="112"/>
      <c r="ES97" s="112"/>
      <c r="ET97" s="112"/>
    </row>
    <row r="98" spans="1:150" s="172" customFormat="1" ht="11.85" customHeight="1">
      <c r="B98" s="173"/>
      <c r="C98" s="173"/>
      <c r="D98" s="91"/>
      <c r="E98" s="92"/>
      <c r="F98" s="174"/>
      <c r="G98" s="93"/>
      <c r="H98" s="175"/>
      <c r="I98" s="175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7"/>
      <c r="W98" s="176"/>
      <c r="X98" s="176"/>
      <c r="Y98" s="176"/>
      <c r="Z98" s="178"/>
      <c r="AA98" s="179"/>
      <c r="AB98" s="179"/>
      <c r="AC98" s="179"/>
      <c r="AD98" s="176"/>
      <c r="AE98" s="176"/>
      <c r="AF98" s="176"/>
      <c r="AG98" s="176"/>
      <c r="AH98" s="176"/>
      <c r="AI98" s="179"/>
      <c r="AJ98" s="176"/>
      <c r="AK98" s="176"/>
      <c r="AL98" s="176"/>
      <c r="AM98" s="176"/>
      <c r="AN98" s="179"/>
      <c r="AO98" s="179"/>
      <c r="AP98" s="180"/>
      <c r="AQ98" s="93"/>
      <c r="AR98" s="181"/>
      <c r="AS98" s="175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7"/>
      <c r="BG98" s="176"/>
      <c r="BH98" s="176"/>
      <c r="BI98" s="176"/>
      <c r="BJ98" s="178"/>
      <c r="BK98" s="179"/>
      <c r="BL98" s="179"/>
      <c r="BM98" s="179"/>
      <c r="BN98" s="176"/>
      <c r="BO98" s="176"/>
      <c r="BP98" s="176"/>
      <c r="BQ98" s="176"/>
      <c r="BR98" s="176"/>
      <c r="BS98" s="179"/>
      <c r="BT98" s="176"/>
      <c r="BU98" s="176"/>
      <c r="BV98" s="176"/>
      <c r="BW98" s="176"/>
      <c r="BX98" s="93"/>
      <c r="BY98" s="93"/>
      <c r="BZ98" s="180"/>
      <c r="CA98" s="93"/>
      <c r="CB98" s="181"/>
      <c r="CC98" s="175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7"/>
      <c r="CQ98" s="176"/>
      <c r="CR98" s="176"/>
      <c r="CS98" s="176"/>
      <c r="CT98" s="178"/>
      <c r="CU98" s="179"/>
      <c r="CV98" s="179"/>
      <c r="CW98" s="179"/>
      <c r="CX98" s="176"/>
      <c r="CY98" s="176"/>
      <c r="CZ98" s="176"/>
      <c r="DA98" s="176"/>
      <c r="DB98" s="176"/>
      <c r="DC98" s="179"/>
      <c r="DD98" s="176"/>
      <c r="DE98" s="176"/>
      <c r="DF98" s="176"/>
      <c r="DG98" s="176"/>
      <c r="DH98" s="93"/>
      <c r="DI98" s="93"/>
      <c r="DJ98" s="174"/>
      <c r="DK98" s="93"/>
      <c r="DL98" s="181"/>
      <c r="DM98" s="175"/>
      <c r="DN98" s="176"/>
      <c r="DO98" s="176"/>
      <c r="DP98" s="176"/>
      <c r="DQ98" s="176"/>
      <c r="DR98" s="176"/>
      <c r="DS98" s="176"/>
      <c r="DT98" s="176"/>
      <c r="DU98" s="176"/>
      <c r="DV98" s="176"/>
      <c r="DW98" s="176"/>
      <c r="DX98" s="176"/>
      <c r="DY98" s="176"/>
      <c r="DZ98" s="177"/>
      <c r="EA98" s="176"/>
      <c r="EB98" s="176"/>
      <c r="EC98" s="176"/>
      <c r="ED98" s="178"/>
      <c r="EE98" s="179"/>
      <c r="EF98" s="179"/>
      <c r="EG98" s="179"/>
      <c r="EH98" s="176"/>
      <c r="EI98" s="176"/>
      <c r="EJ98" s="176"/>
      <c r="EK98" s="176"/>
      <c r="EL98" s="176"/>
      <c r="EM98" s="179"/>
      <c r="EN98" s="176"/>
      <c r="EO98" s="176"/>
      <c r="EP98" s="176"/>
      <c r="EQ98" s="176"/>
      <c r="ER98" s="92"/>
    </row>
    <row r="99" spans="1:150" s="172" customFormat="1" ht="11.85" customHeight="1">
      <c r="B99" s="173"/>
      <c r="C99" s="173"/>
      <c r="D99" s="91"/>
      <c r="E99" s="92"/>
      <c r="F99" s="174"/>
      <c r="G99" s="93"/>
      <c r="H99" s="175"/>
      <c r="I99" s="175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7"/>
      <c r="W99" s="176"/>
      <c r="X99" s="176"/>
      <c r="Y99" s="176"/>
      <c r="Z99" s="178"/>
      <c r="AA99" s="179"/>
      <c r="AB99" s="179"/>
      <c r="AC99" s="179"/>
      <c r="AD99" s="176"/>
      <c r="AE99" s="176"/>
      <c r="AF99" s="176"/>
      <c r="AG99" s="176"/>
      <c r="AH99" s="176"/>
      <c r="AI99" s="179"/>
      <c r="AJ99" s="176"/>
      <c r="AK99" s="176"/>
      <c r="AL99" s="176"/>
      <c r="AM99" s="176"/>
      <c r="AN99" s="179"/>
      <c r="AO99" s="179"/>
      <c r="AP99" s="180"/>
      <c r="AQ99" s="93"/>
      <c r="AR99" s="181"/>
      <c r="AS99" s="175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7"/>
      <c r="BG99" s="176"/>
      <c r="BH99" s="176"/>
      <c r="BI99" s="176"/>
      <c r="BJ99" s="178"/>
      <c r="BK99" s="179"/>
      <c r="BL99" s="179"/>
      <c r="BM99" s="179"/>
      <c r="BN99" s="176"/>
      <c r="BO99" s="176"/>
      <c r="BP99" s="176"/>
      <c r="BQ99" s="176"/>
      <c r="BR99" s="176"/>
      <c r="BS99" s="179"/>
      <c r="BT99" s="176"/>
      <c r="BU99" s="176"/>
      <c r="BV99" s="176"/>
      <c r="BW99" s="176"/>
      <c r="BX99" s="93"/>
      <c r="BY99" s="93"/>
      <c r="BZ99" s="180"/>
      <c r="CA99" s="93"/>
      <c r="CB99" s="181"/>
      <c r="CC99" s="175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7"/>
      <c r="CQ99" s="176"/>
      <c r="CR99" s="176"/>
      <c r="CS99" s="176"/>
      <c r="CT99" s="178"/>
      <c r="CU99" s="179"/>
      <c r="CV99" s="179"/>
      <c r="CW99" s="179"/>
      <c r="CX99" s="176"/>
      <c r="CY99" s="176"/>
      <c r="CZ99" s="176"/>
      <c r="DA99" s="176"/>
      <c r="DB99" s="176"/>
      <c r="DC99" s="179"/>
      <c r="DD99" s="176"/>
      <c r="DE99" s="176"/>
      <c r="DF99" s="176"/>
      <c r="DG99" s="176"/>
      <c r="DH99" s="93"/>
      <c r="DI99" s="93"/>
      <c r="DJ99" s="174"/>
      <c r="DK99" s="93"/>
      <c r="DL99" s="181"/>
      <c r="DM99" s="175"/>
      <c r="DN99" s="176"/>
      <c r="DO99" s="176"/>
      <c r="DP99" s="176"/>
      <c r="DQ99" s="176"/>
      <c r="DR99" s="176"/>
      <c r="DS99" s="176"/>
      <c r="DT99" s="176"/>
      <c r="DU99" s="176"/>
      <c r="DV99" s="176"/>
      <c r="DW99" s="176"/>
      <c r="DX99" s="176"/>
      <c r="DY99" s="176"/>
      <c r="DZ99" s="177"/>
      <c r="EA99" s="176"/>
      <c r="EB99" s="176"/>
      <c r="EC99" s="176"/>
      <c r="ED99" s="178"/>
      <c r="EE99" s="179"/>
      <c r="EF99" s="179"/>
      <c r="EG99" s="179"/>
      <c r="EH99" s="176"/>
      <c r="EI99" s="176"/>
      <c r="EJ99" s="176"/>
      <c r="EK99" s="176"/>
      <c r="EL99" s="176"/>
      <c r="EM99" s="179"/>
      <c r="EN99" s="176"/>
      <c r="EO99" s="176"/>
      <c r="EP99" s="176"/>
      <c r="EQ99" s="176"/>
      <c r="ER99" s="92"/>
    </row>
    <row r="100" spans="1:150" s="172" customFormat="1" ht="11.85" customHeight="1">
      <c r="B100" s="173"/>
      <c r="C100" s="173"/>
      <c r="D100" s="91"/>
      <c r="E100" s="92"/>
      <c r="F100" s="174"/>
      <c r="G100" s="93"/>
      <c r="H100" s="175"/>
      <c r="I100" s="175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7"/>
      <c r="W100" s="176"/>
      <c r="X100" s="176"/>
      <c r="Y100" s="176"/>
      <c r="Z100" s="178"/>
      <c r="AA100" s="179"/>
      <c r="AB100" s="179"/>
      <c r="AC100" s="179"/>
      <c r="AD100" s="176"/>
      <c r="AE100" s="176"/>
      <c r="AF100" s="176"/>
      <c r="AG100" s="176"/>
      <c r="AH100" s="176"/>
      <c r="AI100" s="179"/>
      <c r="AJ100" s="176"/>
      <c r="AK100" s="176"/>
      <c r="AL100" s="176"/>
      <c r="AM100" s="176"/>
      <c r="AN100" s="179"/>
      <c r="AO100" s="179"/>
      <c r="AP100" s="180"/>
      <c r="AQ100" s="93"/>
      <c r="AR100" s="181"/>
      <c r="AS100" s="175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7"/>
      <c r="BG100" s="176"/>
      <c r="BH100" s="176"/>
      <c r="BI100" s="176"/>
      <c r="BJ100" s="178"/>
      <c r="BK100" s="179"/>
      <c r="BL100" s="179"/>
      <c r="BM100" s="179"/>
      <c r="BN100" s="176"/>
      <c r="BO100" s="176"/>
      <c r="BP100" s="176"/>
      <c r="BQ100" s="176"/>
      <c r="BR100" s="176"/>
      <c r="BS100" s="179"/>
      <c r="BT100" s="176"/>
      <c r="BU100" s="176"/>
      <c r="BV100" s="176"/>
      <c r="BW100" s="176"/>
      <c r="BX100" s="93"/>
      <c r="BY100" s="93"/>
      <c r="BZ100" s="180"/>
      <c r="CA100" s="93"/>
      <c r="CB100" s="181"/>
      <c r="CC100" s="175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7"/>
      <c r="CQ100" s="176"/>
      <c r="CR100" s="176"/>
      <c r="CS100" s="176"/>
      <c r="CT100" s="178"/>
      <c r="CU100" s="179"/>
      <c r="CV100" s="179"/>
      <c r="CW100" s="179"/>
      <c r="CX100" s="176"/>
      <c r="CY100" s="176"/>
      <c r="CZ100" s="176"/>
      <c r="DA100" s="176"/>
      <c r="DB100" s="176"/>
      <c r="DC100" s="179"/>
      <c r="DD100" s="176"/>
      <c r="DE100" s="176"/>
      <c r="DF100" s="176"/>
      <c r="DG100" s="176"/>
      <c r="DH100" s="93"/>
      <c r="DI100" s="93"/>
      <c r="DJ100" s="174"/>
      <c r="DK100" s="93"/>
      <c r="DL100" s="181"/>
      <c r="DM100" s="175"/>
      <c r="DN100" s="176"/>
      <c r="DO100" s="176"/>
      <c r="DP100" s="176"/>
      <c r="DQ100" s="176"/>
      <c r="DR100" s="176"/>
      <c r="DS100" s="176"/>
      <c r="DT100" s="176"/>
      <c r="DU100" s="176"/>
      <c r="DV100" s="176"/>
      <c r="DW100" s="176"/>
      <c r="DX100" s="176"/>
      <c r="DY100" s="176"/>
      <c r="DZ100" s="177"/>
      <c r="EA100" s="176"/>
      <c r="EB100" s="176"/>
      <c r="EC100" s="176"/>
      <c r="ED100" s="178"/>
      <c r="EE100" s="179"/>
      <c r="EF100" s="179"/>
      <c r="EG100" s="179"/>
      <c r="EH100" s="176"/>
      <c r="EI100" s="176"/>
      <c r="EJ100" s="176"/>
      <c r="EK100" s="176"/>
      <c r="EL100" s="176"/>
      <c r="EM100" s="179"/>
      <c r="EN100" s="176"/>
      <c r="EO100" s="176"/>
      <c r="EP100" s="176"/>
      <c r="EQ100" s="176"/>
      <c r="ER100" s="92"/>
    </row>
    <row r="101" spans="1:150" s="172" customFormat="1" ht="11.85" customHeight="1">
      <c r="B101" s="173"/>
      <c r="C101" s="173"/>
      <c r="D101" s="91"/>
      <c r="E101" s="92"/>
      <c r="F101" s="174"/>
      <c r="G101" s="93"/>
      <c r="H101" s="175"/>
      <c r="I101" s="175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7"/>
      <c r="W101" s="176"/>
      <c r="X101" s="176"/>
      <c r="Y101" s="176"/>
      <c r="Z101" s="178"/>
      <c r="AA101" s="179"/>
      <c r="AB101" s="179"/>
      <c r="AC101" s="179"/>
      <c r="AD101" s="176"/>
      <c r="AE101" s="176"/>
      <c r="AF101" s="176"/>
      <c r="AG101" s="176"/>
      <c r="AH101" s="176"/>
      <c r="AI101" s="179"/>
      <c r="AJ101" s="176"/>
      <c r="AK101" s="176"/>
      <c r="AL101" s="176"/>
      <c r="AM101" s="176"/>
      <c r="AN101" s="179"/>
      <c r="AO101" s="179"/>
      <c r="AP101" s="180"/>
      <c r="AQ101" s="93"/>
      <c r="AR101" s="181"/>
      <c r="AS101" s="175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7"/>
      <c r="BG101" s="176"/>
      <c r="BH101" s="176"/>
      <c r="BI101" s="176"/>
      <c r="BJ101" s="178"/>
      <c r="BK101" s="179"/>
      <c r="BL101" s="179"/>
      <c r="BM101" s="179"/>
      <c r="BN101" s="176"/>
      <c r="BO101" s="176"/>
      <c r="BP101" s="176"/>
      <c r="BQ101" s="176"/>
      <c r="BR101" s="176"/>
      <c r="BS101" s="179"/>
      <c r="BT101" s="176"/>
      <c r="BU101" s="176"/>
      <c r="BV101" s="176"/>
      <c r="BW101" s="176"/>
      <c r="BX101" s="93"/>
      <c r="BY101" s="93"/>
      <c r="BZ101" s="180"/>
      <c r="CA101" s="93"/>
      <c r="CB101" s="181"/>
      <c r="CC101" s="175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7"/>
      <c r="CQ101" s="176"/>
      <c r="CR101" s="176"/>
      <c r="CS101" s="176"/>
      <c r="CT101" s="178"/>
      <c r="CU101" s="179"/>
      <c r="CV101" s="179"/>
      <c r="CW101" s="179"/>
      <c r="CX101" s="176"/>
      <c r="CY101" s="176"/>
      <c r="CZ101" s="176"/>
      <c r="DA101" s="176"/>
      <c r="DB101" s="176"/>
      <c r="DC101" s="179"/>
      <c r="DD101" s="176"/>
      <c r="DE101" s="176"/>
      <c r="DF101" s="176"/>
      <c r="DG101" s="176"/>
      <c r="DH101" s="93"/>
      <c r="DI101" s="93"/>
      <c r="DJ101" s="174"/>
      <c r="DK101" s="93"/>
      <c r="DL101" s="181"/>
      <c r="DM101" s="175"/>
      <c r="DN101" s="176"/>
      <c r="DO101" s="176"/>
      <c r="DP101" s="176"/>
      <c r="DQ101" s="176"/>
      <c r="DR101" s="176"/>
      <c r="DS101" s="176"/>
      <c r="DT101" s="176"/>
      <c r="DU101" s="176"/>
      <c r="DV101" s="176"/>
      <c r="DW101" s="176"/>
      <c r="DX101" s="176"/>
      <c r="DY101" s="176"/>
      <c r="DZ101" s="177"/>
      <c r="EA101" s="176"/>
      <c r="EB101" s="176"/>
      <c r="EC101" s="176"/>
      <c r="ED101" s="178"/>
      <c r="EE101" s="179"/>
      <c r="EF101" s="179"/>
      <c r="EG101" s="179"/>
      <c r="EH101" s="176"/>
      <c r="EI101" s="176"/>
      <c r="EJ101" s="176"/>
      <c r="EK101" s="176"/>
      <c r="EL101" s="176"/>
      <c r="EM101" s="179"/>
      <c r="EN101" s="176"/>
      <c r="EO101" s="176"/>
      <c r="EP101" s="176"/>
      <c r="EQ101" s="176"/>
      <c r="ER101" s="92"/>
    </row>
    <row r="102" spans="1:150" s="172" customFormat="1" ht="11.85" customHeight="1">
      <c r="B102" s="173"/>
      <c r="C102" s="173"/>
      <c r="D102" s="91"/>
      <c r="E102" s="92"/>
      <c r="F102" s="174"/>
      <c r="G102" s="93"/>
      <c r="H102" s="175"/>
      <c r="I102" s="175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7"/>
      <c r="W102" s="176"/>
      <c r="X102" s="176"/>
      <c r="Y102" s="176"/>
      <c r="Z102" s="178"/>
      <c r="AA102" s="179"/>
      <c r="AB102" s="179"/>
      <c r="AC102" s="179"/>
      <c r="AD102" s="176"/>
      <c r="AE102" s="176"/>
      <c r="AF102" s="176"/>
      <c r="AG102" s="176"/>
      <c r="AH102" s="176"/>
      <c r="AI102" s="179"/>
      <c r="AJ102" s="176"/>
      <c r="AK102" s="176"/>
      <c r="AL102" s="176"/>
      <c r="AM102" s="176"/>
      <c r="AN102" s="179"/>
      <c r="AO102" s="179"/>
      <c r="AP102" s="180"/>
      <c r="AQ102" s="93"/>
      <c r="AR102" s="181"/>
      <c r="AS102" s="175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7"/>
      <c r="BG102" s="176"/>
      <c r="BH102" s="176"/>
      <c r="BI102" s="176"/>
      <c r="BJ102" s="178"/>
      <c r="BK102" s="179"/>
      <c r="BL102" s="179"/>
      <c r="BM102" s="179"/>
      <c r="BN102" s="176"/>
      <c r="BO102" s="176"/>
      <c r="BP102" s="176"/>
      <c r="BQ102" s="176"/>
      <c r="BR102" s="176"/>
      <c r="BS102" s="179"/>
      <c r="BT102" s="176"/>
      <c r="BU102" s="176"/>
      <c r="BV102" s="176"/>
      <c r="BW102" s="176"/>
      <c r="BX102" s="93"/>
      <c r="BY102" s="93"/>
      <c r="BZ102" s="180"/>
      <c r="CA102" s="93"/>
      <c r="CB102" s="181"/>
      <c r="CC102" s="175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7"/>
      <c r="CQ102" s="176"/>
      <c r="CR102" s="176"/>
      <c r="CS102" s="176"/>
      <c r="CT102" s="178"/>
      <c r="CU102" s="179"/>
      <c r="CV102" s="179"/>
      <c r="CW102" s="179"/>
      <c r="CX102" s="176"/>
      <c r="CY102" s="176"/>
      <c r="CZ102" s="176"/>
      <c r="DA102" s="176"/>
      <c r="DB102" s="176"/>
      <c r="DC102" s="179"/>
      <c r="DD102" s="176"/>
      <c r="DE102" s="176"/>
      <c r="DF102" s="176"/>
      <c r="DG102" s="176"/>
      <c r="DH102" s="93"/>
      <c r="DI102" s="93"/>
      <c r="DJ102" s="174"/>
      <c r="DK102" s="93"/>
      <c r="DL102" s="181"/>
      <c r="DM102" s="175"/>
      <c r="DN102" s="176"/>
      <c r="DO102" s="176"/>
      <c r="DP102" s="176"/>
      <c r="DQ102" s="176"/>
      <c r="DR102" s="176"/>
      <c r="DS102" s="176"/>
      <c r="DT102" s="176"/>
      <c r="DU102" s="176"/>
      <c r="DV102" s="176"/>
      <c r="DW102" s="176"/>
      <c r="DX102" s="176"/>
      <c r="DY102" s="176"/>
      <c r="DZ102" s="177"/>
      <c r="EA102" s="176"/>
      <c r="EB102" s="176"/>
      <c r="EC102" s="176"/>
      <c r="ED102" s="178"/>
      <c r="EE102" s="179"/>
      <c r="EF102" s="179"/>
      <c r="EG102" s="179"/>
      <c r="EH102" s="176"/>
      <c r="EI102" s="176"/>
      <c r="EJ102" s="176"/>
      <c r="EK102" s="176"/>
      <c r="EL102" s="176"/>
      <c r="EM102" s="179"/>
      <c r="EN102" s="176"/>
      <c r="EO102" s="176"/>
      <c r="EP102" s="176"/>
      <c r="EQ102" s="176"/>
      <c r="ER102" s="92"/>
    </row>
    <row r="128" spans="3:6" ht="11.85" customHeight="1">
      <c r="C128" s="173" t="s">
        <v>603</v>
      </c>
      <c r="D128" s="91" t="s">
        <v>1064</v>
      </c>
      <c r="F128" s="174" t="str">
        <f t="shared" ref="F128:F129" si="275">C128&amp; " - "&amp;D128</f>
        <v>ISS - Podium Slab - ISS Block 01</v>
      </c>
    </row>
    <row r="129" spans="3:6" ht="11.85" customHeight="1">
      <c r="C129" s="173" t="s">
        <v>603</v>
      </c>
      <c r="D129" s="91" t="s">
        <v>1065</v>
      </c>
      <c r="F129" s="174" t="str">
        <f t="shared" si="275"/>
        <v>ISS - Podium Slab - ISS Block 02</v>
      </c>
    </row>
    <row r="130" spans="3:6" ht="11.85" customHeight="1">
      <c r="C130" s="173" t="s">
        <v>603</v>
      </c>
      <c r="D130" s="91" t="s">
        <v>1066</v>
      </c>
      <c r="F130" s="174" t="str">
        <f>C130&amp; " - "&amp;D130</f>
        <v>ISS - Podium Slab - ISS Block 03</v>
      </c>
    </row>
    <row r="131" spans="3:6" ht="11.85" customHeight="1">
      <c r="C131" s="173" t="s">
        <v>603</v>
      </c>
      <c r="D131" s="91" t="s">
        <v>1067</v>
      </c>
      <c r="F131" s="174" t="str">
        <f t="shared" ref="F131:F139" si="276">C131&amp; " - "&amp;D131</f>
        <v>ISS - Podium Slab - ISS Block 04</v>
      </c>
    </row>
    <row r="132" spans="3:6" ht="11.85" customHeight="1">
      <c r="C132" s="173" t="s">
        <v>603</v>
      </c>
      <c r="D132" s="91" t="s">
        <v>1068</v>
      </c>
      <c r="F132" s="174" t="str">
        <f t="shared" si="276"/>
        <v>ISS - Podium Slab - ISS Block 05</v>
      </c>
    </row>
    <row r="133" spans="3:6" ht="11.85" customHeight="1">
      <c r="C133" s="173" t="s">
        <v>603</v>
      </c>
      <c r="D133" s="91" t="s">
        <v>1069</v>
      </c>
      <c r="F133" s="174" t="str">
        <f t="shared" si="276"/>
        <v>ISS - Podium Slab - ISS Block 06</v>
      </c>
    </row>
    <row r="134" spans="3:6" ht="11.85" customHeight="1">
      <c r="C134" s="173" t="s">
        <v>603</v>
      </c>
      <c r="D134" s="91" t="s">
        <v>1070</v>
      </c>
      <c r="F134" s="174" t="str">
        <f t="shared" si="276"/>
        <v>ISS - Podium Slab - ISS Block 07</v>
      </c>
    </row>
    <row r="135" spans="3:6" ht="11.85" customHeight="1">
      <c r="C135" s="173" t="s">
        <v>603</v>
      </c>
      <c r="D135" s="91" t="s">
        <v>1071</v>
      </c>
      <c r="F135" s="174" t="str">
        <f t="shared" si="276"/>
        <v>ISS - Podium Slab - ISS Block 08</v>
      </c>
    </row>
    <row r="136" spans="3:6" ht="11.85" customHeight="1">
      <c r="C136" s="173" t="s">
        <v>603</v>
      </c>
      <c r="D136" s="91" t="s">
        <v>1072</v>
      </c>
      <c r="F136" s="174" t="str">
        <f t="shared" si="276"/>
        <v>ISS - Podium Slab - ISS Block 09</v>
      </c>
    </row>
    <row r="137" spans="3:6" ht="11.85" customHeight="1">
      <c r="C137" s="173" t="s">
        <v>603</v>
      </c>
      <c r="D137" s="91" t="s">
        <v>1073</v>
      </c>
      <c r="F137" s="174" t="str">
        <f t="shared" si="276"/>
        <v>ISS - Podium Slab - ISS Block 10</v>
      </c>
    </row>
    <row r="138" spans="3:6" ht="11.85" customHeight="1">
      <c r="C138" s="173" t="s">
        <v>603</v>
      </c>
      <c r="D138" s="91" t="s">
        <v>1074</v>
      </c>
      <c r="F138" s="174" t="str">
        <f t="shared" si="276"/>
        <v>ISS - Podium Slab - ISS Block 11</v>
      </c>
    </row>
    <row r="139" spans="3:6" ht="11.85" customHeight="1">
      <c r="C139" s="173" t="s">
        <v>603</v>
      </c>
      <c r="D139" s="91" t="s">
        <v>1075</v>
      </c>
      <c r="F139" s="174" t="str">
        <f t="shared" si="276"/>
        <v>ISS - Podium Slab - ISS Block 12</v>
      </c>
    </row>
  </sheetData>
  <sheetProtection selectLockedCells="1" selectUnlockedCells="1"/>
  <autoFilter ref="B2:EQ89" xr:uid="{44F5A2B9-A960-4D31-8C66-B6A172052F1E}">
    <filterColumn colId="21" showButton="0"/>
    <filterColumn colId="22" showButton="0"/>
    <filterColumn colId="25" showButton="0"/>
    <filterColumn colId="26" showButton="0"/>
    <filterColumn colId="57" showButton="0"/>
    <filterColumn colId="58" showButton="0"/>
    <filterColumn colId="61" showButton="0"/>
    <filterColumn colId="62" showButton="0"/>
    <filterColumn colId="93" showButton="0"/>
    <filterColumn colId="94" showButton="0"/>
    <filterColumn colId="97" showButton="0"/>
    <filterColumn colId="98" showButton="0"/>
    <filterColumn colId="126">
      <filters>
        <filter val="0"/>
        <filter val="0.02"/>
      </filters>
    </filterColumn>
    <filterColumn colId="129" showButton="0"/>
    <filterColumn colId="130" showButton="0"/>
    <filterColumn colId="133" showButton="0"/>
    <filterColumn colId="134" showButton="0"/>
  </autoFilter>
  <mergeCells count="22">
    <mergeCell ref="EE2:EG2"/>
    <mergeCell ref="EA2:EC2"/>
    <mergeCell ref="W2:Y2"/>
    <mergeCell ref="BG2:BI2"/>
    <mergeCell ref="CQ2:CS2"/>
    <mergeCell ref="AA2:AC2"/>
    <mergeCell ref="BK2:BM2"/>
    <mergeCell ref="CU2:CW2"/>
    <mergeCell ref="C91:D91"/>
    <mergeCell ref="C9:D9"/>
    <mergeCell ref="ES11:ES47"/>
    <mergeCell ref="ES51:ES90"/>
    <mergeCell ref="ES4:ES5"/>
    <mergeCell ref="DJ3:DJ5"/>
    <mergeCell ref="AO4:AO5"/>
    <mergeCell ref="BY4:BY5"/>
    <mergeCell ref="DI4:DI5"/>
    <mergeCell ref="C49:D49"/>
    <mergeCell ref="C3:D5"/>
    <mergeCell ref="F3:F5"/>
    <mergeCell ref="AP3:AP5"/>
    <mergeCell ref="BZ3:BZ5"/>
  </mergeCells>
  <phoneticPr fontId="37" type="noConversion"/>
  <conditionalFormatting sqref="A2:AA2 AD2:BK2 BN2:CU2 CX2:EE2 AA5:AO5 AQ5:AR5 CA5:CB5 DK5:DL5 AS5:AS8 CC5:CC8 DM5:DM8 A6:AR8 AT6:CB8 CD6:DL8">
    <cfRule type="expression" dxfId="12" priority="32">
      <formula>OR(CELL("col")=COLUMN(),CELL("rom")=ROW())</formula>
    </cfRule>
  </conditionalFormatting>
  <conditionalFormatting sqref="A1:XFD1 EH2:XFD2 A3:AB5 ES3:XFD5 DN6:XFD8">
    <cfRule type="expression" dxfId="11" priority="2">
      <formula>OR(CELL("col")=COLUMN(),CELL("rom")=ROW())</formula>
    </cfRule>
  </conditionalFormatting>
  <conditionalFormatting sqref="AC3:AO4">
    <cfRule type="expression" dxfId="10" priority="30">
      <formula>OR(CELL("col")=COLUMN(),CELL("rom")=ROW())</formula>
    </cfRule>
  </conditionalFormatting>
  <conditionalFormatting sqref="AP3:AP5">
    <cfRule type="expression" dxfId="9" priority="3">
      <formula>OR(CELL("col")=COLUMN(),CELL("rom")=ROW())</formula>
    </cfRule>
  </conditionalFormatting>
  <conditionalFormatting sqref="AQ3:BY4">
    <cfRule type="expression" dxfId="8" priority="9">
      <formula>OR(CELL("col")=COLUMN(),CELL("rom")=ROW())</formula>
    </cfRule>
  </conditionalFormatting>
  <conditionalFormatting sqref="AT5:BY5">
    <cfRule type="expression" dxfId="7" priority="13">
      <formula>OR(CELL("col")=COLUMN(),CELL("rom")=ROW())</formula>
    </cfRule>
  </conditionalFormatting>
  <conditionalFormatting sqref="BZ3:BZ5">
    <cfRule type="expression" dxfId="6" priority="1">
      <formula>OR(CELL("col")=COLUMN(),CELL("rom")=ROW())</formula>
    </cfRule>
  </conditionalFormatting>
  <conditionalFormatting sqref="CA3:DI4">
    <cfRule type="expression" dxfId="5" priority="7">
      <formula>OR(CELL("col")=COLUMN(),CELL("rom")=ROW())</formula>
    </cfRule>
  </conditionalFormatting>
  <conditionalFormatting sqref="CD5:DI5">
    <cfRule type="expression" dxfId="4" priority="12">
      <formula>OR(CELL("col")=COLUMN(),CELL("rom")=ROW())</formula>
    </cfRule>
  </conditionalFormatting>
  <conditionalFormatting sqref="DJ3:DJ5">
    <cfRule type="expression" dxfId="3" priority="4">
      <formula>OR(CELL("col")=COLUMN(),CELL("rom")=ROW())</formula>
    </cfRule>
  </conditionalFormatting>
  <conditionalFormatting sqref="DK3:ER4">
    <cfRule type="expression" dxfId="2" priority="5">
      <formula>OR(CELL("col")=COLUMN(),CELL("rom")=ROW())</formula>
    </cfRule>
  </conditionalFormatting>
  <conditionalFormatting sqref="DN5:ER5">
    <cfRule type="expression" dxfId="1" priority="11">
      <formula>OR(CELL("col")=COLUMN(),CELL("rom")=ROW())</formula>
    </cfRule>
  </conditionalFormatting>
  <pageMargins left="0.25" right="0.25" top="0.75" bottom="0.75" header="0.3" footer="0.3"/>
  <pageSetup paperSize="9" scale="58" orientation="portrait" r:id="rId1"/>
  <rowBreaks count="1" manualBreakCount="1">
    <brk id="50" max="7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18B4-B74A-403F-AF4E-EF46AB312A92}">
  <sheetPr codeName="Sheet3">
    <outlinePr summaryBelow="0" summaryRight="0"/>
    <pageSetUpPr fitToPage="1"/>
  </sheetPr>
  <dimension ref="A1:XFD594"/>
  <sheetViews>
    <sheetView zoomScale="70" zoomScaleNormal="70" zoomScaleSheetLayoutView="100" workbookViewId="0">
      <pane xSplit="6" ySplit="6" topLeftCell="G42" activePane="bottomRight" state="frozen"/>
      <selection pane="topRight" activeCell="G1" sqref="G1"/>
      <selection pane="bottomLeft" activeCell="A7" sqref="A7"/>
      <selection pane="bottomRight" activeCell="R98" sqref="R98"/>
    </sheetView>
  </sheetViews>
  <sheetFormatPr defaultColWidth="11.5546875" defaultRowHeight="13.2" outlineLevelRow="2"/>
  <cols>
    <col min="1" max="1" width="5.5546875" style="288" customWidth="1"/>
    <col min="2" max="2" width="4.44140625" style="284" customWidth="1"/>
    <col min="3" max="3" width="6.5546875" style="263" customWidth="1"/>
    <col min="4" max="4" width="6.44140625" style="311" customWidth="1"/>
    <col min="5" max="5" width="70.5546875" style="262" customWidth="1"/>
    <col min="6" max="6" width="0.5546875" style="262" customWidth="1"/>
    <col min="7" max="7" width="8.44140625" style="302" bestFit="1" customWidth="1"/>
    <col min="8" max="8" width="12.44140625" style="302" bestFit="1" customWidth="1"/>
    <col min="9" max="9" width="5.5546875" style="317" bestFit="1" customWidth="1"/>
    <col min="10" max="10" width="10" style="313" bestFit="1" customWidth="1"/>
    <col min="11" max="11" width="8" style="314" bestFit="1" customWidth="1"/>
    <col min="12" max="12" width="9.44140625" style="313" bestFit="1" customWidth="1"/>
    <col min="13" max="16" width="9.44140625" style="313" customWidth="1"/>
    <col min="17" max="17" width="11.44140625" style="313" bestFit="1" customWidth="1"/>
    <col min="18" max="16384" width="11.5546875" style="301"/>
  </cols>
  <sheetData>
    <row r="1" spans="1:32" s="252" customFormat="1" ht="10.5" customHeight="1">
      <c r="A1" s="244"/>
      <c r="B1" s="245"/>
      <c r="C1" s="246"/>
      <c r="D1" s="247"/>
      <c r="E1" s="245"/>
      <c r="F1" s="245"/>
      <c r="G1" s="248"/>
      <c r="H1" s="248"/>
      <c r="I1" s="249"/>
      <c r="J1" s="250"/>
      <c r="K1" s="251"/>
      <c r="L1" s="250"/>
      <c r="M1" s="250"/>
      <c r="N1" s="250"/>
      <c r="O1" s="250"/>
      <c r="P1" s="250"/>
      <c r="Q1" s="250"/>
      <c r="W1" s="250"/>
      <c r="X1" s="250"/>
      <c r="Y1" s="250"/>
      <c r="Z1" s="250"/>
      <c r="AA1" s="250"/>
      <c r="AB1" s="250"/>
    </row>
    <row r="2" spans="1:32" s="252" customFormat="1" ht="12.75" customHeight="1">
      <c r="A2" s="244" t="s">
        <v>120</v>
      </c>
      <c r="B2" s="245"/>
      <c r="C2" s="246"/>
      <c r="D2" s="247"/>
      <c r="E2" s="245"/>
      <c r="F2" s="245"/>
      <c r="G2" s="516" t="s">
        <v>121</v>
      </c>
      <c r="H2" s="516" t="s">
        <v>122</v>
      </c>
      <c r="I2" s="517" t="s">
        <v>123</v>
      </c>
      <c r="J2" s="253" t="s">
        <v>124</v>
      </c>
      <c r="K2" s="253"/>
      <c r="L2" s="515" t="s">
        <v>125</v>
      </c>
      <c r="M2" s="254"/>
      <c r="N2" s="254"/>
      <c r="O2" s="254"/>
      <c r="P2" s="254"/>
      <c r="Q2" s="515" t="s">
        <v>126</v>
      </c>
      <c r="W2" s="515" t="s">
        <v>127</v>
      </c>
      <c r="X2" s="254"/>
      <c r="Y2" s="254"/>
      <c r="Z2" s="254"/>
      <c r="AA2" s="254"/>
      <c r="AB2" s="515" t="s">
        <v>128</v>
      </c>
    </row>
    <row r="3" spans="1:32" s="252" customFormat="1" ht="3" customHeight="1">
      <c r="A3" s="244"/>
      <c r="B3" s="245"/>
      <c r="C3" s="246"/>
      <c r="D3" s="247"/>
      <c r="E3" s="245"/>
      <c r="F3" s="245"/>
      <c r="G3" s="516"/>
      <c r="H3" s="516"/>
      <c r="I3" s="517"/>
      <c r="J3" s="250"/>
      <c r="K3" s="251"/>
      <c r="L3" s="515"/>
      <c r="M3" s="254"/>
      <c r="N3" s="254"/>
      <c r="O3" s="254"/>
      <c r="P3" s="254"/>
      <c r="Q3" s="515"/>
      <c r="W3" s="515"/>
      <c r="X3" s="254"/>
      <c r="Y3" s="254"/>
      <c r="Z3" s="254"/>
      <c r="AA3" s="254"/>
      <c r="AB3" s="515"/>
    </row>
    <row r="4" spans="1:32" s="252" customFormat="1" ht="17.399999999999999">
      <c r="A4" s="255" t="s">
        <v>129</v>
      </c>
      <c r="B4" s="256"/>
      <c r="C4" s="257"/>
      <c r="D4" s="255"/>
      <c r="E4" s="256"/>
      <c r="F4" s="245"/>
      <c r="G4" s="516"/>
      <c r="H4" s="516"/>
      <c r="I4" s="517"/>
      <c r="J4" s="258" t="s">
        <v>130</v>
      </c>
      <c r="K4" s="258" t="s">
        <v>131</v>
      </c>
      <c r="L4" s="515"/>
      <c r="M4" s="254" t="s">
        <v>6</v>
      </c>
      <c r="N4" s="254" t="s">
        <v>7</v>
      </c>
      <c r="O4" s="254" t="s">
        <v>8</v>
      </c>
      <c r="P4" s="254" t="s">
        <v>9</v>
      </c>
      <c r="Q4" s="515"/>
      <c r="R4" s="254" t="s">
        <v>6</v>
      </c>
      <c r="S4" s="254" t="s">
        <v>7</v>
      </c>
      <c r="T4" s="254" t="s">
        <v>8</v>
      </c>
      <c r="U4" s="254" t="s">
        <v>9</v>
      </c>
      <c r="W4" s="515"/>
      <c r="X4" s="254" t="s">
        <v>6</v>
      </c>
      <c r="Y4" s="254" t="s">
        <v>7</v>
      </c>
      <c r="Z4" s="254" t="s">
        <v>8</v>
      </c>
      <c r="AA4" s="254" t="s">
        <v>9</v>
      </c>
      <c r="AB4" s="515"/>
      <c r="AC4" s="254" t="s">
        <v>6</v>
      </c>
      <c r="AD4" s="254" t="s">
        <v>7</v>
      </c>
      <c r="AE4" s="254" t="s">
        <v>8</v>
      </c>
      <c r="AF4" s="254" t="s">
        <v>9</v>
      </c>
    </row>
    <row r="5" spans="1:32" s="252" customFormat="1" ht="17.399999999999999">
      <c r="A5" s="319"/>
      <c r="B5" s="245"/>
      <c r="C5" s="248"/>
      <c r="D5" s="319"/>
      <c r="E5" s="245"/>
      <c r="F5" s="245"/>
      <c r="G5" s="288"/>
      <c r="H5" s="288"/>
      <c r="I5" s="318"/>
      <c r="J5" s="258"/>
      <c r="K5" s="258"/>
      <c r="L5" s="254"/>
      <c r="M5" s="254"/>
      <c r="N5" s="254"/>
      <c r="O5" s="254"/>
      <c r="P5" s="254"/>
      <c r="Q5" s="254"/>
      <c r="R5" s="254"/>
      <c r="S5" s="254"/>
      <c r="T5" s="254"/>
      <c r="U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</row>
    <row r="6" spans="1:32" s="267" customFormat="1" ht="3" customHeight="1">
      <c r="A6" s="259"/>
      <c r="B6" s="260"/>
      <c r="C6" s="260"/>
      <c r="D6" s="261"/>
      <c r="E6" s="262"/>
      <c r="F6" s="262"/>
      <c r="G6" s="263"/>
      <c r="H6" s="263"/>
      <c r="I6" s="264"/>
      <c r="J6" s="265"/>
      <c r="K6" s="266"/>
      <c r="L6" s="265"/>
      <c r="M6" s="265"/>
      <c r="N6" s="265"/>
      <c r="O6" s="265"/>
      <c r="P6" s="265"/>
      <c r="Q6" s="265"/>
    </row>
    <row r="7" spans="1:32" s="267" customFormat="1" ht="14.25" customHeight="1">
      <c r="A7" s="268" t="s">
        <v>132</v>
      </c>
      <c r="B7" s="484"/>
      <c r="C7" s="484"/>
      <c r="D7" s="485"/>
      <c r="E7" s="486"/>
      <c r="F7" s="262"/>
      <c r="G7" s="269" t="s">
        <v>121</v>
      </c>
      <c r="H7" s="269" t="s">
        <v>122</v>
      </c>
      <c r="I7" s="270" t="s">
        <v>123</v>
      </c>
      <c r="J7" s="265"/>
      <c r="K7" s="266"/>
      <c r="L7" s="265"/>
      <c r="M7" s="265"/>
      <c r="N7" s="265"/>
      <c r="O7" s="265"/>
      <c r="P7" s="265"/>
      <c r="Q7" s="265"/>
    </row>
    <row r="8" spans="1:32" s="267" customFormat="1" ht="3" customHeight="1" outlineLevel="1">
      <c r="A8" s="259"/>
      <c r="B8" s="260"/>
      <c r="C8" s="260"/>
      <c r="D8" s="261"/>
      <c r="E8" s="262"/>
      <c r="F8" s="262"/>
      <c r="G8" s="269"/>
      <c r="H8" s="269"/>
      <c r="I8" s="270"/>
      <c r="J8" s="265"/>
      <c r="K8" s="266"/>
      <c r="L8" s="265"/>
      <c r="M8" s="265"/>
      <c r="N8" s="265"/>
      <c r="O8" s="265"/>
      <c r="P8" s="265"/>
      <c r="Q8" s="265"/>
    </row>
    <row r="9" spans="1:32" s="267" customFormat="1" ht="14.25" customHeight="1" outlineLevel="1">
      <c r="A9" s="259"/>
      <c r="B9" s="271" t="s">
        <v>133</v>
      </c>
      <c r="C9" s="260"/>
      <c r="D9" s="261"/>
      <c r="E9" s="262"/>
      <c r="F9" s="262"/>
      <c r="G9" s="269"/>
      <c r="H9" s="269"/>
      <c r="I9" s="270"/>
      <c r="J9" s="265"/>
      <c r="K9" s="266"/>
      <c r="L9" s="265"/>
      <c r="M9" s="265"/>
      <c r="N9" s="265"/>
      <c r="O9" s="265"/>
      <c r="P9" s="265"/>
      <c r="Q9" s="265"/>
      <c r="V9" s="266"/>
      <c r="W9" s="266"/>
      <c r="X9" s="266"/>
    </row>
    <row r="10" spans="1:32" s="267" customFormat="1" ht="14.25" customHeight="1" outlineLevel="2">
      <c r="B10" s="263" t="s">
        <v>134</v>
      </c>
      <c r="C10" s="260" t="s">
        <v>135</v>
      </c>
      <c r="D10" s="261" t="s">
        <v>136</v>
      </c>
      <c r="E10" s="272" t="s">
        <v>137</v>
      </c>
      <c r="F10" s="272"/>
      <c r="G10" s="263" t="s">
        <v>138</v>
      </c>
      <c r="H10" s="263" t="str">
        <f>CONCATENATE("AR-",G10,"-",I10)</f>
        <v>AR-ST9-2</v>
      </c>
      <c r="I10" s="264">
        <v>2</v>
      </c>
      <c r="J10" s="265">
        <v>1</v>
      </c>
      <c r="K10" s="266"/>
      <c r="L10" s="265"/>
      <c r="M10" s="265"/>
      <c r="N10" s="265"/>
      <c r="O10" s="265"/>
      <c r="P10" s="265"/>
      <c r="Q10" s="265"/>
      <c r="V10" s="266"/>
      <c r="W10" s="266"/>
      <c r="X10" s="266"/>
    </row>
    <row r="11" spans="1:32" s="267" customFormat="1" ht="14.25" customHeight="1" outlineLevel="2">
      <c r="B11" s="263" t="s">
        <v>134</v>
      </c>
      <c r="C11" s="260" t="s">
        <v>135</v>
      </c>
      <c r="D11" s="261" t="s">
        <v>139</v>
      </c>
      <c r="E11" s="272" t="s">
        <v>140</v>
      </c>
      <c r="F11" s="272"/>
      <c r="G11" s="263" t="s">
        <v>138</v>
      </c>
      <c r="H11" s="263" t="str">
        <f>CONCATENATE("AR-",G11,"-",I11)</f>
        <v>AR-ST9-2</v>
      </c>
      <c r="I11" s="264">
        <v>2</v>
      </c>
      <c r="J11" s="265">
        <v>1</v>
      </c>
      <c r="K11" s="266"/>
      <c r="L11" s="265"/>
      <c r="M11" s="265"/>
      <c r="N11" s="265"/>
      <c r="O11" s="265"/>
      <c r="P11" s="265"/>
      <c r="Q11" s="265"/>
      <c r="V11" s="266"/>
      <c r="W11" s="266"/>
      <c r="X11" s="266"/>
    </row>
    <row r="12" spans="1:32" s="267" customFormat="1" ht="14.25" customHeight="1" outlineLevel="2">
      <c r="B12" s="263" t="s">
        <v>134</v>
      </c>
      <c r="C12" s="260" t="s">
        <v>135</v>
      </c>
      <c r="D12" s="261" t="s">
        <v>141</v>
      </c>
      <c r="E12" s="272" t="s">
        <v>142</v>
      </c>
      <c r="F12" s="272"/>
      <c r="G12" s="263" t="s">
        <v>138</v>
      </c>
      <c r="H12" s="263" t="str">
        <f>CONCATENATE("AR-",G12,"-",I12)</f>
        <v>AR-ST9-2</v>
      </c>
      <c r="I12" s="264">
        <v>2</v>
      </c>
      <c r="J12" s="265">
        <v>1</v>
      </c>
      <c r="K12" s="266"/>
      <c r="L12" s="265"/>
      <c r="M12" s="265"/>
      <c r="N12" s="265"/>
      <c r="O12" s="265"/>
      <c r="P12" s="265"/>
      <c r="Q12" s="265"/>
      <c r="V12" s="266"/>
      <c r="W12" s="266"/>
      <c r="X12" s="266"/>
    </row>
    <row r="13" spans="1:32" s="267" customFormat="1" ht="14.25" customHeight="1" outlineLevel="2">
      <c r="B13" s="263"/>
      <c r="C13" s="260"/>
      <c r="D13" s="261"/>
      <c r="E13" s="363" t="s">
        <v>72</v>
      </c>
      <c r="F13" s="272"/>
      <c r="G13" s="263" t="s">
        <v>138</v>
      </c>
      <c r="H13" s="263" t="str">
        <f>CONCATENATE("AR-",G13,"-",I13)</f>
        <v>AR-ST9-4</v>
      </c>
      <c r="I13" s="264">
        <v>4</v>
      </c>
      <c r="J13" s="265">
        <v>1</v>
      </c>
      <c r="K13" s="266"/>
      <c r="L13" s="265"/>
      <c r="M13" s="265"/>
      <c r="N13" s="265"/>
      <c r="O13" s="265"/>
      <c r="P13" s="265"/>
      <c r="Q13" s="265"/>
      <c r="V13" s="266"/>
      <c r="W13" s="266"/>
      <c r="X13" s="266"/>
    </row>
    <row r="14" spans="1:32" s="267" customFormat="1" ht="13.5" customHeight="1" outlineLevel="1">
      <c r="B14" s="271" t="s">
        <v>143</v>
      </c>
      <c r="C14" s="273"/>
      <c r="D14" s="274"/>
      <c r="E14" s="275"/>
      <c r="F14" s="275"/>
      <c r="G14" s="263"/>
      <c r="H14" s="263"/>
      <c r="I14" s="264"/>
      <c r="J14" s="265"/>
      <c r="K14" s="266"/>
      <c r="L14" s="265"/>
      <c r="M14" s="265"/>
      <c r="N14" s="265"/>
      <c r="O14" s="265"/>
      <c r="P14" s="265"/>
      <c r="Q14" s="265"/>
      <c r="V14" s="266"/>
      <c r="W14" s="266"/>
      <c r="X14" s="266"/>
    </row>
    <row r="15" spans="1:32" s="276" customFormat="1" ht="14.25" customHeight="1" outlineLevel="2">
      <c r="B15" s="263" t="s">
        <v>134</v>
      </c>
      <c r="C15" s="260" t="s">
        <v>135</v>
      </c>
      <c r="D15" s="261" t="s">
        <v>144</v>
      </c>
      <c r="E15" s="262" t="s">
        <v>145</v>
      </c>
      <c r="F15" s="262"/>
      <c r="G15" s="263" t="s">
        <v>138</v>
      </c>
      <c r="H15" s="263" t="str">
        <f>CONCATENATE("AR-",G15,"-",I15)</f>
        <v>AR-ST9-2</v>
      </c>
      <c r="I15" s="264">
        <v>2</v>
      </c>
      <c r="J15" s="277">
        <v>1</v>
      </c>
      <c r="K15" s="278"/>
      <c r="L15" s="277"/>
      <c r="M15" s="265"/>
      <c r="N15" s="277"/>
      <c r="O15" s="277"/>
      <c r="P15" s="277"/>
      <c r="Q15" s="277"/>
      <c r="V15" s="266"/>
      <c r="W15" s="266"/>
      <c r="X15" s="266"/>
    </row>
    <row r="16" spans="1:32" s="267" customFormat="1" ht="14.25" customHeight="1" outlineLevel="2">
      <c r="B16" s="263" t="s">
        <v>134</v>
      </c>
      <c r="C16" s="260" t="s">
        <v>135</v>
      </c>
      <c r="D16" s="261" t="s">
        <v>146</v>
      </c>
      <c r="E16" s="262" t="s">
        <v>147</v>
      </c>
      <c r="F16" s="262"/>
      <c r="G16" s="263" t="s">
        <v>138</v>
      </c>
      <c r="H16" s="263" t="str">
        <f>CONCATENATE("AR-",G16,"-",I16)</f>
        <v>AR-ST9-2</v>
      </c>
      <c r="I16" s="264">
        <v>2</v>
      </c>
      <c r="J16" s="265">
        <v>1</v>
      </c>
      <c r="K16" s="266"/>
      <c r="L16" s="277"/>
      <c r="M16" s="265"/>
      <c r="N16" s="277"/>
      <c r="O16" s="277"/>
      <c r="P16" s="277"/>
      <c r="Q16" s="265"/>
      <c r="V16" s="266"/>
      <c r="W16" s="266"/>
      <c r="X16" s="266"/>
    </row>
    <row r="17" spans="1:24" s="267" customFormat="1" ht="14.25" customHeight="1" outlineLevel="1">
      <c r="A17" s="259"/>
      <c r="B17" s="271" t="s">
        <v>148</v>
      </c>
      <c r="C17" s="260"/>
      <c r="D17" s="261"/>
      <c r="E17" s="262"/>
      <c r="F17" s="262"/>
      <c r="G17" s="263"/>
      <c r="H17" s="263"/>
      <c r="I17" s="264"/>
      <c r="J17" s="265"/>
      <c r="K17" s="266"/>
      <c r="L17" s="265"/>
      <c r="M17" s="265"/>
      <c r="N17" s="265"/>
      <c r="O17" s="265"/>
      <c r="P17" s="265"/>
      <c r="Q17" s="265"/>
      <c r="V17" s="266"/>
      <c r="W17" s="266"/>
      <c r="X17" s="266"/>
    </row>
    <row r="18" spans="1:24" s="267" customFormat="1" ht="13.5" customHeight="1" outlineLevel="2">
      <c r="B18" s="263" t="s">
        <v>134</v>
      </c>
      <c r="C18" s="260" t="s">
        <v>135</v>
      </c>
      <c r="D18" s="261" t="s">
        <v>149</v>
      </c>
      <c r="E18" s="279" t="s">
        <v>150</v>
      </c>
      <c r="F18" s="279"/>
      <c r="G18" s="263" t="s">
        <v>138</v>
      </c>
      <c r="H18" s="263" t="str">
        <f>CONCATENATE("AR-",G18,"-",I18)</f>
        <v>AR-ST9-5</v>
      </c>
      <c r="I18" s="264">
        <v>5</v>
      </c>
      <c r="J18" s="265"/>
      <c r="K18" s="266"/>
      <c r="L18" s="277">
        <f>M18</f>
        <v>1</v>
      </c>
      <c r="M18" s="265">
        <v>1</v>
      </c>
      <c r="N18" s="277"/>
      <c r="O18" s="277"/>
      <c r="P18" s="277"/>
      <c r="Q18" s="277">
        <f>R18</f>
        <v>1</v>
      </c>
      <c r="R18" s="265">
        <v>1</v>
      </c>
      <c r="V18" s="266"/>
      <c r="W18" s="266"/>
      <c r="X18" s="266"/>
    </row>
    <row r="19" spans="1:24" s="267" customFormat="1" ht="14.25" customHeight="1" outlineLevel="2">
      <c r="B19" s="263" t="s">
        <v>134</v>
      </c>
      <c r="C19" s="260" t="s">
        <v>135</v>
      </c>
      <c r="D19" s="261" t="s">
        <v>151</v>
      </c>
      <c r="E19" s="279" t="s">
        <v>152</v>
      </c>
      <c r="F19" s="279"/>
      <c r="G19" s="263" t="s">
        <v>138</v>
      </c>
      <c r="H19" s="263" t="str">
        <f>CONCATENATE("AR-",G19,"-",I19)</f>
        <v>AR-ST9-5</v>
      </c>
      <c r="I19" s="264">
        <v>5</v>
      </c>
      <c r="J19" s="265"/>
      <c r="K19" s="266"/>
      <c r="L19" s="277">
        <f t="shared" ref="L19:L20" si="0">M19</f>
        <v>1</v>
      </c>
      <c r="M19" s="265">
        <v>1</v>
      </c>
      <c r="N19" s="277"/>
      <c r="O19" s="277"/>
      <c r="P19" s="277"/>
      <c r="Q19" s="277">
        <f t="shared" ref="Q19:Q20" si="1">R19</f>
        <v>1</v>
      </c>
      <c r="R19" s="265">
        <v>1</v>
      </c>
      <c r="V19" s="266"/>
      <c r="W19" s="266"/>
      <c r="X19" s="266"/>
    </row>
    <row r="20" spans="1:24" s="267" customFormat="1" ht="14.25" customHeight="1" outlineLevel="2">
      <c r="B20" s="263" t="s">
        <v>134</v>
      </c>
      <c r="C20" s="260" t="s">
        <v>135</v>
      </c>
      <c r="D20" s="261" t="s">
        <v>153</v>
      </c>
      <c r="E20" s="279" t="s">
        <v>154</v>
      </c>
      <c r="F20" s="279"/>
      <c r="G20" s="263" t="s">
        <v>138</v>
      </c>
      <c r="H20" s="263" t="str">
        <f>CONCATENATE("AR-",G20,"-",I20)</f>
        <v>AR-ST9-5</v>
      </c>
      <c r="I20" s="264">
        <v>5</v>
      </c>
      <c r="J20" s="265"/>
      <c r="K20" s="266"/>
      <c r="L20" s="277">
        <f t="shared" si="0"/>
        <v>1</v>
      </c>
      <c r="M20" s="265">
        <v>1</v>
      </c>
      <c r="N20" s="277"/>
      <c r="O20" s="277"/>
      <c r="P20" s="277"/>
      <c r="Q20" s="277">
        <f t="shared" si="1"/>
        <v>1</v>
      </c>
      <c r="R20" s="265">
        <v>1</v>
      </c>
      <c r="V20" s="266"/>
      <c r="W20" s="266"/>
      <c r="X20" s="266"/>
    </row>
    <row r="21" spans="1:24" s="267" customFormat="1" ht="14.25" customHeight="1" outlineLevel="1">
      <c r="A21" s="259"/>
      <c r="B21" s="271" t="s">
        <v>155</v>
      </c>
      <c r="C21" s="260"/>
      <c r="D21" s="261"/>
      <c r="E21" s="262"/>
      <c r="F21" s="262"/>
      <c r="G21" s="263"/>
      <c r="H21" s="263"/>
      <c r="I21" s="264"/>
      <c r="J21" s="265"/>
      <c r="K21" s="266"/>
      <c r="L21" s="265"/>
      <c r="M21" s="265"/>
      <c r="N21" s="265"/>
      <c r="O21" s="265"/>
      <c r="P21" s="265"/>
      <c r="Q21" s="265"/>
      <c r="V21" s="266"/>
      <c r="W21" s="266"/>
      <c r="X21" s="266"/>
    </row>
    <row r="22" spans="1:24" s="267" customFormat="1" ht="14.25" customHeight="1" outlineLevel="2">
      <c r="B22" s="263" t="s">
        <v>134</v>
      </c>
      <c r="C22" s="260" t="s">
        <v>135</v>
      </c>
      <c r="D22" s="261" t="s">
        <v>156</v>
      </c>
      <c r="E22" s="279" t="s">
        <v>157</v>
      </c>
      <c r="F22" s="279"/>
      <c r="G22" s="263" t="s">
        <v>138</v>
      </c>
      <c r="H22" s="263" t="str">
        <f>CONCATENATE("AR-",G22,"-",I22)</f>
        <v>AR-ST9-5</v>
      </c>
      <c r="I22" s="264">
        <v>5</v>
      </c>
      <c r="J22" s="277">
        <v>1</v>
      </c>
      <c r="K22" s="266"/>
      <c r="L22" s="277"/>
      <c r="M22" s="265"/>
      <c r="N22" s="277"/>
      <c r="O22" s="277"/>
      <c r="P22" s="277"/>
      <c r="Q22" s="265"/>
      <c r="V22" s="266"/>
      <c r="W22" s="266"/>
      <c r="X22" s="266"/>
    </row>
    <row r="23" spans="1:24" s="267" customFormat="1" ht="14.25" customHeight="1" outlineLevel="2">
      <c r="B23" s="263" t="s">
        <v>134</v>
      </c>
      <c r="C23" s="260" t="s">
        <v>135</v>
      </c>
      <c r="D23" s="261" t="s">
        <v>158</v>
      </c>
      <c r="E23" s="279" t="s">
        <v>159</v>
      </c>
      <c r="F23" s="279"/>
      <c r="G23" s="263" t="s">
        <v>138</v>
      </c>
      <c r="H23" s="263" t="str">
        <f>CONCATENATE("AR-",G23,"-",I23)</f>
        <v>AR-ST9-5</v>
      </c>
      <c r="I23" s="264">
        <v>5</v>
      </c>
      <c r="J23" s="277">
        <v>1</v>
      </c>
      <c r="K23" s="266"/>
      <c r="L23" s="277"/>
      <c r="M23" s="265"/>
      <c r="N23" s="277"/>
      <c r="O23" s="277"/>
      <c r="P23" s="277"/>
      <c r="Q23" s="265"/>
      <c r="V23" s="266"/>
      <c r="W23" s="266"/>
      <c r="X23" s="266"/>
    </row>
    <row r="24" spans="1:24" s="267" customFormat="1" ht="14.25" customHeight="1" outlineLevel="2">
      <c r="B24" s="263" t="s">
        <v>134</v>
      </c>
      <c r="C24" s="260" t="s">
        <v>135</v>
      </c>
      <c r="D24" s="261" t="s">
        <v>160</v>
      </c>
      <c r="E24" s="279" t="s">
        <v>161</v>
      </c>
      <c r="F24" s="279"/>
      <c r="G24" s="263" t="s">
        <v>138</v>
      </c>
      <c r="H24" s="263" t="str">
        <f>CONCATENATE("AR-",G24,"-",I24)</f>
        <v>AR-ST9-5</v>
      </c>
      <c r="I24" s="264">
        <v>5</v>
      </c>
      <c r="J24" s="277">
        <v>1</v>
      </c>
      <c r="K24" s="266"/>
      <c r="L24" s="277"/>
      <c r="M24" s="265"/>
      <c r="O24" s="277"/>
      <c r="P24" s="277"/>
      <c r="Q24" s="265"/>
      <c r="V24" s="266"/>
      <c r="W24" s="266"/>
      <c r="X24" s="266"/>
    </row>
    <row r="25" spans="1:24" s="267" customFormat="1" ht="14.25" customHeight="1" outlineLevel="1">
      <c r="A25" s="259"/>
      <c r="B25" s="271" t="s">
        <v>162</v>
      </c>
      <c r="C25" s="260"/>
      <c r="D25" s="261"/>
      <c r="E25" s="262"/>
      <c r="F25" s="262"/>
      <c r="G25" s="263"/>
      <c r="H25" s="263"/>
      <c r="I25" s="264"/>
      <c r="J25" s="265"/>
      <c r="K25" s="266"/>
      <c r="L25" s="265"/>
      <c r="M25" s="265"/>
      <c r="N25" s="265"/>
      <c r="O25" s="265"/>
      <c r="P25" s="265"/>
      <c r="Q25" s="265"/>
      <c r="V25" s="266"/>
      <c r="W25" s="266"/>
      <c r="X25" s="266"/>
    </row>
    <row r="26" spans="1:24" s="280" customFormat="1" ht="13.5" customHeight="1" outlineLevel="2">
      <c r="B26" s="263" t="s">
        <v>134</v>
      </c>
      <c r="C26" s="260" t="s">
        <v>135</v>
      </c>
      <c r="D26" s="261" t="s">
        <v>163</v>
      </c>
      <c r="E26" s="262" t="s">
        <v>164</v>
      </c>
      <c r="F26" s="262"/>
      <c r="G26" s="263" t="s">
        <v>138</v>
      </c>
      <c r="H26" s="263" t="str">
        <f>CONCATENATE("AR-",G26,"-",I26)</f>
        <v>AR-ST9-3</v>
      </c>
      <c r="I26" s="264">
        <v>3</v>
      </c>
      <c r="J26" s="281">
        <v>1</v>
      </c>
      <c r="K26" s="282"/>
      <c r="L26" s="281"/>
      <c r="M26" s="265"/>
      <c r="N26" s="281"/>
      <c r="O26" s="281"/>
      <c r="P26" s="281"/>
      <c r="Q26" s="281"/>
      <c r="V26" s="266"/>
      <c r="W26" s="266"/>
      <c r="X26" s="266"/>
    </row>
    <row r="27" spans="1:24" s="267" customFormat="1" ht="13.5" customHeight="1" outlineLevel="2">
      <c r="B27" s="263" t="s">
        <v>134</v>
      </c>
      <c r="C27" s="260" t="s">
        <v>135</v>
      </c>
      <c r="D27" s="261" t="s">
        <v>165</v>
      </c>
      <c r="E27" s="262" t="s">
        <v>166</v>
      </c>
      <c r="F27" s="262"/>
      <c r="G27" s="263" t="s">
        <v>138</v>
      </c>
      <c r="H27" s="263" t="str">
        <f>CONCATENATE("AR-",G27,"-",I27)</f>
        <v>AR-ST9-3</v>
      </c>
      <c r="I27" s="264">
        <v>3</v>
      </c>
      <c r="J27" s="265">
        <v>1</v>
      </c>
      <c r="K27" s="266"/>
      <c r="L27" s="281"/>
      <c r="M27" s="265"/>
      <c r="N27" s="281"/>
      <c r="O27" s="281"/>
      <c r="P27" s="281"/>
      <c r="Q27" s="265"/>
      <c r="V27" s="266"/>
      <c r="W27" s="266"/>
      <c r="X27" s="266"/>
    </row>
    <row r="28" spans="1:24" s="267" customFormat="1" ht="14.25" customHeight="1" outlineLevel="2">
      <c r="B28" s="263" t="s">
        <v>134</v>
      </c>
      <c r="C28" s="260" t="s">
        <v>135</v>
      </c>
      <c r="D28" s="261" t="s">
        <v>167</v>
      </c>
      <c r="E28" s="262" t="s">
        <v>168</v>
      </c>
      <c r="F28" s="262"/>
      <c r="G28" s="263" t="s">
        <v>138</v>
      </c>
      <c r="H28" s="263" t="str">
        <f>CONCATENATE("AR-",G28,"-",I28)</f>
        <v>AR-ST9-3</v>
      </c>
      <c r="I28" s="264">
        <v>3</v>
      </c>
      <c r="J28" s="265">
        <v>1</v>
      </c>
      <c r="K28" s="266"/>
      <c r="L28" s="281"/>
      <c r="M28" s="265"/>
      <c r="N28" s="281"/>
      <c r="O28" s="281"/>
      <c r="P28" s="281"/>
      <c r="Q28" s="265"/>
      <c r="V28" s="266"/>
      <c r="W28" s="266"/>
      <c r="X28" s="266"/>
    </row>
    <row r="29" spans="1:24" s="267" customFormat="1" ht="14.25" customHeight="1" outlineLevel="1">
      <c r="A29" s="259"/>
      <c r="B29" s="271" t="s">
        <v>169</v>
      </c>
      <c r="C29" s="260"/>
      <c r="D29" s="261"/>
      <c r="E29" s="262"/>
      <c r="F29" s="262"/>
      <c r="G29" s="263"/>
      <c r="H29" s="263"/>
      <c r="I29" s="264"/>
      <c r="J29" s="265"/>
      <c r="K29" s="266"/>
      <c r="L29" s="265"/>
      <c r="M29" s="265"/>
      <c r="N29" s="265"/>
      <c r="O29" s="265"/>
      <c r="P29" s="265"/>
      <c r="Q29" s="265"/>
      <c r="V29" s="266"/>
      <c r="W29" s="266"/>
      <c r="X29" s="266"/>
    </row>
    <row r="30" spans="1:24" s="267" customFormat="1" ht="13.5" customHeight="1" outlineLevel="2">
      <c r="B30" s="263" t="s">
        <v>134</v>
      </c>
      <c r="C30" s="260" t="s">
        <v>135</v>
      </c>
      <c r="D30" s="261" t="s">
        <v>170</v>
      </c>
      <c r="E30" s="262" t="s">
        <v>171</v>
      </c>
      <c r="F30" s="262"/>
      <c r="G30" s="263" t="s">
        <v>138</v>
      </c>
      <c r="H30" s="263" t="str">
        <f t="shared" ref="H30:H37" si="2">CONCATENATE("AR-",G30,"-",I30)</f>
        <v>AR-ST9-5</v>
      </c>
      <c r="I30" s="264">
        <v>5</v>
      </c>
      <c r="J30" s="277">
        <v>1</v>
      </c>
      <c r="K30" s="266"/>
      <c r="L30" s="277"/>
      <c r="M30" s="265"/>
      <c r="N30" s="277"/>
      <c r="O30" s="277"/>
      <c r="P30" s="277"/>
      <c r="Q30" s="265"/>
      <c r="V30" s="266"/>
      <c r="W30" s="266"/>
      <c r="X30" s="266"/>
    </row>
    <row r="31" spans="1:24" s="267" customFormat="1" ht="13.5" customHeight="1" outlineLevel="2">
      <c r="B31" s="263" t="s">
        <v>134</v>
      </c>
      <c r="C31" s="260" t="s">
        <v>135</v>
      </c>
      <c r="D31" s="261" t="s">
        <v>172</v>
      </c>
      <c r="E31" s="262" t="s">
        <v>173</v>
      </c>
      <c r="F31" s="262"/>
      <c r="G31" s="263" t="s">
        <v>138</v>
      </c>
      <c r="H31" s="263" t="str">
        <f t="shared" si="2"/>
        <v>AR-ST9-5</v>
      </c>
      <c r="I31" s="264">
        <v>5</v>
      </c>
      <c r="J31" s="277">
        <v>1</v>
      </c>
      <c r="K31" s="266"/>
      <c r="L31" s="277"/>
      <c r="M31" s="265"/>
      <c r="N31" s="277"/>
      <c r="O31" s="277"/>
      <c r="P31" s="277"/>
      <c r="Q31" s="265"/>
      <c r="V31" s="266"/>
      <c r="W31" s="266"/>
      <c r="X31" s="266"/>
    </row>
    <row r="32" spans="1:24" s="267" customFormat="1" ht="13.5" customHeight="1" outlineLevel="2">
      <c r="B32" s="263" t="s">
        <v>134</v>
      </c>
      <c r="C32" s="260" t="s">
        <v>135</v>
      </c>
      <c r="D32" s="261" t="s">
        <v>174</v>
      </c>
      <c r="E32" s="262" t="s">
        <v>175</v>
      </c>
      <c r="F32" s="262"/>
      <c r="G32" s="263" t="s">
        <v>138</v>
      </c>
      <c r="H32" s="263" t="str">
        <f t="shared" si="2"/>
        <v>AR-ST9-5</v>
      </c>
      <c r="I32" s="264">
        <v>5</v>
      </c>
      <c r="J32" s="277">
        <v>1</v>
      </c>
      <c r="K32" s="266"/>
      <c r="L32" s="277"/>
      <c r="M32" s="265"/>
      <c r="N32" s="277"/>
      <c r="O32" s="277"/>
      <c r="P32" s="277"/>
      <c r="Q32" s="265"/>
      <c r="V32" s="266"/>
      <c r="W32" s="266"/>
      <c r="X32" s="266"/>
    </row>
    <row r="33" spans="1:24" s="267" customFormat="1" ht="13.5" customHeight="1" outlineLevel="2">
      <c r="B33" s="263" t="s">
        <v>134</v>
      </c>
      <c r="C33" s="260" t="s">
        <v>135</v>
      </c>
      <c r="D33" s="261" t="s">
        <v>176</v>
      </c>
      <c r="E33" s="262" t="s">
        <v>177</v>
      </c>
      <c r="F33" s="262"/>
      <c r="G33" s="263" t="s">
        <v>138</v>
      </c>
      <c r="H33" s="263" t="str">
        <f t="shared" si="2"/>
        <v>AR-ST9-5</v>
      </c>
      <c r="I33" s="264">
        <v>5</v>
      </c>
      <c r="J33" s="277">
        <v>1</v>
      </c>
      <c r="K33" s="266"/>
      <c r="L33" s="277"/>
      <c r="M33" s="265"/>
      <c r="N33" s="277"/>
      <c r="O33" s="277"/>
      <c r="P33" s="277"/>
      <c r="Q33" s="265"/>
      <c r="V33" s="266"/>
      <c r="W33" s="266"/>
      <c r="X33" s="266"/>
    </row>
    <row r="34" spans="1:24" s="267" customFormat="1" ht="13.5" customHeight="1" outlineLevel="2">
      <c r="B34" s="263" t="s">
        <v>134</v>
      </c>
      <c r="C34" s="260" t="s">
        <v>135</v>
      </c>
      <c r="D34" s="261" t="s">
        <v>178</v>
      </c>
      <c r="E34" s="262" t="s">
        <v>179</v>
      </c>
      <c r="F34" s="262"/>
      <c r="G34" s="263" t="s">
        <v>138</v>
      </c>
      <c r="H34" s="263" t="str">
        <f t="shared" si="2"/>
        <v>AR-ST9-5</v>
      </c>
      <c r="I34" s="264">
        <v>5</v>
      </c>
      <c r="J34" s="277">
        <v>1</v>
      </c>
      <c r="K34" s="266" t="s">
        <v>180</v>
      </c>
      <c r="L34" s="277"/>
      <c r="M34" s="265"/>
      <c r="N34" s="277"/>
      <c r="O34" s="277"/>
      <c r="P34" s="277"/>
      <c r="Q34" s="265"/>
      <c r="V34" s="266"/>
      <c r="W34" s="266"/>
      <c r="X34" s="266"/>
    </row>
    <row r="35" spans="1:24" s="267" customFormat="1" ht="13.5" customHeight="1" outlineLevel="2">
      <c r="B35" s="263" t="s">
        <v>134</v>
      </c>
      <c r="C35" s="260" t="s">
        <v>135</v>
      </c>
      <c r="D35" s="261" t="s">
        <v>181</v>
      </c>
      <c r="E35" s="262" t="s">
        <v>182</v>
      </c>
      <c r="F35" s="262"/>
      <c r="G35" s="263" t="s">
        <v>138</v>
      </c>
      <c r="H35" s="263" t="str">
        <f t="shared" si="2"/>
        <v>AR-ST9-5</v>
      </c>
      <c r="I35" s="264">
        <v>5</v>
      </c>
      <c r="J35" s="277">
        <v>1</v>
      </c>
      <c r="K35" s="266"/>
      <c r="L35" s="277"/>
      <c r="M35" s="265"/>
      <c r="N35" s="277"/>
      <c r="O35" s="277"/>
      <c r="P35" s="277"/>
      <c r="Q35" s="265"/>
      <c r="V35" s="266"/>
      <c r="W35" s="266"/>
      <c r="X35" s="266"/>
    </row>
    <row r="36" spans="1:24" s="267" customFormat="1" ht="13.5" customHeight="1" outlineLevel="2">
      <c r="B36" s="263" t="s">
        <v>134</v>
      </c>
      <c r="C36" s="260" t="s">
        <v>135</v>
      </c>
      <c r="D36" s="261" t="s">
        <v>183</v>
      </c>
      <c r="E36" s="262" t="s">
        <v>184</v>
      </c>
      <c r="F36" s="262"/>
      <c r="G36" s="263" t="s">
        <v>138</v>
      </c>
      <c r="H36" s="263" t="str">
        <f t="shared" si="2"/>
        <v>AR-ST9-5</v>
      </c>
      <c r="I36" s="264">
        <v>5</v>
      </c>
      <c r="J36" s="277">
        <v>1</v>
      </c>
      <c r="K36" s="266"/>
      <c r="L36" s="277"/>
      <c r="M36" s="265"/>
      <c r="N36" s="277"/>
      <c r="O36" s="277"/>
      <c r="P36" s="277"/>
      <c r="Q36" s="265"/>
      <c r="V36" s="266"/>
      <c r="W36" s="266"/>
      <c r="X36" s="266"/>
    </row>
    <row r="37" spans="1:24" s="267" customFormat="1" ht="13.5" customHeight="1" outlineLevel="2">
      <c r="B37" s="263" t="s">
        <v>134</v>
      </c>
      <c r="C37" s="260" t="s">
        <v>135</v>
      </c>
      <c r="D37" s="261" t="s">
        <v>185</v>
      </c>
      <c r="E37" s="262" t="s">
        <v>186</v>
      </c>
      <c r="F37" s="262"/>
      <c r="G37" s="263" t="s">
        <v>138</v>
      </c>
      <c r="H37" s="263" t="str">
        <f t="shared" si="2"/>
        <v>AR-ST9-5</v>
      </c>
      <c r="I37" s="264">
        <v>5</v>
      </c>
      <c r="J37" s="277">
        <v>1</v>
      </c>
      <c r="K37" s="266" t="s">
        <v>187</v>
      </c>
      <c r="L37" s="277"/>
      <c r="M37" s="265"/>
      <c r="N37" s="277"/>
      <c r="O37" s="277"/>
      <c r="P37" s="277"/>
      <c r="Q37" s="265"/>
      <c r="V37" s="266"/>
      <c r="W37" s="266"/>
      <c r="X37" s="266"/>
    </row>
    <row r="38" spans="1:24" s="267" customFormat="1" ht="13.5" customHeight="1" outlineLevel="2">
      <c r="B38" s="263" t="s">
        <v>134</v>
      </c>
      <c r="C38" s="260" t="s">
        <v>135</v>
      </c>
      <c r="D38" s="261" t="s">
        <v>188</v>
      </c>
      <c r="E38" s="262" t="s">
        <v>189</v>
      </c>
      <c r="F38" s="262"/>
      <c r="G38" s="263" t="s">
        <v>138</v>
      </c>
      <c r="H38" s="263" t="str">
        <f t="shared" ref="H38" si="3">CONCATENATE("AR-",G38,"-",I38)</f>
        <v>AR-ST9-5</v>
      </c>
      <c r="I38" s="264">
        <v>5</v>
      </c>
      <c r="J38" s="277">
        <v>1</v>
      </c>
      <c r="K38" s="266"/>
      <c r="L38" s="277"/>
      <c r="M38" s="265"/>
      <c r="N38" s="277"/>
      <c r="O38" s="277"/>
      <c r="P38" s="277"/>
      <c r="Q38" s="265"/>
      <c r="V38" s="266"/>
      <c r="W38" s="266"/>
      <c r="X38" s="266"/>
    </row>
    <row r="39" spans="1:24" s="267" customFormat="1" ht="14.25" customHeight="1">
      <c r="A39" s="283" t="s">
        <v>190</v>
      </c>
      <c r="B39" s="487"/>
      <c r="C39" s="488"/>
      <c r="D39" s="489"/>
      <c r="E39" s="490"/>
      <c r="F39" s="287"/>
      <c r="G39" s="269" t="s">
        <v>121</v>
      </c>
      <c r="H39" s="269" t="s">
        <v>122</v>
      </c>
      <c r="I39" s="270" t="s">
        <v>123</v>
      </c>
      <c r="J39" s="265"/>
      <c r="K39" s="266"/>
      <c r="L39" s="265"/>
      <c r="M39" s="265"/>
      <c r="N39" s="265"/>
      <c r="O39" s="265"/>
      <c r="P39" s="265"/>
      <c r="Q39" s="265"/>
      <c r="V39" s="266"/>
      <c r="W39" s="266"/>
      <c r="X39" s="266"/>
    </row>
    <row r="40" spans="1:24" s="267" customFormat="1" ht="3" customHeight="1" outlineLevel="1">
      <c r="A40" s="288"/>
      <c r="B40" s="287"/>
      <c r="C40" s="285"/>
      <c r="D40" s="286"/>
      <c r="E40" s="287"/>
      <c r="F40" s="287"/>
      <c r="G40" s="269"/>
      <c r="H40" s="269"/>
      <c r="I40" s="270"/>
      <c r="J40" s="265"/>
      <c r="K40" s="266"/>
      <c r="L40" s="265"/>
      <c r="M40" s="265"/>
      <c r="N40" s="265"/>
      <c r="O40" s="265"/>
      <c r="P40" s="265"/>
      <c r="Q40" s="265"/>
      <c r="V40" s="266"/>
      <c r="W40" s="266"/>
      <c r="X40" s="266"/>
    </row>
    <row r="41" spans="1:24" s="267" customFormat="1" ht="13.5" customHeight="1" outlineLevel="1">
      <c r="B41" s="271" t="s">
        <v>191</v>
      </c>
      <c r="C41" s="273"/>
      <c r="D41" s="274"/>
      <c r="E41" s="275"/>
      <c r="F41" s="275"/>
      <c r="G41" s="269"/>
      <c r="H41" s="269"/>
      <c r="I41" s="270"/>
      <c r="J41" s="265"/>
      <c r="K41" s="266"/>
      <c r="L41" s="265"/>
      <c r="M41" s="265"/>
      <c r="N41" s="265"/>
      <c r="O41" s="265"/>
      <c r="P41" s="265"/>
      <c r="Q41" s="265"/>
      <c r="V41" s="266"/>
      <c r="W41" s="266"/>
      <c r="X41" s="266"/>
    </row>
    <row r="42" spans="1:24" s="267" customFormat="1" ht="13.5" customHeight="1" outlineLevel="1">
      <c r="B42" s="263" t="s">
        <v>134</v>
      </c>
      <c r="C42" s="260" t="s">
        <v>192</v>
      </c>
      <c r="D42" s="261" t="s">
        <v>193</v>
      </c>
      <c r="E42" s="289" t="s">
        <v>194</v>
      </c>
      <c r="F42" s="289"/>
      <c r="G42" s="263" t="s">
        <v>195</v>
      </c>
      <c r="H42" s="263" t="str">
        <f>CONCATENATE("AR-",G42,"-",I42)</f>
        <v>AR-T09-1</v>
      </c>
      <c r="I42" s="264">
        <v>1</v>
      </c>
      <c r="J42" s="265">
        <v>1</v>
      </c>
      <c r="K42" s="266"/>
      <c r="L42" s="265"/>
      <c r="M42" s="265"/>
      <c r="N42" s="265"/>
      <c r="O42" s="265"/>
      <c r="P42" s="265"/>
      <c r="Q42" s="265"/>
      <c r="V42" s="266"/>
      <c r="W42" s="266"/>
      <c r="X42" s="266"/>
    </row>
    <row r="43" spans="1:24" s="267" customFormat="1" ht="13.5" customHeight="1" outlineLevel="1">
      <c r="B43" s="263" t="s">
        <v>134</v>
      </c>
      <c r="C43" s="260" t="s">
        <v>192</v>
      </c>
      <c r="D43" s="261" t="s">
        <v>196</v>
      </c>
      <c r="E43" s="289" t="s">
        <v>197</v>
      </c>
      <c r="F43" s="289"/>
      <c r="G43" s="263" t="s">
        <v>195</v>
      </c>
      <c r="H43" s="263" t="str">
        <f>CONCATENATE("AR-",G43,"-",I43)</f>
        <v>AR-T09-1</v>
      </c>
      <c r="I43" s="264">
        <v>1</v>
      </c>
      <c r="J43" s="265">
        <v>1</v>
      </c>
      <c r="K43" s="266"/>
      <c r="L43" s="265"/>
      <c r="M43" s="265"/>
      <c r="N43" s="265"/>
      <c r="O43" s="265"/>
      <c r="P43" s="265"/>
      <c r="Q43" s="265"/>
      <c r="V43" s="266"/>
      <c r="W43" s="266"/>
      <c r="X43" s="266"/>
    </row>
    <row r="44" spans="1:24" s="267" customFormat="1" ht="3" customHeight="1" outlineLevel="1">
      <c r="B44" s="290"/>
      <c r="C44" s="273"/>
      <c r="D44" s="274"/>
      <c r="E44" s="291"/>
      <c r="F44" s="291"/>
      <c r="G44" s="263"/>
      <c r="H44" s="263"/>
      <c r="I44" s="264"/>
      <c r="J44" s="265"/>
      <c r="K44" s="266"/>
      <c r="L44" s="265"/>
      <c r="M44" s="265"/>
      <c r="N44" s="265"/>
      <c r="O44" s="265"/>
      <c r="P44" s="265"/>
      <c r="Q44" s="265"/>
      <c r="V44" s="266"/>
      <c r="W44" s="266"/>
      <c r="X44" s="266"/>
    </row>
    <row r="45" spans="1:24" s="267" customFormat="1" ht="13.5" customHeight="1" outlineLevel="1">
      <c r="B45" s="271" t="s">
        <v>198</v>
      </c>
      <c r="C45" s="273"/>
      <c r="D45" s="274"/>
      <c r="E45" s="275"/>
      <c r="F45" s="275"/>
      <c r="G45" s="263"/>
      <c r="H45" s="263"/>
      <c r="I45" s="264"/>
      <c r="J45" s="265"/>
      <c r="K45" s="266"/>
      <c r="L45" s="265"/>
      <c r="M45" s="265"/>
      <c r="N45" s="265"/>
      <c r="O45" s="265"/>
      <c r="P45" s="265"/>
      <c r="Q45" s="265"/>
      <c r="V45" s="266"/>
      <c r="W45" s="266"/>
      <c r="X45" s="266"/>
    </row>
    <row r="46" spans="1:24" s="267" customFormat="1" ht="13.5" customHeight="1" outlineLevel="1">
      <c r="B46" s="263" t="s">
        <v>134</v>
      </c>
      <c r="C46" s="260" t="s">
        <v>192</v>
      </c>
      <c r="D46" s="261" t="s">
        <v>199</v>
      </c>
      <c r="E46" s="289" t="s">
        <v>200</v>
      </c>
      <c r="F46" s="289"/>
      <c r="G46" s="263" t="s">
        <v>195</v>
      </c>
      <c r="H46" s="263" t="str">
        <f>CONCATENATE("AR-",G46,"-",I46)</f>
        <v>AR-T09-1</v>
      </c>
      <c r="I46" s="264">
        <v>1</v>
      </c>
      <c r="J46" s="265">
        <v>1</v>
      </c>
      <c r="K46" s="266"/>
      <c r="L46" s="265"/>
      <c r="M46" s="265"/>
      <c r="N46" s="265"/>
      <c r="O46" s="265"/>
      <c r="P46" s="265"/>
      <c r="Q46" s="265"/>
      <c r="V46" s="266"/>
      <c r="W46" s="266"/>
      <c r="X46" s="266"/>
    </row>
    <row r="47" spans="1:24" s="267" customFormat="1" ht="13.5" customHeight="1" outlineLevel="1">
      <c r="B47" s="263" t="s">
        <v>134</v>
      </c>
      <c r="C47" s="260" t="s">
        <v>192</v>
      </c>
      <c r="D47" s="261" t="s">
        <v>201</v>
      </c>
      <c r="E47" s="289" t="s">
        <v>202</v>
      </c>
      <c r="F47" s="289"/>
      <c r="G47" s="263" t="s">
        <v>195</v>
      </c>
      <c r="H47" s="263" t="str">
        <f>CONCATENATE("AR-",G47,"-",I47)</f>
        <v>AR-T09-1</v>
      </c>
      <c r="I47" s="264">
        <v>1</v>
      </c>
      <c r="J47" s="265">
        <v>1</v>
      </c>
      <c r="K47" s="266"/>
      <c r="L47" s="265"/>
      <c r="M47" s="265"/>
      <c r="N47" s="265"/>
      <c r="O47" s="265"/>
      <c r="P47" s="265"/>
      <c r="Q47" s="265"/>
      <c r="V47" s="266"/>
      <c r="W47" s="266"/>
      <c r="X47" s="266"/>
    </row>
    <row r="48" spans="1:24" s="267" customFormat="1" ht="13.5" customHeight="1" outlineLevel="1">
      <c r="B48" s="263" t="s">
        <v>134</v>
      </c>
      <c r="C48" s="260" t="s">
        <v>192</v>
      </c>
      <c r="D48" s="261" t="s">
        <v>203</v>
      </c>
      <c r="E48" s="289" t="s">
        <v>204</v>
      </c>
      <c r="F48" s="289"/>
      <c r="G48" s="263" t="s">
        <v>195</v>
      </c>
      <c r="H48" s="263" t="str">
        <f>CONCATENATE("AR-",G48,"-",I48)</f>
        <v>AR-T09-1</v>
      </c>
      <c r="I48" s="264">
        <v>1</v>
      </c>
      <c r="J48" s="265">
        <v>1</v>
      </c>
      <c r="K48" s="266"/>
      <c r="L48" s="265"/>
      <c r="M48" s="265"/>
      <c r="N48" s="265"/>
      <c r="O48" s="265"/>
      <c r="P48" s="265"/>
      <c r="Q48" s="265"/>
      <c r="V48" s="266"/>
      <c r="W48" s="266"/>
      <c r="X48" s="266"/>
    </row>
    <row r="49" spans="2:24" s="267" customFormat="1" ht="13.5" customHeight="1" outlineLevel="1">
      <c r="B49" s="263" t="s">
        <v>134</v>
      </c>
      <c r="C49" s="260" t="s">
        <v>192</v>
      </c>
      <c r="D49" s="261" t="s">
        <v>205</v>
      </c>
      <c r="E49" s="289" t="s">
        <v>206</v>
      </c>
      <c r="F49" s="289"/>
      <c r="G49" s="263" t="s">
        <v>195</v>
      </c>
      <c r="H49" s="263" t="str">
        <f>CONCATENATE("AR-",G49,"-",I49)</f>
        <v>AR-T09-1</v>
      </c>
      <c r="I49" s="264">
        <v>1</v>
      </c>
      <c r="J49" s="265">
        <v>1</v>
      </c>
      <c r="K49" s="266"/>
      <c r="L49" s="265"/>
      <c r="M49" s="265"/>
      <c r="N49" s="265"/>
      <c r="O49" s="265"/>
      <c r="P49" s="265"/>
      <c r="Q49" s="265"/>
      <c r="V49" s="266"/>
      <c r="W49" s="266"/>
      <c r="X49" s="266"/>
    </row>
    <row r="50" spans="2:24" s="267" customFormat="1" ht="13.5" customHeight="1" outlineLevel="1">
      <c r="B50" s="263" t="s">
        <v>134</v>
      </c>
      <c r="C50" s="260" t="s">
        <v>192</v>
      </c>
      <c r="D50" s="261" t="s">
        <v>207</v>
      </c>
      <c r="E50" s="289" t="s">
        <v>208</v>
      </c>
      <c r="F50" s="289"/>
      <c r="G50" s="263" t="s">
        <v>195</v>
      </c>
      <c r="H50" s="263" t="str">
        <f>CONCATENATE("AR-",G50,"-",I50)</f>
        <v>AR-T09-1</v>
      </c>
      <c r="I50" s="264">
        <v>1</v>
      </c>
      <c r="J50" s="265">
        <v>1</v>
      </c>
      <c r="K50" s="266"/>
      <c r="L50" s="265"/>
      <c r="M50" s="265"/>
      <c r="N50" s="265"/>
      <c r="O50" s="265"/>
      <c r="P50" s="265"/>
      <c r="Q50" s="265"/>
      <c r="V50" s="266"/>
      <c r="W50" s="266"/>
      <c r="X50" s="266"/>
    </row>
    <row r="51" spans="2:24" s="267" customFormat="1" ht="3" customHeight="1" outlineLevel="1">
      <c r="B51" s="290"/>
      <c r="C51" s="273"/>
      <c r="D51" s="274"/>
      <c r="E51" s="291"/>
      <c r="F51" s="291"/>
      <c r="G51" s="263"/>
      <c r="H51" s="263"/>
      <c r="I51" s="264"/>
      <c r="J51" s="265"/>
      <c r="K51" s="266"/>
      <c r="L51" s="265"/>
      <c r="M51" s="265"/>
      <c r="N51" s="265"/>
      <c r="O51" s="265"/>
      <c r="P51" s="265"/>
      <c r="Q51" s="265"/>
      <c r="V51" s="266"/>
      <c r="W51" s="266"/>
      <c r="X51" s="266"/>
    </row>
    <row r="52" spans="2:24" s="267" customFormat="1" ht="13.5" customHeight="1" outlineLevel="1">
      <c r="B52" s="271" t="s">
        <v>133</v>
      </c>
      <c r="C52" s="273"/>
      <c r="D52" s="274"/>
      <c r="E52" s="275"/>
      <c r="F52" s="275"/>
      <c r="G52" s="263"/>
      <c r="H52" s="263"/>
      <c r="I52" s="264"/>
      <c r="J52" s="265"/>
      <c r="K52" s="266"/>
      <c r="L52" s="265"/>
      <c r="M52" s="265"/>
      <c r="N52" s="265"/>
      <c r="O52" s="265"/>
      <c r="P52" s="265"/>
      <c r="Q52" s="265"/>
      <c r="V52" s="266"/>
      <c r="W52" s="266"/>
      <c r="X52" s="266"/>
    </row>
    <row r="53" spans="2:24" s="267" customFormat="1" ht="14.25" customHeight="1" outlineLevel="1">
      <c r="B53" s="263" t="s">
        <v>134</v>
      </c>
      <c r="C53" s="260" t="s">
        <v>192</v>
      </c>
      <c r="D53" s="261" t="s">
        <v>136</v>
      </c>
      <c r="E53" s="272" t="s">
        <v>209</v>
      </c>
      <c r="F53" s="272"/>
      <c r="G53" s="263" t="s">
        <v>195</v>
      </c>
      <c r="H53" s="263" t="str">
        <f t="shared" ref="H53:H60" si="4">CONCATENATE("AR-",G53,"-",I53)</f>
        <v>AR-T09-1</v>
      </c>
      <c r="I53" s="264">
        <v>1</v>
      </c>
      <c r="J53" s="265">
        <v>1</v>
      </c>
      <c r="K53" s="266"/>
      <c r="L53" s="265"/>
      <c r="M53" s="265"/>
      <c r="N53" s="265"/>
      <c r="O53" s="265"/>
      <c r="P53" s="265"/>
      <c r="Q53" s="265"/>
      <c r="V53" s="266"/>
      <c r="W53" s="266"/>
      <c r="X53" s="266"/>
    </row>
    <row r="54" spans="2:24" s="267" customFormat="1" ht="14.25" customHeight="1" outlineLevel="1">
      <c r="B54" s="263" t="s">
        <v>134</v>
      </c>
      <c r="C54" s="260" t="s">
        <v>192</v>
      </c>
      <c r="D54" s="261" t="s">
        <v>210</v>
      </c>
      <c r="E54" s="272" t="s">
        <v>211</v>
      </c>
      <c r="F54" s="272"/>
      <c r="G54" s="263" t="s">
        <v>195</v>
      </c>
      <c r="H54" s="263" t="str">
        <f t="shared" si="4"/>
        <v>AR-T09-2</v>
      </c>
      <c r="I54" s="264">
        <v>2</v>
      </c>
      <c r="J54" s="265">
        <v>1</v>
      </c>
      <c r="K54" s="266"/>
      <c r="L54" s="265"/>
      <c r="M54" s="265"/>
      <c r="N54" s="265"/>
      <c r="O54" s="265"/>
      <c r="P54" s="265"/>
      <c r="Q54" s="265"/>
      <c r="V54" s="266"/>
      <c r="W54" s="266"/>
      <c r="X54" s="266"/>
    </row>
    <row r="55" spans="2:24" s="267" customFormat="1" ht="14.25" customHeight="1" outlineLevel="1">
      <c r="B55" s="263" t="s">
        <v>134</v>
      </c>
      <c r="C55" s="260" t="s">
        <v>192</v>
      </c>
      <c r="D55" s="261" t="s">
        <v>139</v>
      </c>
      <c r="E55" s="272" t="s">
        <v>212</v>
      </c>
      <c r="F55" s="272"/>
      <c r="G55" s="263" t="s">
        <v>195</v>
      </c>
      <c r="H55" s="263" t="str">
        <f t="shared" si="4"/>
        <v>AR-T09-1</v>
      </c>
      <c r="I55" s="264">
        <v>1</v>
      </c>
      <c r="J55" s="265">
        <v>1</v>
      </c>
      <c r="K55" s="266"/>
      <c r="L55" s="265"/>
      <c r="M55" s="265"/>
      <c r="N55" s="265"/>
      <c r="O55" s="265"/>
      <c r="P55" s="265"/>
      <c r="Q55" s="265"/>
      <c r="V55" s="266"/>
      <c r="W55" s="266"/>
      <c r="X55" s="266"/>
    </row>
    <row r="56" spans="2:24" s="267" customFormat="1" ht="14.25" customHeight="1" outlineLevel="1">
      <c r="B56" s="263" t="s">
        <v>134</v>
      </c>
      <c r="C56" s="260" t="s">
        <v>192</v>
      </c>
      <c r="D56" s="261" t="s">
        <v>141</v>
      </c>
      <c r="E56" s="272" t="s">
        <v>213</v>
      </c>
      <c r="F56" s="272"/>
      <c r="G56" s="263" t="s">
        <v>195</v>
      </c>
      <c r="H56" s="263" t="str">
        <f t="shared" si="4"/>
        <v>AR-T09-1</v>
      </c>
      <c r="I56" s="264">
        <v>1</v>
      </c>
      <c r="J56" s="265">
        <v>1</v>
      </c>
      <c r="K56" s="266"/>
      <c r="L56" s="265"/>
      <c r="M56" s="265"/>
      <c r="N56" s="265"/>
      <c r="O56" s="265"/>
      <c r="P56" s="265"/>
      <c r="Q56" s="265"/>
      <c r="V56" s="266"/>
      <c r="W56" s="266"/>
      <c r="X56" s="266"/>
    </row>
    <row r="57" spans="2:24" s="267" customFormat="1" ht="14.25" customHeight="1" outlineLevel="1">
      <c r="B57" s="263" t="s">
        <v>134</v>
      </c>
      <c r="C57" s="260" t="s">
        <v>192</v>
      </c>
      <c r="D57" s="261" t="s">
        <v>214</v>
      </c>
      <c r="E57" s="272" t="s">
        <v>215</v>
      </c>
      <c r="F57" s="272"/>
      <c r="G57" s="263" t="s">
        <v>195</v>
      </c>
      <c r="H57" s="263" t="str">
        <f t="shared" si="4"/>
        <v>AR-T09-1</v>
      </c>
      <c r="I57" s="264">
        <v>1</v>
      </c>
      <c r="J57" s="265">
        <v>1</v>
      </c>
      <c r="K57" s="266"/>
      <c r="L57" s="265"/>
      <c r="M57" s="265"/>
      <c r="N57" s="265"/>
      <c r="O57" s="265"/>
      <c r="P57" s="265"/>
      <c r="Q57" s="265"/>
      <c r="V57" s="266"/>
      <c r="W57" s="266"/>
      <c r="X57" s="266"/>
    </row>
    <row r="58" spans="2:24" s="267" customFormat="1" ht="14.25" customHeight="1" outlineLevel="1">
      <c r="B58" s="263" t="s">
        <v>134</v>
      </c>
      <c r="C58" s="260" t="s">
        <v>192</v>
      </c>
      <c r="D58" s="261" t="s">
        <v>216</v>
      </c>
      <c r="E58" s="272" t="s">
        <v>217</v>
      </c>
      <c r="F58" s="272"/>
      <c r="G58" s="263" t="s">
        <v>195</v>
      </c>
      <c r="H58" s="263" t="str">
        <f t="shared" si="4"/>
        <v>AR-T09-1</v>
      </c>
      <c r="I58" s="264">
        <v>1</v>
      </c>
      <c r="J58" s="265">
        <v>1</v>
      </c>
      <c r="K58" s="266"/>
      <c r="L58" s="265"/>
      <c r="M58" s="265"/>
      <c r="N58" s="265"/>
      <c r="O58" s="265"/>
      <c r="P58" s="265"/>
      <c r="Q58" s="265"/>
      <c r="V58" s="266"/>
      <c r="W58" s="266"/>
      <c r="X58" s="266"/>
    </row>
    <row r="59" spans="2:24" s="267" customFormat="1" ht="14.25" customHeight="1" outlineLevel="1">
      <c r="B59" s="263" t="s">
        <v>134</v>
      </c>
      <c r="C59" s="260" t="s">
        <v>192</v>
      </c>
      <c r="D59" s="261" t="s">
        <v>218</v>
      </c>
      <c r="E59" s="272" t="s">
        <v>219</v>
      </c>
      <c r="F59" s="272"/>
      <c r="G59" s="263" t="s">
        <v>195</v>
      </c>
      <c r="H59" s="263" t="str">
        <f t="shared" si="4"/>
        <v>AR-T09-1</v>
      </c>
      <c r="I59" s="264">
        <v>1</v>
      </c>
      <c r="J59" s="265">
        <v>1</v>
      </c>
      <c r="K59" s="266"/>
      <c r="L59" s="265"/>
      <c r="M59" s="265"/>
      <c r="N59" s="265"/>
      <c r="O59" s="265"/>
      <c r="P59" s="265"/>
      <c r="Q59" s="265"/>
      <c r="V59" s="266"/>
      <c r="W59" s="266"/>
      <c r="X59" s="266"/>
    </row>
    <row r="60" spans="2:24" s="267" customFormat="1" ht="14.25" customHeight="1" outlineLevel="1">
      <c r="B60" s="263" t="s">
        <v>134</v>
      </c>
      <c r="C60" s="260" t="s">
        <v>192</v>
      </c>
      <c r="D60" s="261" t="s">
        <v>220</v>
      </c>
      <c r="E60" s="272" t="s">
        <v>221</v>
      </c>
      <c r="F60" s="272"/>
      <c r="G60" s="263" t="s">
        <v>195</v>
      </c>
      <c r="H60" s="263" t="str">
        <f t="shared" si="4"/>
        <v>AR-T09-1</v>
      </c>
      <c r="I60" s="264">
        <v>1</v>
      </c>
      <c r="J60" s="265">
        <v>1</v>
      </c>
      <c r="K60" s="266"/>
      <c r="L60" s="265"/>
      <c r="M60" s="265"/>
      <c r="N60" s="265"/>
      <c r="O60" s="265"/>
      <c r="P60" s="265"/>
      <c r="Q60" s="265"/>
      <c r="V60" s="266"/>
      <c r="W60" s="266"/>
      <c r="X60" s="266"/>
    </row>
    <row r="61" spans="2:24" s="267" customFormat="1" ht="3" customHeight="1" outlineLevel="1">
      <c r="B61" s="288"/>
      <c r="C61" s="260"/>
      <c r="D61" s="261"/>
      <c r="E61" s="262"/>
      <c r="F61" s="262"/>
      <c r="G61" s="263"/>
      <c r="H61" s="263"/>
      <c r="I61" s="264"/>
      <c r="J61" s="265"/>
      <c r="K61" s="266"/>
      <c r="L61" s="265"/>
      <c r="M61" s="265"/>
      <c r="N61" s="265"/>
      <c r="O61" s="265"/>
      <c r="P61" s="265"/>
      <c r="Q61" s="265"/>
      <c r="V61" s="266"/>
      <c r="W61" s="266"/>
      <c r="X61" s="266"/>
    </row>
    <row r="62" spans="2:24" s="267" customFormat="1" ht="13.5" customHeight="1" outlineLevel="1">
      <c r="B62" s="271" t="s">
        <v>148</v>
      </c>
      <c r="C62" s="273"/>
      <c r="D62" s="274"/>
      <c r="E62" s="275"/>
      <c r="F62" s="275"/>
      <c r="G62" s="263"/>
      <c r="H62" s="263"/>
      <c r="I62" s="264"/>
      <c r="J62" s="265"/>
      <c r="K62" s="266"/>
      <c r="L62" s="265"/>
      <c r="M62" s="265"/>
      <c r="N62" s="265"/>
      <c r="O62" s="265"/>
      <c r="P62" s="265"/>
      <c r="Q62" s="265"/>
      <c r="V62" s="266"/>
      <c r="W62" s="266"/>
      <c r="X62" s="266"/>
    </row>
    <row r="63" spans="2:24" s="267" customFormat="1" ht="14.25" customHeight="1" outlineLevel="1">
      <c r="B63" s="263" t="s">
        <v>134</v>
      </c>
      <c r="C63" s="260" t="s">
        <v>192</v>
      </c>
      <c r="D63" s="261" t="s">
        <v>149</v>
      </c>
      <c r="E63" s="262" t="s">
        <v>222</v>
      </c>
      <c r="F63" s="262"/>
      <c r="G63" s="263" t="s">
        <v>195</v>
      </c>
      <c r="H63" s="263" t="str">
        <f t="shared" ref="H63:H69" si="5">CONCATENATE("AR-",G63,"-",I63)</f>
        <v>AR-T09-3</v>
      </c>
      <c r="I63" s="264">
        <v>3</v>
      </c>
      <c r="J63" s="265">
        <v>1</v>
      </c>
      <c r="K63" s="266"/>
      <c r="L63" s="265"/>
      <c r="M63" s="265"/>
      <c r="N63" s="265"/>
      <c r="O63" s="265"/>
      <c r="P63" s="265"/>
      <c r="Q63" s="265"/>
      <c r="V63" s="266"/>
      <c r="W63" s="266"/>
      <c r="X63" s="266"/>
    </row>
    <row r="64" spans="2:24" s="267" customFormat="1" ht="14.25" customHeight="1" outlineLevel="1">
      <c r="B64" s="263" t="s">
        <v>134</v>
      </c>
      <c r="C64" s="260" t="s">
        <v>192</v>
      </c>
      <c r="D64" s="261" t="s">
        <v>223</v>
      </c>
      <c r="E64" s="262" t="s">
        <v>224</v>
      </c>
      <c r="F64" s="262"/>
      <c r="G64" s="263" t="s">
        <v>195</v>
      </c>
      <c r="H64" s="263" t="str">
        <f t="shared" si="5"/>
        <v>AR-T09-3</v>
      </c>
      <c r="I64" s="264">
        <v>3</v>
      </c>
      <c r="J64" s="265">
        <v>1</v>
      </c>
      <c r="K64" s="266"/>
      <c r="L64" s="265"/>
      <c r="M64" s="265"/>
      <c r="N64" s="265"/>
      <c r="O64" s="265"/>
      <c r="P64" s="265"/>
      <c r="Q64" s="265"/>
      <c r="V64" s="266"/>
      <c r="W64" s="266"/>
      <c r="X64" s="266"/>
    </row>
    <row r="65" spans="2:24" s="267" customFormat="1" ht="14.25" customHeight="1" outlineLevel="1">
      <c r="B65" s="263" t="s">
        <v>134</v>
      </c>
      <c r="C65" s="260" t="s">
        <v>192</v>
      </c>
      <c r="D65" s="261" t="s">
        <v>151</v>
      </c>
      <c r="E65" s="262" t="s">
        <v>225</v>
      </c>
      <c r="F65" s="262"/>
      <c r="G65" s="263" t="s">
        <v>195</v>
      </c>
      <c r="H65" s="263" t="str">
        <f t="shared" si="5"/>
        <v>AR-T09-7</v>
      </c>
      <c r="I65" s="264">
        <v>7</v>
      </c>
      <c r="J65" s="265">
        <v>1</v>
      </c>
      <c r="K65" s="266"/>
      <c r="L65" s="265"/>
      <c r="M65" s="265"/>
      <c r="N65" s="265"/>
      <c r="O65" s="265"/>
      <c r="P65" s="265"/>
      <c r="Q65" s="265"/>
      <c r="V65" s="266"/>
      <c r="W65" s="266"/>
      <c r="X65" s="266"/>
    </row>
    <row r="66" spans="2:24" s="267" customFormat="1" ht="14.25" customHeight="1" outlineLevel="1">
      <c r="B66" s="263" t="s">
        <v>134</v>
      </c>
      <c r="C66" s="260" t="s">
        <v>192</v>
      </c>
      <c r="D66" s="261" t="s">
        <v>153</v>
      </c>
      <c r="E66" s="262" t="s">
        <v>226</v>
      </c>
      <c r="F66" s="262"/>
      <c r="G66" s="263" t="s">
        <v>195</v>
      </c>
      <c r="H66" s="263" t="str">
        <f t="shared" si="5"/>
        <v>AR-T09-7</v>
      </c>
      <c r="I66" s="264">
        <v>7</v>
      </c>
      <c r="J66" s="265">
        <v>1</v>
      </c>
      <c r="K66" s="266"/>
      <c r="L66" s="265"/>
      <c r="M66" s="265"/>
      <c r="N66" s="265"/>
      <c r="O66" s="265"/>
      <c r="P66" s="265"/>
      <c r="Q66" s="265"/>
      <c r="V66" s="266"/>
      <c r="W66" s="266"/>
      <c r="X66" s="266"/>
    </row>
    <row r="67" spans="2:24" s="267" customFormat="1" ht="14.25" customHeight="1" outlineLevel="1">
      <c r="B67" s="263" t="s">
        <v>134</v>
      </c>
      <c r="C67" s="260" t="s">
        <v>192</v>
      </c>
      <c r="D67" s="261" t="s">
        <v>227</v>
      </c>
      <c r="E67" s="262" t="s">
        <v>228</v>
      </c>
      <c r="F67" s="262"/>
      <c r="G67" s="263" t="s">
        <v>195</v>
      </c>
      <c r="H67" s="263" t="str">
        <f t="shared" si="5"/>
        <v>AR-T09-7</v>
      </c>
      <c r="I67" s="264">
        <v>7</v>
      </c>
      <c r="J67" s="265">
        <v>1</v>
      </c>
      <c r="K67" s="266"/>
      <c r="L67" s="265"/>
      <c r="M67" s="265"/>
      <c r="N67" s="265"/>
      <c r="O67" s="265"/>
      <c r="P67" s="265"/>
      <c r="Q67" s="265"/>
      <c r="V67" s="266"/>
      <c r="W67" s="266"/>
      <c r="X67" s="266"/>
    </row>
    <row r="68" spans="2:24" s="267" customFormat="1" ht="14.25" customHeight="1" outlineLevel="1">
      <c r="B68" s="263" t="s">
        <v>134</v>
      </c>
      <c r="C68" s="260" t="s">
        <v>192</v>
      </c>
      <c r="D68" s="261" t="s">
        <v>229</v>
      </c>
      <c r="E68" s="262" t="s">
        <v>230</v>
      </c>
      <c r="F68" s="262"/>
      <c r="G68" s="263" t="s">
        <v>195</v>
      </c>
      <c r="H68" s="263" t="str">
        <f t="shared" si="5"/>
        <v>AR-T09-9</v>
      </c>
      <c r="I68" s="264">
        <v>9</v>
      </c>
      <c r="J68" s="265"/>
      <c r="K68" s="266"/>
      <c r="L68" s="277">
        <f t="shared" ref="L68:L69" si="6">M68</f>
        <v>1</v>
      </c>
      <c r="M68" s="265">
        <v>1</v>
      </c>
      <c r="N68" s="265"/>
      <c r="O68" s="265"/>
      <c r="P68" s="265"/>
      <c r="Q68" s="277">
        <f t="shared" ref="Q68" si="7">R68</f>
        <v>1</v>
      </c>
      <c r="R68" s="265">
        <v>1</v>
      </c>
      <c r="V68" s="266"/>
      <c r="W68" s="266"/>
      <c r="X68" s="266"/>
    </row>
    <row r="69" spans="2:24" s="267" customFormat="1" ht="14.25" customHeight="1" outlineLevel="1">
      <c r="B69" s="263" t="s">
        <v>134</v>
      </c>
      <c r="C69" s="260" t="s">
        <v>192</v>
      </c>
      <c r="D69" s="261" t="s">
        <v>231</v>
      </c>
      <c r="E69" s="262" t="s">
        <v>232</v>
      </c>
      <c r="F69" s="262"/>
      <c r="G69" s="263" t="s">
        <v>195</v>
      </c>
      <c r="H69" s="263" t="str">
        <f t="shared" si="5"/>
        <v>AR-T09-9</v>
      </c>
      <c r="I69" s="264">
        <v>9</v>
      </c>
      <c r="J69" s="265"/>
      <c r="K69" s="266"/>
      <c r="L69" s="277">
        <f t="shared" si="6"/>
        <v>1</v>
      </c>
      <c r="M69" s="265">
        <v>1</v>
      </c>
      <c r="N69" s="265"/>
      <c r="O69" s="265"/>
      <c r="P69" s="265"/>
      <c r="Q69" s="277">
        <v>1</v>
      </c>
      <c r="S69" s="277">
        <v>1</v>
      </c>
      <c r="V69" s="266"/>
      <c r="W69" s="266"/>
      <c r="X69" s="266"/>
    </row>
    <row r="70" spans="2:24" s="267" customFormat="1" ht="3" customHeight="1" outlineLevel="1">
      <c r="B70" s="288"/>
      <c r="C70" s="260"/>
      <c r="D70" s="261"/>
      <c r="E70" s="262"/>
      <c r="F70" s="262"/>
      <c r="G70" s="263"/>
      <c r="H70" s="263"/>
      <c r="I70" s="264"/>
      <c r="J70" s="265"/>
      <c r="K70" s="266"/>
      <c r="L70" s="265"/>
      <c r="M70" s="265"/>
      <c r="N70" s="265"/>
      <c r="O70" s="265"/>
      <c r="P70" s="265"/>
      <c r="Q70" s="265"/>
      <c r="V70" s="266"/>
      <c r="W70" s="266"/>
      <c r="X70" s="266"/>
    </row>
    <row r="71" spans="2:24" s="267" customFormat="1" ht="13.5" customHeight="1" outlineLevel="1">
      <c r="B71" s="271" t="s">
        <v>155</v>
      </c>
      <c r="C71" s="273"/>
      <c r="D71" s="274"/>
      <c r="E71" s="275"/>
      <c r="F71" s="275"/>
      <c r="G71" s="263"/>
      <c r="H71" s="263"/>
      <c r="I71" s="264"/>
      <c r="J71" s="265"/>
      <c r="K71" s="266"/>
      <c r="L71" s="265"/>
      <c r="M71" s="265"/>
      <c r="N71" s="265"/>
      <c r="O71" s="265"/>
      <c r="P71" s="265"/>
      <c r="Q71" s="265"/>
      <c r="V71" s="266"/>
      <c r="W71" s="266"/>
      <c r="X71" s="266"/>
    </row>
    <row r="72" spans="2:24" s="267" customFormat="1" ht="14.25" customHeight="1" outlineLevel="1">
      <c r="B72" s="263" t="s">
        <v>134</v>
      </c>
      <c r="C72" s="260" t="s">
        <v>192</v>
      </c>
      <c r="D72" s="261" t="s">
        <v>156</v>
      </c>
      <c r="E72" s="279" t="s">
        <v>233</v>
      </c>
      <c r="F72" s="279"/>
      <c r="G72" s="263" t="s">
        <v>195</v>
      </c>
      <c r="H72" s="263" t="str">
        <f t="shared" ref="H72:H79" si="8">CONCATENATE("AR-",G72,"-",I72)</f>
        <v>AR-T09-3</v>
      </c>
      <c r="I72" s="264">
        <v>3</v>
      </c>
      <c r="J72" s="265">
        <v>1</v>
      </c>
      <c r="K72" s="266"/>
      <c r="L72" s="265"/>
      <c r="M72" s="265"/>
      <c r="N72" s="265"/>
      <c r="O72" s="265"/>
      <c r="P72" s="265"/>
      <c r="Q72" s="265"/>
      <c r="V72" s="266"/>
      <c r="W72" s="266"/>
      <c r="X72" s="266"/>
    </row>
    <row r="73" spans="2:24" s="267" customFormat="1" ht="14.25" customHeight="1" outlineLevel="1">
      <c r="B73" s="263" t="s">
        <v>134</v>
      </c>
      <c r="C73" s="260" t="s">
        <v>192</v>
      </c>
      <c r="D73" s="261" t="s">
        <v>234</v>
      </c>
      <c r="E73" s="279" t="s">
        <v>235</v>
      </c>
      <c r="F73" s="279"/>
      <c r="G73" s="263" t="s">
        <v>195</v>
      </c>
      <c r="H73" s="263" t="str">
        <f t="shared" si="8"/>
        <v>AR-T09-3</v>
      </c>
      <c r="I73" s="264">
        <v>3</v>
      </c>
      <c r="J73" s="265">
        <v>1</v>
      </c>
      <c r="K73" s="266"/>
      <c r="L73" s="277"/>
      <c r="M73" s="265"/>
      <c r="N73" s="265"/>
      <c r="O73" s="265"/>
      <c r="P73" s="265"/>
      <c r="Q73" s="265"/>
      <c r="R73" s="265"/>
      <c r="V73" s="266"/>
      <c r="W73" s="266"/>
      <c r="X73" s="266"/>
    </row>
    <row r="74" spans="2:24" s="267" customFormat="1" ht="14.25" customHeight="1" outlineLevel="1">
      <c r="B74" s="263" t="s">
        <v>134</v>
      </c>
      <c r="C74" s="260" t="s">
        <v>192</v>
      </c>
      <c r="D74" s="261" t="s">
        <v>158</v>
      </c>
      <c r="E74" s="279" t="s">
        <v>236</v>
      </c>
      <c r="F74" s="279"/>
      <c r="G74" s="263" t="s">
        <v>195</v>
      </c>
      <c r="H74" s="263" t="str">
        <f t="shared" si="8"/>
        <v>AR-T09-7</v>
      </c>
      <c r="I74" s="264">
        <v>7</v>
      </c>
      <c r="J74" s="265">
        <v>1</v>
      </c>
      <c r="K74" s="266"/>
      <c r="L74" s="277"/>
      <c r="M74" s="265"/>
      <c r="N74" s="265"/>
      <c r="O74" s="265"/>
      <c r="P74" s="265"/>
      <c r="Q74" s="265"/>
      <c r="R74" s="265"/>
      <c r="V74" s="266"/>
      <c r="W74" s="266"/>
      <c r="X74" s="266"/>
    </row>
    <row r="75" spans="2:24" s="267" customFormat="1" ht="14.25" customHeight="1" outlineLevel="1">
      <c r="B75" s="263" t="s">
        <v>134</v>
      </c>
      <c r="C75" s="260" t="s">
        <v>192</v>
      </c>
      <c r="D75" s="261" t="s">
        <v>160</v>
      </c>
      <c r="E75" s="279" t="s">
        <v>237</v>
      </c>
      <c r="F75" s="279"/>
      <c r="G75" s="263" t="s">
        <v>195</v>
      </c>
      <c r="H75" s="263" t="str">
        <f t="shared" si="8"/>
        <v>AR-T09-7</v>
      </c>
      <c r="I75" s="264">
        <v>7</v>
      </c>
      <c r="J75" s="265">
        <v>1</v>
      </c>
      <c r="K75" s="266"/>
      <c r="L75" s="277"/>
      <c r="M75" s="265"/>
      <c r="N75" s="265"/>
      <c r="O75" s="265"/>
      <c r="P75" s="265"/>
      <c r="Q75" s="265"/>
      <c r="R75" s="265"/>
      <c r="V75" s="266"/>
      <c r="W75" s="266"/>
      <c r="X75" s="266"/>
    </row>
    <row r="76" spans="2:24" s="267" customFormat="1" ht="14.25" customHeight="1" outlineLevel="1">
      <c r="B76" s="263" t="s">
        <v>134</v>
      </c>
      <c r="C76" s="260" t="s">
        <v>192</v>
      </c>
      <c r="D76" s="261" t="s">
        <v>238</v>
      </c>
      <c r="E76" s="279" t="s">
        <v>239</v>
      </c>
      <c r="F76" s="279"/>
      <c r="G76" s="263" t="s">
        <v>195</v>
      </c>
      <c r="H76" s="263" t="str">
        <f t="shared" si="8"/>
        <v>AR-T09-7</v>
      </c>
      <c r="I76" s="264">
        <v>7</v>
      </c>
      <c r="J76" s="265"/>
      <c r="K76" s="266"/>
      <c r="L76" s="265">
        <v>1</v>
      </c>
      <c r="M76" s="265">
        <v>1</v>
      </c>
      <c r="N76" s="265"/>
      <c r="O76" s="265"/>
      <c r="P76" s="265"/>
      <c r="Q76" s="265">
        <v>1</v>
      </c>
      <c r="R76" s="265"/>
      <c r="S76" s="265">
        <v>1</v>
      </c>
      <c r="V76" s="266"/>
      <c r="W76" s="266"/>
      <c r="X76" s="266"/>
    </row>
    <row r="77" spans="2:24" s="267" customFormat="1" ht="14.25" customHeight="1" outlineLevel="1">
      <c r="B77" s="263" t="s">
        <v>134</v>
      </c>
      <c r="C77" s="260" t="s">
        <v>192</v>
      </c>
      <c r="D77" s="261" t="s">
        <v>240</v>
      </c>
      <c r="E77" s="279" t="s">
        <v>241</v>
      </c>
      <c r="F77" s="279"/>
      <c r="G77" s="263" t="s">
        <v>195</v>
      </c>
      <c r="H77" s="263" t="str">
        <f t="shared" ref="H77" si="9">CONCATENATE("AR-",G77,"-",I77)</f>
        <v>AR-T09-7</v>
      </c>
      <c r="I77" s="264">
        <v>7</v>
      </c>
      <c r="J77" s="265"/>
      <c r="K77" s="266"/>
      <c r="L77" s="265">
        <v>1</v>
      </c>
      <c r="M77" s="265">
        <v>1</v>
      </c>
      <c r="N77" s="265"/>
      <c r="O77" s="265"/>
      <c r="P77" s="265"/>
      <c r="Q77" s="265">
        <v>1</v>
      </c>
      <c r="R77" s="265"/>
      <c r="S77" s="265">
        <v>1</v>
      </c>
      <c r="V77" s="266"/>
      <c r="W77" s="266"/>
      <c r="X77" s="266"/>
    </row>
    <row r="78" spans="2:24" s="267" customFormat="1" ht="14.25" customHeight="1" outlineLevel="1">
      <c r="B78" s="263" t="s">
        <v>134</v>
      </c>
      <c r="C78" s="260" t="s">
        <v>192</v>
      </c>
      <c r="D78" s="261" t="s">
        <v>242</v>
      </c>
      <c r="E78" s="279" t="s">
        <v>243</v>
      </c>
      <c r="F78" s="279"/>
      <c r="G78" s="263" t="s">
        <v>195</v>
      </c>
      <c r="H78" s="263" t="str">
        <f t="shared" si="8"/>
        <v>AR-T09-9</v>
      </c>
      <c r="I78" s="264">
        <v>9</v>
      </c>
      <c r="J78" s="265"/>
      <c r="K78" s="266"/>
      <c r="L78" s="277">
        <f t="shared" ref="L78:L79" si="10">M78</f>
        <v>1</v>
      </c>
      <c r="M78" s="265">
        <v>1</v>
      </c>
      <c r="N78" s="265"/>
      <c r="O78" s="265"/>
      <c r="P78" s="265"/>
      <c r="Q78" s="277">
        <f t="shared" ref="Q78" si="11">R78</f>
        <v>1</v>
      </c>
      <c r="R78" s="265">
        <v>1</v>
      </c>
      <c r="V78" s="266"/>
      <c r="W78" s="266"/>
      <c r="X78" s="266"/>
    </row>
    <row r="79" spans="2:24" s="267" customFormat="1" ht="14.25" customHeight="1" outlineLevel="1">
      <c r="B79" s="263" t="s">
        <v>134</v>
      </c>
      <c r="C79" s="260" t="s">
        <v>192</v>
      </c>
      <c r="D79" s="261" t="s">
        <v>244</v>
      </c>
      <c r="E79" s="279" t="s">
        <v>245</v>
      </c>
      <c r="F79" s="279"/>
      <c r="G79" s="263" t="s">
        <v>195</v>
      </c>
      <c r="H79" s="263" t="str">
        <f t="shared" si="8"/>
        <v>AR-T09-9</v>
      </c>
      <c r="I79" s="264">
        <v>9</v>
      </c>
      <c r="J79" s="265"/>
      <c r="K79" s="266"/>
      <c r="L79" s="277">
        <f t="shared" si="10"/>
        <v>1</v>
      </c>
      <c r="M79" s="265">
        <v>1</v>
      </c>
      <c r="N79" s="265"/>
      <c r="O79" s="265"/>
      <c r="P79" s="265"/>
      <c r="Q79" s="265">
        <v>1</v>
      </c>
      <c r="S79" s="265">
        <v>1</v>
      </c>
      <c r="V79" s="266"/>
      <c r="W79" s="266"/>
      <c r="X79" s="266"/>
    </row>
    <row r="80" spans="2:24" s="267" customFormat="1" ht="3" customHeight="1" outlineLevel="1">
      <c r="B80" s="288"/>
      <c r="C80" s="260"/>
      <c r="D80" s="261"/>
      <c r="E80" s="262"/>
      <c r="F80" s="262"/>
      <c r="G80" s="263"/>
      <c r="H80" s="263"/>
      <c r="I80" s="264"/>
      <c r="J80" s="265"/>
      <c r="K80" s="266"/>
      <c r="L80" s="265"/>
      <c r="M80" s="265"/>
      <c r="N80" s="265"/>
      <c r="O80" s="265"/>
      <c r="P80" s="265"/>
      <c r="Q80" s="265"/>
      <c r="V80" s="266"/>
      <c r="W80" s="266"/>
      <c r="X80" s="266"/>
    </row>
    <row r="81" spans="2:24" s="267" customFormat="1" ht="13.5" customHeight="1" outlineLevel="1">
      <c r="B81" s="271" t="s">
        <v>162</v>
      </c>
      <c r="C81" s="273"/>
      <c r="D81" s="274"/>
      <c r="E81" s="275"/>
      <c r="F81" s="275"/>
      <c r="G81" s="263"/>
      <c r="H81" s="263"/>
      <c r="I81" s="264"/>
      <c r="J81" s="265"/>
      <c r="K81" s="266"/>
      <c r="L81" s="265"/>
      <c r="M81" s="265"/>
      <c r="N81" s="265"/>
      <c r="O81" s="265"/>
      <c r="P81" s="265"/>
      <c r="Q81" s="265"/>
      <c r="V81" s="266"/>
      <c r="W81" s="266"/>
      <c r="X81" s="266"/>
    </row>
    <row r="82" spans="2:24" s="267" customFormat="1" ht="14.25" customHeight="1" outlineLevel="1">
      <c r="B82" s="263" t="s">
        <v>134</v>
      </c>
      <c r="C82" s="260" t="s">
        <v>192</v>
      </c>
      <c r="D82" s="261" t="s">
        <v>163</v>
      </c>
      <c r="E82" s="262" t="s">
        <v>246</v>
      </c>
      <c r="F82" s="262"/>
      <c r="G82" s="263" t="s">
        <v>195</v>
      </c>
      <c r="H82" s="263" t="str">
        <f t="shared" ref="H82:H88" si="12">CONCATENATE("AR-",G82,"-",I82)</f>
        <v>AR-T09-4</v>
      </c>
      <c r="I82" s="264">
        <v>4</v>
      </c>
      <c r="J82" s="265">
        <v>1</v>
      </c>
      <c r="K82" s="266"/>
      <c r="L82" s="277"/>
      <c r="M82" s="265"/>
      <c r="N82" s="281"/>
      <c r="O82" s="281"/>
      <c r="P82" s="281"/>
      <c r="Q82" s="265"/>
      <c r="R82" s="265"/>
      <c r="V82" s="266"/>
      <c r="W82" s="266"/>
      <c r="X82" s="266"/>
    </row>
    <row r="83" spans="2:24" s="267" customFormat="1" ht="14.25" customHeight="1" outlineLevel="1">
      <c r="B83" s="263" t="s">
        <v>134</v>
      </c>
      <c r="C83" s="260" t="s">
        <v>192</v>
      </c>
      <c r="D83" s="261" t="s">
        <v>247</v>
      </c>
      <c r="E83" s="262" t="s">
        <v>248</v>
      </c>
      <c r="F83" s="262"/>
      <c r="G83" s="263" t="s">
        <v>195</v>
      </c>
      <c r="H83" s="263" t="str">
        <f t="shared" si="12"/>
        <v>AR-T09-4</v>
      </c>
      <c r="I83" s="264">
        <v>4</v>
      </c>
      <c r="J83" s="265">
        <v>1</v>
      </c>
      <c r="K83" s="266"/>
      <c r="L83" s="277"/>
      <c r="M83" s="265"/>
      <c r="N83" s="281"/>
      <c r="O83" s="281"/>
      <c r="P83" s="281"/>
      <c r="Q83" s="265"/>
      <c r="R83" s="265"/>
      <c r="V83" s="266"/>
      <c r="W83" s="266"/>
      <c r="X83" s="266"/>
    </row>
    <row r="84" spans="2:24" s="267" customFormat="1" ht="14.25" customHeight="1" outlineLevel="1">
      <c r="B84" s="263" t="s">
        <v>134</v>
      </c>
      <c r="C84" s="260" t="s">
        <v>192</v>
      </c>
      <c r="D84" s="261" t="s">
        <v>165</v>
      </c>
      <c r="E84" s="262" t="s">
        <v>249</v>
      </c>
      <c r="F84" s="262"/>
      <c r="G84" s="263" t="s">
        <v>195</v>
      </c>
      <c r="H84" s="263" t="str">
        <f t="shared" si="12"/>
        <v>AR-T09-5</v>
      </c>
      <c r="I84" s="264">
        <v>5</v>
      </c>
      <c r="J84" s="265">
        <v>1</v>
      </c>
      <c r="K84" s="266"/>
      <c r="L84" s="277"/>
      <c r="M84" s="265"/>
      <c r="N84" s="281"/>
      <c r="O84" s="281"/>
      <c r="P84" s="281"/>
      <c r="Q84" s="265"/>
      <c r="R84" s="265"/>
      <c r="V84" s="266"/>
      <c r="W84" s="266"/>
      <c r="X84" s="266"/>
    </row>
    <row r="85" spans="2:24" s="267" customFormat="1" ht="14.25" customHeight="1" outlineLevel="1">
      <c r="B85" s="263" t="s">
        <v>134</v>
      </c>
      <c r="C85" s="260" t="s">
        <v>192</v>
      </c>
      <c r="D85" s="261" t="s">
        <v>167</v>
      </c>
      <c r="E85" s="262" t="s">
        <v>250</v>
      </c>
      <c r="F85" s="262"/>
      <c r="G85" s="263" t="s">
        <v>195</v>
      </c>
      <c r="H85" s="263" t="str">
        <f t="shared" si="12"/>
        <v>AR-T09-6</v>
      </c>
      <c r="I85" s="264">
        <v>6</v>
      </c>
      <c r="J85" s="265">
        <v>1</v>
      </c>
      <c r="K85" s="266"/>
      <c r="L85" s="277"/>
      <c r="M85" s="265"/>
      <c r="N85" s="281"/>
      <c r="O85" s="281"/>
      <c r="P85" s="281"/>
      <c r="Q85" s="265"/>
      <c r="R85" s="265"/>
      <c r="V85" s="266"/>
      <c r="W85" s="266"/>
      <c r="X85" s="266"/>
    </row>
    <row r="86" spans="2:24" s="267" customFormat="1" ht="14.25" customHeight="1" outlineLevel="1">
      <c r="B86" s="263" t="s">
        <v>134</v>
      </c>
      <c r="C86" s="260" t="s">
        <v>192</v>
      </c>
      <c r="D86" s="261" t="s">
        <v>251</v>
      </c>
      <c r="E86" s="262" t="s">
        <v>252</v>
      </c>
      <c r="F86" s="262"/>
      <c r="G86" s="263" t="s">
        <v>195</v>
      </c>
      <c r="H86" s="263" t="str">
        <f t="shared" si="12"/>
        <v>AR-T09-8</v>
      </c>
      <c r="I86" s="264">
        <v>8</v>
      </c>
      <c r="K86" s="266"/>
      <c r="L86" s="277">
        <f t="shared" ref="L86:L87" si="13">M86</f>
        <v>1</v>
      </c>
      <c r="M86" s="265">
        <v>1</v>
      </c>
      <c r="N86" s="265"/>
      <c r="O86" s="281"/>
      <c r="P86" s="281"/>
      <c r="Q86" s="277">
        <f t="shared" ref="Q86:Q87" si="14">R86</f>
        <v>1</v>
      </c>
      <c r="R86" s="265">
        <v>1</v>
      </c>
      <c r="V86" s="266"/>
      <c r="W86" s="266"/>
      <c r="X86" s="266"/>
    </row>
    <row r="87" spans="2:24" s="267" customFormat="1" ht="14.25" customHeight="1" outlineLevel="1">
      <c r="B87" s="263" t="s">
        <v>134</v>
      </c>
      <c r="C87" s="260" t="s">
        <v>192</v>
      </c>
      <c r="D87" s="261" t="s">
        <v>253</v>
      </c>
      <c r="E87" s="262" t="s">
        <v>254</v>
      </c>
      <c r="F87" s="262"/>
      <c r="G87" s="263" t="s">
        <v>195</v>
      </c>
      <c r="H87" s="263" t="str">
        <f t="shared" si="12"/>
        <v>AR-T09-9</v>
      </c>
      <c r="I87" s="264">
        <v>9</v>
      </c>
      <c r="J87" s="265"/>
      <c r="K87" s="266"/>
      <c r="L87" s="277">
        <f t="shared" si="13"/>
        <v>1</v>
      </c>
      <c r="M87" s="265">
        <v>1</v>
      </c>
      <c r="N87" s="265"/>
      <c r="O87" s="265"/>
      <c r="P87" s="265"/>
      <c r="Q87" s="277">
        <f t="shared" si="14"/>
        <v>1</v>
      </c>
      <c r="R87" s="265">
        <v>1</v>
      </c>
      <c r="V87" s="266"/>
      <c r="W87" s="266"/>
      <c r="X87" s="266"/>
    </row>
    <row r="88" spans="2:24" s="267" customFormat="1" ht="14.25" customHeight="1" outlineLevel="1">
      <c r="B88" s="263" t="s">
        <v>134</v>
      </c>
      <c r="C88" s="260" t="s">
        <v>192</v>
      </c>
      <c r="D88" s="261" t="s">
        <v>255</v>
      </c>
      <c r="E88" s="262" t="s">
        <v>256</v>
      </c>
      <c r="F88" s="262"/>
      <c r="G88" s="263" t="s">
        <v>195</v>
      </c>
      <c r="H88" s="263" t="str">
        <f t="shared" si="12"/>
        <v>AR-T09-NA</v>
      </c>
      <c r="I88" s="264" t="s">
        <v>257</v>
      </c>
      <c r="J88" s="265"/>
      <c r="K88" s="266"/>
      <c r="L88" s="277"/>
      <c r="M88" s="265"/>
      <c r="N88" s="265"/>
      <c r="O88" s="265"/>
      <c r="P88" s="265"/>
      <c r="Q88" s="265"/>
      <c r="V88" s="266"/>
      <c r="W88" s="266"/>
      <c r="X88" s="266"/>
    </row>
    <row r="89" spans="2:24" s="267" customFormat="1" ht="3" customHeight="1" outlineLevel="1">
      <c r="B89" s="288"/>
      <c r="C89" s="260"/>
      <c r="D89" s="261"/>
      <c r="E89" s="262"/>
      <c r="F89" s="262"/>
      <c r="G89" s="263"/>
      <c r="H89" s="263"/>
      <c r="I89" s="264"/>
      <c r="J89" s="265"/>
      <c r="K89" s="266"/>
      <c r="L89" s="265"/>
      <c r="M89" s="265"/>
      <c r="N89" s="265"/>
      <c r="O89" s="265"/>
      <c r="P89" s="265"/>
      <c r="Q89" s="265"/>
      <c r="V89" s="266"/>
      <c r="W89" s="266"/>
      <c r="X89" s="266"/>
    </row>
    <row r="90" spans="2:24" s="267" customFormat="1" ht="13.5" customHeight="1" outlineLevel="1">
      <c r="B90" s="271" t="s">
        <v>258</v>
      </c>
      <c r="C90" s="273"/>
      <c r="D90" s="274"/>
      <c r="E90" s="275"/>
      <c r="F90" s="275"/>
      <c r="G90" s="263"/>
      <c r="H90" s="263"/>
      <c r="I90" s="264"/>
      <c r="J90" s="265"/>
      <c r="K90" s="266"/>
      <c r="L90" s="265"/>
      <c r="M90" s="265"/>
      <c r="N90" s="265"/>
      <c r="O90" s="265"/>
      <c r="P90" s="265"/>
      <c r="Q90" s="265"/>
      <c r="V90" s="266"/>
      <c r="W90" s="266"/>
      <c r="X90" s="266"/>
    </row>
    <row r="91" spans="2:24" s="267" customFormat="1" ht="14.25" customHeight="1" outlineLevel="1">
      <c r="B91" s="263" t="s">
        <v>134</v>
      </c>
      <c r="C91" s="260" t="s">
        <v>192</v>
      </c>
      <c r="D91" s="261" t="s">
        <v>259</v>
      </c>
      <c r="E91" s="262" t="s">
        <v>260</v>
      </c>
      <c r="F91" s="262"/>
      <c r="G91" s="263" t="s">
        <v>195</v>
      </c>
      <c r="H91" s="263" t="str">
        <f>CONCATENATE("AR-",G91,"-",I91)</f>
        <v>AR-T09-1</v>
      </c>
      <c r="I91" s="264">
        <v>1</v>
      </c>
      <c r="J91" s="265">
        <v>1</v>
      </c>
      <c r="K91" s="266"/>
      <c r="L91" s="265"/>
      <c r="M91" s="265"/>
      <c r="N91" s="265"/>
      <c r="O91" s="265"/>
      <c r="P91" s="265"/>
      <c r="Q91" s="265"/>
      <c r="V91" s="266"/>
      <c r="W91" s="266"/>
      <c r="X91" s="266"/>
    </row>
    <row r="92" spans="2:24" s="267" customFormat="1" ht="14.25" customHeight="1" outlineLevel="1">
      <c r="B92" s="263" t="s">
        <v>134</v>
      </c>
      <c r="C92" s="260" t="s">
        <v>192</v>
      </c>
      <c r="D92" s="261" t="s">
        <v>261</v>
      </c>
      <c r="E92" s="262" t="s">
        <v>262</v>
      </c>
      <c r="F92" s="262"/>
      <c r="G92" s="263" t="s">
        <v>195</v>
      </c>
      <c r="H92" s="263" t="str">
        <f>CONCATENATE("AR-",G92,"-",I92)</f>
        <v>AR-T09-1</v>
      </c>
      <c r="I92" s="264">
        <v>1</v>
      </c>
      <c r="J92" s="265">
        <v>1</v>
      </c>
      <c r="K92" s="266"/>
      <c r="L92" s="265"/>
      <c r="M92" s="265"/>
      <c r="N92" s="265"/>
      <c r="O92" s="265"/>
      <c r="P92" s="265"/>
      <c r="Q92" s="265"/>
      <c r="V92" s="266"/>
      <c r="W92" s="266"/>
      <c r="X92" s="266"/>
    </row>
    <row r="93" spans="2:24" s="267" customFormat="1" ht="3" customHeight="1" outlineLevel="1">
      <c r="B93" s="259"/>
      <c r="C93" s="260"/>
      <c r="D93" s="261"/>
      <c r="E93" s="262"/>
      <c r="F93" s="262"/>
      <c r="G93" s="263"/>
      <c r="H93" s="263"/>
      <c r="I93" s="264"/>
      <c r="J93" s="265"/>
      <c r="K93" s="266"/>
      <c r="L93" s="265"/>
      <c r="M93" s="265"/>
      <c r="N93" s="265"/>
      <c r="O93" s="265"/>
      <c r="P93" s="265"/>
      <c r="Q93" s="265"/>
      <c r="V93" s="266"/>
      <c r="W93" s="266"/>
      <c r="X93" s="266"/>
    </row>
    <row r="94" spans="2:24" s="267" customFormat="1" ht="13.5" customHeight="1" outlineLevel="1">
      <c r="B94" s="271" t="s">
        <v>263</v>
      </c>
      <c r="C94" s="273"/>
      <c r="D94" s="274"/>
      <c r="E94" s="275"/>
      <c r="F94" s="275"/>
      <c r="G94" s="263"/>
      <c r="H94" s="263"/>
      <c r="I94" s="264"/>
      <c r="J94" s="265"/>
      <c r="K94" s="266"/>
      <c r="L94" s="265"/>
      <c r="M94" s="265"/>
      <c r="N94" s="265"/>
      <c r="O94" s="265"/>
      <c r="P94" s="265"/>
      <c r="Q94" s="265"/>
      <c r="V94" s="266"/>
      <c r="W94" s="266"/>
      <c r="X94" s="266"/>
    </row>
    <row r="95" spans="2:24" s="267" customFormat="1" ht="14.25" customHeight="1" outlineLevel="1">
      <c r="B95" s="263" t="s">
        <v>134</v>
      </c>
      <c r="C95" s="260" t="s">
        <v>192</v>
      </c>
      <c r="D95" s="261" t="s">
        <v>264</v>
      </c>
      <c r="E95" s="262" t="s">
        <v>265</v>
      </c>
      <c r="F95" s="262"/>
      <c r="G95" s="263" t="s">
        <v>195</v>
      </c>
      <c r="H95" s="263" t="str">
        <f>CONCATENATE("AR-",G95,"-",I95)</f>
        <v>AR-T09-1</v>
      </c>
      <c r="I95" s="264">
        <v>1</v>
      </c>
      <c r="J95" s="265">
        <v>1</v>
      </c>
      <c r="K95" s="266"/>
      <c r="L95" s="265"/>
      <c r="M95" s="265"/>
      <c r="N95" s="265"/>
      <c r="O95" s="265"/>
      <c r="P95" s="265"/>
      <c r="Q95" s="265"/>
      <c r="V95" s="266"/>
      <c r="W95" s="266"/>
      <c r="X95" s="266"/>
    </row>
    <row r="96" spans="2:24" s="267" customFormat="1" ht="14.25" customHeight="1" outlineLevel="1">
      <c r="B96" s="263" t="s">
        <v>134</v>
      </c>
      <c r="C96" s="260" t="s">
        <v>192</v>
      </c>
      <c r="D96" s="261" t="s">
        <v>266</v>
      </c>
      <c r="E96" s="262" t="s">
        <v>267</v>
      </c>
      <c r="F96" s="262"/>
      <c r="G96" s="263" t="s">
        <v>195</v>
      </c>
      <c r="H96" s="263" t="str">
        <f>CONCATENATE("AR-",G96,"-",I96)</f>
        <v>AR-T09-1</v>
      </c>
      <c r="I96" s="264">
        <v>1</v>
      </c>
      <c r="J96" s="265">
        <v>1</v>
      </c>
      <c r="K96" s="266"/>
      <c r="L96" s="265"/>
      <c r="M96" s="265"/>
      <c r="N96" s="265"/>
      <c r="O96" s="265"/>
      <c r="P96" s="265"/>
      <c r="Q96" s="265"/>
      <c r="V96" s="266"/>
      <c r="W96" s="266"/>
      <c r="X96" s="266"/>
    </row>
    <row r="97" spans="2:24" s="267" customFormat="1" ht="3" customHeight="1" outlineLevel="1">
      <c r="B97" s="288"/>
      <c r="C97" s="260"/>
      <c r="D97" s="261"/>
      <c r="E97" s="262"/>
      <c r="F97" s="262"/>
      <c r="G97" s="263"/>
      <c r="H97" s="263"/>
      <c r="I97" s="264"/>
      <c r="J97" s="265"/>
      <c r="K97" s="266"/>
      <c r="L97" s="265"/>
      <c r="M97" s="265"/>
      <c r="N97" s="265"/>
      <c r="O97" s="265"/>
      <c r="P97" s="265"/>
      <c r="Q97" s="265"/>
      <c r="V97" s="266"/>
      <c r="W97" s="266"/>
      <c r="X97" s="266"/>
    </row>
    <row r="98" spans="2:24" s="267" customFormat="1" ht="13.5" customHeight="1" outlineLevel="1">
      <c r="B98" s="271" t="s">
        <v>169</v>
      </c>
      <c r="C98" s="273"/>
      <c r="D98" s="274"/>
      <c r="E98" s="275"/>
      <c r="F98" s="275"/>
      <c r="G98" s="263"/>
      <c r="H98" s="263"/>
      <c r="I98" s="264"/>
      <c r="J98" s="265"/>
      <c r="K98" s="266"/>
      <c r="L98" s="265"/>
      <c r="M98" s="265"/>
      <c r="N98" s="265"/>
      <c r="O98" s="265"/>
      <c r="P98" s="265"/>
      <c r="Q98" s="265"/>
      <c r="V98" s="266"/>
      <c r="W98" s="266"/>
      <c r="X98" s="266"/>
    </row>
    <row r="99" spans="2:24" s="267" customFormat="1" outlineLevel="1">
      <c r="B99" s="263" t="s">
        <v>134</v>
      </c>
      <c r="C99" s="260" t="s">
        <v>192</v>
      </c>
      <c r="D99" s="261" t="s">
        <v>170</v>
      </c>
      <c r="E99" s="262" t="s">
        <v>268</v>
      </c>
      <c r="F99" s="262"/>
      <c r="G99" s="263" t="s">
        <v>195</v>
      </c>
      <c r="H99" s="263" t="str">
        <f t="shared" ref="H99:H107" si="15">CONCATENATE("AR-",G99,"-",I99)</f>
        <v>AR-T09-3</v>
      </c>
      <c r="I99" s="264">
        <v>3</v>
      </c>
      <c r="J99" s="265"/>
      <c r="K99" s="266"/>
      <c r="L99" s="277">
        <f t="shared" ref="L99:L105" si="16">M99</f>
        <v>1</v>
      </c>
      <c r="M99" s="265">
        <v>1</v>
      </c>
      <c r="N99" s="265"/>
      <c r="O99" s="265"/>
      <c r="P99" s="265"/>
      <c r="Q99" s="277">
        <f t="shared" ref="Q99:Q100" si="17">R99</f>
        <v>1</v>
      </c>
      <c r="R99" s="265">
        <v>1</v>
      </c>
      <c r="V99" s="266"/>
      <c r="W99" s="266"/>
      <c r="X99" s="266"/>
    </row>
    <row r="100" spans="2:24" s="267" customFormat="1" outlineLevel="1">
      <c r="B100" s="263" t="s">
        <v>134</v>
      </c>
      <c r="C100" s="260" t="s">
        <v>192</v>
      </c>
      <c r="D100" s="261" t="s">
        <v>172</v>
      </c>
      <c r="E100" s="262" t="s">
        <v>268</v>
      </c>
      <c r="F100" s="262"/>
      <c r="G100" s="263" t="s">
        <v>195</v>
      </c>
      <c r="H100" s="263" t="str">
        <f t="shared" si="15"/>
        <v>AR-T09-3</v>
      </c>
      <c r="I100" s="264">
        <v>3</v>
      </c>
      <c r="J100" s="265"/>
      <c r="K100" s="266"/>
      <c r="L100" s="277">
        <f t="shared" si="16"/>
        <v>1</v>
      </c>
      <c r="M100" s="265">
        <v>1</v>
      </c>
      <c r="N100" s="265"/>
      <c r="O100" s="265"/>
      <c r="P100" s="265"/>
      <c r="Q100" s="277">
        <f t="shared" si="17"/>
        <v>1</v>
      </c>
      <c r="R100" s="265">
        <v>1</v>
      </c>
      <c r="V100" s="266"/>
      <c r="W100" s="266"/>
      <c r="X100" s="266"/>
    </row>
    <row r="101" spans="2:24" s="267" customFormat="1" outlineLevel="1">
      <c r="B101" s="263" t="s">
        <v>134</v>
      </c>
      <c r="C101" s="260" t="s">
        <v>192</v>
      </c>
      <c r="D101" s="261" t="s">
        <v>176</v>
      </c>
      <c r="E101" s="262" t="s">
        <v>269</v>
      </c>
      <c r="F101" s="262"/>
      <c r="G101" s="263" t="s">
        <v>195</v>
      </c>
      <c r="H101" s="263" t="str">
        <f t="shared" si="15"/>
        <v>AR-T09-3</v>
      </c>
      <c r="I101" s="264">
        <v>3</v>
      </c>
      <c r="J101" s="265"/>
      <c r="K101" s="266"/>
      <c r="L101" s="277">
        <f t="shared" si="16"/>
        <v>1</v>
      </c>
      <c r="M101" s="265">
        <v>1</v>
      </c>
      <c r="N101" s="265"/>
      <c r="O101" s="265"/>
      <c r="P101" s="265"/>
      <c r="Q101" s="277">
        <f t="shared" ref="Q101" si="18">R101</f>
        <v>1</v>
      </c>
      <c r="R101" s="265">
        <v>1</v>
      </c>
      <c r="V101" s="266"/>
      <c r="W101" s="266"/>
      <c r="X101" s="266"/>
    </row>
    <row r="102" spans="2:24" s="267" customFormat="1" outlineLevel="1">
      <c r="B102" s="263" t="s">
        <v>134</v>
      </c>
      <c r="C102" s="260" t="s">
        <v>192</v>
      </c>
      <c r="D102" s="261" t="s">
        <v>178</v>
      </c>
      <c r="E102" s="262" t="s">
        <v>270</v>
      </c>
      <c r="F102" s="262"/>
      <c r="G102" s="263" t="s">
        <v>195</v>
      </c>
      <c r="H102" s="263" t="str">
        <f t="shared" si="15"/>
        <v>AR-T09-7</v>
      </c>
      <c r="I102" s="264">
        <v>7</v>
      </c>
      <c r="J102" s="265"/>
      <c r="K102" s="266"/>
      <c r="L102" s="277">
        <f t="shared" si="16"/>
        <v>1</v>
      </c>
      <c r="M102" s="265">
        <v>1</v>
      </c>
      <c r="N102" s="265"/>
      <c r="O102" s="265"/>
      <c r="P102" s="265"/>
      <c r="Q102" s="277">
        <v>1</v>
      </c>
      <c r="R102" s="265"/>
      <c r="S102" s="265">
        <v>1</v>
      </c>
      <c r="V102" s="266"/>
      <c r="W102" s="266"/>
      <c r="X102" s="266"/>
    </row>
    <row r="103" spans="2:24" s="267" customFormat="1" outlineLevel="1">
      <c r="B103" s="263" t="s">
        <v>134</v>
      </c>
      <c r="C103" s="260" t="s">
        <v>192</v>
      </c>
      <c r="D103" s="261" t="s">
        <v>181</v>
      </c>
      <c r="E103" s="262" t="s">
        <v>270</v>
      </c>
      <c r="F103" s="262"/>
      <c r="G103" s="263" t="s">
        <v>195</v>
      </c>
      <c r="H103" s="263" t="str">
        <f t="shared" si="15"/>
        <v>AR-T09-9</v>
      </c>
      <c r="I103" s="264">
        <v>9</v>
      </c>
      <c r="J103" s="265"/>
      <c r="K103" s="266"/>
      <c r="L103" s="277">
        <f t="shared" si="16"/>
        <v>1</v>
      </c>
      <c r="M103" s="265">
        <v>1</v>
      </c>
      <c r="O103" s="265"/>
      <c r="P103" s="265"/>
      <c r="Q103" s="277">
        <v>1</v>
      </c>
      <c r="R103" s="265"/>
      <c r="S103" s="265">
        <v>1</v>
      </c>
      <c r="V103" s="266"/>
      <c r="W103" s="266"/>
      <c r="X103" s="266"/>
    </row>
    <row r="104" spans="2:24" s="267" customFormat="1" outlineLevel="1">
      <c r="B104" s="263" t="s">
        <v>134</v>
      </c>
      <c r="C104" s="260" t="s">
        <v>192</v>
      </c>
      <c r="D104" s="261" t="s">
        <v>271</v>
      </c>
      <c r="E104" s="262" t="s">
        <v>272</v>
      </c>
      <c r="F104" s="262"/>
      <c r="G104" s="263" t="s">
        <v>195</v>
      </c>
      <c r="H104" s="263" t="str">
        <f t="shared" si="15"/>
        <v>AR-T09-9</v>
      </c>
      <c r="I104" s="264">
        <v>9</v>
      </c>
      <c r="J104" s="265"/>
      <c r="K104" s="266"/>
      <c r="L104" s="277">
        <f t="shared" si="16"/>
        <v>1</v>
      </c>
      <c r="M104" s="265">
        <v>1</v>
      </c>
      <c r="O104" s="265"/>
      <c r="P104" s="265"/>
      <c r="Q104" s="277">
        <v>1</v>
      </c>
      <c r="R104" s="265"/>
      <c r="S104" s="265">
        <v>1</v>
      </c>
      <c r="V104" s="266"/>
      <c r="W104" s="266"/>
      <c r="X104" s="266"/>
    </row>
    <row r="105" spans="2:24" s="267" customFormat="1" outlineLevel="1">
      <c r="B105" s="263" t="s">
        <v>134</v>
      </c>
      <c r="C105" s="260" t="s">
        <v>192</v>
      </c>
      <c r="D105" s="261" t="s">
        <v>273</v>
      </c>
      <c r="E105" s="262" t="s">
        <v>274</v>
      </c>
      <c r="F105" s="262"/>
      <c r="G105" s="263" t="s">
        <v>195</v>
      </c>
      <c r="H105" s="263" t="str">
        <f>CONCATENATE("AR-",G105,"-",I105)</f>
        <v>AR-T09-9</v>
      </c>
      <c r="I105" s="264">
        <v>9</v>
      </c>
      <c r="J105" s="265"/>
      <c r="K105" s="266"/>
      <c r="L105" s="277">
        <f t="shared" si="16"/>
        <v>1</v>
      </c>
      <c r="M105" s="265">
        <v>1</v>
      </c>
      <c r="N105" s="265"/>
      <c r="O105" s="265"/>
      <c r="P105" s="265"/>
      <c r="Q105" s="277">
        <f t="shared" ref="Q105" si="19">R105</f>
        <v>1</v>
      </c>
      <c r="R105" s="265">
        <v>1</v>
      </c>
      <c r="V105" s="266"/>
      <c r="W105" s="266"/>
      <c r="X105" s="266"/>
    </row>
    <row r="106" spans="2:24" s="267" customFormat="1" outlineLevel="1">
      <c r="B106" s="263" t="s">
        <v>134</v>
      </c>
      <c r="C106" s="260" t="s">
        <v>192</v>
      </c>
      <c r="D106" s="261" t="s">
        <v>183</v>
      </c>
      <c r="E106" s="262" t="s">
        <v>275</v>
      </c>
      <c r="F106" s="262"/>
      <c r="G106" s="263" t="s">
        <v>195</v>
      </c>
      <c r="H106" s="263" t="str">
        <f t="shared" ref="H106" si="20">CONCATENATE("AR-",G106,"-",I106)</f>
        <v>AR-T09-9</v>
      </c>
      <c r="I106" s="264">
        <v>9</v>
      </c>
      <c r="J106" s="265"/>
      <c r="K106" s="266"/>
      <c r="L106" s="277">
        <f t="shared" ref="L106" si="21">M106</f>
        <v>1</v>
      </c>
      <c r="M106" s="265">
        <v>1</v>
      </c>
      <c r="N106" s="265"/>
      <c r="O106" s="265"/>
      <c r="P106" s="265"/>
      <c r="Q106" s="277">
        <f t="shared" ref="Q106" si="22">R106</f>
        <v>1</v>
      </c>
      <c r="R106" s="265">
        <v>1</v>
      </c>
      <c r="V106" s="266"/>
      <c r="W106" s="266"/>
      <c r="X106" s="266"/>
    </row>
    <row r="107" spans="2:24" s="267" customFormat="1" outlineLevel="1">
      <c r="B107" s="263" t="s">
        <v>134</v>
      </c>
      <c r="C107" s="260" t="s">
        <v>192</v>
      </c>
      <c r="D107" s="261" t="s">
        <v>276</v>
      </c>
      <c r="E107" s="262" t="s">
        <v>277</v>
      </c>
      <c r="F107" s="262"/>
      <c r="G107" s="263" t="s">
        <v>195</v>
      </c>
      <c r="H107" s="263" t="str">
        <f t="shared" si="15"/>
        <v>AR-T09-1</v>
      </c>
      <c r="I107" s="264">
        <v>1</v>
      </c>
      <c r="J107" s="265">
        <v>1</v>
      </c>
      <c r="K107" s="266"/>
      <c r="L107" s="277"/>
      <c r="M107" s="265"/>
      <c r="N107" s="265"/>
      <c r="O107" s="265"/>
      <c r="P107" s="265"/>
      <c r="Q107" s="277"/>
      <c r="R107" s="265"/>
      <c r="V107" s="266"/>
      <c r="W107" s="266"/>
      <c r="X107" s="266"/>
    </row>
    <row r="108" spans="2:24" s="267" customFormat="1" ht="3" customHeight="1" outlineLevel="1">
      <c r="B108" s="290"/>
      <c r="C108" s="273"/>
      <c r="D108" s="274"/>
      <c r="E108" s="291"/>
      <c r="F108" s="291"/>
      <c r="G108" s="263"/>
      <c r="H108" s="263"/>
      <c r="I108" s="264"/>
      <c r="J108" s="265"/>
      <c r="K108" s="266"/>
      <c r="L108" s="265"/>
      <c r="M108" s="265"/>
      <c r="N108" s="265"/>
      <c r="O108" s="265"/>
      <c r="P108" s="265"/>
      <c r="Q108" s="265"/>
      <c r="V108" s="266"/>
      <c r="W108" s="266"/>
      <c r="X108" s="266"/>
    </row>
    <row r="109" spans="2:24" s="267" customFormat="1" ht="13.5" customHeight="1" outlineLevel="1">
      <c r="B109" s="271" t="s">
        <v>278</v>
      </c>
      <c r="C109" s="273"/>
      <c r="D109" s="274"/>
      <c r="E109" s="275"/>
      <c r="F109" s="275"/>
      <c r="G109" s="263"/>
      <c r="H109" s="263"/>
      <c r="I109" s="264"/>
      <c r="J109" s="265"/>
      <c r="K109" s="266"/>
      <c r="L109" s="265"/>
      <c r="M109" s="265"/>
      <c r="N109" s="265"/>
      <c r="O109" s="265"/>
      <c r="P109" s="265"/>
      <c r="Q109" s="265"/>
      <c r="V109" s="266"/>
      <c r="W109" s="266"/>
      <c r="X109" s="266"/>
    </row>
    <row r="110" spans="2:24" s="267" customFormat="1" ht="14.25" customHeight="1" outlineLevel="1">
      <c r="B110" s="263" t="s">
        <v>134</v>
      </c>
      <c r="C110" s="260" t="s">
        <v>192</v>
      </c>
      <c r="D110" s="261" t="s">
        <v>279</v>
      </c>
      <c r="E110" s="262" t="s">
        <v>280</v>
      </c>
      <c r="F110" s="262"/>
      <c r="G110" s="263" t="s">
        <v>195</v>
      </c>
      <c r="H110" s="263" t="str">
        <f t="shared" ref="H110:H120" si="23">CONCATENATE("AR-",G110,"-",I110)</f>
        <v>AR-T09-3</v>
      </c>
      <c r="I110" s="264">
        <v>3</v>
      </c>
      <c r="J110" s="265">
        <v>1</v>
      </c>
      <c r="K110" s="266"/>
      <c r="L110" s="265"/>
      <c r="M110" s="265"/>
      <c r="N110" s="265"/>
      <c r="O110" s="265"/>
      <c r="P110" s="265"/>
      <c r="Q110" s="265"/>
      <c r="V110" s="266"/>
      <c r="W110" s="266"/>
      <c r="X110" s="266"/>
    </row>
    <row r="111" spans="2:24" s="267" customFormat="1" ht="14.25" customHeight="1" outlineLevel="1">
      <c r="B111" s="263" t="s">
        <v>134</v>
      </c>
      <c r="C111" s="260" t="s">
        <v>192</v>
      </c>
      <c r="D111" s="261" t="s">
        <v>281</v>
      </c>
      <c r="E111" s="262" t="s">
        <v>282</v>
      </c>
      <c r="F111" s="262"/>
      <c r="G111" s="263" t="s">
        <v>195</v>
      </c>
      <c r="H111" s="263" t="str">
        <f t="shared" si="23"/>
        <v>AR-T09-9</v>
      </c>
      <c r="I111" s="264">
        <v>9</v>
      </c>
      <c r="J111" s="265">
        <v>1</v>
      </c>
      <c r="K111" s="266"/>
      <c r="L111" s="265"/>
      <c r="M111" s="265"/>
      <c r="N111" s="265"/>
      <c r="O111" s="265"/>
      <c r="P111" s="265"/>
      <c r="Q111" s="265"/>
      <c r="V111" s="266"/>
      <c r="W111" s="266"/>
      <c r="X111" s="266"/>
    </row>
    <row r="112" spans="2:24" s="267" customFormat="1" ht="14.25" customHeight="1" outlineLevel="1">
      <c r="B112" s="263" t="s">
        <v>134</v>
      </c>
      <c r="C112" s="260" t="s">
        <v>192</v>
      </c>
      <c r="D112" s="261" t="s">
        <v>283</v>
      </c>
      <c r="E112" s="262" t="s">
        <v>284</v>
      </c>
      <c r="F112" s="262"/>
      <c r="G112" s="263" t="s">
        <v>195</v>
      </c>
      <c r="H112" s="263" t="str">
        <f t="shared" si="23"/>
        <v>AR-T09-7</v>
      </c>
      <c r="I112" s="264">
        <v>7</v>
      </c>
      <c r="J112" s="265">
        <v>1</v>
      </c>
      <c r="K112" s="266"/>
      <c r="L112" s="265"/>
      <c r="M112" s="265"/>
      <c r="N112" s="265"/>
      <c r="O112" s="265"/>
      <c r="P112" s="265"/>
      <c r="Q112" s="265"/>
      <c r="V112" s="266"/>
      <c r="W112" s="266"/>
      <c r="X112" s="266"/>
    </row>
    <row r="113" spans="2:24" s="267" customFormat="1" ht="14.25" customHeight="1" outlineLevel="1">
      <c r="B113" s="263" t="s">
        <v>134</v>
      </c>
      <c r="C113" s="260" t="s">
        <v>192</v>
      </c>
      <c r="D113" s="261" t="s">
        <v>285</v>
      </c>
      <c r="E113" s="262" t="s">
        <v>286</v>
      </c>
      <c r="F113" s="262"/>
      <c r="G113" s="263" t="s">
        <v>195</v>
      </c>
      <c r="H113" s="263" t="str">
        <f t="shared" si="23"/>
        <v>AR-T09-9</v>
      </c>
      <c r="I113" s="264">
        <v>9</v>
      </c>
      <c r="J113" s="265">
        <v>1</v>
      </c>
      <c r="K113" s="266"/>
      <c r="L113" s="265"/>
      <c r="M113" s="265"/>
      <c r="N113" s="265"/>
      <c r="O113" s="265"/>
      <c r="P113" s="265"/>
      <c r="Q113" s="265"/>
      <c r="V113" s="266"/>
      <c r="W113" s="266"/>
      <c r="X113" s="266"/>
    </row>
    <row r="114" spans="2:24" s="267" customFormat="1" ht="14.25" customHeight="1" outlineLevel="1">
      <c r="B114" s="263" t="s">
        <v>134</v>
      </c>
      <c r="C114" s="260" t="s">
        <v>192</v>
      </c>
      <c r="D114" s="261" t="s">
        <v>287</v>
      </c>
      <c r="E114" s="262" t="s">
        <v>288</v>
      </c>
      <c r="F114" s="262"/>
      <c r="G114" s="263" t="s">
        <v>195</v>
      </c>
      <c r="H114" s="263" t="str">
        <f t="shared" si="23"/>
        <v>AR-T09-7</v>
      </c>
      <c r="I114" s="264">
        <v>7</v>
      </c>
      <c r="J114" s="265">
        <v>1</v>
      </c>
      <c r="K114" s="266"/>
      <c r="L114" s="265"/>
      <c r="M114" s="265"/>
      <c r="N114" s="265"/>
      <c r="O114" s="265"/>
      <c r="P114" s="265"/>
      <c r="Q114" s="265"/>
      <c r="V114" s="266"/>
      <c r="W114" s="266"/>
      <c r="X114" s="266"/>
    </row>
    <row r="115" spans="2:24" s="280" customFormat="1" ht="14.25" customHeight="1" outlineLevel="1">
      <c r="B115" s="263" t="s">
        <v>134</v>
      </c>
      <c r="C115" s="260" t="s">
        <v>192</v>
      </c>
      <c r="D115" s="261" t="s">
        <v>289</v>
      </c>
      <c r="E115" s="262" t="s">
        <v>290</v>
      </c>
      <c r="F115" s="262"/>
      <c r="G115" s="263" t="s">
        <v>195</v>
      </c>
      <c r="H115" s="263" t="str">
        <f t="shared" si="23"/>
        <v>AR-T09-3</v>
      </c>
      <c r="I115" s="264">
        <v>3</v>
      </c>
      <c r="J115" s="281">
        <v>1</v>
      </c>
      <c r="K115" s="282"/>
      <c r="L115" s="281"/>
      <c r="M115" s="265"/>
      <c r="N115" s="281"/>
      <c r="O115" s="281"/>
      <c r="P115" s="281"/>
      <c r="Q115" s="281"/>
      <c r="V115" s="266"/>
      <c r="W115" s="266"/>
      <c r="X115" s="266"/>
    </row>
    <row r="116" spans="2:24" s="267" customFormat="1" ht="14.25" customHeight="1" outlineLevel="1">
      <c r="B116" s="263" t="s">
        <v>134</v>
      </c>
      <c r="C116" s="260" t="s">
        <v>192</v>
      </c>
      <c r="D116" s="261" t="s">
        <v>291</v>
      </c>
      <c r="E116" s="262" t="s">
        <v>292</v>
      </c>
      <c r="F116" s="262"/>
      <c r="G116" s="263" t="s">
        <v>195</v>
      </c>
      <c r="H116" s="263" t="str">
        <f t="shared" si="23"/>
        <v>AR-T09-7</v>
      </c>
      <c r="I116" s="264">
        <v>7</v>
      </c>
      <c r="J116" s="265">
        <v>1</v>
      </c>
      <c r="K116" s="266"/>
      <c r="L116" s="265"/>
      <c r="M116" s="265"/>
      <c r="N116" s="265"/>
      <c r="O116" s="265"/>
      <c r="P116" s="265"/>
      <c r="Q116" s="265"/>
      <c r="V116" s="266"/>
      <c r="W116" s="266"/>
      <c r="X116" s="266"/>
    </row>
    <row r="117" spans="2:24" s="267" customFormat="1" ht="14.25" customHeight="1" outlineLevel="1">
      <c r="B117" s="263" t="s">
        <v>134</v>
      </c>
      <c r="C117" s="260" t="s">
        <v>192</v>
      </c>
      <c r="D117" s="261" t="s">
        <v>293</v>
      </c>
      <c r="E117" s="262" t="s">
        <v>294</v>
      </c>
      <c r="F117" s="262"/>
      <c r="G117" s="263" t="s">
        <v>195</v>
      </c>
      <c r="H117" s="263" t="str">
        <f t="shared" si="23"/>
        <v>AR-T09-7</v>
      </c>
      <c r="I117" s="264">
        <v>7</v>
      </c>
      <c r="J117" s="265">
        <v>1</v>
      </c>
      <c r="K117" s="266"/>
      <c r="L117" s="265"/>
      <c r="M117" s="265"/>
      <c r="N117" s="265"/>
      <c r="O117" s="265"/>
      <c r="P117" s="265"/>
      <c r="Q117" s="265"/>
      <c r="V117" s="266"/>
      <c r="W117" s="266"/>
      <c r="X117" s="266"/>
    </row>
    <row r="118" spans="2:24" s="267" customFormat="1" ht="14.25" customHeight="1" outlineLevel="1">
      <c r="B118" s="263" t="s">
        <v>134</v>
      </c>
      <c r="C118" s="260" t="s">
        <v>192</v>
      </c>
      <c r="D118" s="261" t="s">
        <v>295</v>
      </c>
      <c r="E118" s="262" t="s">
        <v>296</v>
      </c>
      <c r="F118" s="262"/>
      <c r="G118" s="263" t="s">
        <v>195</v>
      </c>
      <c r="H118" s="263" t="str">
        <f t="shared" si="23"/>
        <v>AR-T09-7</v>
      </c>
      <c r="I118" s="264">
        <v>7</v>
      </c>
      <c r="J118" s="265">
        <v>1</v>
      </c>
      <c r="K118" s="266"/>
      <c r="L118" s="265"/>
      <c r="M118" s="265"/>
      <c r="N118" s="265"/>
      <c r="O118" s="265"/>
      <c r="P118" s="265"/>
      <c r="Q118" s="265"/>
      <c r="V118" s="266"/>
      <c r="W118" s="266"/>
      <c r="X118" s="266"/>
    </row>
    <row r="119" spans="2:24" s="267" customFormat="1" ht="14.25" customHeight="1" outlineLevel="1">
      <c r="B119" s="263" t="s">
        <v>134</v>
      </c>
      <c r="C119" s="260" t="s">
        <v>192</v>
      </c>
      <c r="D119" s="261" t="s">
        <v>297</v>
      </c>
      <c r="E119" s="262" t="s">
        <v>298</v>
      </c>
      <c r="F119" s="262"/>
      <c r="G119" s="263" t="s">
        <v>195</v>
      </c>
      <c r="H119" s="263" t="str">
        <f t="shared" si="23"/>
        <v>AR-T09-3</v>
      </c>
      <c r="I119" s="264">
        <v>3</v>
      </c>
      <c r="J119" s="265">
        <v>1</v>
      </c>
      <c r="K119" s="266"/>
      <c r="L119" s="265"/>
      <c r="M119" s="265"/>
      <c r="N119" s="265"/>
      <c r="O119" s="265"/>
      <c r="P119" s="265"/>
      <c r="Q119" s="265"/>
      <c r="V119" s="266"/>
      <c r="W119" s="266"/>
      <c r="X119" s="266"/>
    </row>
    <row r="120" spans="2:24" s="267" customFormat="1" ht="14.25" customHeight="1" outlineLevel="1">
      <c r="B120" s="263" t="s">
        <v>134</v>
      </c>
      <c r="C120" s="260" t="s">
        <v>192</v>
      </c>
      <c r="D120" s="261" t="s">
        <v>299</v>
      </c>
      <c r="E120" s="262" t="s">
        <v>300</v>
      </c>
      <c r="F120" s="262"/>
      <c r="G120" s="263" t="s">
        <v>195</v>
      </c>
      <c r="H120" s="263" t="str">
        <f t="shared" si="23"/>
        <v>AR-T09-3</v>
      </c>
      <c r="I120" s="264">
        <v>3</v>
      </c>
      <c r="J120" s="265">
        <v>1</v>
      </c>
      <c r="K120" s="266"/>
      <c r="L120" s="265"/>
      <c r="M120" s="265"/>
      <c r="N120" s="265"/>
      <c r="O120" s="265"/>
      <c r="P120" s="265"/>
      <c r="Q120" s="265"/>
      <c r="V120" s="266"/>
      <c r="W120" s="266"/>
      <c r="X120" s="266"/>
    </row>
    <row r="121" spans="2:24" s="267" customFormat="1" ht="14.25" customHeight="1" outlineLevel="1">
      <c r="B121" s="263" t="s">
        <v>134</v>
      </c>
      <c r="C121" s="260" t="s">
        <v>192</v>
      </c>
      <c r="D121" s="261" t="s">
        <v>301</v>
      </c>
      <c r="E121" s="262" t="s">
        <v>302</v>
      </c>
      <c r="F121" s="262"/>
      <c r="G121" s="263" t="s">
        <v>195</v>
      </c>
      <c r="H121" s="263" t="str">
        <f t="shared" ref="H121:H140" si="24">CONCATENATE("AR-",G121,"-",I121)</f>
        <v>AR-T09-7</v>
      </c>
      <c r="I121" s="264">
        <v>7</v>
      </c>
      <c r="J121" s="265">
        <v>1</v>
      </c>
      <c r="K121" s="266"/>
      <c r="L121" s="265"/>
      <c r="M121" s="265"/>
      <c r="N121" s="265"/>
      <c r="O121" s="265"/>
      <c r="P121" s="265"/>
      <c r="Q121" s="265"/>
      <c r="V121" s="266"/>
      <c r="W121" s="266"/>
      <c r="X121" s="266"/>
    </row>
    <row r="122" spans="2:24" s="267" customFormat="1" ht="14.25" customHeight="1" outlineLevel="1">
      <c r="B122" s="263" t="s">
        <v>134</v>
      </c>
      <c r="C122" s="260" t="s">
        <v>192</v>
      </c>
      <c r="D122" s="261" t="s">
        <v>303</v>
      </c>
      <c r="E122" s="262" t="s">
        <v>304</v>
      </c>
      <c r="F122" s="262"/>
      <c r="G122" s="263" t="s">
        <v>195</v>
      </c>
      <c r="H122" s="263" t="str">
        <f t="shared" si="24"/>
        <v>AR-T09-3</v>
      </c>
      <c r="I122" s="264">
        <v>3</v>
      </c>
      <c r="J122" s="265">
        <v>1</v>
      </c>
      <c r="K122" s="266"/>
      <c r="L122" s="265"/>
      <c r="M122" s="265"/>
      <c r="N122" s="265"/>
      <c r="O122" s="265"/>
      <c r="P122" s="265"/>
      <c r="Q122" s="265"/>
      <c r="V122" s="266"/>
      <c r="W122" s="266"/>
      <c r="X122" s="266"/>
    </row>
    <row r="123" spans="2:24" s="267" customFormat="1" ht="14.25" customHeight="1" outlineLevel="1">
      <c r="B123" s="263" t="s">
        <v>134</v>
      </c>
      <c r="C123" s="260" t="s">
        <v>192</v>
      </c>
      <c r="D123" s="261" t="s">
        <v>305</v>
      </c>
      <c r="E123" s="262" t="s">
        <v>306</v>
      </c>
      <c r="F123" s="262"/>
      <c r="G123" s="263" t="s">
        <v>195</v>
      </c>
      <c r="H123" s="263" t="str">
        <f t="shared" si="24"/>
        <v>AR-T09-7</v>
      </c>
      <c r="I123" s="264">
        <v>7</v>
      </c>
      <c r="J123" s="265">
        <v>1</v>
      </c>
      <c r="K123" s="266"/>
      <c r="L123" s="265"/>
      <c r="M123" s="265"/>
      <c r="N123" s="265"/>
      <c r="O123" s="265"/>
      <c r="P123" s="265"/>
      <c r="Q123" s="265"/>
      <c r="V123" s="266"/>
      <c r="W123" s="266"/>
      <c r="X123" s="266"/>
    </row>
    <row r="124" spans="2:24" s="267" customFormat="1" ht="14.25" customHeight="1" outlineLevel="1">
      <c r="B124" s="263" t="s">
        <v>134</v>
      </c>
      <c r="C124" s="260" t="s">
        <v>192</v>
      </c>
      <c r="D124" s="261" t="s">
        <v>307</v>
      </c>
      <c r="E124" s="262" t="s">
        <v>308</v>
      </c>
      <c r="F124" s="262"/>
      <c r="G124" s="263" t="s">
        <v>195</v>
      </c>
      <c r="H124" s="263" t="str">
        <f t="shared" si="24"/>
        <v>AR-T09-3</v>
      </c>
      <c r="I124" s="264">
        <v>3</v>
      </c>
      <c r="J124" s="265">
        <v>1</v>
      </c>
      <c r="K124" s="266"/>
      <c r="L124" s="265"/>
      <c r="M124" s="265"/>
      <c r="N124" s="265"/>
      <c r="O124" s="265"/>
      <c r="P124" s="265"/>
      <c r="Q124" s="265"/>
      <c r="V124" s="266"/>
      <c r="W124" s="266"/>
      <c r="X124" s="266"/>
    </row>
    <row r="125" spans="2:24" s="267" customFormat="1" ht="14.25" customHeight="1" outlineLevel="1">
      <c r="B125" s="263" t="s">
        <v>134</v>
      </c>
      <c r="C125" s="260" t="s">
        <v>192</v>
      </c>
      <c r="D125" s="261" t="s">
        <v>309</v>
      </c>
      <c r="E125" s="262" t="s">
        <v>310</v>
      </c>
      <c r="F125" s="262"/>
      <c r="G125" s="263" t="s">
        <v>195</v>
      </c>
      <c r="H125" s="263" t="str">
        <f t="shared" si="24"/>
        <v>AR-T09-7</v>
      </c>
      <c r="I125" s="264">
        <v>7</v>
      </c>
      <c r="J125" s="265">
        <v>1</v>
      </c>
      <c r="K125" s="266"/>
      <c r="L125" s="265"/>
      <c r="M125" s="265"/>
      <c r="N125" s="265"/>
      <c r="O125" s="265"/>
      <c r="P125" s="265"/>
      <c r="Q125" s="265"/>
      <c r="V125" s="266"/>
      <c r="W125" s="266"/>
      <c r="X125" s="266"/>
    </row>
    <row r="126" spans="2:24" s="267" customFormat="1" ht="14.25" customHeight="1" outlineLevel="1">
      <c r="B126" s="263" t="s">
        <v>134</v>
      </c>
      <c r="C126" s="260" t="s">
        <v>192</v>
      </c>
      <c r="D126" s="261" t="s">
        <v>311</v>
      </c>
      <c r="E126" s="262" t="s">
        <v>312</v>
      </c>
      <c r="F126" s="262"/>
      <c r="G126" s="263" t="s">
        <v>195</v>
      </c>
      <c r="H126" s="263" t="str">
        <f t="shared" si="24"/>
        <v>AR-T09-7</v>
      </c>
      <c r="I126" s="264">
        <v>7</v>
      </c>
      <c r="J126" s="265">
        <v>1</v>
      </c>
      <c r="K126" s="266"/>
      <c r="L126" s="265"/>
      <c r="M126" s="265"/>
      <c r="N126" s="265"/>
      <c r="O126" s="265"/>
      <c r="P126" s="265"/>
      <c r="Q126" s="265"/>
      <c r="V126" s="266"/>
      <c r="W126" s="266"/>
      <c r="X126" s="266"/>
    </row>
    <row r="127" spans="2:24" s="267" customFormat="1" ht="14.25" customHeight="1" outlineLevel="1">
      <c r="B127" s="263" t="s">
        <v>134</v>
      </c>
      <c r="C127" s="260" t="s">
        <v>192</v>
      </c>
      <c r="D127" s="261" t="s">
        <v>313</v>
      </c>
      <c r="E127" s="262" t="s">
        <v>314</v>
      </c>
      <c r="F127" s="262"/>
      <c r="G127" s="263" t="s">
        <v>195</v>
      </c>
      <c r="H127" s="263" t="str">
        <f t="shared" si="24"/>
        <v>AR-T09-7</v>
      </c>
      <c r="I127" s="264">
        <v>7</v>
      </c>
      <c r="J127" s="265">
        <v>1</v>
      </c>
      <c r="K127" s="266"/>
      <c r="L127" s="265"/>
      <c r="M127" s="265"/>
      <c r="N127" s="265"/>
      <c r="O127" s="265"/>
      <c r="P127" s="265"/>
      <c r="Q127" s="265"/>
      <c r="V127" s="266"/>
      <c r="W127" s="266"/>
      <c r="X127" s="266"/>
    </row>
    <row r="128" spans="2:24" s="267" customFormat="1" ht="14.25" customHeight="1" outlineLevel="1">
      <c r="B128" s="263" t="s">
        <v>134</v>
      </c>
      <c r="C128" s="260" t="s">
        <v>192</v>
      </c>
      <c r="D128" s="261" t="s">
        <v>315</v>
      </c>
      <c r="E128" s="262" t="s">
        <v>316</v>
      </c>
      <c r="F128" s="262"/>
      <c r="G128" s="263" t="s">
        <v>195</v>
      </c>
      <c r="H128" s="263" t="str">
        <f t="shared" si="24"/>
        <v>AR-T09-7</v>
      </c>
      <c r="I128" s="264">
        <v>7</v>
      </c>
      <c r="J128" s="265">
        <v>1</v>
      </c>
      <c r="K128" s="266"/>
      <c r="L128" s="265"/>
      <c r="M128" s="265"/>
      <c r="N128" s="265"/>
      <c r="O128" s="265"/>
      <c r="P128" s="265"/>
      <c r="Q128" s="265"/>
      <c r="V128" s="266"/>
      <c r="W128" s="266"/>
      <c r="X128" s="266"/>
    </row>
    <row r="129" spans="2:24" s="267" customFormat="1" ht="14.25" customHeight="1" outlineLevel="1">
      <c r="B129" s="263" t="s">
        <v>134</v>
      </c>
      <c r="C129" s="260" t="s">
        <v>192</v>
      </c>
      <c r="D129" s="261" t="s">
        <v>317</v>
      </c>
      <c r="E129" s="262" t="s">
        <v>318</v>
      </c>
      <c r="F129" s="262"/>
      <c r="G129" s="263" t="s">
        <v>195</v>
      </c>
      <c r="H129" s="263" t="str">
        <f t="shared" si="24"/>
        <v>AR-T09-7</v>
      </c>
      <c r="I129" s="264">
        <v>7</v>
      </c>
      <c r="J129" s="265">
        <v>1</v>
      </c>
      <c r="K129" s="266"/>
      <c r="L129" s="265"/>
      <c r="M129" s="265"/>
      <c r="N129" s="265"/>
      <c r="O129" s="265"/>
      <c r="P129" s="265"/>
      <c r="Q129" s="265"/>
      <c r="V129" s="266"/>
      <c r="W129" s="266"/>
      <c r="X129" s="266"/>
    </row>
    <row r="130" spans="2:24" s="267" customFormat="1" ht="14.25" customHeight="1" outlineLevel="1">
      <c r="B130" s="263" t="s">
        <v>134</v>
      </c>
      <c r="C130" s="260" t="s">
        <v>192</v>
      </c>
      <c r="D130" s="261" t="s">
        <v>319</v>
      </c>
      <c r="E130" s="262" t="s">
        <v>320</v>
      </c>
      <c r="F130" s="262"/>
      <c r="G130" s="263" t="s">
        <v>195</v>
      </c>
      <c r="H130" s="263" t="str">
        <f t="shared" si="24"/>
        <v>AR-T09-7</v>
      </c>
      <c r="I130" s="264">
        <v>7</v>
      </c>
      <c r="J130" s="265">
        <v>1</v>
      </c>
      <c r="K130" s="266"/>
      <c r="L130" s="265"/>
      <c r="M130" s="265"/>
      <c r="N130" s="265"/>
      <c r="O130" s="265"/>
      <c r="P130" s="265"/>
      <c r="Q130" s="265"/>
      <c r="V130" s="266"/>
      <c r="W130" s="266"/>
      <c r="X130" s="266"/>
    </row>
    <row r="131" spans="2:24" s="267" customFormat="1" ht="14.25" customHeight="1" outlineLevel="1">
      <c r="B131" s="263" t="s">
        <v>134</v>
      </c>
      <c r="C131" s="260" t="s">
        <v>192</v>
      </c>
      <c r="D131" s="261" t="s">
        <v>321</v>
      </c>
      <c r="E131" s="262" t="s">
        <v>322</v>
      </c>
      <c r="F131" s="262"/>
      <c r="G131" s="263" t="s">
        <v>195</v>
      </c>
      <c r="H131" s="263" t="str">
        <f t="shared" si="24"/>
        <v>AR-T09-7</v>
      </c>
      <c r="I131" s="264">
        <v>7</v>
      </c>
      <c r="J131" s="265">
        <v>1</v>
      </c>
      <c r="K131" s="266"/>
      <c r="L131" s="265"/>
      <c r="M131" s="265"/>
      <c r="N131" s="265"/>
      <c r="O131" s="265"/>
      <c r="P131" s="265"/>
      <c r="Q131" s="265"/>
      <c r="V131" s="266"/>
      <c r="W131" s="266"/>
      <c r="X131" s="266"/>
    </row>
    <row r="132" spans="2:24" s="267" customFormat="1" ht="14.25" customHeight="1" outlineLevel="1">
      <c r="B132" s="263" t="s">
        <v>134</v>
      </c>
      <c r="C132" s="260" t="s">
        <v>192</v>
      </c>
      <c r="D132" s="261" t="s">
        <v>323</v>
      </c>
      <c r="E132" s="262" t="s">
        <v>324</v>
      </c>
      <c r="F132" s="262"/>
      <c r="G132" s="263" t="s">
        <v>195</v>
      </c>
      <c r="H132" s="263" t="str">
        <f t="shared" si="24"/>
        <v>AR-T09-7</v>
      </c>
      <c r="I132" s="264">
        <v>7</v>
      </c>
      <c r="J132" s="265">
        <v>1</v>
      </c>
      <c r="K132" s="266"/>
      <c r="L132" s="265"/>
      <c r="M132" s="265"/>
      <c r="N132" s="265"/>
      <c r="O132" s="265"/>
      <c r="P132" s="265"/>
      <c r="Q132" s="265"/>
      <c r="V132" s="266"/>
      <c r="W132" s="266"/>
      <c r="X132" s="266"/>
    </row>
    <row r="133" spans="2:24" s="267" customFormat="1" ht="14.25" customHeight="1" outlineLevel="1">
      <c r="B133" s="263" t="s">
        <v>134</v>
      </c>
      <c r="C133" s="260" t="s">
        <v>192</v>
      </c>
      <c r="D133" s="261" t="s">
        <v>325</v>
      </c>
      <c r="E133" s="262" t="s">
        <v>326</v>
      </c>
      <c r="F133" s="262"/>
      <c r="G133" s="263" t="s">
        <v>195</v>
      </c>
      <c r="H133" s="263" t="str">
        <f t="shared" si="24"/>
        <v>AR-T09-7</v>
      </c>
      <c r="I133" s="264">
        <v>7</v>
      </c>
      <c r="J133" s="265">
        <v>1</v>
      </c>
      <c r="K133" s="266"/>
      <c r="L133" s="265"/>
      <c r="M133" s="265"/>
      <c r="N133" s="265"/>
      <c r="O133" s="265"/>
      <c r="P133" s="265"/>
      <c r="Q133" s="265"/>
      <c r="V133" s="266"/>
      <c r="W133" s="266"/>
      <c r="X133" s="266"/>
    </row>
    <row r="134" spans="2:24" s="267" customFormat="1" ht="14.25" customHeight="1" outlineLevel="1">
      <c r="B134" s="263" t="s">
        <v>134</v>
      </c>
      <c r="C134" s="260" t="s">
        <v>192</v>
      </c>
      <c r="D134" s="261" t="s">
        <v>327</v>
      </c>
      <c r="E134" s="262" t="s">
        <v>328</v>
      </c>
      <c r="F134" s="262"/>
      <c r="G134" s="263" t="s">
        <v>195</v>
      </c>
      <c r="H134" s="263" t="str">
        <f t="shared" si="24"/>
        <v>AR-T09-7</v>
      </c>
      <c r="I134" s="264">
        <v>7</v>
      </c>
      <c r="J134" s="265">
        <v>1</v>
      </c>
      <c r="K134" s="266"/>
      <c r="L134" s="265"/>
      <c r="M134" s="265"/>
      <c r="N134" s="265"/>
      <c r="O134" s="265"/>
      <c r="P134" s="265"/>
      <c r="Q134" s="265"/>
      <c r="V134" s="266"/>
      <c r="W134" s="266"/>
      <c r="X134" s="266"/>
    </row>
    <row r="135" spans="2:24" s="267" customFormat="1" ht="14.25" customHeight="1" outlineLevel="1">
      <c r="B135" s="263" t="s">
        <v>134</v>
      </c>
      <c r="C135" s="260" t="s">
        <v>192</v>
      </c>
      <c r="D135" s="261" t="s">
        <v>329</v>
      </c>
      <c r="E135" s="262" t="s">
        <v>330</v>
      </c>
      <c r="F135" s="262"/>
      <c r="G135" s="263" t="s">
        <v>195</v>
      </c>
      <c r="H135" s="263" t="str">
        <f t="shared" si="24"/>
        <v>AR-T09-7</v>
      </c>
      <c r="I135" s="264">
        <v>7</v>
      </c>
      <c r="J135" s="265">
        <v>1</v>
      </c>
      <c r="K135" s="266"/>
      <c r="L135" s="265"/>
      <c r="M135" s="265"/>
      <c r="N135" s="265"/>
      <c r="O135" s="265"/>
      <c r="P135" s="265"/>
      <c r="Q135" s="265"/>
      <c r="V135" s="266"/>
      <c r="W135" s="266"/>
      <c r="X135" s="266"/>
    </row>
    <row r="136" spans="2:24" s="267" customFormat="1" ht="14.25" customHeight="1" outlineLevel="1">
      <c r="B136" s="263" t="s">
        <v>134</v>
      </c>
      <c r="C136" s="260" t="s">
        <v>192</v>
      </c>
      <c r="D136" s="261" t="s">
        <v>331</v>
      </c>
      <c r="E136" s="262" t="s">
        <v>332</v>
      </c>
      <c r="F136" s="262"/>
      <c r="G136" s="263" t="s">
        <v>195</v>
      </c>
      <c r="H136" s="263" t="str">
        <f t="shared" si="24"/>
        <v>AR-T09-7</v>
      </c>
      <c r="I136" s="264">
        <v>7</v>
      </c>
      <c r="J136" s="265">
        <v>1</v>
      </c>
      <c r="K136" s="266"/>
      <c r="L136" s="265"/>
      <c r="M136" s="265"/>
      <c r="N136" s="265"/>
      <c r="O136" s="265"/>
      <c r="P136" s="265"/>
      <c r="Q136" s="265"/>
      <c r="V136" s="266"/>
      <c r="W136" s="266"/>
      <c r="X136" s="266"/>
    </row>
    <row r="137" spans="2:24" s="267" customFormat="1" ht="14.25" customHeight="1" outlineLevel="1">
      <c r="B137" s="263" t="s">
        <v>134</v>
      </c>
      <c r="C137" s="260" t="s">
        <v>192</v>
      </c>
      <c r="D137" s="261" t="s">
        <v>333</v>
      </c>
      <c r="E137" s="262" t="s">
        <v>332</v>
      </c>
      <c r="F137" s="262"/>
      <c r="G137" s="263" t="s">
        <v>195</v>
      </c>
      <c r="H137" s="263" t="str">
        <f t="shared" si="24"/>
        <v>AR-T09-7</v>
      </c>
      <c r="I137" s="264">
        <v>7</v>
      </c>
      <c r="J137" s="265">
        <v>1</v>
      </c>
      <c r="K137" s="266"/>
      <c r="L137" s="265"/>
      <c r="M137" s="265"/>
      <c r="N137" s="265"/>
      <c r="O137" s="265"/>
      <c r="P137" s="265"/>
      <c r="Q137" s="265"/>
      <c r="V137" s="266"/>
      <c r="W137" s="266"/>
      <c r="X137" s="266"/>
    </row>
    <row r="138" spans="2:24" s="267" customFormat="1" ht="14.25" customHeight="1" outlineLevel="1">
      <c r="B138" s="263" t="s">
        <v>134</v>
      </c>
      <c r="C138" s="260" t="s">
        <v>192</v>
      </c>
      <c r="D138" s="261" t="s">
        <v>334</v>
      </c>
      <c r="E138" s="262" t="s">
        <v>335</v>
      </c>
      <c r="F138" s="262"/>
      <c r="G138" s="263" t="s">
        <v>195</v>
      </c>
      <c r="H138" s="263" t="str">
        <f t="shared" si="24"/>
        <v>AR-T09-7</v>
      </c>
      <c r="I138" s="264">
        <v>7</v>
      </c>
      <c r="J138" s="265">
        <v>1</v>
      </c>
      <c r="K138" s="266"/>
      <c r="L138" s="265"/>
      <c r="M138" s="265"/>
      <c r="N138" s="265"/>
      <c r="O138" s="265"/>
      <c r="P138" s="265"/>
      <c r="Q138" s="265"/>
      <c r="V138" s="266"/>
      <c r="W138" s="266"/>
      <c r="X138" s="266"/>
    </row>
    <row r="139" spans="2:24" s="267" customFormat="1" ht="14.25" customHeight="1" outlineLevel="1">
      <c r="B139" s="263" t="s">
        <v>134</v>
      </c>
      <c r="C139" s="260" t="s">
        <v>192</v>
      </c>
      <c r="D139" s="261" t="s">
        <v>336</v>
      </c>
      <c r="E139" s="262" t="s">
        <v>335</v>
      </c>
      <c r="F139" s="262"/>
      <c r="G139" s="263" t="s">
        <v>195</v>
      </c>
      <c r="H139" s="263" t="str">
        <f t="shared" si="24"/>
        <v>AR-T09-7</v>
      </c>
      <c r="I139" s="264">
        <v>7</v>
      </c>
      <c r="J139" s="265">
        <v>1</v>
      </c>
      <c r="K139" s="266"/>
      <c r="L139" s="265"/>
      <c r="M139" s="265"/>
      <c r="N139" s="265"/>
      <c r="O139" s="265"/>
      <c r="P139" s="265"/>
      <c r="Q139" s="265"/>
      <c r="V139" s="266"/>
      <c r="W139" s="266"/>
      <c r="X139" s="266"/>
    </row>
    <row r="140" spans="2:24" s="267" customFormat="1" ht="14.25" customHeight="1" outlineLevel="1">
      <c r="B140" s="263" t="s">
        <v>134</v>
      </c>
      <c r="C140" s="260" t="s">
        <v>192</v>
      </c>
      <c r="D140" s="261" t="s">
        <v>337</v>
      </c>
      <c r="E140" s="262" t="s">
        <v>338</v>
      </c>
      <c r="F140" s="262"/>
      <c r="G140" s="263" t="s">
        <v>195</v>
      </c>
      <c r="H140" s="263" t="str">
        <f t="shared" si="24"/>
        <v>AR-T09-7</v>
      </c>
      <c r="I140" s="264">
        <v>7</v>
      </c>
      <c r="J140" s="265">
        <v>1</v>
      </c>
      <c r="K140" s="266"/>
      <c r="L140" s="265"/>
      <c r="M140" s="265"/>
      <c r="N140" s="265"/>
      <c r="O140" s="265"/>
      <c r="P140" s="265"/>
      <c r="Q140" s="265"/>
      <c r="V140" s="266"/>
      <c r="W140" s="266"/>
      <c r="X140" s="266"/>
    </row>
    <row r="141" spans="2:24" s="267" customFormat="1" ht="3" customHeight="1" outlineLevel="1">
      <c r="B141" s="288"/>
      <c r="C141" s="260"/>
      <c r="D141" s="261"/>
      <c r="E141" s="262"/>
      <c r="F141" s="262"/>
      <c r="G141" s="263"/>
      <c r="H141" s="263"/>
      <c r="I141" s="264"/>
      <c r="J141" s="265"/>
      <c r="K141" s="266"/>
      <c r="L141" s="265"/>
      <c r="M141" s="265"/>
      <c r="N141" s="265"/>
      <c r="O141" s="265"/>
      <c r="P141" s="265"/>
      <c r="Q141" s="265"/>
      <c r="V141" s="266"/>
      <c r="W141" s="266"/>
      <c r="X141" s="266"/>
    </row>
    <row r="142" spans="2:24" s="267" customFormat="1" ht="13.5" customHeight="1" outlineLevel="1">
      <c r="B142" s="271" t="s">
        <v>143</v>
      </c>
      <c r="C142" s="273"/>
      <c r="D142" s="274"/>
      <c r="E142" s="275"/>
      <c r="F142" s="275"/>
      <c r="G142" s="263"/>
      <c r="H142" s="263"/>
      <c r="I142" s="264"/>
      <c r="J142" s="265"/>
      <c r="K142" s="266"/>
      <c r="L142" s="265"/>
      <c r="M142" s="265"/>
      <c r="N142" s="265"/>
      <c r="O142" s="265"/>
      <c r="P142" s="265"/>
      <c r="Q142" s="265"/>
      <c r="V142" s="266"/>
      <c r="W142" s="266"/>
      <c r="X142" s="266"/>
    </row>
    <row r="143" spans="2:24" s="276" customFormat="1" ht="14.25" customHeight="1" outlineLevel="1">
      <c r="B143" s="263" t="s">
        <v>134</v>
      </c>
      <c r="C143" s="260" t="s">
        <v>192</v>
      </c>
      <c r="D143" s="292" t="s">
        <v>144</v>
      </c>
      <c r="E143" s="293" t="s">
        <v>339</v>
      </c>
      <c r="F143" s="262"/>
      <c r="G143" s="263" t="s">
        <v>195</v>
      </c>
      <c r="H143" s="263" t="str">
        <f t="shared" ref="H143:H154" si="25">CONCATENATE("AR-",G143,"-",I143)</f>
        <v>AR-T09-1</v>
      </c>
      <c r="I143" s="264">
        <v>1</v>
      </c>
      <c r="J143" s="277">
        <v>1</v>
      </c>
      <c r="K143" s="278"/>
      <c r="L143" s="277"/>
      <c r="M143" s="265"/>
      <c r="N143" s="277"/>
      <c r="O143" s="277"/>
      <c r="P143" s="277"/>
      <c r="Q143" s="277"/>
      <c r="V143" s="266"/>
      <c r="W143" s="266"/>
      <c r="X143" s="266"/>
    </row>
    <row r="144" spans="2:24" s="267" customFormat="1" ht="14.25" customHeight="1" outlineLevel="1">
      <c r="B144" s="263" t="s">
        <v>134</v>
      </c>
      <c r="C144" s="260" t="s">
        <v>192</v>
      </c>
      <c r="D144" s="292" t="s">
        <v>146</v>
      </c>
      <c r="E144" s="293" t="s">
        <v>340</v>
      </c>
      <c r="F144" s="262"/>
      <c r="G144" s="263" t="s">
        <v>195</v>
      </c>
      <c r="H144" s="263" t="str">
        <f t="shared" si="25"/>
        <v>AR-T09-1</v>
      </c>
      <c r="I144" s="264">
        <v>1</v>
      </c>
      <c r="J144" s="265">
        <v>1</v>
      </c>
      <c r="K144" s="266"/>
      <c r="L144" s="277"/>
      <c r="M144" s="265"/>
      <c r="N144" s="277"/>
      <c r="O144" s="277"/>
      <c r="P144" s="277"/>
      <c r="Q144" s="265"/>
      <c r="V144" s="266"/>
      <c r="W144" s="266"/>
      <c r="X144" s="266"/>
    </row>
    <row r="145" spans="2:24" s="276" customFormat="1" ht="14.25" customHeight="1" outlineLevel="1">
      <c r="B145" s="263" t="s">
        <v>134</v>
      </c>
      <c r="C145" s="260" t="s">
        <v>192</v>
      </c>
      <c r="D145" s="292" t="s">
        <v>341</v>
      </c>
      <c r="E145" s="293" t="s">
        <v>342</v>
      </c>
      <c r="F145" s="262"/>
      <c r="G145" s="263" t="s">
        <v>195</v>
      </c>
      <c r="H145" s="263" t="str">
        <f t="shared" si="25"/>
        <v>AR-T09-1</v>
      </c>
      <c r="I145" s="264">
        <v>1</v>
      </c>
      <c r="J145" s="265">
        <v>1</v>
      </c>
      <c r="K145" s="278"/>
      <c r="M145" s="265"/>
      <c r="Q145" s="277"/>
      <c r="V145" s="266"/>
      <c r="W145" s="266"/>
      <c r="X145" s="266"/>
    </row>
    <row r="146" spans="2:24" s="276" customFormat="1" ht="14.25" customHeight="1" outlineLevel="1">
      <c r="B146" s="263" t="s">
        <v>134</v>
      </c>
      <c r="C146" s="260" t="s">
        <v>192</v>
      </c>
      <c r="D146" s="292" t="s">
        <v>343</v>
      </c>
      <c r="E146" s="293" t="s">
        <v>342</v>
      </c>
      <c r="F146" s="262"/>
      <c r="G146" s="263" t="s">
        <v>195</v>
      </c>
      <c r="H146" s="263" t="str">
        <f t="shared" si="25"/>
        <v>AR-T09-1</v>
      </c>
      <c r="I146" s="264">
        <v>1</v>
      </c>
      <c r="J146" s="265">
        <v>1</v>
      </c>
      <c r="K146" s="278"/>
      <c r="M146" s="265"/>
      <c r="Q146" s="277"/>
      <c r="V146" s="266"/>
      <c r="W146" s="266"/>
      <c r="X146" s="266"/>
    </row>
    <row r="147" spans="2:24" s="276" customFormat="1" ht="14.25" customHeight="1" outlineLevel="1">
      <c r="B147" s="263" t="s">
        <v>134</v>
      </c>
      <c r="C147" s="260" t="s">
        <v>192</v>
      </c>
      <c r="D147" s="292" t="s">
        <v>344</v>
      </c>
      <c r="E147" s="293" t="s">
        <v>340</v>
      </c>
      <c r="F147" s="262"/>
      <c r="G147" s="263" t="s">
        <v>195</v>
      </c>
      <c r="H147" s="263" t="str">
        <f t="shared" si="25"/>
        <v>AR-T09-1</v>
      </c>
      <c r="I147" s="264">
        <v>1</v>
      </c>
      <c r="J147" s="265">
        <v>1</v>
      </c>
      <c r="K147" s="278"/>
      <c r="L147" s="265"/>
      <c r="M147" s="265"/>
      <c r="N147" s="265"/>
      <c r="O147" s="265"/>
      <c r="P147" s="265"/>
      <c r="Q147" s="265"/>
      <c r="V147" s="266"/>
      <c r="W147" s="266"/>
      <c r="X147" s="266"/>
    </row>
    <row r="148" spans="2:24" s="276" customFormat="1" ht="14.25" customHeight="1" outlineLevel="1">
      <c r="B148" s="263" t="s">
        <v>134</v>
      </c>
      <c r="C148" s="260" t="s">
        <v>192</v>
      </c>
      <c r="D148" s="292" t="s">
        <v>345</v>
      </c>
      <c r="E148" s="293" t="s">
        <v>346</v>
      </c>
      <c r="F148" s="262"/>
      <c r="G148" s="263" t="s">
        <v>195</v>
      </c>
      <c r="H148" s="263" t="str">
        <f t="shared" si="25"/>
        <v>AR-T09-1</v>
      </c>
      <c r="I148" s="264">
        <v>1</v>
      </c>
      <c r="J148" s="277">
        <v>1</v>
      </c>
      <c r="K148" s="278"/>
      <c r="L148" s="277"/>
      <c r="M148" s="265"/>
      <c r="N148" s="277"/>
      <c r="O148" s="277"/>
      <c r="P148" s="277"/>
      <c r="Q148" s="277"/>
      <c r="V148" s="266"/>
      <c r="W148" s="266"/>
      <c r="X148" s="266"/>
    </row>
    <row r="149" spans="2:24" s="276" customFormat="1" ht="14.25" customHeight="1" outlineLevel="1">
      <c r="B149" s="263" t="s">
        <v>134</v>
      </c>
      <c r="C149" s="260" t="s">
        <v>192</v>
      </c>
      <c r="D149" s="292" t="s">
        <v>347</v>
      </c>
      <c r="E149" s="293" t="s">
        <v>348</v>
      </c>
      <c r="F149" s="262"/>
      <c r="G149" s="263" t="s">
        <v>195</v>
      </c>
      <c r="H149" s="263" t="str">
        <f t="shared" si="25"/>
        <v>AR-T09-1</v>
      </c>
      <c r="I149" s="264">
        <v>1</v>
      </c>
      <c r="J149" s="277">
        <v>1</v>
      </c>
      <c r="K149" s="278"/>
      <c r="L149" s="277"/>
      <c r="M149" s="265"/>
      <c r="N149" s="277"/>
      <c r="O149" s="277"/>
      <c r="P149" s="277"/>
      <c r="Q149" s="277"/>
      <c r="V149" s="266"/>
      <c r="W149" s="266"/>
      <c r="X149" s="266"/>
    </row>
    <row r="150" spans="2:24" s="276" customFormat="1" ht="14.25" customHeight="1" outlineLevel="1">
      <c r="B150" s="263" t="s">
        <v>134</v>
      </c>
      <c r="C150" s="260" t="s">
        <v>192</v>
      </c>
      <c r="D150" s="292" t="s">
        <v>349</v>
      </c>
      <c r="E150" s="293" t="s">
        <v>350</v>
      </c>
      <c r="F150" s="262"/>
      <c r="G150" s="263" t="s">
        <v>195</v>
      </c>
      <c r="H150" s="263" t="str">
        <f t="shared" si="25"/>
        <v>AR-T09-1</v>
      </c>
      <c r="I150" s="264">
        <v>1</v>
      </c>
      <c r="J150" s="265">
        <v>1</v>
      </c>
      <c r="K150" s="278"/>
      <c r="M150" s="265"/>
      <c r="Q150" s="277"/>
      <c r="V150" s="266"/>
      <c r="W150" s="266"/>
      <c r="X150" s="266"/>
    </row>
    <row r="151" spans="2:24" s="276" customFormat="1" ht="14.25" customHeight="1" outlineLevel="1">
      <c r="B151" s="263" t="s">
        <v>134</v>
      </c>
      <c r="C151" s="260" t="s">
        <v>192</v>
      </c>
      <c r="D151" s="292" t="s">
        <v>351</v>
      </c>
      <c r="E151" s="293" t="s">
        <v>352</v>
      </c>
      <c r="F151" s="262"/>
      <c r="G151" s="263" t="s">
        <v>195</v>
      </c>
      <c r="H151" s="263" t="str">
        <f t="shared" si="25"/>
        <v>AR-T09-1</v>
      </c>
      <c r="I151" s="264">
        <v>1</v>
      </c>
      <c r="J151" s="265">
        <v>1</v>
      </c>
      <c r="K151" s="278"/>
      <c r="M151" s="265"/>
      <c r="Q151" s="277"/>
      <c r="V151" s="266"/>
      <c r="W151" s="266"/>
      <c r="X151" s="266"/>
    </row>
    <row r="152" spans="2:24" s="276" customFormat="1" ht="14.25" customHeight="1" outlineLevel="1">
      <c r="B152" s="263" t="s">
        <v>134</v>
      </c>
      <c r="C152" s="260" t="s">
        <v>192</v>
      </c>
      <c r="D152" s="292" t="s">
        <v>353</v>
      </c>
      <c r="E152" s="293" t="s">
        <v>354</v>
      </c>
      <c r="F152" s="262"/>
      <c r="G152" s="263" t="s">
        <v>195</v>
      </c>
      <c r="H152" s="263" t="str">
        <f t="shared" si="25"/>
        <v>AR-T09-1</v>
      </c>
      <c r="I152" s="264">
        <v>1</v>
      </c>
      <c r="J152" s="265">
        <v>1</v>
      </c>
      <c r="K152" s="278"/>
      <c r="M152" s="265"/>
      <c r="Q152" s="277"/>
      <c r="V152" s="266"/>
      <c r="W152" s="266"/>
      <c r="X152" s="266"/>
    </row>
    <row r="153" spans="2:24" s="276" customFormat="1" ht="14.25" customHeight="1" outlineLevel="1">
      <c r="B153" s="263" t="s">
        <v>134</v>
      </c>
      <c r="C153" s="260" t="s">
        <v>192</v>
      </c>
      <c r="D153" s="292" t="s">
        <v>355</v>
      </c>
      <c r="E153" s="293" t="s">
        <v>356</v>
      </c>
      <c r="F153" s="262"/>
      <c r="G153" s="263" t="s">
        <v>195</v>
      </c>
      <c r="H153" s="263" t="str">
        <f t="shared" si="25"/>
        <v>AR-T09-3</v>
      </c>
      <c r="I153" s="264">
        <v>3</v>
      </c>
      <c r="K153" s="278"/>
      <c r="L153" s="277">
        <f t="shared" ref="L153:L154" si="26">M153</f>
        <v>1</v>
      </c>
      <c r="M153" s="265">
        <v>1</v>
      </c>
      <c r="N153" s="277"/>
      <c r="O153" s="277"/>
      <c r="P153" s="277"/>
      <c r="Q153" s="277">
        <f t="shared" ref="Q153:Q154" si="27">R153</f>
        <v>1</v>
      </c>
      <c r="R153" s="265">
        <v>1</v>
      </c>
      <c r="V153" s="266"/>
      <c r="W153" s="266"/>
      <c r="X153" s="266"/>
    </row>
    <row r="154" spans="2:24" s="276" customFormat="1" ht="14.25" customHeight="1" outlineLevel="1">
      <c r="B154" s="263" t="s">
        <v>134</v>
      </c>
      <c r="C154" s="260" t="s">
        <v>192</v>
      </c>
      <c r="D154" s="292" t="s">
        <v>357</v>
      </c>
      <c r="E154" s="293" t="s">
        <v>358</v>
      </c>
      <c r="F154" s="262"/>
      <c r="G154" s="263" t="s">
        <v>195</v>
      </c>
      <c r="H154" s="263" t="str">
        <f t="shared" si="25"/>
        <v>AR-T09-3</v>
      </c>
      <c r="I154" s="264">
        <v>3</v>
      </c>
      <c r="K154" s="278"/>
      <c r="L154" s="277">
        <f t="shared" si="26"/>
        <v>1</v>
      </c>
      <c r="M154" s="265">
        <v>1</v>
      </c>
      <c r="N154" s="277"/>
      <c r="O154" s="277"/>
      <c r="P154" s="277"/>
      <c r="Q154" s="277">
        <f t="shared" si="27"/>
        <v>1</v>
      </c>
      <c r="R154" s="265">
        <v>1</v>
      </c>
      <c r="V154" s="266"/>
      <c r="W154" s="266"/>
      <c r="X154" s="266"/>
    </row>
    <row r="155" spans="2:24" s="276" customFormat="1" ht="3" customHeight="1" outlineLevel="1">
      <c r="B155" s="259"/>
      <c r="C155" s="260"/>
      <c r="D155" s="261"/>
      <c r="E155" s="262"/>
      <c r="F155" s="262"/>
      <c r="G155" s="285"/>
      <c r="H155" s="285"/>
      <c r="I155" s="294"/>
      <c r="J155" s="277"/>
      <c r="K155" s="278"/>
      <c r="L155" s="277"/>
      <c r="M155" s="265"/>
      <c r="N155" s="277"/>
      <c r="O155" s="277"/>
      <c r="P155" s="277"/>
      <c r="Q155" s="277"/>
      <c r="V155" s="266"/>
      <c r="W155" s="266"/>
      <c r="X155" s="266"/>
    </row>
    <row r="156" spans="2:24" s="267" customFormat="1" ht="13.5" customHeight="1" outlineLevel="1">
      <c r="B156" s="271" t="s">
        <v>359</v>
      </c>
      <c r="C156" s="273"/>
      <c r="D156" s="274"/>
      <c r="E156" s="275"/>
      <c r="F156" s="275"/>
      <c r="G156" s="263"/>
      <c r="H156" s="263"/>
      <c r="I156" s="264"/>
      <c r="J156" s="265"/>
      <c r="K156" s="266"/>
      <c r="L156" s="265"/>
      <c r="M156" s="265"/>
      <c r="N156" s="265"/>
      <c r="O156" s="265"/>
      <c r="P156" s="265"/>
      <c r="Q156" s="265"/>
      <c r="V156" s="266"/>
      <c r="W156" s="266"/>
      <c r="X156" s="266"/>
    </row>
    <row r="157" spans="2:24" s="276" customFormat="1" ht="14.25" customHeight="1" outlineLevel="1">
      <c r="B157" s="263" t="s">
        <v>134</v>
      </c>
      <c r="C157" s="260" t="s">
        <v>192</v>
      </c>
      <c r="D157" s="292" t="s">
        <v>360</v>
      </c>
      <c r="E157" s="293" t="s">
        <v>361</v>
      </c>
      <c r="F157" s="262"/>
      <c r="G157" s="263" t="s">
        <v>195</v>
      </c>
      <c r="H157" s="263" t="str">
        <f>CONCATENATE("AR-",G157,"-",I157)</f>
        <v>AR-T09-7</v>
      </c>
      <c r="I157" s="264">
        <v>7</v>
      </c>
      <c r="J157" s="265">
        <v>1</v>
      </c>
      <c r="K157" s="278"/>
      <c r="L157" s="265"/>
      <c r="M157" s="265"/>
      <c r="N157" s="265"/>
      <c r="O157" s="265"/>
      <c r="P157" s="265"/>
      <c r="Q157" s="265"/>
      <c r="V157" s="266"/>
      <c r="W157" s="266"/>
      <c r="X157" s="266"/>
    </row>
    <row r="158" spans="2:24" s="296" customFormat="1" ht="14.25" customHeight="1" outlineLevel="1">
      <c r="B158" s="263" t="s">
        <v>134</v>
      </c>
      <c r="C158" s="260" t="s">
        <v>192</v>
      </c>
      <c r="D158" s="292" t="s">
        <v>362</v>
      </c>
      <c r="E158" s="293" t="s">
        <v>363</v>
      </c>
      <c r="F158" s="262"/>
      <c r="G158" s="263" t="s">
        <v>195</v>
      </c>
      <c r="H158" s="263" t="str">
        <f>CONCATENATE("AR-",G158,"-",I158)</f>
        <v>AR-T09-7</v>
      </c>
      <c r="I158" s="264">
        <v>7</v>
      </c>
      <c r="J158" s="265">
        <v>1</v>
      </c>
      <c r="K158" s="295"/>
      <c r="L158" s="265"/>
      <c r="M158" s="265"/>
      <c r="N158" s="265"/>
      <c r="O158" s="265"/>
      <c r="P158" s="265"/>
      <c r="Q158" s="265"/>
      <c r="V158" s="266"/>
      <c r="W158" s="266"/>
      <c r="X158" s="266"/>
    </row>
    <row r="159" spans="2:24" s="296" customFormat="1" ht="14.25" customHeight="1" outlineLevel="1">
      <c r="B159" s="263" t="s">
        <v>134</v>
      </c>
      <c r="C159" s="260" t="s">
        <v>192</v>
      </c>
      <c r="D159" s="292" t="s">
        <v>364</v>
      </c>
      <c r="E159" s="293" t="s">
        <v>365</v>
      </c>
      <c r="F159" s="262"/>
      <c r="G159" s="263" t="s">
        <v>195</v>
      </c>
      <c r="H159" s="263" t="str">
        <f>CONCATENATE("AR-",G159,"-",I159)</f>
        <v>AR-T09-7</v>
      </c>
      <c r="I159" s="264">
        <v>7</v>
      </c>
      <c r="J159" s="265">
        <v>1</v>
      </c>
      <c r="K159" s="295"/>
      <c r="L159" s="265"/>
      <c r="M159" s="265"/>
      <c r="N159" s="265"/>
      <c r="O159" s="265"/>
      <c r="P159" s="265"/>
      <c r="Q159" s="265"/>
      <c r="V159" s="266"/>
      <c r="W159" s="266"/>
      <c r="X159" s="266"/>
    </row>
    <row r="160" spans="2:24" s="296" customFormat="1" ht="14.25" customHeight="1" outlineLevel="1">
      <c r="B160" s="263" t="s">
        <v>134</v>
      </c>
      <c r="C160" s="260" t="s">
        <v>192</v>
      </c>
      <c r="D160" s="292" t="s">
        <v>366</v>
      </c>
      <c r="E160" s="293" t="s">
        <v>367</v>
      </c>
      <c r="F160" s="262"/>
      <c r="G160" s="263" t="s">
        <v>195</v>
      </c>
      <c r="H160" s="263" t="str">
        <f t="shared" ref="H160:H189" si="28">CONCATENATE("AR-",G160,"-",I160)</f>
        <v>AR-T09-7</v>
      </c>
      <c r="I160" s="264">
        <v>7</v>
      </c>
      <c r="J160" s="265">
        <v>1</v>
      </c>
      <c r="K160" s="295"/>
      <c r="L160" s="265"/>
      <c r="M160" s="265"/>
      <c r="N160" s="265"/>
      <c r="O160" s="265"/>
      <c r="P160" s="265"/>
      <c r="Q160" s="265"/>
      <c r="V160" s="266"/>
      <c r="W160" s="266"/>
      <c r="X160" s="266"/>
    </row>
    <row r="161" spans="2:24" s="296" customFormat="1" ht="14.25" customHeight="1" outlineLevel="1">
      <c r="B161" s="263" t="s">
        <v>134</v>
      </c>
      <c r="C161" s="260" t="s">
        <v>192</v>
      </c>
      <c r="D161" s="292" t="s">
        <v>368</v>
      </c>
      <c r="E161" s="293" t="s">
        <v>369</v>
      </c>
      <c r="F161" s="262"/>
      <c r="G161" s="263" t="s">
        <v>195</v>
      </c>
      <c r="H161" s="263" t="str">
        <f t="shared" si="28"/>
        <v>AR-T09-7</v>
      </c>
      <c r="I161" s="264">
        <v>7</v>
      </c>
      <c r="J161" s="265">
        <v>1</v>
      </c>
      <c r="K161" s="295"/>
      <c r="L161" s="265"/>
      <c r="M161" s="265"/>
      <c r="N161" s="265"/>
      <c r="O161" s="265"/>
      <c r="P161" s="265"/>
      <c r="Q161" s="265"/>
      <c r="V161" s="266"/>
      <c r="W161" s="266"/>
      <c r="X161" s="266"/>
    </row>
    <row r="162" spans="2:24" s="296" customFormat="1" ht="14.25" customHeight="1" outlineLevel="1">
      <c r="B162" s="263" t="s">
        <v>134</v>
      </c>
      <c r="C162" s="260" t="s">
        <v>192</v>
      </c>
      <c r="D162" s="292" t="s">
        <v>366</v>
      </c>
      <c r="E162" s="293" t="s">
        <v>370</v>
      </c>
      <c r="F162" s="262"/>
      <c r="G162" s="263" t="s">
        <v>195</v>
      </c>
      <c r="H162" s="263" t="str">
        <f t="shared" ref="H162" si="29">CONCATENATE("AR-",G162,"-",I162)</f>
        <v>AR-T09-7</v>
      </c>
      <c r="I162" s="264">
        <v>7</v>
      </c>
      <c r="J162" s="265"/>
      <c r="K162" s="295"/>
      <c r="L162" s="265">
        <v>1</v>
      </c>
      <c r="M162" s="265">
        <v>1</v>
      </c>
      <c r="N162" s="265"/>
      <c r="O162" s="265"/>
      <c r="P162" s="265"/>
      <c r="Q162" s="265">
        <v>1</v>
      </c>
      <c r="R162" s="265">
        <v>1</v>
      </c>
      <c r="V162" s="266"/>
      <c r="W162" s="266"/>
      <c r="X162" s="266"/>
    </row>
    <row r="163" spans="2:24" s="296" customFormat="1" ht="14.25" customHeight="1" outlineLevel="1">
      <c r="B163" s="263" t="s">
        <v>134</v>
      </c>
      <c r="C163" s="260" t="s">
        <v>192</v>
      </c>
      <c r="D163" s="292" t="s">
        <v>371</v>
      </c>
      <c r="E163" s="293" t="s">
        <v>372</v>
      </c>
      <c r="F163" s="262"/>
      <c r="G163" s="263" t="s">
        <v>195</v>
      </c>
      <c r="H163" s="263" t="str">
        <f t="shared" si="28"/>
        <v>AR-T09-7</v>
      </c>
      <c r="I163" s="264">
        <v>7</v>
      </c>
      <c r="J163" s="265">
        <v>1</v>
      </c>
      <c r="K163" s="295"/>
      <c r="L163" s="265"/>
      <c r="M163" s="265"/>
      <c r="N163" s="265"/>
      <c r="O163" s="265"/>
      <c r="P163" s="265"/>
      <c r="Q163" s="265"/>
      <c r="V163" s="266"/>
      <c r="W163" s="266"/>
      <c r="X163" s="266"/>
    </row>
    <row r="164" spans="2:24" s="296" customFormat="1" ht="14.25" customHeight="1" outlineLevel="1">
      <c r="B164" s="263" t="s">
        <v>134</v>
      </c>
      <c r="C164" s="260" t="s">
        <v>192</v>
      </c>
      <c r="D164" s="292" t="s">
        <v>373</v>
      </c>
      <c r="E164" s="293" t="s">
        <v>374</v>
      </c>
      <c r="F164" s="262"/>
      <c r="G164" s="263" t="s">
        <v>195</v>
      </c>
      <c r="H164" s="263" t="str">
        <f t="shared" si="28"/>
        <v>AR-T09-7</v>
      </c>
      <c r="I164" s="264">
        <v>7</v>
      </c>
      <c r="J164" s="265">
        <v>1</v>
      </c>
      <c r="K164" s="295"/>
      <c r="L164" s="265"/>
      <c r="M164" s="265"/>
      <c r="N164" s="265"/>
      <c r="O164" s="265"/>
      <c r="P164" s="265"/>
      <c r="Q164" s="265"/>
      <c r="V164" s="266"/>
      <c r="W164" s="266"/>
      <c r="X164" s="266"/>
    </row>
    <row r="165" spans="2:24" s="296" customFormat="1" ht="14.25" customHeight="1" outlineLevel="1">
      <c r="B165" s="263" t="s">
        <v>134</v>
      </c>
      <c r="C165" s="260" t="s">
        <v>192</v>
      </c>
      <c r="D165" s="292" t="s">
        <v>373</v>
      </c>
      <c r="E165" s="293" t="s">
        <v>375</v>
      </c>
      <c r="F165" s="262"/>
      <c r="G165" s="263" t="s">
        <v>195</v>
      </c>
      <c r="H165" s="263" t="str">
        <f t="shared" ref="H165" si="30">CONCATENATE("AR-",G165,"-",I165)</f>
        <v>AR-T09-7</v>
      </c>
      <c r="I165" s="264">
        <v>7</v>
      </c>
      <c r="J165" s="265"/>
      <c r="K165" s="295"/>
      <c r="L165" s="265">
        <v>1</v>
      </c>
      <c r="M165" s="265">
        <v>1</v>
      </c>
      <c r="N165" s="265"/>
      <c r="O165" s="265"/>
      <c r="P165" s="265"/>
      <c r="Q165" s="265">
        <v>1</v>
      </c>
      <c r="R165" s="265">
        <v>1</v>
      </c>
      <c r="V165" s="266"/>
      <c r="W165" s="266"/>
      <c r="X165" s="266"/>
    </row>
    <row r="166" spans="2:24" s="296" customFormat="1" ht="14.25" customHeight="1" outlineLevel="1">
      <c r="B166" s="263" t="s">
        <v>134</v>
      </c>
      <c r="C166" s="260" t="s">
        <v>192</v>
      </c>
      <c r="D166" s="292" t="s">
        <v>376</v>
      </c>
      <c r="E166" s="293" t="s">
        <v>377</v>
      </c>
      <c r="F166" s="262"/>
      <c r="G166" s="263" t="s">
        <v>195</v>
      </c>
      <c r="H166" s="263" t="str">
        <f t="shared" si="28"/>
        <v>AR-T09-7</v>
      </c>
      <c r="I166" s="264">
        <v>7</v>
      </c>
      <c r="J166" s="265">
        <v>1</v>
      </c>
      <c r="K166" s="295"/>
      <c r="L166" s="265"/>
      <c r="M166" s="265"/>
      <c r="N166" s="265"/>
      <c r="O166" s="265"/>
      <c r="P166" s="265"/>
      <c r="Q166" s="265"/>
      <c r="V166" s="266"/>
      <c r="W166" s="266"/>
      <c r="X166" s="266"/>
    </row>
    <row r="167" spans="2:24" s="296" customFormat="1" ht="14.25" customHeight="1" outlineLevel="1">
      <c r="B167" s="263" t="s">
        <v>134</v>
      </c>
      <c r="C167" s="260" t="s">
        <v>192</v>
      </c>
      <c r="D167" s="292" t="s">
        <v>378</v>
      </c>
      <c r="E167" s="293" t="s">
        <v>379</v>
      </c>
      <c r="F167" s="262"/>
      <c r="G167" s="263" t="s">
        <v>195</v>
      </c>
      <c r="H167" s="263" t="str">
        <f t="shared" si="28"/>
        <v>AR-T09-7</v>
      </c>
      <c r="I167" s="264">
        <v>7</v>
      </c>
      <c r="J167" s="265">
        <v>1</v>
      </c>
      <c r="K167" s="295"/>
      <c r="L167" s="265"/>
      <c r="M167" s="265"/>
      <c r="N167" s="265"/>
      <c r="O167" s="265"/>
      <c r="P167" s="265"/>
      <c r="Q167" s="265"/>
      <c r="V167" s="266"/>
      <c r="W167" s="266"/>
      <c r="X167" s="266"/>
    </row>
    <row r="168" spans="2:24" s="296" customFormat="1" ht="14.25" customHeight="1" outlineLevel="1">
      <c r="B168" s="263" t="s">
        <v>134</v>
      </c>
      <c r="C168" s="260" t="s">
        <v>192</v>
      </c>
      <c r="D168" s="292" t="s">
        <v>380</v>
      </c>
      <c r="E168" s="293" t="s">
        <v>381</v>
      </c>
      <c r="F168" s="262"/>
      <c r="G168" s="263" t="s">
        <v>195</v>
      </c>
      <c r="H168" s="263" t="str">
        <f t="shared" si="28"/>
        <v>AR-T09-7</v>
      </c>
      <c r="I168" s="264">
        <v>7</v>
      </c>
      <c r="J168" s="265">
        <v>1</v>
      </c>
      <c r="K168" s="295"/>
      <c r="L168" s="265"/>
      <c r="M168" s="265"/>
      <c r="N168" s="265"/>
      <c r="O168" s="265"/>
      <c r="P168" s="265"/>
      <c r="Q168" s="265"/>
      <c r="V168" s="266"/>
      <c r="W168" s="266"/>
      <c r="X168" s="266"/>
    </row>
    <row r="169" spans="2:24" s="296" customFormat="1" ht="14.25" customHeight="1" outlineLevel="1">
      <c r="B169" s="263" t="s">
        <v>134</v>
      </c>
      <c r="C169" s="260" t="s">
        <v>192</v>
      </c>
      <c r="D169" s="292" t="s">
        <v>382</v>
      </c>
      <c r="E169" s="293" t="s">
        <v>383</v>
      </c>
      <c r="F169" s="262"/>
      <c r="G169" s="263" t="s">
        <v>195</v>
      </c>
      <c r="H169" s="263" t="str">
        <f t="shared" si="28"/>
        <v>AR-T09-7</v>
      </c>
      <c r="I169" s="264">
        <v>7</v>
      </c>
      <c r="J169" s="265">
        <v>1</v>
      </c>
      <c r="K169" s="295"/>
      <c r="L169" s="265"/>
      <c r="M169" s="265"/>
      <c r="N169" s="265"/>
      <c r="O169" s="265"/>
      <c r="P169" s="265"/>
      <c r="Q169" s="265"/>
      <c r="V169" s="266"/>
      <c r="W169" s="266"/>
      <c r="X169" s="266"/>
    </row>
    <row r="170" spans="2:24" s="296" customFormat="1" ht="14.25" customHeight="1" outlineLevel="1">
      <c r="B170" s="263" t="s">
        <v>134</v>
      </c>
      <c r="C170" s="260" t="s">
        <v>192</v>
      </c>
      <c r="D170" s="292" t="s">
        <v>384</v>
      </c>
      <c r="E170" s="293" t="s">
        <v>385</v>
      </c>
      <c r="F170" s="262"/>
      <c r="G170" s="263" t="s">
        <v>195</v>
      </c>
      <c r="H170" s="263" t="str">
        <f t="shared" si="28"/>
        <v>AR-T09-7</v>
      </c>
      <c r="I170" s="264">
        <v>7</v>
      </c>
      <c r="J170" s="265">
        <v>1</v>
      </c>
      <c r="K170" s="295"/>
      <c r="L170" s="265"/>
      <c r="M170" s="265"/>
      <c r="N170" s="265"/>
      <c r="O170" s="265"/>
      <c r="P170" s="265"/>
      <c r="Q170" s="265"/>
      <c r="V170" s="266"/>
      <c r="W170" s="266"/>
      <c r="X170" s="266"/>
    </row>
    <row r="171" spans="2:24" s="296" customFormat="1" ht="14.25" customHeight="1" outlineLevel="1">
      <c r="B171" s="263" t="s">
        <v>134</v>
      </c>
      <c r="C171" s="260" t="s">
        <v>192</v>
      </c>
      <c r="D171" s="292" t="s">
        <v>386</v>
      </c>
      <c r="E171" s="293" t="s">
        <v>387</v>
      </c>
      <c r="F171" s="262"/>
      <c r="G171" s="263" t="s">
        <v>195</v>
      </c>
      <c r="H171" s="263" t="str">
        <f t="shared" si="28"/>
        <v>AR-T09-7</v>
      </c>
      <c r="I171" s="264">
        <v>7</v>
      </c>
      <c r="J171" s="265">
        <v>1</v>
      </c>
      <c r="K171" s="295"/>
      <c r="L171" s="265"/>
      <c r="M171" s="265"/>
      <c r="N171" s="265"/>
      <c r="O171" s="265"/>
      <c r="P171" s="265"/>
      <c r="Q171" s="265"/>
      <c r="V171" s="266"/>
      <c r="W171" s="266"/>
      <c r="X171" s="266"/>
    </row>
    <row r="172" spans="2:24" s="296" customFormat="1" ht="14.25" customHeight="1" outlineLevel="1">
      <c r="B172" s="263" t="s">
        <v>134</v>
      </c>
      <c r="C172" s="260" t="s">
        <v>192</v>
      </c>
      <c r="D172" s="292" t="s">
        <v>388</v>
      </c>
      <c r="E172" s="293" t="s">
        <v>389</v>
      </c>
      <c r="F172" s="262"/>
      <c r="G172" s="263" t="s">
        <v>195</v>
      </c>
      <c r="H172" s="263" t="str">
        <f t="shared" si="28"/>
        <v>AR-T09-7</v>
      </c>
      <c r="I172" s="264">
        <v>7</v>
      </c>
      <c r="J172" s="265">
        <v>1</v>
      </c>
      <c r="K172" s="295"/>
      <c r="L172" s="265"/>
      <c r="M172" s="265"/>
      <c r="N172" s="265"/>
      <c r="O172" s="265"/>
      <c r="P172" s="265"/>
      <c r="Q172" s="265"/>
      <c r="V172" s="266"/>
      <c r="W172" s="266"/>
      <c r="X172" s="266"/>
    </row>
    <row r="173" spans="2:24" s="296" customFormat="1" ht="14.25" customHeight="1" outlineLevel="1">
      <c r="B173" s="263" t="s">
        <v>134</v>
      </c>
      <c r="C173" s="260" t="s">
        <v>192</v>
      </c>
      <c r="D173" s="292" t="s">
        <v>390</v>
      </c>
      <c r="E173" s="293" t="s">
        <v>391</v>
      </c>
      <c r="F173" s="262"/>
      <c r="G173" s="263" t="s">
        <v>195</v>
      </c>
      <c r="H173" s="263" t="str">
        <f t="shared" si="28"/>
        <v>AR-T09-7</v>
      </c>
      <c r="I173" s="264">
        <v>7</v>
      </c>
      <c r="J173" s="265">
        <v>1</v>
      </c>
      <c r="K173" s="295"/>
      <c r="L173" s="265"/>
      <c r="M173" s="265"/>
      <c r="N173" s="265"/>
      <c r="O173" s="265"/>
      <c r="P173" s="265"/>
      <c r="Q173" s="265"/>
      <c r="V173" s="266"/>
      <c r="W173" s="266"/>
      <c r="X173" s="266"/>
    </row>
    <row r="174" spans="2:24" s="296" customFormat="1" ht="14.25" customHeight="1" outlineLevel="1">
      <c r="B174" s="263" t="s">
        <v>134</v>
      </c>
      <c r="C174" s="260" t="s">
        <v>192</v>
      </c>
      <c r="D174" s="292" t="s">
        <v>392</v>
      </c>
      <c r="E174" s="293" t="s">
        <v>393</v>
      </c>
      <c r="F174" s="262"/>
      <c r="G174" s="263" t="s">
        <v>195</v>
      </c>
      <c r="H174" s="263" t="str">
        <f t="shared" si="28"/>
        <v>AR-T09-7</v>
      </c>
      <c r="I174" s="264">
        <v>7</v>
      </c>
      <c r="J174" s="265">
        <v>1</v>
      </c>
      <c r="K174" s="295"/>
      <c r="L174" s="265"/>
      <c r="M174" s="265"/>
      <c r="N174" s="265"/>
      <c r="O174" s="265"/>
      <c r="P174" s="265"/>
      <c r="Q174" s="265"/>
      <c r="V174" s="266"/>
      <c r="W174" s="266"/>
      <c r="X174" s="266"/>
    </row>
    <row r="175" spans="2:24" s="296" customFormat="1" ht="14.25" customHeight="1" outlineLevel="1">
      <c r="B175" s="263" t="s">
        <v>134</v>
      </c>
      <c r="C175" s="260" t="s">
        <v>192</v>
      </c>
      <c r="D175" s="292" t="s">
        <v>394</v>
      </c>
      <c r="E175" s="293" t="s">
        <v>395</v>
      </c>
      <c r="F175" s="262"/>
      <c r="G175" s="263" t="s">
        <v>195</v>
      </c>
      <c r="H175" s="263" t="str">
        <f t="shared" si="28"/>
        <v>AR-T09-7</v>
      </c>
      <c r="I175" s="264">
        <v>7</v>
      </c>
      <c r="J175" s="265">
        <v>1</v>
      </c>
      <c r="K175" s="295"/>
      <c r="L175" s="265"/>
      <c r="M175" s="265"/>
      <c r="N175" s="265"/>
      <c r="O175" s="265"/>
      <c r="P175" s="265"/>
      <c r="Q175" s="265"/>
      <c r="V175" s="266"/>
      <c r="W175" s="266"/>
      <c r="X175" s="266"/>
    </row>
    <row r="176" spans="2:24" s="296" customFormat="1" ht="14.25" customHeight="1" outlineLevel="1">
      <c r="B176" s="263" t="s">
        <v>134</v>
      </c>
      <c r="C176" s="260" t="s">
        <v>192</v>
      </c>
      <c r="D176" s="292" t="s">
        <v>396</v>
      </c>
      <c r="E176" s="293" t="s">
        <v>397</v>
      </c>
      <c r="F176" s="262"/>
      <c r="G176" s="263" t="s">
        <v>195</v>
      </c>
      <c r="H176" s="263" t="str">
        <f t="shared" si="28"/>
        <v>AR-T09-7</v>
      </c>
      <c r="I176" s="264">
        <v>7</v>
      </c>
      <c r="J176" s="265">
        <v>1</v>
      </c>
      <c r="K176" s="295"/>
      <c r="L176" s="265"/>
      <c r="M176" s="265"/>
      <c r="N176" s="265"/>
      <c r="O176" s="265"/>
      <c r="P176" s="265"/>
      <c r="Q176" s="265"/>
      <c r="V176" s="266"/>
      <c r="W176" s="266"/>
      <c r="X176" s="266"/>
    </row>
    <row r="177" spans="2:24" s="296" customFormat="1" ht="14.25" customHeight="1" outlineLevel="1">
      <c r="B177" s="263" t="s">
        <v>134</v>
      </c>
      <c r="C177" s="260" t="s">
        <v>192</v>
      </c>
      <c r="D177" s="292" t="s">
        <v>398</v>
      </c>
      <c r="E177" s="293" t="s">
        <v>399</v>
      </c>
      <c r="F177" s="262"/>
      <c r="G177" s="263" t="s">
        <v>195</v>
      </c>
      <c r="H177" s="263" t="str">
        <f t="shared" si="28"/>
        <v>AR-T09-7</v>
      </c>
      <c r="I177" s="264">
        <v>7</v>
      </c>
      <c r="J177" s="265">
        <v>1</v>
      </c>
      <c r="K177" s="295"/>
      <c r="L177" s="265"/>
      <c r="M177" s="265"/>
      <c r="N177" s="265"/>
      <c r="O177" s="265"/>
      <c r="P177" s="265"/>
      <c r="Q177" s="265"/>
      <c r="V177" s="266"/>
      <c r="W177" s="266"/>
      <c r="X177" s="266"/>
    </row>
    <row r="178" spans="2:24" s="296" customFormat="1" ht="14.25" customHeight="1" outlineLevel="1">
      <c r="B178" s="263" t="s">
        <v>134</v>
      </c>
      <c r="C178" s="260" t="s">
        <v>192</v>
      </c>
      <c r="D178" s="292" t="s">
        <v>400</v>
      </c>
      <c r="E178" s="293" t="s">
        <v>401</v>
      </c>
      <c r="F178" s="262"/>
      <c r="G178" s="263" t="s">
        <v>195</v>
      </c>
      <c r="H178" s="263" t="str">
        <f t="shared" si="28"/>
        <v>AR-T09-7</v>
      </c>
      <c r="I178" s="264">
        <v>7</v>
      </c>
      <c r="J178" s="265">
        <v>1</v>
      </c>
      <c r="K178" s="295"/>
      <c r="L178" s="265"/>
      <c r="M178" s="265"/>
      <c r="N178" s="265"/>
      <c r="O178" s="265"/>
      <c r="P178" s="265"/>
      <c r="Q178" s="265"/>
      <c r="V178" s="266"/>
      <c r="W178" s="266"/>
      <c r="X178" s="266"/>
    </row>
    <row r="179" spans="2:24" s="296" customFormat="1" ht="14.25" customHeight="1" outlineLevel="1">
      <c r="B179" s="263" t="s">
        <v>134</v>
      </c>
      <c r="C179" s="260" t="s">
        <v>192</v>
      </c>
      <c r="D179" s="292" t="s">
        <v>402</v>
      </c>
      <c r="E179" s="293" t="s">
        <v>403</v>
      </c>
      <c r="F179" s="262"/>
      <c r="G179" s="263" t="s">
        <v>195</v>
      </c>
      <c r="H179" s="263" t="str">
        <f t="shared" si="28"/>
        <v>AR-T09-7</v>
      </c>
      <c r="I179" s="264">
        <v>7</v>
      </c>
      <c r="J179" s="265">
        <v>1</v>
      </c>
      <c r="K179" s="295"/>
      <c r="L179" s="265"/>
      <c r="M179" s="265"/>
      <c r="N179" s="265"/>
      <c r="O179" s="265"/>
      <c r="P179" s="265"/>
      <c r="Q179" s="265"/>
      <c r="V179" s="266"/>
      <c r="W179" s="266"/>
      <c r="X179" s="266"/>
    </row>
    <row r="180" spans="2:24" s="296" customFormat="1" ht="14.25" customHeight="1" outlineLevel="1">
      <c r="B180" s="263" t="s">
        <v>134</v>
      </c>
      <c r="C180" s="260" t="s">
        <v>192</v>
      </c>
      <c r="D180" s="292" t="s">
        <v>404</v>
      </c>
      <c r="E180" s="293" t="s">
        <v>405</v>
      </c>
      <c r="F180" s="262"/>
      <c r="G180" s="263" t="s">
        <v>195</v>
      </c>
      <c r="H180" s="263" t="str">
        <f t="shared" si="28"/>
        <v>AR-T09-7</v>
      </c>
      <c r="I180" s="264">
        <v>7</v>
      </c>
      <c r="J180" s="265">
        <v>1</v>
      </c>
      <c r="K180" s="295"/>
      <c r="L180" s="265"/>
      <c r="M180" s="265"/>
      <c r="N180" s="265"/>
      <c r="O180" s="265"/>
      <c r="P180" s="265"/>
      <c r="Q180" s="265"/>
      <c r="V180" s="266"/>
      <c r="W180" s="266"/>
      <c r="X180" s="266"/>
    </row>
    <row r="181" spans="2:24" s="296" customFormat="1" ht="14.25" customHeight="1" outlineLevel="1">
      <c r="B181" s="263" t="s">
        <v>134</v>
      </c>
      <c r="C181" s="260" t="s">
        <v>192</v>
      </c>
      <c r="D181" s="292" t="s">
        <v>406</v>
      </c>
      <c r="E181" s="293" t="s">
        <v>407</v>
      </c>
      <c r="F181" s="262"/>
      <c r="G181" s="263" t="s">
        <v>195</v>
      </c>
      <c r="H181" s="263" t="str">
        <f t="shared" si="28"/>
        <v>AR-T09-7</v>
      </c>
      <c r="I181" s="264">
        <v>7</v>
      </c>
      <c r="J181" s="265">
        <v>1</v>
      </c>
      <c r="K181" s="295"/>
      <c r="L181" s="265"/>
      <c r="M181" s="265"/>
      <c r="N181" s="265"/>
      <c r="O181" s="265"/>
      <c r="P181" s="265"/>
      <c r="Q181" s="265"/>
      <c r="V181" s="266"/>
      <c r="W181" s="266"/>
      <c r="X181" s="266"/>
    </row>
    <row r="182" spans="2:24" s="296" customFormat="1" ht="14.25" customHeight="1" outlineLevel="1">
      <c r="B182" s="263" t="s">
        <v>134</v>
      </c>
      <c r="C182" s="260" t="s">
        <v>192</v>
      </c>
      <c r="D182" s="292" t="s">
        <v>408</v>
      </c>
      <c r="E182" s="293" t="s">
        <v>409</v>
      </c>
      <c r="F182" s="262"/>
      <c r="G182" s="263" t="s">
        <v>195</v>
      </c>
      <c r="H182" s="263" t="str">
        <f t="shared" si="28"/>
        <v>AR-T09-7</v>
      </c>
      <c r="I182" s="264">
        <v>7</v>
      </c>
      <c r="J182" s="265">
        <v>1</v>
      </c>
      <c r="K182" s="295"/>
      <c r="L182" s="265"/>
      <c r="M182" s="265"/>
      <c r="N182" s="265"/>
      <c r="O182" s="265"/>
      <c r="P182" s="265"/>
      <c r="Q182" s="265"/>
      <c r="V182" s="266"/>
      <c r="W182" s="266"/>
      <c r="X182" s="266"/>
    </row>
    <row r="183" spans="2:24" s="296" customFormat="1" ht="14.25" customHeight="1" outlineLevel="1">
      <c r="B183" s="263" t="s">
        <v>134</v>
      </c>
      <c r="C183" s="260" t="s">
        <v>192</v>
      </c>
      <c r="D183" s="292" t="s">
        <v>410</v>
      </c>
      <c r="E183" s="293" t="s">
        <v>411</v>
      </c>
      <c r="F183" s="262"/>
      <c r="G183" s="263" t="s">
        <v>195</v>
      </c>
      <c r="H183" s="263" t="str">
        <f t="shared" si="28"/>
        <v>AR-T09-7</v>
      </c>
      <c r="I183" s="264">
        <v>7</v>
      </c>
      <c r="J183" s="265">
        <v>1</v>
      </c>
      <c r="K183" s="295"/>
      <c r="L183" s="265"/>
      <c r="M183" s="265"/>
      <c r="N183" s="265"/>
      <c r="O183" s="265"/>
      <c r="P183" s="265"/>
      <c r="Q183" s="265"/>
      <c r="V183" s="266"/>
      <c r="W183" s="266"/>
      <c r="X183" s="266"/>
    </row>
    <row r="184" spans="2:24" s="296" customFormat="1" ht="14.25" customHeight="1" outlineLevel="1">
      <c r="B184" s="263" t="s">
        <v>134</v>
      </c>
      <c r="C184" s="260" t="s">
        <v>192</v>
      </c>
      <c r="D184" s="292" t="s">
        <v>412</v>
      </c>
      <c r="E184" s="293" t="s">
        <v>413</v>
      </c>
      <c r="F184" s="262"/>
      <c r="G184" s="263" t="s">
        <v>195</v>
      </c>
      <c r="H184" s="263" t="str">
        <f t="shared" si="28"/>
        <v>AR-T09-7</v>
      </c>
      <c r="I184" s="264">
        <v>7</v>
      </c>
      <c r="J184" s="265">
        <v>1</v>
      </c>
      <c r="K184" s="295"/>
      <c r="L184" s="265"/>
      <c r="M184" s="265"/>
      <c r="N184" s="265"/>
      <c r="O184" s="265"/>
      <c r="P184" s="265"/>
      <c r="Q184" s="265"/>
      <c r="V184" s="266"/>
      <c r="W184" s="266"/>
      <c r="X184" s="266"/>
    </row>
    <row r="185" spans="2:24" s="296" customFormat="1" ht="14.25" customHeight="1" outlineLevel="1">
      <c r="B185" s="263" t="s">
        <v>134</v>
      </c>
      <c r="C185" s="260" t="s">
        <v>192</v>
      </c>
      <c r="D185" s="292" t="s">
        <v>414</v>
      </c>
      <c r="E185" s="293" t="s">
        <v>415</v>
      </c>
      <c r="F185" s="262"/>
      <c r="G185" s="263" t="s">
        <v>195</v>
      </c>
      <c r="H185" s="263" t="str">
        <f t="shared" si="28"/>
        <v>AR-T09-7</v>
      </c>
      <c r="I185" s="264">
        <v>7</v>
      </c>
      <c r="J185" s="265">
        <v>1</v>
      </c>
      <c r="K185" s="295"/>
      <c r="L185" s="265"/>
      <c r="M185" s="265"/>
      <c r="N185" s="265"/>
      <c r="O185" s="265"/>
      <c r="P185" s="265"/>
      <c r="Q185" s="265"/>
      <c r="V185" s="266"/>
      <c r="W185" s="266"/>
      <c r="X185" s="266"/>
    </row>
    <row r="186" spans="2:24" s="296" customFormat="1" ht="14.25" customHeight="1" outlineLevel="1">
      <c r="B186" s="263" t="s">
        <v>134</v>
      </c>
      <c r="C186" s="260" t="s">
        <v>192</v>
      </c>
      <c r="D186" s="292" t="s">
        <v>416</v>
      </c>
      <c r="E186" s="293" t="s">
        <v>417</v>
      </c>
      <c r="F186" s="262"/>
      <c r="G186" s="263" t="s">
        <v>195</v>
      </c>
      <c r="H186" s="263" t="str">
        <f t="shared" si="28"/>
        <v>AR-T09-7</v>
      </c>
      <c r="I186" s="264">
        <v>7</v>
      </c>
      <c r="J186" s="265">
        <v>1</v>
      </c>
      <c r="K186" s="295"/>
      <c r="L186" s="265"/>
      <c r="M186" s="265"/>
      <c r="N186" s="265"/>
      <c r="O186" s="265"/>
      <c r="P186" s="265"/>
      <c r="Q186" s="265"/>
      <c r="V186" s="266"/>
      <c r="W186" s="266"/>
      <c r="X186" s="266"/>
    </row>
    <row r="187" spans="2:24" s="296" customFormat="1" ht="14.25" customHeight="1" outlineLevel="1">
      <c r="B187" s="263" t="s">
        <v>134</v>
      </c>
      <c r="C187" s="260" t="s">
        <v>192</v>
      </c>
      <c r="D187" s="292" t="s">
        <v>418</v>
      </c>
      <c r="E187" s="293" t="s">
        <v>419</v>
      </c>
      <c r="F187" s="262"/>
      <c r="G187" s="263" t="s">
        <v>195</v>
      </c>
      <c r="H187" s="263" t="str">
        <f t="shared" si="28"/>
        <v>AR-T09-7</v>
      </c>
      <c r="I187" s="264">
        <v>7</v>
      </c>
      <c r="J187" s="265">
        <v>1</v>
      </c>
      <c r="K187" s="295"/>
      <c r="L187" s="265"/>
      <c r="M187" s="265"/>
      <c r="N187" s="265"/>
      <c r="O187" s="265"/>
      <c r="P187" s="265"/>
      <c r="Q187" s="265"/>
      <c r="V187" s="266"/>
      <c r="W187" s="266"/>
      <c r="X187" s="266"/>
    </row>
    <row r="188" spans="2:24" s="296" customFormat="1" ht="14.25" customHeight="1" outlineLevel="1">
      <c r="B188" s="263" t="s">
        <v>134</v>
      </c>
      <c r="C188" s="260" t="s">
        <v>192</v>
      </c>
      <c r="D188" s="292" t="s">
        <v>420</v>
      </c>
      <c r="E188" s="293" t="s">
        <v>421</v>
      </c>
      <c r="F188" s="262"/>
      <c r="G188" s="263" t="s">
        <v>195</v>
      </c>
      <c r="H188" s="263" t="str">
        <f t="shared" si="28"/>
        <v>AR-T09-7</v>
      </c>
      <c r="I188" s="264">
        <v>7</v>
      </c>
      <c r="J188" s="265">
        <v>1</v>
      </c>
      <c r="K188" s="295"/>
      <c r="L188" s="265"/>
      <c r="M188" s="265"/>
      <c r="N188" s="265"/>
      <c r="O188" s="265"/>
      <c r="P188" s="265"/>
      <c r="Q188" s="265"/>
      <c r="V188" s="266"/>
      <c r="W188" s="266"/>
      <c r="X188" s="266"/>
    </row>
    <row r="189" spans="2:24" s="296" customFormat="1" ht="14.25" customHeight="1" outlineLevel="1">
      <c r="B189" s="263" t="s">
        <v>134</v>
      </c>
      <c r="C189" s="260" t="s">
        <v>192</v>
      </c>
      <c r="D189" s="292" t="s">
        <v>422</v>
      </c>
      <c r="E189" s="293" t="s">
        <v>423</v>
      </c>
      <c r="F189" s="262"/>
      <c r="G189" s="263" t="s">
        <v>195</v>
      </c>
      <c r="H189" s="263" t="str">
        <f t="shared" si="28"/>
        <v>AR-T09-7</v>
      </c>
      <c r="I189" s="264">
        <v>7</v>
      </c>
      <c r="J189" s="265">
        <v>1</v>
      </c>
      <c r="K189" s="295"/>
      <c r="L189" s="265"/>
      <c r="M189" s="265"/>
      <c r="N189" s="265"/>
      <c r="O189" s="265"/>
      <c r="P189" s="265"/>
      <c r="Q189" s="265"/>
      <c r="V189" s="266"/>
      <c r="W189" s="266"/>
      <c r="X189" s="266"/>
    </row>
    <row r="190" spans="2:24" s="276" customFormat="1" ht="15" customHeight="1" outlineLevel="1">
      <c r="B190" s="263" t="s">
        <v>134</v>
      </c>
      <c r="C190" s="260" t="s">
        <v>192</v>
      </c>
      <c r="D190" s="292" t="s">
        <v>422</v>
      </c>
      <c r="E190" s="293" t="s">
        <v>424</v>
      </c>
      <c r="F190" s="262"/>
      <c r="G190" s="263" t="s">
        <v>195</v>
      </c>
      <c r="H190" s="263" t="str">
        <f t="shared" ref="H190" si="31">CONCATENATE("AR-",G190,"-",I190)</f>
        <v>AR-T09-7</v>
      </c>
      <c r="I190" s="264">
        <v>7</v>
      </c>
      <c r="J190" s="265"/>
      <c r="K190" s="278"/>
      <c r="L190" s="265">
        <v>1</v>
      </c>
      <c r="M190" s="265">
        <v>1</v>
      </c>
      <c r="N190" s="277"/>
      <c r="O190" s="277"/>
      <c r="P190" s="277"/>
      <c r="Q190" s="265">
        <v>1</v>
      </c>
      <c r="R190" s="265">
        <v>1</v>
      </c>
      <c r="V190" s="266"/>
      <c r="W190" s="266"/>
      <c r="X190" s="266"/>
    </row>
    <row r="191" spans="2:24" s="276" customFormat="1" ht="3" customHeight="1" outlineLevel="1">
      <c r="B191" s="259"/>
      <c r="C191" s="273"/>
      <c r="D191" s="274"/>
      <c r="E191" s="297"/>
      <c r="F191" s="297"/>
      <c r="G191" s="285"/>
      <c r="H191" s="285"/>
      <c r="I191" s="294"/>
      <c r="J191" s="277"/>
      <c r="K191" s="278"/>
      <c r="L191" s="277"/>
      <c r="M191" s="265"/>
      <c r="N191" s="277"/>
      <c r="O191" s="277"/>
      <c r="P191" s="277"/>
      <c r="Q191" s="277"/>
      <c r="V191" s="266"/>
      <c r="W191" s="266"/>
      <c r="X191" s="266"/>
    </row>
    <row r="192" spans="2:24" s="267" customFormat="1" ht="13.5" customHeight="1" outlineLevel="1">
      <c r="B192" s="271" t="s">
        <v>425</v>
      </c>
      <c r="C192" s="273"/>
      <c r="D192" s="274"/>
      <c r="E192" s="275"/>
      <c r="F192" s="275"/>
      <c r="G192" s="263"/>
      <c r="H192" s="263"/>
      <c r="I192" s="264"/>
      <c r="J192" s="265"/>
      <c r="K192" s="266"/>
      <c r="L192" s="265"/>
      <c r="M192" s="265"/>
      <c r="N192" s="265"/>
      <c r="O192" s="265"/>
      <c r="P192" s="265"/>
      <c r="Q192" s="265"/>
      <c r="V192" s="266"/>
      <c r="W192" s="266"/>
      <c r="X192" s="266"/>
    </row>
    <row r="193" spans="2:24" s="276" customFormat="1" outlineLevel="1">
      <c r="B193" s="263" t="s">
        <v>134</v>
      </c>
      <c r="C193" s="260" t="s">
        <v>192</v>
      </c>
      <c r="D193" s="261" t="s">
        <v>426</v>
      </c>
      <c r="E193" s="262" t="s">
        <v>427</v>
      </c>
      <c r="F193" s="262"/>
      <c r="G193" s="263" t="s">
        <v>195</v>
      </c>
      <c r="H193" s="263" t="str">
        <f t="shared" ref="H193:H199" si="32">CONCATENATE("AR-",G193,"-",I193)</f>
        <v>AR-T09-1</v>
      </c>
      <c r="I193" s="264">
        <v>1</v>
      </c>
      <c r="J193" s="277">
        <v>1</v>
      </c>
      <c r="K193" s="278"/>
      <c r="L193" s="277"/>
      <c r="M193" s="265"/>
      <c r="N193" s="277"/>
      <c r="O193" s="277"/>
      <c r="P193" s="277"/>
      <c r="Q193" s="277"/>
      <c r="V193" s="266"/>
      <c r="W193" s="266"/>
      <c r="X193" s="266"/>
    </row>
    <row r="194" spans="2:24" s="276" customFormat="1" outlineLevel="1">
      <c r="B194" s="263" t="s">
        <v>134</v>
      </c>
      <c r="C194" s="260" t="s">
        <v>192</v>
      </c>
      <c r="D194" s="261" t="s">
        <v>428</v>
      </c>
      <c r="E194" s="262" t="s">
        <v>429</v>
      </c>
      <c r="F194" s="262"/>
      <c r="G194" s="263" t="s">
        <v>195</v>
      </c>
      <c r="H194" s="263" t="str">
        <f t="shared" si="32"/>
        <v>AR-T09-1</v>
      </c>
      <c r="I194" s="264">
        <v>1</v>
      </c>
      <c r="J194" s="277">
        <v>1</v>
      </c>
      <c r="K194" s="278"/>
      <c r="L194" s="277"/>
      <c r="M194" s="265"/>
      <c r="N194" s="277"/>
      <c r="O194" s="277"/>
      <c r="P194" s="277"/>
      <c r="Q194" s="277"/>
      <c r="V194" s="266"/>
      <c r="W194" s="266"/>
      <c r="X194" s="266"/>
    </row>
    <row r="195" spans="2:24" s="276" customFormat="1" outlineLevel="1">
      <c r="B195" s="263" t="s">
        <v>134</v>
      </c>
      <c r="C195" s="260" t="s">
        <v>192</v>
      </c>
      <c r="D195" s="261" t="s">
        <v>430</v>
      </c>
      <c r="E195" s="262" t="s">
        <v>431</v>
      </c>
      <c r="F195" s="262"/>
      <c r="G195" s="263" t="s">
        <v>195</v>
      </c>
      <c r="H195" s="263" t="str">
        <f t="shared" si="32"/>
        <v>AR-T09-1</v>
      </c>
      <c r="I195" s="264">
        <v>1</v>
      </c>
      <c r="J195" s="277">
        <v>1</v>
      </c>
      <c r="K195" s="278"/>
      <c r="L195" s="277"/>
      <c r="M195" s="265"/>
      <c r="N195" s="277"/>
      <c r="O195" s="277"/>
      <c r="P195" s="277"/>
      <c r="Q195" s="277"/>
      <c r="V195" s="266"/>
      <c r="W195" s="266"/>
      <c r="X195" s="266"/>
    </row>
    <row r="196" spans="2:24" s="276" customFormat="1" outlineLevel="1">
      <c r="B196" s="263" t="s">
        <v>134</v>
      </c>
      <c r="C196" s="260" t="s">
        <v>192</v>
      </c>
      <c r="D196" s="261" t="s">
        <v>432</v>
      </c>
      <c r="E196" s="262" t="s">
        <v>433</v>
      </c>
      <c r="F196" s="262"/>
      <c r="G196" s="263" t="s">
        <v>195</v>
      </c>
      <c r="H196" s="263" t="str">
        <f t="shared" si="32"/>
        <v>AR-T09-1</v>
      </c>
      <c r="I196" s="264">
        <v>1</v>
      </c>
      <c r="J196" s="277">
        <v>1</v>
      </c>
      <c r="K196" s="278"/>
      <c r="L196" s="277"/>
      <c r="M196" s="265"/>
      <c r="N196" s="277"/>
      <c r="O196" s="277"/>
      <c r="P196" s="277"/>
      <c r="Q196" s="277"/>
      <c r="V196" s="266"/>
      <c r="W196" s="266"/>
      <c r="X196" s="266"/>
    </row>
    <row r="197" spans="2:24" s="276" customFormat="1" outlineLevel="1">
      <c r="B197" s="263" t="s">
        <v>134</v>
      </c>
      <c r="C197" s="260" t="s">
        <v>192</v>
      </c>
      <c r="D197" s="261" t="s">
        <v>434</v>
      </c>
      <c r="E197" s="262" t="s">
        <v>435</v>
      </c>
      <c r="F197" s="262"/>
      <c r="G197" s="263" t="s">
        <v>195</v>
      </c>
      <c r="H197" s="263" t="str">
        <f t="shared" si="32"/>
        <v>AR-T09-1</v>
      </c>
      <c r="I197" s="264">
        <v>1</v>
      </c>
      <c r="J197" s="277">
        <v>1</v>
      </c>
      <c r="K197" s="278"/>
      <c r="L197" s="277"/>
      <c r="M197" s="265"/>
      <c r="N197" s="277"/>
      <c r="O197" s="277"/>
      <c r="P197" s="277"/>
      <c r="Q197" s="277"/>
      <c r="V197" s="266"/>
      <c r="W197" s="266"/>
      <c r="X197" s="266"/>
    </row>
    <row r="198" spans="2:24" s="276" customFormat="1" outlineLevel="1">
      <c r="B198" s="263" t="s">
        <v>134</v>
      </c>
      <c r="C198" s="260" t="s">
        <v>192</v>
      </c>
      <c r="D198" s="261" t="s">
        <v>436</v>
      </c>
      <c r="E198" s="262" t="s">
        <v>437</v>
      </c>
      <c r="F198" s="262"/>
      <c r="G198" s="263" t="s">
        <v>195</v>
      </c>
      <c r="H198" s="263" t="str">
        <f t="shared" si="32"/>
        <v>AR-T09-1</v>
      </c>
      <c r="I198" s="264">
        <v>1</v>
      </c>
      <c r="J198" s="277">
        <v>1</v>
      </c>
      <c r="K198" s="278"/>
      <c r="L198" s="277"/>
      <c r="M198" s="265"/>
      <c r="N198" s="277"/>
      <c r="O198" s="277"/>
      <c r="P198" s="277"/>
      <c r="Q198" s="277"/>
      <c r="V198" s="266"/>
      <c r="W198" s="266"/>
      <c r="X198" s="266"/>
    </row>
    <row r="199" spans="2:24" s="276" customFormat="1" outlineLevel="1">
      <c r="B199" s="263" t="s">
        <v>134</v>
      </c>
      <c r="C199" s="260" t="s">
        <v>192</v>
      </c>
      <c r="D199" s="261" t="s">
        <v>438</v>
      </c>
      <c r="E199" s="262" t="s">
        <v>439</v>
      </c>
      <c r="F199" s="262"/>
      <c r="G199" s="263" t="s">
        <v>195</v>
      </c>
      <c r="H199" s="263" t="str">
        <f t="shared" si="32"/>
        <v>AR-T09-1</v>
      </c>
      <c r="I199" s="264">
        <v>1</v>
      </c>
      <c r="J199" s="265">
        <v>1</v>
      </c>
      <c r="K199" s="278"/>
      <c r="L199" s="265"/>
      <c r="M199" s="265"/>
      <c r="N199" s="265"/>
      <c r="O199" s="265"/>
      <c r="P199" s="265"/>
      <c r="Q199" s="277"/>
      <c r="V199" s="266"/>
      <c r="W199" s="266"/>
      <c r="X199" s="266"/>
    </row>
    <row r="200" spans="2:24" s="276" customFormat="1" ht="3" customHeight="1" outlineLevel="1">
      <c r="B200" s="259"/>
      <c r="C200" s="273"/>
      <c r="D200" s="274"/>
      <c r="E200" s="262"/>
      <c r="F200" s="262"/>
      <c r="G200" s="285"/>
      <c r="H200" s="285"/>
      <c r="I200" s="294"/>
      <c r="J200" s="277"/>
      <c r="K200" s="278"/>
      <c r="L200" s="277"/>
      <c r="M200" s="265"/>
      <c r="N200" s="277"/>
      <c r="O200" s="277"/>
      <c r="P200" s="277"/>
      <c r="Q200" s="277"/>
      <c r="V200" s="266"/>
      <c r="W200" s="266"/>
      <c r="X200" s="266"/>
    </row>
    <row r="201" spans="2:24" s="267" customFormat="1" ht="13.5" customHeight="1" outlineLevel="1">
      <c r="B201" s="271" t="s">
        <v>440</v>
      </c>
      <c r="C201" s="273"/>
      <c r="D201" s="274"/>
      <c r="E201" s="275"/>
      <c r="F201" s="275"/>
      <c r="G201" s="263"/>
      <c r="H201" s="263"/>
      <c r="I201" s="264"/>
      <c r="J201" s="265"/>
      <c r="K201" s="266"/>
      <c r="L201" s="265"/>
      <c r="M201" s="265"/>
      <c r="N201" s="265"/>
      <c r="O201" s="265"/>
      <c r="P201" s="265"/>
      <c r="Q201" s="265"/>
      <c r="V201" s="266"/>
      <c r="W201" s="266"/>
      <c r="X201" s="266"/>
    </row>
    <row r="202" spans="2:24" s="276" customFormat="1" ht="14.25" customHeight="1" outlineLevel="1">
      <c r="B202" s="263" t="s">
        <v>134</v>
      </c>
      <c r="C202" s="260" t="s">
        <v>192</v>
      </c>
      <c r="D202" s="261" t="s">
        <v>441</v>
      </c>
      <c r="E202" s="262" t="s">
        <v>442</v>
      </c>
      <c r="F202" s="262"/>
      <c r="G202" s="263" t="s">
        <v>195</v>
      </c>
      <c r="H202" s="263" t="str">
        <f>CONCATENATE("AR-",G202,"-",I202)</f>
        <v>AR-T09-</v>
      </c>
      <c r="I202" s="264"/>
      <c r="J202" s="277"/>
      <c r="K202" s="278"/>
      <c r="L202" s="277"/>
      <c r="M202" s="265"/>
      <c r="N202" s="265"/>
      <c r="O202" s="265"/>
      <c r="P202" s="265"/>
      <c r="Q202" s="277"/>
      <c r="V202" s="266"/>
      <c r="W202" s="266"/>
      <c r="X202" s="266"/>
    </row>
    <row r="203" spans="2:24" s="276" customFormat="1" ht="14.25" customHeight="1" outlineLevel="1">
      <c r="B203" s="263" t="s">
        <v>134</v>
      </c>
      <c r="C203" s="260" t="s">
        <v>192</v>
      </c>
      <c r="D203" s="261" t="s">
        <v>443</v>
      </c>
      <c r="E203" s="262" t="s">
        <v>444</v>
      </c>
      <c r="F203" s="262"/>
      <c r="G203" s="263" t="s">
        <v>195</v>
      </c>
      <c r="H203" s="263" t="str">
        <f>CONCATENATE("AR-",G203,"-",I203)</f>
        <v>AR-T09-</v>
      </c>
      <c r="I203" s="264"/>
      <c r="J203" s="277"/>
      <c r="K203" s="278"/>
      <c r="L203" s="277"/>
      <c r="M203" s="265"/>
      <c r="N203" s="265"/>
      <c r="O203" s="265"/>
      <c r="P203" s="265"/>
      <c r="Q203" s="277"/>
      <c r="V203" s="266"/>
      <c r="W203" s="266"/>
      <c r="X203" s="266"/>
    </row>
    <row r="204" spans="2:24" s="276" customFormat="1" ht="14.25" customHeight="1" outlineLevel="1">
      <c r="B204" s="263" t="s">
        <v>134</v>
      </c>
      <c r="C204" s="260" t="s">
        <v>192</v>
      </c>
      <c r="D204" s="261" t="s">
        <v>445</v>
      </c>
      <c r="E204" s="262" t="s">
        <v>446</v>
      </c>
      <c r="F204" s="262"/>
      <c r="G204" s="263" t="s">
        <v>195</v>
      </c>
      <c r="H204" s="263" t="str">
        <f>CONCATENATE("AR-",G204,"-",I204)</f>
        <v>AR-T09-</v>
      </c>
      <c r="I204" s="264"/>
      <c r="J204" s="277"/>
      <c r="K204" s="278"/>
      <c r="L204" s="277"/>
      <c r="M204" s="265"/>
      <c r="N204" s="265"/>
      <c r="O204" s="265"/>
      <c r="P204" s="265"/>
      <c r="Q204" s="277"/>
      <c r="V204" s="266"/>
      <c r="W204" s="266"/>
      <c r="X204" s="266"/>
    </row>
    <row r="205" spans="2:24" s="276" customFormat="1" ht="14.25" customHeight="1" outlineLevel="1">
      <c r="B205" s="263" t="s">
        <v>134</v>
      </c>
      <c r="C205" s="260" t="s">
        <v>192</v>
      </c>
      <c r="D205" s="261" t="s">
        <v>447</v>
      </c>
      <c r="E205" s="262" t="s">
        <v>448</v>
      </c>
      <c r="F205" s="262"/>
      <c r="G205" s="263" t="s">
        <v>195</v>
      </c>
      <c r="H205" s="263" t="str">
        <f>CONCATENATE("AR-",G205,"-",I205)</f>
        <v>AR-T09-</v>
      </c>
      <c r="I205" s="264"/>
      <c r="J205" s="277"/>
      <c r="K205" s="278"/>
      <c r="L205" s="277"/>
      <c r="M205" s="265"/>
      <c r="N205" s="265"/>
      <c r="O205" s="265"/>
      <c r="P205" s="265"/>
      <c r="Q205" s="277"/>
      <c r="V205" s="266"/>
      <c r="W205" s="266"/>
      <c r="X205" s="266"/>
    </row>
    <row r="206" spans="2:24" s="276" customFormat="1" ht="14.25" customHeight="1" outlineLevel="1">
      <c r="B206" s="263" t="s">
        <v>134</v>
      </c>
      <c r="C206" s="260" t="s">
        <v>192</v>
      </c>
      <c r="D206" s="261" t="s">
        <v>449</v>
      </c>
      <c r="E206" s="262" t="s">
        <v>450</v>
      </c>
      <c r="F206" s="262"/>
      <c r="G206" s="263" t="s">
        <v>195</v>
      </c>
      <c r="H206" s="263" t="str">
        <f>CONCATENATE("AR-",G206,"-",I206)</f>
        <v>AR-T09-</v>
      </c>
      <c r="I206" s="264"/>
      <c r="J206" s="277"/>
      <c r="K206" s="278"/>
      <c r="L206" s="277"/>
      <c r="M206" s="265"/>
      <c r="N206" s="265"/>
      <c r="O206" s="265"/>
      <c r="P206" s="265"/>
      <c r="Q206" s="277"/>
      <c r="V206" s="266"/>
      <c r="W206" s="266"/>
      <c r="X206" s="266"/>
    </row>
    <row r="207" spans="2:24" s="276" customFormat="1" ht="3" customHeight="1" outlineLevel="1">
      <c r="B207" s="259"/>
      <c r="C207" s="273"/>
      <c r="D207" s="274"/>
      <c r="E207" s="262"/>
      <c r="F207" s="262"/>
      <c r="G207" s="285"/>
      <c r="H207" s="285"/>
      <c r="I207" s="294"/>
      <c r="J207" s="277"/>
      <c r="K207" s="278"/>
      <c r="L207" s="277"/>
      <c r="M207" s="265"/>
      <c r="N207" s="277"/>
      <c r="O207" s="277"/>
      <c r="P207" s="277"/>
      <c r="Q207" s="277"/>
      <c r="V207" s="266"/>
      <c r="W207" s="266"/>
      <c r="X207" s="266"/>
    </row>
    <row r="208" spans="2:24" s="267" customFormat="1" ht="13.5" customHeight="1" outlineLevel="1">
      <c r="B208" s="271" t="s">
        <v>451</v>
      </c>
      <c r="C208" s="273"/>
      <c r="D208" s="274"/>
      <c r="E208" s="275"/>
      <c r="F208" s="275"/>
      <c r="G208" s="263"/>
      <c r="H208" s="263"/>
      <c r="I208" s="264"/>
      <c r="J208" s="265"/>
      <c r="K208" s="266"/>
      <c r="L208" s="265"/>
      <c r="M208" s="265"/>
      <c r="N208" s="265"/>
      <c r="O208" s="265"/>
      <c r="P208" s="265"/>
      <c r="Q208" s="265"/>
      <c r="V208" s="266"/>
      <c r="W208" s="266"/>
      <c r="X208" s="266"/>
    </row>
    <row r="209" spans="2:24" s="276" customFormat="1" ht="14.25" customHeight="1" outlineLevel="1">
      <c r="B209" s="263" t="s">
        <v>134</v>
      </c>
      <c r="C209" s="260" t="s">
        <v>192</v>
      </c>
      <c r="D209" s="261" t="s">
        <v>452</v>
      </c>
      <c r="E209" s="262" t="s">
        <v>453</v>
      </c>
      <c r="F209" s="262"/>
      <c r="G209" s="263" t="s">
        <v>195</v>
      </c>
      <c r="H209" s="263" t="str">
        <f t="shared" ref="H209:H214" si="33">CONCATENATE("AR-",G209,"-",I209)</f>
        <v>AR-T09-</v>
      </c>
      <c r="I209" s="264"/>
      <c r="J209" s="277"/>
      <c r="K209" s="278"/>
      <c r="L209" s="277"/>
      <c r="M209" s="265"/>
      <c r="N209" s="265"/>
      <c r="O209" s="265"/>
      <c r="P209" s="265"/>
      <c r="Q209" s="277"/>
      <c r="V209" s="266"/>
      <c r="W209" s="266"/>
      <c r="X209" s="266"/>
    </row>
    <row r="210" spans="2:24" s="276" customFormat="1" ht="14.25" customHeight="1" outlineLevel="1">
      <c r="B210" s="263" t="s">
        <v>134</v>
      </c>
      <c r="C210" s="260" t="s">
        <v>192</v>
      </c>
      <c r="D210" s="261" t="s">
        <v>454</v>
      </c>
      <c r="E210" s="262" t="s">
        <v>455</v>
      </c>
      <c r="F210" s="262"/>
      <c r="G210" s="263" t="s">
        <v>195</v>
      </c>
      <c r="H210" s="263" t="str">
        <f t="shared" si="33"/>
        <v>AR-T09-</v>
      </c>
      <c r="I210" s="264"/>
      <c r="J210" s="277"/>
      <c r="K210" s="278"/>
      <c r="L210" s="277"/>
      <c r="M210" s="265"/>
      <c r="N210" s="265"/>
      <c r="O210" s="265"/>
      <c r="P210" s="265"/>
      <c r="Q210" s="277"/>
      <c r="V210" s="266"/>
      <c r="W210" s="266"/>
      <c r="X210" s="266"/>
    </row>
    <row r="211" spans="2:24" s="276" customFormat="1" ht="14.25" customHeight="1" outlineLevel="1">
      <c r="B211" s="263" t="s">
        <v>134</v>
      </c>
      <c r="C211" s="260" t="s">
        <v>192</v>
      </c>
      <c r="D211" s="261" t="s">
        <v>456</v>
      </c>
      <c r="E211" s="262" t="s">
        <v>457</v>
      </c>
      <c r="F211" s="262"/>
      <c r="G211" s="263" t="s">
        <v>195</v>
      </c>
      <c r="H211" s="263" t="str">
        <f t="shared" si="33"/>
        <v>AR-T09-</v>
      </c>
      <c r="I211" s="264"/>
      <c r="J211" s="277"/>
      <c r="K211" s="278"/>
      <c r="L211" s="277"/>
      <c r="M211" s="265"/>
      <c r="N211" s="265"/>
      <c r="O211" s="265"/>
      <c r="P211" s="265"/>
      <c r="Q211" s="277"/>
      <c r="V211" s="266"/>
      <c r="W211" s="266"/>
      <c r="X211" s="266"/>
    </row>
    <row r="212" spans="2:24" s="276" customFormat="1" ht="14.25" customHeight="1" outlineLevel="1">
      <c r="B212" s="263" t="s">
        <v>134</v>
      </c>
      <c r="C212" s="260" t="s">
        <v>192</v>
      </c>
      <c r="D212" s="261" t="s">
        <v>458</v>
      </c>
      <c r="E212" s="262" t="s">
        <v>459</v>
      </c>
      <c r="F212" s="262"/>
      <c r="G212" s="263" t="s">
        <v>195</v>
      </c>
      <c r="H212" s="263" t="str">
        <f t="shared" si="33"/>
        <v>AR-T09-</v>
      </c>
      <c r="I212" s="264"/>
      <c r="J212" s="277"/>
      <c r="K212" s="278"/>
      <c r="L212" s="277"/>
      <c r="M212" s="265"/>
      <c r="N212" s="265"/>
      <c r="O212" s="265"/>
      <c r="P212" s="265"/>
      <c r="Q212" s="277"/>
      <c r="V212" s="266"/>
      <c r="W212" s="266"/>
      <c r="X212" s="266"/>
    </row>
    <row r="213" spans="2:24" s="276" customFormat="1" ht="14.25" customHeight="1" outlineLevel="1">
      <c r="B213" s="263" t="s">
        <v>134</v>
      </c>
      <c r="C213" s="260" t="s">
        <v>192</v>
      </c>
      <c r="D213" s="261" t="s">
        <v>460</v>
      </c>
      <c r="E213" s="262" t="s">
        <v>461</v>
      </c>
      <c r="F213" s="262"/>
      <c r="G213" s="263" t="s">
        <v>195</v>
      </c>
      <c r="H213" s="263" t="str">
        <f t="shared" si="33"/>
        <v>AR-T09-</v>
      </c>
      <c r="I213" s="264"/>
      <c r="J213" s="277"/>
      <c r="K213" s="278"/>
      <c r="L213" s="277"/>
      <c r="M213" s="265"/>
      <c r="N213" s="265"/>
      <c r="O213" s="265"/>
      <c r="P213" s="265"/>
      <c r="Q213" s="277"/>
      <c r="V213" s="266"/>
      <c r="W213" s="266"/>
      <c r="X213" s="266"/>
    </row>
    <row r="214" spans="2:24" s="276" customFormat="1" ht="14.25" customHeight="1" outlineLevel="1">
      <c r="B214" s="263" t="s">
        <v>134</v>
      </c>
      <c r="C214" s="260" t="s">
        <v>192</v>
      </c>
      <c r="D214" s="261" t="s">
        <v>462</v>
      </c>
      <c r="E214" s="262" t="s">
        <v>463</v>
      </c>
      <c r="F214" s="262"/>
      <c r="G214" s="263" t="s">
        <v>195</v>
      </c>
      <c r="H214" s="263" t="str">
        <f t="shared" si="33"/>
        <v>AR-T09-</v>
      </c>
      <c r="I214" s="264"/>
      <c r="J214" s="277"/>
      <c r="K214" s="278"/>
      <c r="L214" s="277"/>
      <c r="M214" s="265"/>
      <c r="N214" s="265"/>
      <c r="O214" s="265"/>
      <c r="P214" s="265"/>
      <c r="Q214" s="277"/>
      <c r="V214" s="266"/>
      <c r="W214" s="266"/>
      <c r="X214" s="266"/>
    </row>
    <row r="215" spans="2:24" s="276" customFormat="1" ht="3" customHeight="1" outlineLevel="1">
      <c r="B215" s="259"/>
      <c r="C215" s="273"/>
      <c r="D215" s="274"/>
      <c r="E215" s="262"/>
      <c r="F215" s="262"/>
      <c r="G215" s="285"/>
      <c r="H215" s="285"/>
      <c r="I215" s="294"/>
      <c r="J215" s="277"/>
      <c r="K215" s="278"/>
      <c r="L215" s="277"/>
      <c r="M215" s="265"/>
      <c r="N215" s="277"/>
      <c r="O215" s="277"/>
      <c r="P215" s="277"/>
      <c r="Q215" s="277"/>
      <c r="V215" s="266"/>
      <c r="W215" s="266"/>
      <c r="X215" s="266"/>
    </row>
    <row r="216" spans="2:24" s="267" customFormat="1" ht="13.5" customHeight="1" outlineLevel="1">
      <c r="B216" s="271" t="s">
        <v>464</v>
      </c>
      <c r="C216" s="273"/>
      <c r="D216" s="274"/>
      <c r="E216" s="275"/>
      <c r="F216" s="275"/>
      <c r="G216" s="263"/>
      <c r="H216" s="263"/>
      <c r="I216" s="264"/>
      <c r="J216" s="265"/>
      <c r="K216" s="266"/>
      <c r="L216" s="265"/>
      <c r="M216" s="265"/>
      <c r="N216" s="265"/>
      <c r="O216" s="265"/>
      <c r="P216" s="265"/>
      <c r="Q216" s="265"/>
      <c r="V216" s="266"/>
      <c r="W216" s="266"/>
      <c r="X216" s="266"/>
    </row>
    <row r="217" spans="2:24" s="267" customFormat="1" ht="14.25" customHeight="1" outlineLevel="1">
      <c r="B217" s="263" t="s">
        <v>134</v>
      </c>
      <c r="C217" s="260" t="s">
        <v>192</v>
      </c>
      <c r="D217" s="261" t="s">
        <v>465</v>
      </c>
      <c r="E217" s="262" t="s">
        <v>241</v>
      </c>
      <c r="F217" s="262"/>
      <c r="G217" s="263" t="s">
        <v>195</v>
      </c>
      <c r="H217" s="263" t="str">
        <f t="shared" ref="H217:H219" si="34">CONCATENATE("AR-",G217,"-",I217)</f>
        <v>AR-T09-3</v>
      </c>
      <c r="I217" s="264">
        <v>3</v>
      </c>
      <c r="J217" s="265">
        <v>1</v>
      </c>
      <c r="K217" s="266"/>
      <c r="M217" s="265"/>
      <c r="Q217" s="265"/>
      <c r="V217" s="266"/>
      <c r="W217" s="266"/>
      <c r="X217" s="266"/>
    </row>
    <row r="218" spans="2:24" s="267" customFormat="1" ht="14.25" customHeight="1" outlineLevel="1">
      <c r="B218" s="263" t="s">
        <v>134</v>
      </c>
      <c r="C218" s="260" t="s">
        <v>192</v>
      </c>
      <c r="D218" s="261" t="s">
        <v>466</v>
      </c>
      <c r="E218" s="262" t="s">
        <v>241</v>
      </c>
      <c r="F218" s="262"/>
      <c r="G218" s="263" t="s">
        <v>195</v>
      </c>
      <c r="H218" s="263" t="str">
        <f t="shared" si="34"/>
        <v>AR-T09-3</v>
      </c>
      <c r="I218" s="264">
        <v>3</v>
      </c>
      <c r="J218" s="265">
        <v>1</v>
      </c>
      <c r="K218" s="266"/>
      <c r="L218" s="265"/>
      <c r="M218" s="265"/>
      <c r="N218" s="265"/>
      <c r="O218" s="265"/>
      <c r="P218" s="265"/>
      <c r="Q218" s="265"/>
      <c r="V218" s="266"/>
      <c r="W218" s="266"/>
      <c r="X218" s="266"/>
    </row>
    <row r="219" spans="2:24" s="267" customFormat="1" ht="14.25" customHeight="1" outlineLevel="1">
      <c r="B219" s="263" t="s">
        <v>134</v>
      </c>
      <c r="C219" s="260" t="s">
        <v>192</v>
      </c>
      <c r="D219" s="261" t="s">
        <v>467</v>
      </c>
      <c r="E219" s="262" t="s">
        <v>241</v>
      </c>
      <c r="F219" s="262"/>
      <c r="G219" s="263" t="s">
        <v>195</v>
      </c>
      <c r="H219" s="263" t="str">
        <f t="shared" si="34"/>
        <v>AR-T09-7</v>
      </c>
      <c r="I219" s="264">
        <v>7</v>
      </c>
      <c r="J219" s="265">
        <v>1</v>
      </c>
      <c r="K219" s="266"/>
      <c r="L219" s="265"/>
      <c r="M219" s="265"/>
      <c r="N219" s="265"/>
      <c r="O219" s="265"/>
      <c r="P219" s="265"/>
      <c r="Q219" s="265"/>
      <c r="V219" s="266"/>
      <c r="W219" s="266"/>
      <c r="X219" s="266"/>
    </row>
    <row r="220" spans="2:24" s="267" customFormat="1" ht="3" customHeight="1" outlineLevel="1">
      <c r="B220" s="259"/>
      <c r="C220" s="260"/>
      <c r="D220" s="261"/>
      <c r="E220" s="262"/>
      <c r="F220" s="262"/>
      <c r="G220" s="263"/>
      <c r="H220" s="263"/>
      <c r="I220" s="264"/>
      <c r="J220" s="265"/>
      <c r="K220" s="266"/>
      <c r="L220" s="265"/>
      <c r="M220" s="265"/>
      <c r="N220" s="265"/>
      <c r="O220" s="265"/>
      <c r="P220" s="265"/>
      <c r="Q220" s="265"/>
      <c r="V220" s="266"/>
      <c r="W220" s="266"/>
      <c r="X220" s="266"/>
    </row>
    <row r="221" spans="2:24" s="267" customFormat="1" ht="3" customHeight="1" outlineLevel="1">
      <c r="B221" s="259"/>
      <c r="C221" s="260"/>
      <c r="D221" s="261"/>
      <c r="E221" s="262"/>
      <c r="F221" s="262"/>
      <c r="G221" s="263"/>
      <c r="H221" s="263"/>
      <c r="I221" s="264"/>
      <c r="J221" s="265"/>
      <c r="K221" s="266"/>
      <c r="L221" s="265"/>
      <c r="M221" s="265"/>
      <c r="N221" s="265"/>
      <c r="O221" s="265"/>
      <c r="P221" s="265"/>
      <c r="Q221" s="265"/>
      <c r="V221" s="266"/>
      <c r="W221" s="266"/>
      <c r="X221" s="266"/>
    </row>
    <row r="222" spans="2:24" s="267" customFormat="1" ht="13.5" customHeight="1" outlineLevel="1">
      <c r="B222" s="271" t="s">
        <v>468</v>
      </c>
      <c r="C222" s="273"/>
      <c r="D222" s="274"/>
      <c r="E222" s="275"/>
      <c r="F222" s="275"/>
      <c r="G222" s="263"/>
      <c r="H222" s="263"/>
      <c r="I222" s="264"/>
      <c r="J222" s="265"/>
      <c r="K222" s="266"/>
      <c r="L222" s="265"/>
      <c r="M222" s="265"/>
      <c r="N222" s="265"/>
      <c r="O222" s="265"/>
      <c r="P222" s="265"/>
      <c r="Q222" s="265"/>
      <c r="V222" s="266"/>
      <c r="W222" s="266"/>
      <c r="X222" s="266"/>
    </row>
    <row r="223" spans="2:24" s="267" customFormat="1" ht="13.5" customHeight="1" outlineLevel="1">
      <c r="B223" s="263" t="s">
        <v>134</v>
      </c>
      <c r="C223" s="260" t="s">
        <v>192</v>
      </c>
      <c r="D223" s="298" t="s">
        <v>469</v>
      </c>
      <c r="E223" s="299" t="s">
        <v>470</v>
      </c>
      <c r="F223" s="275"/>
      <c r="G223" s="263" t="s">
        <v>195</v>
      </c>
      <c r="H223" s="263" t="str">
        <f>CONCATENATE("AR-",G223,"-",I223)</f>
        <v>AR-T09-6</v>
      </c>
      <c r="I223" s="264">
        <v>6</v>
      </c>
      <c r="J223" s="265">
        <v>1</v>
      </c>
      <c r="K223" s="266"/>
      <c r="L223" s="265"/>
      <c r="M223" s="265"/>
      <c r="N223" s="265"/>
      <c r="O223" s="265"/>
      <c r="P223" s="265"/>
      <c r="Q223" s="265"/>
      <c r="V223" s="266"/>
      <c r="W223" s="266"/>
      <c r="X223" s="266"/>
    </row>
    <row r="224" spans="2:24" s="267" customFormat="1" ht="13.5" customHeight="1" outlineLevel="1">
      <c r="B224" s="263" t="s">
        <v>134</v>
      </c>
      <c r="C224" s="260" t="s">
        <v>192</v>
      </c>
      <c r="D224" s="298" t="s">
        <v>471</v>
      </c>
      <c r="E224" s="299" t="s">
        <v>472</v>
      </c>
      <c r="F224" s="275"/>
      <c r="G224" s="263" t="s">
        <v>195</v>
      </c>
      <c r="H224" s="263" t="str">
        <f t="shared" ref="H224:H227" si="35">CONCATENATE("AR-",G224,"-",I224)</f>
        <v>AR-T09-6</v>
      </c>
      <c r="I224" s="264">
        <v>6</v>
      </c>
      <c r="J224" s="265">
        <v>1</v>
      </c>
      <c r="K224" s="266"/>
      <c r="L224" s="265"/>
      <c r="M224" s="265"/>
      <c r="N224" s="265"/>
      <c r="O224" s="265"/>
      <c r="P224" s="265"/>
      <c r="Q224" s="265"/>
      <c r="V224" s="266"/>
      <c r="W224" s="266"/>
      <c r="X224" s="266"/>
    </row>
    <row r="225" spans="1:24" s="267" customFormat="1" ht="13.5" customHeight="1" outlineLevel="1">
      <c r="B225" s="263" t="s">
        <v>134</v>
      </c>
      <c r="C225" s="260" t="s">
        <v>192</v>
      </c>
      <c r="D225" s="298" t="s">
        <v>473</v>
      </c>
      <c r="E225" s="299" t="s">
        <v>474</v>
      </c>
      <c r="F225" s="275"/>
      <c r="G225" s="263" t="s">
        <v>195</v>
      </c>
      <c r="H225" s="263" t="str">
        <f t="shared" si="35"/>
        <v>AR-T09-5</v>
      </c>
      <c r="I225" s="264">
        <v>5</v>
      </c>
      <c r="J225" s="265">
        <v>1</v>
      </c>
      <c r="K225" s="266"/>
      <c r="L225" s="265"/>
      <c r="M225" s="265"/>
      <c r="N225" s="265"/>
      <c r="O225" s="265"/>
      <c r="P225" s="265"/>
      <c r="Q225" s="265"/>
      <c r="V225" s="266"/>
      <c r="W225" s="266"/>
      <c r="X225" s="266"/>
    </row>
    <row r="226" spans="1:24" s="267" customFormat="1" ht="13.5" customHeight="1" outlineLevel="1">
      <c r="B226" s="263" t="s">
        <v>134</v>
      </c>
      <c r="C226" s="260" t="s">
        <v>192</v>
      </c>
      <c r="D226" s="298" t="s">
        <v>475</v>
      </c>
      <c r="E226" s="299" t="s">
        <v>476</v>
      </c>
      <c r="F226" s="275"/>
      <c r="G226" s="263" t="s">
        <v>195</v>
      </c>
      <c r="H226" s="263" t="str">
        <f t="shared" si="35"/>
        <v>AR-T09-5</v>
      </c>
      <c r="I226" s="264">
        <v>5</v>
      </c>
      <c r="J226" s="265">
        <v>1</v>
      </c>
      <c r="K226" s="266"/>
      <c r="L226" s="265"/>
      <c r="M226" s="265"/>
      <c r="N226" s="265"/>
      <c r="O226" s="265"/>
      <c r="P226" s="265"/>
      <c r="Q226" s="265"/>
      <c r="V226" s="266"/>
      <c r="W226" s="266"/>
      <c r="X226" s="266"/>
    </row>
    <row r="227" spans="1:24" s="267" customFormat="1" ht="13.5" customHeight="1" outlineLevel="1">
      <c r="B227" s="263" t="s">
        <v>134</v>
      </c>
      <c r="C227" s="260" t="s">
        <v>192</v>
      </c>
      <c r="D227" s="298" t="s">
        <v>477</v>
      </c>
      <c r="E227" s="299" t="s">
        <v>478</v>
      </c>
      <c r="F227" s="275"/>
      <c r="G227" s="263" t="s">
        <v>195</v>
      </c>
      <c r="H227" s="263" t="str">
        <f t="shared" si="35"/>
        <v>AR-T09-7</v>
      </c>
      <c r="I227" s="264">
        <v>7</v>
      </c>
      <c r="J227" s="265">
        <v>1</v>
      </c>
      <c r="K227" s="266"/>
      <c r="L227" s="265"/>
      <c r="M227" s="265"/>
      <c r="N227" s="265"/>
      <c r="O227" s="265"/>
      <c r="P227" s="265"/>
      <c r="Q227" s="265"/>
      <c r="V227" s="266"/>
      <c r="W227" s="266"/>
      <c r="X227" s="266"/>
    </row>
    <row r="228" spans="1:24" s="300" customFormat="1" ht="3" customHeight="1" outlineLevel="1">
      <c r="B228" s="301"/>
      <c r="C228" s="302"/>
      <c r="D228" s="303"/>
      <c r="E228" s="304"/>
      <c r="F228" s="304"/>
      <c r="G228" s="302"/>
      <c r="H228" s="302"/>
      <c r="I228" s="264"/>
      <c r="J228" s="305"/>
      <c r="K228" s="306"/>
      <c r="L228" s="265"/>
      <c r="M228" s="265"/>
      <c r="N228" s="265"/>
      <c r="O228" s="265"/>
      <c r="P228" s="265"/>
      <c r="Q228" s="305"/>
      <c r="V228" s="266"/>
      <c r="W228" s="266"/>
      <c r="X228" s="266"/>
    </row>
    <row r="229" spans="1:24" s="267" customFormat="1" ht="13.5" customHeight="1" outlineLevel="1">
      <c r="B229" s="271" t="s">
        <v>479</v>
      </c>
      <c r="C229" s="273"/>
      <c r="D229" s="274"/>
      <c r="E229" s="275"/>
      <c r="F229" s="275"/>
      <c r="G229" s="263"/>
      <c r="H229" s="263"/>
      <c r="I229" s="264"/>
      <c r="J229" s="265"/>
      <c r="K229" s="266"/>
      <c r="L229" s="265"/>
      <c r="M229" s="265"/>
      <c r="N229" s="265"/>
      <c r="O229" s="265"/>
      <c r="P229" s="265"/>
      <c r="Q229" s="265"/>
      <c r="V229" s="266"/>
      <c r="W229" s="266"/>
      <c r="X229" s="266"/>
    </row>
    <row r="230" spans="1:24" s="276" customFormat="1" ht="14.25" customHeight="1" outlineLevel="1">
      <c r="A230" s="259"/>
      <c r="B230" s="263" t="s">
        <v>134</v>
      </c>
      <c r="C230" s="260" t="s">
        <v>192</v>
      </c>
      <c r="D230" s="261" t="s">
        <v>422</v>
      </c>
      <c r="E230" s="262" t="s">
        <v>480</v>
      </c>
      <c r="F230" s="262"/>
      <c r="G230" s="263" t="s">
        <v>195</v>
      </c>
      <c r="H230" s="263" t="str">
        <f>CONCATENATE("AR-",G230,"-",I230)</f>
        <v>AR-T09-7</v>
      </c>
      <c r="I230" s="264">
        <v>7</v>
      </c>
      <c r="J230" s="277">
        <v>1</v>
      </c>
      <c r="K230" s="278"/>
      <c r="L230" s="277"/>
      <c r="M230" s="265"/>
      <c r="N230" s="265"/>
      <c r="O230" s="265"/>
      <c r="P230" s="265"/>
      <c r="Q230" s="265"/>
      <c r="R230" s="265"/>
      <c r="V230" s="266"/>
      <c r="W230" s="266"/>
      <c r="X230" s="266"/>
    </row>
    <row r="231" spans="1:24" s="276" customFormat="1" ht="14.25" customHeight="1" outlineLevel="1">
      <c r="A231" s="259"/>
      <c r="B231" s="263" t="s">
        <v>134</v>
      </c>
      <c r="C231" s="260" t="s">
        <v>192</v>
      </c>
      <c r="D231" s="261">
        <v>7200</v>
      </c>
      <c r="E231" s="262" t="s">
        <v>481</v>
      </c>
      <c r="F231" s="262"/>
      <c r="G231" s="263" t="s">
        <v>195</v>
      </c>
      <c r="H231" s="263" t="str">
        <f>CONCATENATE("AR-",G231,"-",I231)</f>
        <v>AR-T09-7</v>
      </c>
      <c r="I231" s="264">
        <v>7</v>
      </c>
      <c r="J231" s="277"/>
      <c r="K231" s="278"/>
      <c r="L231" s="277">
        <f t="shared" ref="L231:L233" si="36">M231</f>
        <v>1</v>
      </c>
      <c r="M231" s="265">
        <v>1</v>
      </c>
      <c r="N231" s="265"/>
      <c r="O231" s="265"/>
      <c r="P231" s="265"/>
      <c r="Q231" s="277">
        <f t="shared" ref="Q231:Q232" si="37">R231</f>
        <v>1</v>
      </c>
      <c r="R231" s="265">
        <v>1</v>
      </c>
      <c r="V231" s="266"/>
      <c r="W231" s="266"/>
      <c r="X231" s="266"/>
    </row>
    <row r="232" spans="1:24" s="276" customFormat="1" ht="14.25" customHeight="1" outlineLevel="1">
      <c r="A232" s="259"/>
      <c r="B232" s="263" t="s">
        <v>134</v>
      </c>
      <c r="C232" s="260" t="s">
        <v>192</v>
      </c>
      <c r="D232" s="261"/>
      <c r="E232" s="262" t="s">
        <v>482</v>
      </c>
      <c r="F232" s="262"/>
      <c r="G232" s="263" t="s">
        <v>195</v>
      </c>
      <c r="H232" s="263" t="str">
        <f>CONCATENATE("AR-",G232,"-",I232)</f>
        <v>AR-T09-7</v>
      </c>
      <c r="I232" s="264">
        <v>7</v>
      </c>
      <c r="J232" s="277"/>
      <c r="K232" s="278"/>
      <c r="L232" s="277">
        <f t="shared" ref="L232" si="38">M232</f>
        <v>1</v>
      </c>
      <c r="M232" s="265">
        <v>1</v>
      </c>
      <c r="N232" s="265"/>
      <c r="O232" s="265"/>
      <c r="P232" s="265"/>
      <c r="Q232" s="277">
        <f t="shared" si="37"/>
        <v>1</v>
      </c>
      <c r="R232" s="265">
        <v>1</v>
      </c>
      <c r="V232" s="266"/>
      <c r="W232" s="266"/>
      <c r="X232" s="266"/>
    </row>
    <row r="233" spans="1:24" s="276" customFormat="1" ht="14.25" customHeight="1" outlineLevel="1">
      <c r="A233" s="259"/>
      <c r="B233" s="263" t="s">
        <v>134</v>
      </c>
      <c r="C233" s="260" t="s">
        <v>192</v>
      </c>
      <c r="D233" s="261">
        <v>7300</v>
      </c>
      <c r="E233" s="262" t="s">
        <v>483</v>
      </c>
      <c r="F233" s="262"/>
      <c r="G233" s="263" t="s">
        <v>195</v>
      </c>
      <c r="H233" s="263" t="str">
        <f>CONCATENATE("AR-",G233,"-",I233)</f>
        <v>AR-T09-7</v>
      </c>
      <c r="I233" s="264">
        <v>7</v>
      </c>
      <c r="J233" s="277"/>
      <c r="K233" s="278"/>
      <c r="L233" s="277">
        <f t="shared" si="36"/>
        <v>1</v>
      </c>
      <c r="M233" s="265">
        <v>1</v>
      </c>
      <c r="N233" s="265"/>
      <c r="O233" s="265"/>
      <c r="P233" s="265"/>
      <c r="Q233" s="277">
        <v>1</v>
      </c>
      <c r="R233" s="265">
        <v>1</v>
      </c>
      <c r="V233" s="266"/>
      <c r="W233" s="266"/>
      <c r="X233" s="266"/>
    </row>
    <row r="234" spans="1:24" s="276" customFormat="1" ht="14.25" customHeight="1" outlineLevel="1">
      <c r="A234" s="259"/>
      <c r="B234" s="263" t="s">
        <v>134</v>
      </c>
      <c r="C234" s="260" t="s">
        <v>192</v>
      </c>
      <c r="D234" s="261">
        <v>7450</v>
      </c>
      <c r="E234" s="262" t="s">
        <v>484</v>
      </c>
      <c r="F234" s="262"/>
      <c r="G234" s="263" t="s">
        <v>195</v>
      </c>
      <c r="H234" s="263" t="str">
        <f>CONCATENATE("AR-",G234,"-",I234)</f>
        <v>AR-T09-7</v>
      </c>
      <c r="I234" s="264">
        <v>7</v>
      </c>
      <c r="J234" s="265">
        <v>1</v>
      </c>
      <c r="K234" s="278"/>
      <c r="M234" s="265"/>
      <c r="Q234" s="277"/>
      <c r="V234" s="266"/>
      <c r="W234" s="266"/>
      <c r="X234" s="266"/>
    </row>
    <row r="235" spans="1:24" s="276" customFormat="1" ht="3" customHeight="1">
      <c r="A235" s="259"/>
      <c r="B235" s="263"/>
      <c r="C235" s="260"/>
      <c r="D235" s="261"/>
      <c r="E235" s="262"/>
      <c r="F235" s="262"/>
      <c r="G235" s="263"/>
      <c r="H235" s="263"/>
      <c r="I235" s="264"/>
      <c r="J235" s="265"/>
      <c r="K235" s="278"/>
      <c r="M235" s="265"/>
      <c r="Q235" s="277"/>
      <c r="V235" s="266"/>
      <c r="W235" s="266"/>
      <c r="X235" s="266"/>
    </row>
    <row r="236" spans="1:24" s="267" customFormat="1" ht="13.5" customHeight="1">
      <c r="A236" s="244" t="s">
        <v>90</v>
      </c>
      <c r="B236" s="284"/>
      <c r="C236" s="285"/>
      <c r="D236" s="286"/>
      <c r="E236" s="287"/>
      <c r="F236" s="287"/>
      <c r="G236" s="269" t="s">
        <v>121</v>
      </c>
      <c r="H236" s="269" t="s">
        <v>122</v>
      </c>
      <c r="I236" s="270" t="s">
        <v>123</v>
      </c>
      <c r="J236" s="265"/>
      <c r="K236" s="266"/>
      <c r="L236" s="265"/>
      <c r="M236" s="265"/>
      <c r="N236" s="265"/>
      <c r="O236" s="265"/>
      <c r="P236" s="265"/>
      <c r="Q236" s="265"/>
      <c r="V236" s="266"/>
      <c r="W236" s="266"/>
      <c r="X236" s="266"/>
    </row>
    <row r="237" spans="1:24" s="267" customFormat="1" ht="3" customHeight="1" outlineLevel="1">
      <c r="A237" s="288"/>
      <c r="B237" s="287"/>
      <c r="C237" s="285"/>
      <c r="D237" s="286"/>
      <c r="E237" s="287"/>
      <c r="F237" s="287"/>
      <c r="G237" s="269"/>
      <c r="H237" s="269"/>
      <c r="I237" s="270"/>
      <c r="J237" s="265"/>
      <c r="K237" s="266"/>
      <c r="L237" s="265"/>
      <c r="M237" s="265"/>
      <c r="N237" s="265"/>
      <c r="O237" s="265"/>
      <c r="P237" s="265"/>
      <c r="Q237" s="265"/>
      <c r="V237" s="266"/>
      <c r="W237" s="266"/>
      <c r="X237" s="266"/>
    </row>
    <row r="238" spans="1:24" s="267" customFormat="1" ht="13.5" customHeight="1" outlineLevel="1">
      <c r="B238" s="307" t="s">
        <v>485</v>
      </c>
      <c r="C238" s="302"/>
      <c r="D238" s="303"/>
      <c r="E238" s="308"/>
      <c r="F238" s="308"/>
      <c r="G238" s="269"/>
      <c r="H238" s="269"/>
      <c r="I238" s="270"/>
      <c r="J238" s="265"/>
      <c r="K238" s="266"/>
      <c r="L238" s="265"/>
      <c r="M238" s="265"/>
      <c r="N238" s="265"/>
      <c r="O238" s="265"/>
      <c r="P238" s="265"/>
      <c r="Q238" s="265"/>
      <c r="V238" s="266"/>
      <c r="W238" s="266"/>
      <c r="X238" s="266"/>
    </row>
    <row r="239" spans="1:24" s="267" customFormat="1" ht="13.5" customHeight="1" outlineLevel="1">
      <c r="B239" s="263" t="s">
        <v>134</v>
      </c>
      <c r="C239" s="260" t="s">
        <v>486</v>
      </c>
      <c r="D239" s="261" t="s">
        <v>193</v>
      </c>
      <c r="E239" s="309" t="s">
        <v>194</v>
      </c>
      <c r="F239" s="309"/>
      <c r="G239" s="263" t="s">
        <v>487</v>
      </c>
      <c r="H239" s="263" t="str">
        <f>CONCATENATE("AR-",G239,"-",I239)</f>
        <v>AR-SDV-1</v>
      </c>
      <c r="I239" s="264">
        <v>1</v>
      </c>
      <c r="J239" s="265">
        <v>1</v>
      </c>
      <c r="K239" s="266"/>
      <c r="L239" s="265"/>
      <c r="M239" s="265"/>
      <c r="N239" s="265"/>
      <c r="O239" s="265"/>
      <c r="P239" s="265"/>
      <c r="Q239" s="265"/>
      <c r="V239" s="266"/>
      <c r="W239" s="266"/>
      <c r="X239" s="266"/>
    </row>
    <row r="240" spans="1:24" s="267" customFormat="1" ht="13.5" customHeight="1" outlineLevel="1">
      <c r="B240" s="263" t="s">
        <v>134</v>
      </c>
      <c r="C240" s="260" t="s">
        <v>486</v>
      </c>
      <c r="D240" s="261" t="s">
        <v>196</v>
      </c>
      <c r="E240" s="309" t="s">
        <v>197</v>
      </c>
      <c r="F240" s="309"/>
      <c r="G240" s="263" t="s">
        <v>487</v>
      </c>
      <c r="H240" s="263" t="str">
        <f>CONCATENATE("AR-",G240,"-",I240)</f>
        <v>AR-SDV-1</v>
      </c>
      <c r="I240" s="264">
        <v>1</v>
      </c>
      <c r="J240" s="265">
        <v>1</v>
      </c>
      <c r="K240" s="266"/>
      <c r="L240" s="265"/>
      <c r="M240" s="265"/>
      <c r="N240" s="265"/>
      <c r="O240" s="265"/>
      <c r="P240" s="265"/>
      <c r="Q240" s="265"/>
      <c r="V240" s="266"/>
      <c r="W240" s="266"/>
      <c r="X240" s="266"/>
    </row>
    <row r="241" spans="2:24" s="267" customFormat="1" ht="14.25" customHeight="1" outlineLevel="1">
      <c r="B241" s="263" t="s">
        <v>134</v>
      </c>
      <c r="C241" s="260" t="s">
        <v>486</v>
      </c>
      <c r="D241" s="261" t="s">
        <v>488</v>
      </c>
      <c r="E241" s="309" t="s">
        <v>489</v>
      </c>
      <c r="F241" s="309"/>
      <c r="G241" s="263" t="s">
        <v>487</v>
      </c>
      <c r="H241" s="263" t="str">
        <f>CONCATENATE("AR-",G241,"-",I241)</f>
        <v>AR-SDV-1</v>
      </c>
      <c r="I241" s="264">
        <v>1</v>
      </c>
      <c r="J241" s="265">
        <v>1</v>
      </c>
      <c r="K241" s="266"/>
      <c r="L241" s="265"/>
      <c r="M241" s="265"/>
      <c r="N241" s="265"/>
      <c r="O241" s="265"/>
      <c r="P241" s="265"/>
      <c r="Q241" s="265"/>
      <c r="V241" s="266"/>
      <c r="W241" s="266"/>
      <c r="X241" s="266"/>
    </row>
    <row r="242" spans="2:24" s="267" customFormat="1" ht="3" customHeight="1" outlineLevel="1">
      <c r="B242" s="259"/>
      <c r="C242" s="260"/>
      <c r="D242" s="261"/>
      <c r="E242" s="284"/>
      <c r="F242" s="284"/>
      <c r="G242" s="263"/>
      <c r="H242" s="263"/>
      <c r="I242" s="264"/>
      <c r="J242" s="265"/>
      <c r="K242" s="266"/>
      <c r="L242" s="265"/>
      <c r="M242" s="265"/>
      <c r="N242" s="265"/>
      <c r="O242" s="265"/>
      <c r="P242" s="265"/>
      <c r="Q242" s="265"/>
      <c r="V242" s="266"/>
      <c r="W242" s="266"/>
      <c r="X242" s="266"/>
    </row>
    <row r="243" spans="2:24" s="267" customFormat="1" ht="13.5" customHeight="1" outlineLevel="1">
      <c r="B243" s="307" t="s">
        <v>490</v>
      </c>
      <c r="C243" s="302"/>
      <c r="D243" s="303"/>
      <c r="E243" s="308"/>
      <c r="F243" s="308"/>
      <c r="G243" s="263"/>
      <c r="H243" s="263"/>
      <c r="I243" s="264"/>
      <c r="J243" s="265"/>
      <c r="K243" s="266"/>
      <c r="L243" s="265"/>
      <c r="M243" s="265"/>
      <c r="N243" s="265"/>
      <c r="O243" s="265"/>
      <c r="P243" s="265"/>
      <c r="Q243" s="265"/>
      <c r="V243" s="266"/>
      <c r="W243" s="266"/>
      <c r="X243" s="266"/>
    </row>
    <row r="244" spans="2:24" s="267" customFormat="1" ht="14.25" customHeight="1" outlineLevel="1">
      <c r="B244" s="263" t="s">
        <v>134</v>
      </c>
      <c r="C244" s="260" t="s">
        <v>486</v>
      </c>
      <c r="D244" s="261" t="s">
        <v>491</v>
      </c>
      <c r="E244" s="309" t="s">
        <v>492</v>
      </c>
      <c r="F244" s="309"/>
      <c r="G244" s="263" t="s">
        <v>487</v>
      </c>
      <c r="H244" s="263" t="str">
        <f t="shared" ref="H244:H252" si="39">CONCATENATE("AR-",G244,"-",I244)</f>
        <v>AR-SDV-1</v>
      </c>
      <c r="I244" s="264">
        <v>1</v>
      </c>
      <c r="J244" s="265">
        <v>1</v>
      </c>
      <c r="K244" s="266"/>
      <c r="L244" s="265"/>
      <c r="M244" s="265"/>
      <c r="N244" s="265"/>
      <c r="O244" s="265"/>
      <c r="P244" s="265"/>
      <c r="Q244" s="265"/>
      <c r="V244" s="266"/>
      <c r="W244" s="266"/>
      <c r="X244" s="266"/>
    </row>
    <row r="245" spans="2:24" s="267" customFormat="1" ht="14.25" customHeight="1" outlineLevel="1">
      <c r="B245" s="263" t="s">
        <v>134</v>
      </c>
      <c r="C245" s="260" t="s">
        <v>486</v>
      </c>
      <c r="D245" s="261" t="s">
        <v>493</v>
      </c>
      <c r="E245" s="309" t="s">
        <v>494</v>
      </c>
      <c r="F245" s="309"/>
      <c r="G245" s="263" t="s">
        <v>487</v>
      </c>
      <c r="H245" s="263" t="str">
        <f t="shared" si="39"/>
        <v>AR-SDV-1</v>
      </c>
      <c r="I245" s="264">
        <v>1</v>
      </c>
      <c r="J245" s="265">
        <v>1</v>
      </c>
      <c r="K245" s="266"/>
      <c r="L245" s="265"/>
      <c r="M245" s="265"/>
      <c r="N245" s="265"/>
      <c r="O245" s="265"/>
      <c r="P245" s="265"/>
      <c r="Q245" s="265"/>
      <c r="V245" s="266"/>
      <c r="W245" s="266"/>
      <c r="X245" s="266"/>
    </row>
    <row r="246" spans="2:24" s="267" customFormat="1" ht="14.25" customHeight="1" outlineLevel="1">
      <c r="B246" s="263" t="s">
        <v>134</v>
      </c>
      <c r="C246" s="260" t="s">
        <v>486</v>
      </c>
      <c r="D246" s="261" t="s">
        <v>495</v>
      </c>
      <c r="E246" s="309" t="s">
        <v>496</v>
      </c>
      <c r="F246" s="309"/>
      <c r="G246" s="263" t="s">
        <v>487</v>
      </c>
      <c r="H246" s="263" t="str">
        <f t="shared" si="39"/>
        <v>AR-SDV-1</v>
      </c>
      <c r="I246" s="264">
        <v>1</v>
      </c>
      <c r="J246" s="265">
        <v>1</v>
      </c>
      <c r="K246" s="266"/>
      <c r="M246" s="265"/>
      <c r="Q246" s="265"/>
      <c r="V246" s="266"/>
      <c r="W246" s="266"/>
      <c r="X246" s="266"/>
    </row>
    <row r="247" spans="2:24" s="267" customFormat="1" ht="14.25" customHeight="1" outlineLevel="1">
      <c r="B247" s="263" t="s">
        <v>134</v>
      </c>
      <c r="C247" s="260" t="s">
        <v>486</v>
      </c>
      <c r="D247" s="261" t="s">
        <v>497</v>
      </c>
      <c r="E247" s="309" t="s">
        <v>498</v>
      </c>
      <c r="F247" s="309"/>
      <c r="G247" s="263" t="s">
        <v>487</v>
      </c>
      <c r="H247" s="263" t="str">
        <f t="shared" si="39"/>
        <v>AR-SDV-1</v>
      </c>
      <c r="I247" s="264">
        <v>1</v>
      </c>
      <c r="J247" s="265">
        <v>1</v>
      </c>
      <c r="K247" s="266"/>
      <c r="M247" s="265"/>
      <c r="Q247" s="265"/>
      <c r="V247" s="266"/>
      <c r="W247" s="266"/>
      <c r="X247" s="266"/>
    </row>
    <row r="248" spans="2:24" s="267" customFormat="1" ht="14.25" customHeight="1" outlineLevel="1">
      <c r="B248" s="263" t="s">
        <v>134</v>
      </c>
      <c r="C248" s="260" t="s">
        <v>486</v>
      </c>
      <c r="D248" s="261" t="s">
        <v>499</v>
      </c>
      <c r="E248" s="309" t="s">
        <v>500</v>
      </c>
      <c r="F248" s="309"/>
      <c r="G248" s="263" t="s">
        <v>487</v>
      </c>
      <c r="H248" s="263" t="str">
        <f t="shared" si="39"/>
        <v>AR-SDV-1</v>
      </c>
      <c r="I248" s="264">
        <v>1</v>
      </c>
      <c r="J248" s="265">
        <v>1</v>
      </c>
      <c r="K248" s="266"/>
      <c r="M248" s="265"/>
      <c r="Q248" s="265"/>
      <c r="V248" s="266"/>
      <c r="W248" s="266"/>
      <c r="X248" s="266"/>
    </row>
    <row r="249" spans="2:24" s="267" customFormat="1" ht="14.25" customHeight="1" outlineLevel="1">
      <c r="B249" s="263" t="s">
        <v>134</v>
      </c>
      <c r="C249" s="260" t="s">
        <v>486</v>
      </c>
      <c r="D249" s="261" t="s">
        <v>501</v>
      </c>
      <c r="E249" s="309" t="s">
        <v>502</v>
      </c>
      <c r="F249" s="309"/>
      <c r="G249" s="263" t="s">
        <v>487</v>
      </c>
      <c r="H249" s="263" t="str">
        <f t="shared" si="39"/>
        <v>AR-SDV-1</v>
      </c>
      <c r="I249" s="264">
        <v>1</v>
      </c>
      <c r="J249" s="265">
        <v>1</v>
      </c>
      <c r="K249" s="266"/>
      <c r="M249" s="265"/>
      <c r="Q249" s="265"/>
      <c r="V249" s="266"/>
      <c r="W249" s="266"/>
      <c r="X249" s="266"/>
    </row>
    <row r="250" spans="2:24" s="267" customFormat="1" ht="14.25" customHeight="1" outlineLevel="1">
      <c r="B250" s="263" t="s">
        <v>134</v>
      </c>
      <c r="C250" s="260" t="s">
        <v>486</v>
      </c>
      <c r="D250" s="261" t="s">
        <v>503</v>
      </c>
      <c r="E250" s="284" t="s">
        <v>504</v>
      </c>
      <c r="F250" s="284"/>
      <c r="G250" s="263" t="s">
        <v>487</v>
      </c>
      <c r="H250" s="263" t="str">
        <f t="shared" si="39"/>
        <v>AR-SDV-NA</v>
      </c>
      <c r="I250" s="264" t="s">
        <v>257</v>
      </c>
      <c r="J250" s="265"/>
      <c r="K250" s="266"/>
      <c r="L250" s="277"/>
      <c r="M250" s="265"/>
      <c r="N250" s="265"/>
      <c r="O250" s="265"/>
      <c r="P250" s="265"/>
      <c r="Q250" s="277"/>
      <c r="R250" s="265"/>
      <c r="V250" s="266"/>
      <c r="W250" s="266"/>
      <c r="X250" s="266"/>
    </row>
    <row r="251" spans="2:24" s="267" customFormat="1" ht="14.25" customHeight="1" outlineLevel="1">
      <c r="B251" s="263" t="s">
        <v>134</v>
      </c>
      <c r="C251" s="260" t="s">
        <v>486</v>
      </c>
      <c r="D251" s="261" t="s">
        <v>505</v>
      </c>
      <c r="E251" s="284" t="s">
        <v>506</v>
      </c>
      <c r="F251" s="284"/>
      <c r="G251" s="263" t="s">
        <v>487</v>
      </c>
      <c r="H251" s="263" t="str">
        <f t="shared" si="39"/>
        <v>AR-SDV-NA</v>
      </c>
      <c r="I251" s="264" t="s">
        <v>257</v>
      </c>
      <c r="J251" s="471" t="s">
        <v>507</v>
      </c>
      <c r="K251" s="266"/>
      <c r="L251" s="277"/>
      <c r="M251" s="265"/>
      <c r="N251" s="265"/>
      <c r="O251" s="265"/>
      <c r="P251" s="265"/>
      <c r="Q251" s="265"/>
      <c r="V251" s="266"/>
      <c r="W251" s="266"/>
      <c r="X251" s="266"/>
    </row>
    <row r="252" spans="2:24" s="267" customFormat="1" ht="14.25" customHeight="1" outlineLevel="1">
      <c r="B252" s="263" t="s">
        <v>134</v>
      </c>
      <c r="C252" s="260" t="s">
        <v>486</v>
      </c>
      <c r="D252" s="261" t="s">
        <v>508</v>
      </c>
      <c r="E252" s="284" t="s">
        <v>509</v>
      </c>
      <c r="F252" s="284"/>
      <c r="G252" s="263" t="s">
        <v>487</v>
      </c>
      <c r="H252" s="263" t="str">
        <f t="shared" si="39"/>
        <v>AR-SDV-NA</v>
      </c>
      <c r="I252" s="264" t="s">
        <v>257</v>
      </c>
      <c r="J252" s="265"/>
      <c r="K252" s="266"/>
      <c r="L252" s="277"/>
      <c r="M252" s="265"/>
      <c r="N252" s="265"/>
      <c r="O252" s="265"/>
      <c r="P252" s="265"/>
      <c r="Q252" s="265"/>
      <c r="V252" s="266"/>
      <c r="W252" s="266"/>
      <c r="X252" s="266"/>
    </row>
    <row r="253" spans="2:24" s="267" customFormat="1" ht="13.5" customHeight="1" outlineLevel="1">
      <c r="B253" s="307" t="s">
        <v>510</v>
      </c>
      <c r="C253" s="302"/>
      <c r="D253" s="303"/>
      <c r="E253" s="308"/>
      <c r="F253" s="308"/>
      <c r="G253" s="263"/>
      <c r="H253" s="263"/>
      <c r="I253" s="264"/>
      <c r="J253" s="265"/>
      <c r="K253" s="266"/>
      <c r="L253" s="265"/>
      <c r="M253" s="265"/>
      <c r="N253" s="265"/>
      <c r="O253" s="265"/>
      <c r="P253" s="265"/>
      <c r="Q253" s="265"/>
      <c r="V253" s="266"/>
      <c r="W253" s="266"/>
      <c r="X253" s="266"/>
    </row>
    <row r="254" spans="2:24" s="267" customFormat="1" ht="14.25" customHeight="1" outlineLevel="1">
      <c r="B254" s="263" t="s">
        <v>134</v>
      </c>
      <c r="C254" s="260" t="s">
        <v>486</v>
      </c>
      <c r="D254" s="261" t="s">
        <v>491</v>
      </c>
      <c r="E254" s="284" t="s">
        <v>511</v>
      </c>
      <c r="F254" s="309"/>
      <c r="G254" s="263" t="s">
        <v>487</v>
      </c>
      <c r="H254" s="263" t="str">
        <f t="shared" ref="H254" si="40">CONCATENATE("AR-",G254,"-",I254)</f>
        <v>AR-SDV-1</v>
      </c>
      <c r="I254" s="264">
        <v>1</v>
      </c>
      <c r="J254" s="265">
        <v>1</v>
      </c>
      <c r="K254" s="266"/>
      <c r="L254" s="265"/>
      <c r="M254" s="265"/>
      <c r="N254" s="265"/>
      <c r="O254" s="265"/>
      <c r="P254" s="265"/>
      <c r="Q254" s="265"/>
      <c r="V254" s="266"/>
      <c r="W254" s="266"/>
      <c r="X254" s="266"/>
    </row>
    <row r="255" spans="2:24" s="267" customFormat="1" ht="14.25" customHeight="1" outlineLevel="1">
      <c r="B255" s="263"/>
      <c r="C255" s="260"/>
      <c r="D255" s="261"/>
      <c r="E255" s="284"/>
      <c r="F255" s="284"/>
      <c r="G255" s="263"/>
      <c r="H255" s="263"/>
      <c r="I255" s="264"/>
      <c r="J255" s="265"/>
      <c r="K255" s="266"/>
      <c r="L255" s="265"/>
      <c r="M255" s="265"/>
      <c r="N255" s="265"/>
      <c r="O255" s="265"/>
      <c r="P255" s="265"/>
      <c r="Q255" s="265"/>
      <c r="V255" s="266"/>
      <c r="W255" s="266"/>
      <c r="X255" s="266"/>
    </row>
    <row r="256" spans="2:24" s="267" customFormat="1" ht="3" customHeight="1" outlineLevel="1">
      <c r="B256" s="259"/>
      <c r="C256" s="260"/>
      <c r="D256" s="261"/>
      <c r="E256" s="284"/>
      <c r="F256" s="284"/>
      <c r="G256" s="263"/>
      <c r="H256" s="263"/>
      <c r="I256" s="264"/>
      <c r="J256" s="265"/>
      <c r="K256" s="266"/>
      <c r="L256" s="265"/>
      <c r="M256" s="265"/>
      <c r="N256" s="265"/>
      <c r="O256" s="265"/>
      <c r="P256" s="265"/>
      <c r="Q256" s="265"/>
      <c r="V256" s="266"/>
      <c r="W256" s="266"/>
      <c r="X256" s="266"/>
    </row>
    <row r="257" spans="2:24" s="267" customFormat="1" ht="13.5" customHeight="1" outlineLevel="1">
      <c r="B257" s="271" t="s">
        <v>512</v>
      </c>
      <c r="C257" s="273"/>
      <c r="D257" s="274"/>
      <c r="E257" s="275"/>
      <c r="F257" s="275"/>
      <c r="G257" s="263"/>
      <c r="H257" s="263"/>
      <c r="I257" s="264"/>
      <c r="J257" s="265"/>
      <c r="K257" s="266"/>
      <c r="L257" s="265"/>
      <c r="M257" s="265"/>
      <c r="N257" s="265"/>
      <c r="O257" s="265"/>
      <c r="P257" s="265"/>
      <c r="Q257" s="265"/>
      <c r="V257" s="266"/>
      <c r="W257" s="266"/>
      <c r="X257" s="266"/>
    </row>
    <row r="258" spans="2:24" s="267" customFormat="1" ht="14.25" customHeight="1" outlineLevel="1">
      <c r="B258" s="263" t="s">
        <v>134</v>
      </c>
      <c r="C258" s="260" t="s">
        <v>486</v>
      </c>
      <c r="D258" s="261" t="s">
        <v>513</v>
      </c>
      <c r="E258" s="284" t="s">
        <v>514</v>
      </c>
      <c r="F258" s="284"/>
      <c r="G258" s="263" t="s">
        <v>487</v>
      </c>
      <c r="H258" s="263" t="str">
        <f>CONCATENATE("AR-",G258,"-",I258)</f>
        <v>AR-SDV-1</v>
      </c>
      <c r="I258" s="264">
        <v>1</v>
      </c>
      <c r="J258" s="265">
        <v>1</v>
      </c>
      <c r="K258" s="266"/>
      <c r="L258" s="265"/>
      <c r="M258" s="265"/>
      <c r="N258" s="265"/>
      <c r="O258" s="265"/>
      <c r="P258" s="265"/>
      <c r="Q258" s="265"/>
      <c r="V258" s="266"/>
      <c r="W258" s="266"/>
      <c r="X258" s="266"/>
    </row>
    <row r="259" spans="2:24" s="267" customFormat="1" ht="14.25" customHeight="1" outlineLevel="1">
      <c r="B259" s="263" t="s">
        <v>134</v>
      </c>
      <c r="C259" s="260" t="s">
        <v>486</v>
      </c>
      <c r="D259" s="261" t="s">
        <v>515</v>
      </c>
      <c r="E259" s="284" t="s">
        <v>516</v>
      </c>
      <c r="F259" s="284"/>
      <c r="G259" s="263" t="s">
        <v>487</v>
      </c>
      <c r="H259" s="263" t="str">
        <f>CONCATENATE("AR-",G259,"-",I259)</f>
        <v>AR-SDV-1</v>
      </c>
      <c r="I259" s="264">
        <v>1</v>
      </c>
      <c r="J259" s="265">
        <v>1</v>
      </c>
      <c r="K259" s="266"/>
      <c r="L259" s="265"/>
      <c r="M259" s="265"/>
      <c r="N259" s="265"/>
      <c r="O259" s="265"/>
      <c r="P259" s="265"/>
      <c r="Q259" s="265"/>
      <c r="V259" s="266"/>
      <c r="W259" s="266"/>
      <c r="X259" s="266"/>
    </row>
    <row r="260" spans="2:24" s="267" customFormat="1" ht="14.25" customHeight="1" outlineLevel="1">
      <c r="B260" s="263" t="s">
        <v>134</v>
      </c>
      <c r="C260" s="260" t="s">
        <v>486</v>
      </c>
      <c r="D260" s="261" t="s">
        <v>517</v>
      </c>
      <c r="E260" s="284" t="s">
        <v>518</v>
      </c>
      <c r="F260" s="284"/>
      <c r="G260" s="263" t="s">
        <v>487</v>
      </c>
      <c r="H260" s="263" t="str">
        <f>CONCATENATE("AR-",G260,"-",I260)</f>
        <v>AR-SDV-1</v>
      </c>
      <c r="I260" s="264">
        <v>1</v>
      </c>
      <c r="J260" s="265">
        <v>1</v>
      </c>
      <c r="K260" s="266"/>
      <c r="L260" s="265"/>
      <c r="M260" s="265"/>
      <c r="N260" s="265"/>
      <c r="O260" s="265"/>
      <c r="P260" s="265"/>
      <c r="Q260" s="265"/>
      <c r="V260" s="266"/>
      <c r="W260" s="266"/>
      <c r="X260" s="266"/>
    </row>
    <row r="261" spans="2:24" s="267" customFormat="1" ht="14.25" customHeight="1" outlineLevel="1">
      <c r="B261" s="263" t="s">
        <v>134</v>
      </c>
      <c r="C261" s="260" t="s">
        <v>486</v>
      </c>
      <c r="D261" s="261" t="s">
        <v>519</v>
      </c>
      <c r="E261" s="284" t="s">
        <v>520</v>
      </c>
      <c r="F261" s="284"/>
      <c r="G261" s="263" t="s">
        <v>487</v>
      </c>
      <c r="H261" s="263" t="str">
        <f>CONCATENATE("AR-",G261,"-",I261)</f>
        <v>AR-SDV-1</v>
      </c>
      <c r="I261" s="264">
        <v>1</v>
      </c>
      <c r="J261" s="265">
        <v>1</v>
      </c>
      <c r="K261" s="266"/>
      <c r="L261" s="265"/>
      <c r="M261" s="265"/>
      <c r="N261" s="265"/>
      <c r="O261" s="265"/>
      <c r="P261" s="265"/>
      <c r="Q261" s="265"/>
      <c r="V261" s="266"/>
      <c r="W261" s="266"/>
      <c r="X261" s="266"/>
    </row>
    <row r="262" spans="2:24" s="267" customFormat="1" ht="3" customHeight="1" outlineLevel="1">
      <c r="B262" s="259"/>
      <c r="C262" s="260"/>
      <c r="D262" s="261"/>
      <c r="E262" s="284"/>
      <c r="F262" s="284"/>
      <c r="G262" s="263"/>
      <c r="H262" s="263"/>
      <c r="I262" s="264"/>
      <c r="J262" s="265"/>
      <c r="K262" s="266"/>
      <c r="L262" s="265"/>
      <c r="M262" s="265"/>
      <c r="N262" s="265"/>
      <c r="O262" s="265"/>
      <c r="P262" s="265"/>
      <c r="Q262" s="265"/>
      <c r="V262" s="266"/>
      <c r="W262" s="266"/>
      <c r="X262" s="266"/>
    </row>
    <row r="263" spans="2:24" s="267" customFormat="1" ht="13.5" customHeight="1" outlineLevel="1">
      <c r="B263" s="271" t="s">
        <v>521</v>
      </c>
      <c r="C263" s="273"/>
      <c r="D263" s="274"/>
      <c r="E263" s="275"/>
      <c r="F263" s="275"/>
      <c r="G263" s="263"/>
      <c r="H263" s="263"/>
      <c r="I263" s="264"/>
      <c r="J263" s="265"/>
      <c r="K263" s="266"/>
      <c r="L263" s="265"/>
      <c r="M263" s="265"/>
      <c r="N263" s="265"/>
      <c r="O263" s="265"/>
      <c r="P263" s="265"/>
      <c r="Q263" s="265"/>
      <c r="V263" s="266"/>
      <c r="W263" s="266"/>
      <c r="X263" s="266"/>
    </row>
    <row r="264" spans="2:24" s="267" customFormat="1" ht="14.25" customHeight="1" outlineLevel="1">
      <c r="B264" s="263" t="s">
        <v>134</v>
      </c>
      <c r="C264" s="260" t="s">
        <v>486</v>
      </c>
      <c r="D264" s="261" t="s">
        <v>522</v>
      </c>
      <c r="E264" s="284" t="s">
        <v>523</v>
      </c>
      <c r="F264" s="284"/>
      <c r="G264" s="263" t="s">
        <v>487</v>
      </c>
      <c r="H264" s="263" t="str">
        <f t="shared" ref="H264" si="41">CONCATENATE("AR-",G264,"-",I264)</f>
        <v>AR-SDV-1</v>
      </c>
      <c r="I264" s="264">
        <v>1</v>
      </c>
      <c r="J264" s="265">
        <v>1</v>
      </c>
      <c r="K264" s="266"/>
      <c r="L264" s="265"/>
      <c r="M264" s="265"/>
      <c r="N264" s="265"/>
      <c r="O264" s="265"/>
      <c r="P264" s="265"/>
      <c r="Q264" s="265"/>
      <c r="V264" s="266"/>
      <c r="W264" s="266"/>
      <c r="X264" s="266"/>
    </row>
    <row r="265" spans="2:24" s="267" customFormat="1" ht="3" customHeight="1" outlineLevel="1">
      <c r="B265" s="259"/>
      <c r="C265" s="260"/>
      <c r="D265" s="261"/>
      <c r="E265" s="284"/>
      <c r="F265" s="284"/>
      <c r="G265" s="263"/>
      <c r="H265" s="263"/>
      <c r="I265" s="264"/>
      <c r="J265" s="265"/>
      <c r="K265" s="266"/>
      <c r="L265" s="265"/>
      <c r="M265" s="265"/>
      <c r="N265" s="265"/>
      <c r="O265" s="265"/>
      <c r="P265" s="265"/>
      <c r="Q265" s="265"/>
      <c r="V265" s="266"/>
      <c r="W265" s="266"/>
      <c r="X265" s="266"/>
    </row>
    <row r="266" spans="2:24" s="267" customFormat="1" ht="13.5" customHeight="1" outlineLevel="1">
      <c r="B266" s="271" t="s">
        <v>524</v>
      </c>
      <c r="C266" s="273"/>
      <c r="D266" s="274"/>
      <c r="E266" s="275"/>
      <c r="F266" s="275"/>
      <c r="G266" s="263"/>
      <c r="H266" s="263"/>
      <c r="I266" s="264"/>
      <c r="J266" s="265"/>
      <c r="K266" s="266"/>
      <c r="L266" s="265"/>
      <c r="M266" s="265"/>
      <c r="N266" s="265"/>
      <c r="O266" s="265"/>
      <c r="P266" s="265"/>
      <c r="Q266" s="265"/>
      <c r="V266" s="266"/>
      <c r="W266" s="266"/>
      <c r="X266" s="266"/>
    </row>
    <row r="267" spans="2:24" s="267" customFormat="1" ht="14.25" customHeight="1" outlineLevel="1">
      <c r="B267" s="263" t="s">
        <v>134</v>
      </c>
      <c r="C267" s="260" t="s">
        <v>486</v>
      </c>
      <c r="D267" s="261" t="s">
        <v>279</v>
      </c>
      <c r="E267" s="284" t="s">
        <v>525</v>
      </c>
      <c r="F267" s="284"/>
      <c r="G267" s="263" t="s">
        <v>487</v>
      </c>
      <c r="H267" s="263" t="str">
        <f>CONCATENATE("AR-",G267,"-",I267)</f>
        <v>AR-SDV-NA</v>
      </c>
      <c r="I267" s="264" t="s">
        <v>257</v>
      </c>
      <c r="J267" s="265"/>
      <c r="K267" s="266"/>
      <c r="L267" s="277"/>
      <c r="N267" s="265"/>
      <c r="O267" s="265"/>
      <c r="P267" s="265"/>
      <c r="Q267" s="265"/>
      <c r="V267" s="266"/>
      <c r="W267" s="266"/>
      <c r="X267" s="266"/>
    </row>
    <row r="268" spans="2:24" s="267" customFormat="1" ht="14.25" customHeight="1" outlineLevel="1">
      <c r="B268" s="263" t="s">
        <v>134</v>
      </c>
      <c r="C268" s="260" t="s">
        <v>486</v>
      </c>
      <c r="D268" s="261" t="s">
        <v>281</v>
      </c>
      <c r="E268" s="284" t="s">
        <v>526</v>
      </c>
      <c r="F268" s="284"/>
      <c r="G268" s="263" t="s">
        <v>487</v>
      </c>
      <c r="H268" s="263" t="str">
        <f>CONCATENATE("AR-",G268,"-",I268)</f>
        <v>AR-SDV-NA</v>
      </c>
      <c r="I268" s="264" t="s">
        <v>257</v>
      </c>
      <c r="J268" s="265"/>
      <c r="K268" s="266"/>
      <c r="L268" s="277"/>
      <c r="N268" s="265"/>
      <c r="O268" s="265"/>
      <c r="P268" s="265"/>
      <c r="Q268" s="265"/>
      <c r="V268" s="266"/>
      <c r="W268" s="266"/>
      <c r="X268" s="266"/>
    </row>
    <row r="269" spans="2:24" s="267" customFormat="1" ht="3" customHeight="1" outlineLevel="1">
      <c r="B269" s="259"/>
      <c r="C269" s="260"/>
      <c r="D269" s="261"/>
      <c r="E269" s="284"/>
      <c r="F269" s="284"/>
      <c r="G269" s="263"/>
      <c r="H269" s="263"/>
      <c r="I269" s="264"/>
      <c r="J269" s="265"/>
      <c r="K269" s="266"/>
      <c r="L269" s="265"/>
      <c r="M269" s="265"/>
      <c r="N269" s="265"/>
      <c r="O269" s="265"/>
      <c r="P269" s="265"/>
      <c r="Q269" s="265"/>
      <c r="V269" s="266"/>
      <c r="W269" s="266"/>
      <c r="X269" s="266"/>
    </row>
    <row r="270" spans="2:24" s="267" customFormat="1" ht="13.5" customHeight="1" outlineLevel="1">
      <c r="B270" s="271" t="s">
        <v>527</v>
      </c>
      <c r="C270" s="273"/>
      <c r="D270" s="274"/>
      <c r="E270" s="275"/>
      <c r="F270" s="275"/>
      <c r="G270" s="263"/>
      <c r="H270" s="263"/>
      <c r="I270" s="264"/>
      <c r="J270" s="265"/>
      <c r="K270" s="266"/>
      <c r="L270" s="265"/>
      <c r="M270" s="265"/>
      <c r="N270" s="265"/>
      <c r="O270" s="265"/>
      <c r="P270" s="265"/>
      <c r="Q270" s="265"/>
      <c r="V270" s="266"/>
      <c r="W270" s="266"/>
      <c r="X270" s="266"/>
    </row>
    <row r="271" spans="2:24" s="267" customFormat="1" ht="14.25" customHeight="1" outlineLevel="1">
      <c r="B271" s="263" t="s">
        <v>134</v>
      </c>
      <c r="C271" s="260" t="s">
        <v>486</v>
      </c>
      <c r="D271" s="292" t="s">
        <v>528</v>
      </c>
      <c r="E271" s="284" t="s">
        <v>529</v>
      </c>
      <c r="F271" s="284"/>
      <c r="G271" s="263" t="s">
        <v>487</v>
      </c>
      <c r="H271" s="263" t="str">
        <f>CONCATENATE("AR-",G271,"-",I271)</f>
        <v>AR-SDV-4</v>
      </c>
      <c r="I271" s="264">
        <v>4</v>
      </c>
      <c r="J271" s="265"/>
      <c r="K271" s="266"/>
      <c r="L271" s="277">
        <f t="shared" ref="L271:L272" si="42">M271</f>
        <v>1</v>
      </c>
      <c r="M271" s="265">
        <v>1</v>
      </c>
      <c r="N271" s="265"/>
      <c r="O271" s="265"/>
      <c r="P271" s="265"/>
      <c r="Q271" s="265">
        <v>1</v>
      </c>
      <c r="S271" s="265">
        <v>1</v>
      </c>
      <c r="V271" s="266"/>
      <c r="W271" s="266"/>
      <c r="X271" s="266"/>
    </row>
    <row r="272" spans="2:24" s="267" customFormat="1" ht="14.25" customHeight="1" outlineLevel="1">
      <c r="B272" s="263" t="s">
        <v>134</v>
      </c>
      <c r="C272" s="260" t="s">
        <v>486</v>
      </c>
      <c r="D272" s="292" t="s">
        <v>530</v>
      </c>
      <c r="E272" s="284" t="s">
        <v>531</v>
      </c>
      <c r="F272" s="284"/>
      <c r="G272" s="263" t="s">
        <v>487</v>
      </c>
      <c r="H272" s="263" t="str">
        <f>CONCATENATE("AR-",G272,"-",I272)</f>
        <v>AR-SDV-4</v>
      </c>
      <c r="I272" s="264">
        <v>4</v>
      </c>
      <c r="J272" s="265"/>
      <c r="K272" s="266"/>
      <c r="L272" s="277">
        <f t="shared" si="42"/>
        <v>1</v>
      </c>
      <c r="M272" s="265">
        <v>1</v>
      </c>
      <c r="N272" s="265"/>
      <c r="O272" s="265"/>
      <c r="P272" s="265"/>
      <c r="Q272" s="265">
        <v>1</v>
      </c>
      <c r="S272" s="265">
        <v>1</v>
      </c>
      <c r="V272" s="266"/>
      <c r="W272" s="266"/>
      <c r="X272" s="266"/>
    </row>
    <row r="273" spans="2:24" s="267" customFormat="1" ht="14.25" customHeight="1" outlineLevel="1">
      <c r="B273" s="263" t="s">
        <v>134</v>
      </c>
      <c r="C273" s="260" t="s">
        <v>486</v>
      </c>
      <c r="D273" s="292"/>
      <c r="E273" s="284" t="s">
        <v>532</v>
      </c>
      <c r="F273" s="284"/>
      <c r="G273" s="263" t="s">
        <v>487</v>
      </c>
      <c r="H273" s="263" t="str">
        <f>CONCATENATE("AR-",G273,"-",I273)</f>
        <v>AR-SDV-4</v>
      </c>
      <c r="I273" s="264">
        <v>4</v>
      </c>
      <c r="J273" s="265"/>
      <c r="K273" s="266"/>
      <c r="L273" s="277">
        <f t="shared" ref="L273" si="43">M273</f>
        <v>1</v>
      </c>
      <c r="M273" s="265">
        <v>1</v>
      </c>
      <c r="N273" s="265"/>
      <c r="O273" s="265"/>
      <c r="P273" s="265"/>
      <c r="Q273" s="277">
        <f>S273</f>
        <v>1</v>
      </c>
      <c r="S273" s="265">
        <v>1</v>
      </c>
      <c r="V273" s="266"/>
      <c r="W273" s="266"/>
      <c r="X273" s="266"/>
    </row>
    <row r="274" spans="2:24" s="267" customFormat="1" ht="3" customHeight="1" outlineLevel="1">
      <c r="B274" s="259"/>
      <c r="C274" s="260"/>
      <c r="D274" s="261"/>
      <c r="E274" s="284"/>
      <c r="F274" s="284"/>
      <c r="G274" s="263"/>
      <c r="H274" s="263"/>
      <c r="I274" s="264"/>
      <c r="J274" s="265"/>
      <c r="K274" s="266"/>
      <c r="L274" s="265"/>
      <c r="M274" s="265"/>
      <c r="N274" s="265"/>
      <c r="O274" s="265"/>
      <c r="P274" s="265"/>
      <c r="Q274" s="265"/>
      <c r="V274" s="266"/>
      <c r="W274" s="266"/>
      <c r="X274" s="266"/>
    </row>
    <row r="275" spans="2:24" s="267" customFormat="1" ht="14.25" customHeight="1" outlineLevel="1">
      <c r="B275" s="271" t="s">
        <v>533</v>
      </c>
      <c r="C275" s="273"/>
      <c r="D275" s="274"/>
      <c r="E275" s="275"/>
      <c r="F275" s="275"/>
      <c r="G275" s="263"/>
      <c r="H275" s="263"/>
      <c r="I275" s="264"/>
      <c r="J275" s="265"/>
      <c r="K275" s="266"/>
      <c r="L275" s="265"/>
      <c r="M275" s="265"/>
      <c r="N275" s="265"/>
      <c r="O275" s="265"/>
      <c r="P275" s="265"/>
      <c r="Q275" s="265"/>
      <c r="V275" s="266"/>
      <c r="W275" s="266"/>
      <c r="X275" s="266"/>
    </row>
    <row r="276" spans="2:24" s="267" customFormat="1" ht="14.25" customHeight="1" outlineLevel="1">
      <c r="B276" s="263" t="s">
        <v>134</v>
      </c>
      <c r="C276" s="260" t="s">
        <v>486</v>
      </c>
      <c r="D276" s="292">
        <v>1401</v>
      </c>
      <c r="E276" s="310" t="s">
        <v>511</v>
      </c>
      <c r="F276" s="284"/>
      <c r="G276" s="263" t="s">
        <v>487</v>
      </c>
      <c r="H276" s="263" t="str">
        <f t="shared" ref="H276" si="44">CONCATENATE("AR-",G276,"-",I276)</f>
        <v>AR-SDV-9</v>
      </c>
      <c r="I276" s="264">
        <v>9</v>
      </c>
      <c r="J276" s="265"/>
      <c r="K276" s="266"/>
      <c r="L276" s="277">
        <f>M276</f>
        <v>1</v>
      </c>
      <c r="M276" s="265">
        <v>1</v>
      </c>
      <c r="N276" s="265"/>
      <c r="O276" s="265"/>
      <c r="P276" s="265"/>
      <c r="Q276" s="277">
        <f>R276</f>
        <v>1</v>
      </c>
      <c r="R276" s="265">
        <v>1</v>
      </c>
      <c r="V276" s="266"/>
      <c r="W276" s="266"/>
      <c r="X276" s="266"/>
    </row>
    <row r="277" spans="2:24" s="267" customFormat="1" ht="3" customHeight="1" outlineLevel="1">
      <c r="B277" s="259"/>
      <c r="C277" s="260"/>
      <c r="D277" s="261"/>
      <c r="E277" s="284"/>
      <c r="F277" s="284"/>
      <c r="G277" s="263"/>
      <c r="H277" s="263"/>
      <c r="I277" s="264"/>
      <c r="J277" s="265"/>
      <c r="K277" s="266"/>
      <c r="L277" s="265"/>
      <c r="M277" s="265"/>
      <c r="N277" s="265"/>
      <c r="O277" s="265"/>
      <c r="P277" s="265"/>
      <c r="Q277" s="265"/>
      <c r="V277" s="266"/>
      <c r="W277" s="266"/>
      <c r="X277" s="266"/>
    </row>
    <row r="278" spans="2:24" s="267" customFormat="1" ht="13.5" customHeight="1" outlineLevel="1">
      <c r="B278" s="271" t="s">
        <v>534</v>
      </c>
      <c r="C278" s="273"/>
      <c r="D278" s="274"/>
      <c r="E278" s="275"/>
      <c r="F278" s="275"/>
      <c r="G278" s="263"/>
      <c r="H278" s="263"/>
      <c r="I278" s="264"/>
      <c r="J278" s="265"/>
      <c r="K278" s="266"/>
      <c r="L278" s="265"/>
      <c r="M278" s="265"/>
      <c r="N278" s="265"/>
      <c r="O278" s="265"/>
      <c r="P278" s="265"/>
      <c r="Q278" s="265"/>
      <c r="V278" s="266"/>
      <c r="W278" s="266"/>
      <c r="X278" s="266"/>
    </row>
    <row r="279" spans="2:24" s="267" customFormat="1" ht="14.25" customHeight="1" outlineLevel="1">
      <c r="B279" s="263" t="s">
        <v>134</v>
      </c>
      <c r="C279" s="260" t="s">
        <v>535</v>
      </c>
      <c r="D279" s="261" t="s">
        <v>536</v>
      </c>
      <c r="E279" s="284" t="s">
        <v>537</v>
      </c>
      <c r="F279" s="284"/>
      <c r="G279" s="263" t="s">
        <v>487</v>
      </c>
      <c r="H279" s="263" t="str">
        <f t="shared" ref="H279:H294" si="45">CONCATENATE("AR-",G279,"-",I279)</f>
        <v>AR-SDV-1</v>
      </c>
      <c r="I279" s="264">
        <v>1</v>
      </c>
      <c r="J279" s="265">
        <v>1</v>
      </c>
      <c r="K279" s="266"/>
      <c r="L279" s="265"/>
      <c r="M279" s="265"/>
      <c r="N279" s="265"/>
      <c r="O279" s="265"/>
      <c r="P279" s="265"/>
      <c r="Q279" s="265"/>
      <c r="V279" s="266"/>
      <c r="W279" s="266"/>
      <c r="X279" s="266"/>
    </row>
    <row r="280" spans="2:24" s="267" customFormat="1" ht="14.25" customHeight="1" outlineLevel="1">
      <c r="B280" s="263" t="s">
        <v>134</v>
      </c>
      <c r="C280" s="260" t="s">
        <v>535</v>
      </c>
      <c r="D280" s="261" t="s">
        <v>538</v>
      </c>
      <c r="E280" s="284" t="s">
        <v>539</v>
      </c>
      <c r="F280" s="284"/>
      <c r="G280" s="263" t="s">
        <v>487</v>
      </c>
      <c r="H280" s="263" t="str">
        <f t="shared" si="45"/>
        <v>AR-SDV-2</v>
      </c>
      <c r="I280" s="264">
        <v>2</v>
      </c>
      <c r="J280" s="265">
        <v>1</v>
      </c>
      <c r="K280" s="266"/>
      <c r="L280" s="265"/>
      <c r="M280" s="265"/>
      <c r="N280" s="265"/>
      <c r="O280" s="265"/>
      <c r="P280" s="265"/>
      <c r="Q280" s="265"/>
      <c r="V280" s="266"/>
      <c r="W280" s="266"/>
      <c r="X280" s="266"/>
    </row>
    <row r="281" spans="2:24" s="267" customFormat="1" ht="14.25" customHeight="1" outlineLevel="1">
      <c r="B281" s="263" t="s">
        <v>134</v>
      </c>
      <c r="C281" s="260" t="s">
        <v>535</v>
      </c>
      <c r="D281" s="261" t="s">
        <v>540</v>
      </c>
      <c r="E281" s="284" t="s">
        <v>541</v>
      </c>
      <c r="F281" s="284"/>
      <c r="G281" s="263" t="s">
        <v>487</v>
      </c>
      <c r="H281" s="263" t="str">
        <f t="shared" si="45"/>
        <v>AR-SDV-1</v>
      </c>
      <c r="I281" s="264">
        <v>1</v>
      </c>
      <c r="J281" s="265">
        <v>1</v>
      </c>
      <c r="K281" s="266"/>
      <c r="L281" s="265"/>
      <c r="M281" s="265"/>
      <c r="N281" s="265"/>
      <c r="O281" s="265"/>
      <c r="P281" s="265"/>
      <c r="Q281" s="265"/>
      <c r="V281" s="266"/>
      <c r="W281" s="266"/>
      <c r="X281" s="266"/>
    </row>
    <row r="282" spans="2:24" s="267" customFormat="1" ht="14.25" customHeight="1" outlineLevel="1">
      <c r="B282" s="263" t="s">
        <v>134</v>
      </c>
      <c r="C282" s="260" t="s">
        <v>535</v>
      </c>
      <c r="D282" s="261" t="s">
        <v>542</v>
      </c>
      <c r="E282" s="284" t="s">
        <v>543</v>
      </c>
      <c r="F282" s="284"/>
      <c r="G282" s="263" t="s">
        <v>487</v>
      </c>
      <c r="H282" s="263" t="str">
        <f t="shared" si="45"/>
        <v>AR-SDV-1</v>
      </c>
      <c r="I282" s="264">
        <v>1</v>
      </c>
      <c r="J282" s="265">
        <v>1</v>
      </c>
      <c r="K282" s="266"/>
      <c r="L282" s="265"/>
      <c r="M282" s="265"/>
      <c r="N282" s="265"/>
      <c r="O282" s="265"/>
      <c r="P282" s="265"/>
      <c r="Q282" s="265"/>
      <c r="V282" s="266"/>
      <c r="W282" s="266"/>
      <c r="X282" s="266"/>
    </row>
    <row r="283" spans="2:24" s="267" customFormat="1" ht="14.25" customHeight="1" outlineLevel="1">
      <c r="B283" s="263" t="s">
        <v>134</v>
      </c>
      <c r="C283" s="260" t="s">
        <v>535</v>
      </c>
      <c r="D283" s="261" t="s">
        <v>544</v>
      </c>
      <c r="E283" s="284" t="s">
        <v>545</v>
      </c>
      <c r="F283" s="284"/>
      <c r="G283" s="263" t="s">
        <v>487</v>
      </c>
      <c r="H283" s="263" t="str">
        <f t="shared" si="45"/>
        <v>AR-SDV-1</v>
      </c>
      <c r="I283" s="264">
        <v>1</v>
      </c>
      <c r="J283" s="265">
        <v>1</v>
      </c>
      <c r="K283" s="266"/>
      <c r="L283" s="265"/>
      <c r="M283" s="265"/>
      <c r="N283" s="265"/>
      <c r="O283" s="265"/>
      <c r="P283" s="265"/>
      <c r="Q283" s="265"/>
      <c r="V283" s="266"/>
      <c r="W283" s="266"/>
      <c r="X283" s="266"/>
    </row>
    <row r="284" spans="2:24" s="267" customFormat="1" ht="14.25" customHeight="1" outlineLevel="1">
      <c r="B284" s="263" t="s">
        <v>134</v>
      </c>
      <c r="C284" s="260" t="s">
        <v>546</v>
      </c>
      <c r="D284" s="261" t="s">
        <v>538</v>
      </c>
      <c r="E284" s="284" t="s">
        <v>547</v>
      </c>
      <c r="F284" s="284"/>
      <c r="G284" s="263" t="s">
        <v>487</v>
      </c>
      <c r="H284" s="263" t="str">
        <f t="shared" si="45"/>
        <v>AR-SDV-1</v>
      </c>
      <c r="I284" s="264">
        <v>1</v>
      </c>
      <c r="J284" s="265">
        <v>1</v>
      </c>
      <c r="K284" s="266"/>
      <c r="L284" s="265"/>
      <c r="M284" s="265"/>
      <c r="N284" s="265"/>
      <c r="O284" s="265"/>
      <c r="P284" s="265"/>
      <c r="Q284" s="265"/>
      <c r="V284" s="266"/>
      <c r="W284" s="266"/>
      <c r="X284" s="266"/>
    </row>
    <row r="285" spans="2:24" s="267" customFormat="1" ht="14.25" customHeight="1" outlineLevel="1">
      <c r="B285" s="263" t="s">
        <v>134</v>
      </c>
      <c r="C285" s="260" t="s">
        <v>546</v>
      </c>
      <c r="D285" s="261" t="s">
        <v>548</v>
      </c>
      <c r="E285" s="284" t="s">
        <v>549</v>
      </c>
      <c r="F285" s="284"/>
      <c r="G285" s="263" t="s">
        <v>487</v>
      </c>
      <c r="H285" s="263" t="str">
        <f t="shared" si="45"/>
        <v>AR-SDV-1</v>
      </c>
      <c r="I285" s="264">
        <v>1</v>
      </c>
      <c r="J285" s="265">
        <v>1</v>
      </c>
      <c r="K285" s="266"/>
      <c r="L285" s="265"/>
      <c r="M285" s="265"/>
      <c r="N285" s="265"/>
      <c r="O285" s="265"/>
      <c r="P285" s="265"/>
      <c r="Q285" s="265"/>
      <c r="V285" s="266"/>
      <c r="W285" s="266"/>
      <c r="X285" s="266"/>
    </row>
    <row r="286" spans="2:24" s="267" customFormat="1" ht="14.25" customHeight="1" outlineLevel="1">
      <c r="B286" s="263" t="s">
        <v>134</v>
      </c>
      <c r="C286" s="260" t="s">
        <v>546</v>
      </c>
      <c r="D286" s="261" t="s">
        <v>550</v>
      </c>
      <c r="E286" s="284" t="s">
        <v>549</v>
      </c>
      <c r="F286" s="284"/>
      <c r="G286" s="263" t="s">
        <v>487</v>
      </c>
      <c r="H286" s="263" t="str">
        <f t="shared" si="45"/>
        <v>AR-SDV-1</v>
      </c>
      <c r="I286" s="264">
        <v>1</v>
      </c>
      <c r="J286" s="265">
        <v>1</v>
      </c>
      <c r="K286" s="266"/>
      <c r="L286" s="265"/>
      <c r="M286" s="265"/>
      <c r="N286" s="265"/>
      <c r="O286" s="265"/>
      <c r="P286" s="265"/>
      <c r="Q286" s="265"/>
      <c r="V286" s="266"/>
      <c r="W286" s="266"/>
      <c r="X286" s="266"/>
    </row>
    <row r="287" spans="2:24" s="267" customFormat="1" ht="14.25" customHeight="1" outlineLevel="1">
      <c r="B287" s="263" t="s">
        <v>134</v>
      </c>
      <c r="C287" s="260" t="s">
        <v>546</v>
      </c>
      <c r="D287" s="261" t="s">
        <v>551</v>
      </c>
      <c r="E287" s="284" t="s">
        <v>549</v>
      </c>
      <c r="F287" s="284"/>
      <c r="G287" s="263" t="s">
        <v>487</v>
      </c>
      <c r="H287" s="263" t="str">
        <f t="shared" si="45"/>
        <v>AR-SDV-1</v>
      </c>
      <c r="I287" s="264">
        <v>1</v>
      </c>
      <c r="J287" s="265">
        <v>1</v>
      </c>
      <c r="K287" s="266"/>
      <c r="L287" s="265"/>
      <c r="M287" s="265"/>
      <c r="N287" s="265"/>
      <c r="O287" s="265"/>
      <c r="P287" s="265"/>
      <c r="Q287" s="265"/>
      <c r="V287" s="266"/>
      <c r="W287" s="266"/>
      <c r="X287" s="266"/>
    </row>
    <row r="288" spans="2:24" s="267" customFormat="1" ht="14.25" customHeight="1" outlineLevel="1">
      <c r="B288" s="263" t="s">
        <v>134</v>
      </c>
      <c r="C288" s="260" t="s">
        <v>546</v>
      </c>
      <c r="D288" s="261" t="s">
        <v>552</v>
      </c>
      <c r="E288" s="284" t="s">
        <v>549</v>
      </c>
      <c r="F288" s="284"/>
      <c r="G288" s="263" t="s">
        <v>487</v>
      </c>
      <c r="H288" s="263" t="str">
        <f t="shared" si="45"/>
        <v>AR-SDV-1</v>
      </c>
      <c r="I288" s="264">
        <v>1</v>
      </c>
      <c r="J288" s="265">
        <v>1</v>
      </c>
      <c r="K288" s="266"/>
      <c r="L288" s="265"/>
      <c r="M288" s="265"/>
      <c r="N288" s="265"/>
      <c r="O288" s="265"/>
      <c r="P288" s="265"/>
      <c r="Q288" s="265"/>
      <c r="V288" s="266"/>
      <c r="W288" s="266"/>
      <c r="X288" s="266"/>
    </row>
    <row r="289" spans="2:24" s="267" customFormat="1" ht="14.25" customHeight="1" outlineLevel="1">
      <c r="B289" s="263" t="s">
        <v>134</v>
      </c>
      <c r="C289" s="260" t="s">
        <v>546</v>
      </c>
      <c r="D289" s="261" t="s">
        <v>553</v>
      </c>
      <c r="E289" s="284" t="s">
        <v>554</v>
      </c>
      <c r="F289" s="284"/>
      <c r="G289" s="263" t="s">
        <v>487</v>
      </c>
      <c r="H289" s="263" t="str">
        <f t="shared" si="45"/>
        <v>AR-SDV-1</v>
      </c>
      <c r="I289" s="264">
        <v>1</v>
      </c>
      <c r="J289" s="265">
        <v>1</v>
      </c>
      <c r="K289" s="266"/>
      <c r="L289" s="265"/>
      <c r="M289" s="265"/>
      <c r="N289" s="265"/>
      <c r="O289" s="265"/>
      <c r="P289" s="265"/>
      <c r="Q289" s="265"/>
      <c r="V289" s="266"/>
      <c r="W289" s="266"/>
      <c r="X289" s="266"/>
    </row>
    <row r="290" spans="2:24" s="267" customFormat="1" ht="14.25" customHeight="1" outlineLevel="1">
      <c r="B290" s="263" t="s">
        <v>134</v>
      </c>
      <c r="C290" s="260" t="s">
        <v>546</v>
      </c>
      <c r="D290" s="261" t="s">
        <v>540</v>
      </c>
      <c r="E290" s="284" t="s">
        <v>554</v>
      </c>
      <c r="F290" s="284"/>
      <c r="G290" s="263" t="s">
        <v>487</v>
      </c>
      <c r="H290" s="263" t="str">
        <f t="shared" si="45"/>
        <v>AR-SDV-1</v>
      </c>
      <c r="I290" s="264">
        <v>1</v>
      </c>
      <c r="J290" s="265">
        <v>1</v>
      </c>
      <c r="K290" s="266"/>
      <c r="L290" s="265"/>
      <c r="M290" s="265"/>
      <c r="N290" s="265"/>
      <c r="O290" s="265"/>
      <c r="P290" s="265"/>
      <c r="Q290" s="265"/>
      <c r="V290" s="266"/>
      <c r="W290" s="266"/>
      <c r="X290" s="266"/>
    </row>
    <row r="291" spans="2:24" s="267" customFormat="1" ht="14.25" customHeight="1" outlineLevel="1">
      <c r="B291" s="263" t="s">
        <v>134</v>
      </c>
      <c r="C291" s="260" t="s">
        <v>546</v>
      </c>
      <c r="D291" s="261" t="s">
        <v>542</v>
      </c>
      <c r="E291" s="284" t="s">
        <v>554</v>
      </c>
      <c r="F291" s="284"/>
      <c r="G291" s="263" t="s">
        <v>487</v>
      </c>
      <c r="H291" s="263" t="str">
        <f t="shared" si="45"/>
        <v>AR-SDV-1</v>
      </c>
      <c r="I291" s="264">
        <v>1</v>
      </c>
      <c r="J291" s="265">
        <v>1</v>
      </c>
      <c r="K291" s="266"/>
      <c r="L291" s="265"/>
      <c r="M291" s="265"/>
      <c r="N291" s="265"/>
      <c r="O291" s="265"/>
      <c r="P291" s="265"/>
      <c r="Q291" s="265"/>
      <c r="V291" s="266"/>
      <c r="W291" s="266"/>
      <c r="X291" s="266"/>
    </row>
    <row r="292" spans="2:24" s="267" customFormat="1" ht="14.25" customHeight="1" outlineLevel="1">
      <c r="B292" s="263" t="s">
        <v>134</v>
      </c>
      <c r="C292" s="260" t="s">
        <v>546</v>
      </c>
      <c r="D292" s="261" t="s">
        <v>544</v>
      </c>
      <c r="E292" s="284" t="s">
        <v>555</v>
      </c>
      <c r="F292" s="284"/>
      <c r="G292" s="263" t="s">
        <v>487</v>
      </c>
      <c r="H292" s="263" t="str">
        <f t="shared" si="45"/>
        <v>AR-SDV-1</v>
      </c>
      <c r="I292" s="264">
        <v>1</v>
      </c>
      <c r="J292" s="265">
        <v>1</v>
      </c>
      <c r="K292" s="266"/>
      <c r="L292" s="265"/>
      <c r="M292" s="265"/>
      <c r="N292" s="265"/>
      <c r="O292" s="265"/>
      <c r="P292" s="265"/>
      <c r="Q292" s="265"/>
      <c r="V292" s="266"/>
      <c r="W292" s="266"/>
      <c r="X292" s="266"/>
    </row>
    <row r="293" spans="2:24" s="267" customFormat="1" ht="14.25" customHeight="1" outlineLevel="1">
      <c r="B293" s="263" t="s">
        <v>134</v>
      </c>
      <c r="C293" s="260" t="s">
        <v>546</v>
      </c>
      <c r="D293" s="261" t="s">
        <v>556</v>
      </c>
      <c r="E293" s="284" t="s">
        <v>557</v>
      </c>
      <c r="F293" s="284"/>
      <c r="G293" s="263" t="s">
        <v>487</v>
      </c>
      <c r="H293" s="263" t="str">
        <f t="shared" si="45"/>
        <v>AR-SDV-1</v>
      </c>
      <c r="I293" s="264">
        <v>1</v>
      </c>
      <c r="J293" s="265">
        <v>1</v>
      </c>
      <c r="K293" s="266"/>
      <c r="L293" s="265"/>
      <c r="M293" s="265"/>
      <c r="N293" s="265"/>
      <c r="O293" s="265"/>
      <c r="P293" s="265"/>
      <c r="Q293" s="265"/>
      <c r="V293" s="266"/>
      <c r="W293" s="266"/>
      <c r="X293" s="266"/>
    </row>
    <row r="294" spans="2:24" s="267" customFormat="1" ht="14.25" customHeight="1" outlineLevel="1">
      <c r="B294" s="263" t="s">
        <v>134</v>
      </c>
      <c r="C294" s="260" t="s">
        <v>546</v>
      </c>
      <c r="D294" s="261" t="s">
        <v>558</v>
      </c>
      <c r="E294" s="284" t="s">
        <v>559</v>
      </c>
      <c r="F294" s="284"/>
      <c r="G294" s="263" t="s">
        <v>487</v>
      </c>
      <c r="H294" s="263" t="str">
        <f t="shared" si="45"/>
        <v>AR-SDV-1</v>
      </c>
      <c r="I294" s="264">
        <v>1</v>
      </c>
      <c r="J294" s="265">
        <v>1</v>
      </c>
      <c r="K294" s="266"/>
      <c r="L294" s="265"/>
      <c r="M294" s="265"/>
      <c r="N294" s="265"/>
      <c r="O294" s="265"/>
      <c r="P294" s="265"/>
      <c r="Q294" s="265"/>
      <c r="V294" s="266"/>
      <c r="W294" s="266"/>
      <c r="X294" s="266"/>
    </row>
    <row r="295" spans="2:24" s="267" customFormat="1" ht="14.25" customHeight="1" outlineLevel="1">
      <c r="B295" s="263"/>
      <c r="C295" s="260"/>
      <c r="D295" s="261"/>
      <c r="F295" s="284"/>
      <c r="G295" s="263"/>
      <c r="H295" s="263"/>
      <c r="I295" s="264"/>
      <c r="J295" s="265"/>
      <c r="K295" s="266"/>
      <c r="L295" s="265"/>
      <c r="M295" s="265"/>
      <c r="N295" s="265"/>
      <c r="O295" s="265"/>
      <c r="P295" s="265"/>
      <c r="Q295" s="265"/>
      <c r="V295" s="266"/>
      <c r="W295" s="266"/>
      <c r="X295" s="266"/>
    </row>
    <row r="296" spans="2:24" s="267" customFormat="1" ht="17.399999999999999" customHeight="1" outlineLevel="1">
      <c r="B296" s="491" t="s">
        <v>560</v>
      </c>
      <c r="C296" s="260"/>
      <c r="D296" s="261"/>
      <c r="E296" s="284"/>
      <c r="F296" s="284"/>
      <c r="G296" s="263"/>
      <c r="H296" s="263"/>
      <c r="I296" s="264"/>
      <c r="J296" s="265"/>
      <c r="K296" s="266"/>
      <c r="L296" s="265"/>
      <c r="M296" s="265"/>
      <c r="N296" s="265"/>
      <c r="O296" s="265"/>
      <c r="P296" s="265"/>
      <c r="Q296" s="265"/>
      <c r="V296" s="266"/>
      <c r="W296" s="266"/>
      <c r="X296" s="266"/>
    </row>
    <row r="297" spans="2:24" s="267" customFormat="1" ht="18.600000000000001" customHeight="1" outlineLevel="2">
      <c r="B297" s="259"/>
      <c r="C297" s="260"/>
      <c r="D297" s="261"/>
      <c r="E297" s="284"/>
      <c r="F297" s="284"/>
      <c r="G297" s="263"/>
      <c r="H297" s="263"/>
      <c r="I297" s="264"/>
      <c r="J297" s="265"/>
      <c r="K297" s="266"/>
      <c r="L297" s="265"/>
      <c r="M297" s="265"/>
      <c r="N297" s="265"/>
      <c r="O297" s="265"/>
      <c r="P297" s="265"/>
      <c r="Q297" s="265"/>
      <c r="V297" s="266"/>
      <c r="W297" s="266"/>
      <c r="X297" s="266"/>
    </row>
    <row r="298" spans="2:24" s="267" customFormat="1" ht="14.25" customHeight="1" outlineLevel="2">
      <c r="B298" s="271" t="s">
        <v>561</v>
      </c>
      <c r="C298" s="273"/>
      <c r="D298" s="274"/>
      <c r="E298" s="275"/>
      <c r="F298" s="275"/>
      <c r="G298" s="263"/>
      <c r="H298" s="263"/>
      <c r="I298" s="264"/>
      <c r="J298" s="265"/>
      <c r="K298" s="266"/>
      <c r="L298" s="265"/>
      <c r="M298" s="265"/>
      <c r="N298" s="265"/>
      <c r="O298" s="265"/>
      <c r="P298" s="265"/>
      <c r="Q298" s="265"/>
      <c r="V298" s="266"/>
      <c r="W298" s="266"/>
      <c r="X298" s="266"/>
    </row>
    <row r="299" spans="2:24" s="267" customFormat="1" outlineLevel="2">
      <c r="B299" s="263" t="s">
        <v>134</v>
      </c>
      <c r="C299" s="263" t="s">
        <v>562</v>
      </c>
      <c r="D299" s="261" t="s">
        <v>193</v>
      </c>
      <c r="E299" s="279" t="s">
        <v>563</v>
      </c>
      <c r="F299" s="279"/>
      <c r="G299" s="263" t="s">
        <v>487</v>
      </c>
      <c r="H299" s="263" t="str">
        <f>CONCATENATE("AR-",G299,"-",I299)</f>
        <v>AR-SDV-2</v>
      </c>
      <c r="I299" s="264">
        <v>2</v>
      </c>
      <c r="J299" s="265">
        <v>1</v>
      </c>
      <c r="K299" s="266"/>
      <c r="L299" s="265"/>
      <c r="M299" s="265"/>
      <c r="N299" s="265"/>
      <c r="O299" s="265"/>
      <c r="P299" s="265"/>
      <c r="Q299" s="265"/>
      <c r="V299" s="266"/>
      <c r="W299" s="266"/>
      <c r="X299" s="266"/>
    </row>
    <row r="300" spans="2:24" s="267" customFormat="1" ht="3" customHeight="1" outlineLevel="2">
      <c r="B300" s="271"/>
      <c r="C300" s="260"/>
      <c r="D300" s="261"/>
      <c r="E300" s="279"/>
      <c r="F300" s="279"/>
      <c r="G300" s="263"/>
      <c r="H300" s="263"/>
      <c r="I300" s="264"/>
      <c r="J300" s="265"/>
      <c r="K300" s="266"/>
      <c r="L300" s="265"/>
      <c r="M300" s="265"/>
      <c r="N300" s="265"/>
      <c r="O300" s="265"/>
      <c r="P300" s="265"/>
      <c r="Q300" s="265"/>
      <c r="V300" s="266"/>
      <c r="W300" s="266"/>
      <c r="X300" s="266"/>
    </row>
    <row r="301" spans="2:24" s="267" customFormat="1" ht="14.25" customHeight="1" outlineLevel="2">
      <c r="B301" s="271" t="s">
        <v>564</v>
      </c>
      <c r="C301" s="273"/>
      <c r="D301" s="274"/>
      <c r="E301" s="275"/>
      <c r="F301" s="275"/>
      <c r="G301" s="263"/>
      <c r="H301" s="263"/>
      <c r="I301" s="264"/>
      <c r="J301" s="265"/>
      <c r="K301" s="266"/>
      <c r="L301" s="265"/>
      <c r="M301" s="265"/>
      <c r="N301" s="265"/>
      <c r="O301" s="265"/>
      <c r="P301" s="265"/>
      <c r="Q301" s="265"/>
      <c r="V301" s="266"/>
      <c r="W301" s="266"/>
      <c r="X301" s="266"/>
    </row>
    <row r="302" spans="2:24" s="267" customFormat="1" outlineLevel="2">
      <c r="B302" s="263" t="s">
        <v>134</v>
      </c>
      <c r="C302" s="263" t="s">
        <v>562</v>
      </c>
      <c r="D302" s="261" t="s">
        <v>491</v>
      </c>
      <c r="E302" s="289" t="s">
        <v>565</v>
      </c>
      <c r="F302" s="289"/>
      <c r="G302" s="263" t="s">
        <v>487</v>
      </c>
      <c r="H302" s="263" t="str">
        <f>CONCATENATE("AR-",G302,"-",I302)</f>
        <v>AR-SDV-2</v>
      </c>
      <c r="I302" s="264">
        <v>2</v>
      </c>
      <c r="J302" s="265">
        <v>1</v>
      </c>
      <c r="K302" s="266"/>
      <c r="L302" s="265"/>
      <c r="M302" s="265"/>
      <c r="N302" s="265"/>
      <c r="O302" s="265"/>
      <c r="P302" s="265"/>
      <c r="Q302" s="265"/>
      <c r="V302" s="266"/>
      <c r="W302" s="266"/>
      <c r="X302" s="266"/>
    </row>
    <row r="303" spans="2:24" s="267" customFormat="1" ht="3" customHeight="1" outlineLevel="2">
      <c r="B303" s="288"/>
      <c r="C303" s="263"/>
      <c r="D303" s="261"/>
      <c r="E303" s="289"/>
      <c r="F303" s="289"/>
      <c r="G303" s="263"/>
      <c r="H303" s="263"/>
      <c r="I303" s="264"/>
      <c r="J303" s="265"/>
      <c r="K303" s="266"/>
      <c r="L303" s="265"/>
      <c r="M303" s="265"/>
      <c r="N303" s="265"/>
      <c r="O303" s="265"/>
      <c r="P303" s="265"/>
      <c r="Q303" s="265"/>
      <c r="V303" s="266"/>
      <c r="W303" s="266"/>
      <c r="X303" s="266"/>
    </row>
    <row r="304" spans="2:24" s="267" customFormat="1" ht="14.25" customHeight="1" outlineLevel="2">
      <c r="B304" s="271" t="s">
        <v>566</v>
      </c>
      <c r="C304" s="273"/>
      <c r="D304" s="274"/>
      <c r="E304" s="275"/>
      <c r="F304" s="275"/>
      <c r="G304" s="263"/>
      <c r="H304" s="263"/>
      <c r="I304" s="264"/>
      <c r="J304" s="265"/>
      <c r="K304" s="266"/>
      <c r="L304" s="265"/>
      <c r="M304" s="265"/>
      <c r="N304" s="265"/>
      <c r="O304" s="265"/>
      <c r="P304" s="265"/>
      <c r="Q304" s="265"/>
      <c r="V304" s="266"/>
      <c r="W304" s="266"/>
      <c r="X304" s="266"/>
    </row>
    <row r="305" spans="2:24" s="267" customFormat="1" outlineLevel="2">
      <c r="B305" s="263" t="s">
        <v>134</v>
      </c>
      <c r="C305" s="263" t="s">
        <v>562</v>
      </c>
      <c r="D305" s="261" t="s">
        <v>136</v>
      </c>
      <c r="E305" s="262" t="s">
        <v>567</v>
      </c>
      <c r="F305" s="262"/>
      <c r="G305" s="263" t="s">
        <v>487</v>
      </c>
      <c r="H305" s="263" t="str">
        <f>CONCATENATE("AR-",G305,"-",I305)</f>
        <v>AR-SDV-2</v>
      </c>
      <c r="I305" s="264">
        <v>2</v>
      </c>
      <c r="J305" s="265">
        <v>1</v>
      </c>
      <c r="K305" s="266"/>
      <c r="L305" s="265"/>
      <c r="M305" s="265"/>
      <c r="N305" s="265"/>
      <c r="O305" s="265"/>
      <c r="P305" s="265"/>
      <c r="Q305" s="265"/>
      <c r="V305" s="266"/>
      <c r="W305" s="266"/>
      <c r="X305" s="266"/>
    </row>
    <row r="306" spans="2:24" s="267" customFormat="1" outlineLevel="2">
      <c r="B306" s="263" t="s">
        <v>134</v>
      </c>
      <c r="C306" s="263" t="s">
        <v>562</v>
      </c>
      <c r="D306" s="261" t="s">
        <v>139</v>
      </c>
      <c r="E306" s="262" t="s">
        <v>568</v>
      </c>
      <c r="F306" s="262"/>
      <c r="G306" s="263" t="s">
        <v>487</v>
      </c>
      <c r="H306" s="263" t="str">
        <f>CONCATENATE("AR-",G306,"-",I306)</f>
        <v>AR-SDV-2</v>
      </c>
      <c r="I306" s="264">
        <v>2</v>
      </c>
      <c r="J306" s="265">
        <v>1</v>
      </c>
      <c r="K306" s="266"/>
      <c r="L306" s="265"/>
      <c r="M306" s="265"/>
      <c r="N306" s="265"/>
      <c r="O306" s="265"/>
      <c r="P306" s="265"/>
      <c r="Q306" s="265"/>
      <c r="V306" s="266"/>
      <c r="W306" s="266"/>
      <c r="X306" s="266"/>
    </row>
    <row r="307" spans="2:24" s="267" customFormat="1" ht="3" customHeight="1" outlineLevel="2">
      <c r="B307" s="288"/>
      <c r="C307" s="263"/>
      <c r="D307" s="311"/>
      <c r="E307" s="262"/>
      <c r="F307" s="262"/>
      <c r="G307" s="263"/>
      <c r="H307" s="263"/>
      <c r="I307" s="264"/>
      <c r="J307" s="265"/>
      <c r="K307" s="266"/>
      <c r="L307" s="265"/>
      <c r="M307" s="265"/>
      <c r="N307" s="265"/>
      <c r="O307" s="265"/>
      <c r="P307" s="265"/>
      <c r="Q307" s="265"/>
      <c r="V307" s="266"/>
      <c r="W307" s="266"/>
      <c r="X307" s="266"/>
    </row>
    <row r="308" spans="2:24" s="267" customFormat="1" ht="14.25" customHeight="1" outlineLevel="2">
      <c r="B308" s="271" t="s">
        <v>569</v>
      </c>
      <c r="C308" s="273"/>
      <c r="D308" s="274"/>
      <c r="E308" s="275"/>
      <c r="F308" s="275"/>
      <c r="G308" s="263"/>
      <c r="H308" s="263"/>
      <c r="I308" s="264"/>
      <c r="J308" s="265"/>
      <c r="K308" s="266"/>
      <c r="L308" s="265"/>
      <c r="M308" s="265"/>
      <c r="N308" s="265"/>
      <c r="O308" s="265"/>
      <c r="P308" s="265"/>
      <c r="Q308" s="265"/>
      <c r="V308" s="266"/>
      <c r="W308" s="266"/>
      <c r="X308" s="266"/>
    </row>
    <row r="309" spans="2:24" s="267" customFormat="1" outlineLevel="2">
      <c r="B309" s="263" t="s">
        <v>134</v>
      </c>
      <c r="C309" s="263" t="s">
        <v>562</v>
      </c>
      <c r="D309" s="261" t="s">
        <v>149</v>
      </c>
      <c r="E309" s="279" t="s">
        <v>570</v>
      </c>
      <c r="F309" s="279"/>
      <c r="G309" s="263" t="s">
        <v>487</v>
      </c>
      <c r="H309" s="263" t="str">
        <f>CONCATENATE("AR-",G309,"-",I309)</f>
        <v>AR-SDV-2</v>
      </c>
      <c r="I309" s="264">
        <v>2</v>
      </c>
      <c r="J309" s="265">
        <v>1</v>
      </c>
      <c r="K309" s="266"/>
      <c r="L309" s="265"/>
      <c r="M309" s="265"/>
      <c r="N309" s="265"/>
      <c r="O309" s="265"/>
      <c r="P309" s="265"/>
      <c r="Q309" s="265"/>
      <c r="V309" s="266"/>
      <c r="W309" s="266"/>
      <c r="X309" s="266"/>
    </row>
    <row r="310" spans="2:24" s="267" customFormat="1" ht="3" customHeight="1" outlineLevel="2">
      <c r="B310" s="288"/>
      <c r="C310" s="263"/>
      <c r="D310" s="311"/>
      <c r="E310" s="262"/>
      <c r="F310" s="262"/>
      <c r="G310" s="263"/>
      <c r="H310" s="263"/>
      <c r="I310" s="264"/>
      <c r="J310" s="265"/>
      <c r="K310" s="266"/>
      <c r="L310" s="265"/>
      <c r="M310" s="265"/>
      <c r="N310" s="265"/>
      <c r="O310" s="265"/>
      <c r="P310" s="265"/>
      <c r="Q310" s="265"/>
      <c r="V310" s="266"/>
      <c r="W310" s="266"/>
      <c r="X310" s="266"/>
    </row>
    <row r="311" spans="2:24" s="267" customFormat="1" ht="14.25" customHeight="1" outlineLevel="2">
      <c r="B311" s="271" t="s">
        <v>571</v>
      </c>
      <c r="C311" s="273"/>
      <c r="D311" s="274"/>
      <c r="E311" s="275"/>
      <c r="F311" s="275"/>
      <c r="G311" s="263"/>
      <c r="H311" s="263"/>
      <c r="I311" s="264"/>
      <c r="J311" s="265"/>
      <c r="K311" s="266"/>
      <c r="L311" s="265"/>
      <c r="M311" s="265"/>
      <c r="N311" s="265"/>
      <c r="O311" s="265"/>
      <c r="P311" s="265"/>
      <c r="Q311" s="265"/>
      <c r="V311" s="266"/>
      <c r="W311" s="266"/>
      <c r="X311" s="266"/>
    </row>
    <row r="312" spans="2:24" s="267" customFormat="1" outlineLevel="2">
      <c r="B312" s="263" t="s">
        <v>134</v>
      </c>
      <c r="C312" s="263" t="s">
        <v>562</v>
      </c>
      <c r="D312" s="261" t="s">
        <v>156</v>
      </c>
      <c r="E312" s="279" t="s">
        <v>572</v>
      </c>
      <c r="F312" s="279"/>
      <c r="G312" s="263" t="s">
        <v>487</v>
      </c>
      <c r="H312" s="263" t="str">
        <f>CONCATENATE("AR-",G312,"-",I312)</f>
        <v>AR-SDV-2</v>
      </c>
      <c r="I312" s="264">
        <v>2</v>
      </c>
      <c r="J312" s="265">
        <v>1</v>
      </c>
      <c r="K312" s="266"/>
      <c r="L312" s="265"/>
      <c r="M312" s="265"/>
      <c r="N312" s="265"/>
      <c r="O312" s="265"/>
      <c r="P312" s="265"/>
      <c r="Q312" s="265"/>
      <c r="V312" s="266"/>
      <c r="W312" s="266"/>
      <c r="X312" s="266"/>
    </row>
    <row r="313" spans="2:24" s="267" customFormat="1" outlineLevel="2">
      <c r="B313" s="263" t="s">
        <v>134</v>
      </c>
      <c r="C313" s="263" t="s">
        <v>562</v>
      </c>
      <c r="D313" s="261" t="s">
        <v>160</v>
      </c>
      <c r="E313" s="279" t="s">
        <v>573</v>
      </c>
      <c r="F313" s="279"/>
      <c r="G313" s="263" t="s">
        <v>487</v>
      </c>
      <c r="H313" s="263" t="str">
        <f>CONCATENATE("AR-",G313,"-",I313)</f>
        <v>AR-SDV-2</v>
      </c>
      <c r="I313" s="264">
        <v>2</v>
      </c>
      <c r="J313" s="265">
        <v>1</v>
      </c>
      <c r="K313" s="266"/>
      <c r="L313" s="265"/>
      <c r="M313" s="265"/>
      <c r="N313" s="265"/>
      <c r="O313" s="265"/>
      <c r="P313" s="265"/>
      <c r="Q313" s="265"/>
      <c r="V313" s="266"/>
      <c r="W313" s="266"/>
      <c r="X313" s="266"/>
    </row>
    <row r="314" spans="2:24" s="267" customFormat="1" ht="3" customHeight="1" outlineLevel="2">
      <c r="B314" s="288"/>
      <c r="C314" s="263"/>
      <c r="D314" s="311"/>
      <c r="E314" s="262"/>
      <c r="F314" s="262"/>
      <c r="G314" s="263"/>
      <c r="H314" s="263"/>
      <c r="I314" s="264"/>
      <c r="J314" s="265"/>
      <c r="K314" s="266"/>
      <c r="L314" s="265"/>
      <c r="M314" s="265"/>
      <c r="N314" s="265"/>
      <c r="O314" s="265"/>
      <c r="P314" s="265"/>
      <c r="Q314" s="265"/>
      <c r="V314" s="266"/>
      <c r="W314" s="266"/>
      <c r="X314" s="266"/>
    </row>
    <row r="315" spans="2:24" s="267" customFormat="1" ht="14.25" customHeight="1" outlineLevel="2">
      <c r="B315" s="271" t="s">
        <v>574</v>
      </c>
      <c r="C315" s="273"/>
      <c r="D315" s="274"/>
      <c r="E315" s="275"/>
      <c r="F315" s="275"/>
      <c r="G315" s="263"/>
      <c r="H315" s="263"/>
      <c r="I315" s="264"/>
      <c r="J315" s="265"/>
      <c r="K315" s="266"/>
      <c r="L315" s="265"/>
      <c r="M315" s="265"/>
      <c r="N315" s="265"/>
      <c r="O315" s="265"/>
      <c r="P315" s="265"/>
      <c r="Q315" s="265"/>
      <c r="V315" s="266"/>
      <c r="W315" s="266"/>
      <c r="X315" s="266"/>
    </row>
    <row r="316" spans="2:24" s="267" customFormat="1" outlineLevel="2">
      <c r="B316" s="263" t="s">
        <v>134</v>
      </c>
      <c r="C316" s="263" t="s">
        <v>562</v>
      </c>
      <c r="D316" s="311">
        <v>1401</v>
      </c>
      <c r="E316" s="262" t="s">
        <v>575</v>
      </c>
      <c r="F316" s="262"/>
      <c r="G316" s="263" t="s">
        <v>487</v>
      </c>
      <c r="H316" s="263" t="str">
        <f>CONCATENATE("AR-",G316,"-",I316)</f>
        <v>AR-SDV-2</v>
      </c>
      <c r="I316" s="264">
        <v>2</v>
      </c>
      <c r="J316" s="265">
        <v>1</v>
      </c>
      <c r="K316" s="266"/>
      <c r="L316" s="265"/>
      <c r="M316" s="265"/>
      <c r="N316" s="265"/>
      <c r="O316" s="265"/>
      <c r="P316" s="265"/>
      <c r="Q316" s="265"/>
      <c r="V316" s="266"/>
      <c r="W316" s="266"/>
      <c r="X316" s="266"/>
    </row>
    <row r="317" spans="2:24" s="267" customFormat="1" outlineLevel="2">
      <c r="B317" s="263" t="s">
        <v>134</v>
      </c>
      <c r="C317" s="263" t="s">
        <v>562</v>
      </c>
      <c r="D317" s="311">
        <v>1402</v>
      </c>
      <c r="E317" s="262" t="s">
        <v>576</v>
      </c>
      <c r="F317" s="262"/>
      <c r="G317" s="263" t="s">
        <v>487</v>
      </c>
      <c r="H317" s="263" t="str">
        <f>CONCATENATE("AR-",G317,"-",I317)</f>
        <v>AR-SDV-2</v>
      </c>
      <c r="I317" s="264">
        <v>2</v>
      </c>
      <c r="J317" s="265">
        <v>1</v>
      </c>
      <c r="K317" s="266"/>
      <c r="L317" s="265"/>
      <c r="M317" s="265"/>
      <c r="N317" s="265"/>
      <c r="O317" s="265"/>
      <c r="P317" s="265"/>
      <c r="Q317" s="265"/>
      <c r="V317" s="266"/>
      <c r="W317" s="266"/>
      <c r="X317" s="266"/>
    </row>
    <row r="318" spans="2:24" s="267" customFormat="1" outlineLevel="2">
      <c r="B318" s="263" t="s">
        <v>134</v>
      </c>
      <c r="C318" s="263" t="s">
        <v>562</v>
      </c>
      <c r="D318" s="311">
        <v>1403</v>
      </c>
      <c r="E318" s="262" t="s">
        <v>577</v>
      </c>
      <c r="F318" s="262"/>
      <c r="G318" s="263" t="s">
        <v>487</v>
      </c>
      <c r="H318" s="263" t="str">
        <f>CONCATENATE("AR-",G318,"-",I318)</f>
        <v>AR-SDV-2</v>
      </c>
      <c r="I318" s="264">
        <v>2</v>
      </c>
      <c r="J318" s="265">
        <v>1</v>
      </c>
      <c r="K318" s="266"/>
      <c r="L318" s="265"/>
      <c r="M318" s="265"/>
      <c r="N318" s="265"/>
      <c r="O318" s="265"/>
      <c r="P318" s="265"/>
      <c r="Q318" s="265"/>
      <c r="V318" s="266"/>
      <c r="W318" s="266"/>
      <c r="X318" s="266"/>
    </row>
    <row r="319" spans="2:24" s="267" customFormat="1" outlineLevel="2">
      <c r="B319" s="263" t="s">
        <v>134</v>
      </c>
      <c r="C319" s="263" t="s">
        <v>562</v>
      </c>
      <c r="D319" s="311">
        <v>1404</v>
      </c>
      <c r="E319" s="262" t="s">
        <v>578</v>
      </c>
      <c r="F319" s="262"/>
      <c r="G319" s="263" t="s">
        <v>487</v>
      </c>
      <c r="H319" s="263" t="str">
        <f>CONCATENATE("AR-",G319,"-",I319)</f>
        <v>AR-SDV-2</v>
      </c>
      <c r="I319" s="264">
        <v>2</v>
      </c>
      <c r="J319" s="265">
        <v>1</v>
      </c>
      <c r="K319" s="266"/>
      <c r="L319" s="265"/>
      <c r="M319" s="265"/>
      <c r="N319" s="265"/>
      <c r="O319" s="265"/>
      <c r="P319" s="265"/>
      <c r="Q319" s="265"/>
      <c r="V319" s="266"/>
      <c r="W319" s="266"/>
      <c r="X319" s="266"/>
    </row>
    <row r="320" spans="2:24" s="267" customFormat="1" ht="3" customHeight="1" outlineLevel="2">
      <c r="B320" s="288"/>
      <c r="C320" s="263"/>
      <c r="D320" s="311"/>
      <c r="E320" s="262"/>
      <c r="F320" s="262"/>
      <c r="G320" s="263"/>
      <c r="H320" s="263"/>
      <c r="I320" s="264"/>
      <c r="J320" s="265"/>
      <c r="K320" s="266"/>
      <c r="L320" s="265"/>
      <c r="M320" s="265"/>
      <c r="N320" s="265"/>
      <c r="O320" s="265"/>
      <c r="P320" s="265"/>
      <c r="Q320" s="265"/>
      <c r="V320" s="266"/>
      <c r="W320" s="266"/>
      <c r="X320" s="266"/>
    </row>
    <row r="321" spans="2:24" s="267" customFormat="1" ht="14.25" customHeight="1" outlineLevel="2">
      <c r="B321" s="271" t="s">
        <v>579</v>
      </c>
      <c r="C321" s="273"/>
      <c r="D321" s="274"/>
      <c r="E321" s="275"/>
      <c r="F321" s="275"/>
      <c r="G321" s="263"/>
      <c r="H321" s="263"/>
      <c r="I321" s="264"/>
      <c r="J321" s="265"/>
      <c r="K321" s="266"/>
      <c r="L321" s="265"/>
      <c r="M321" s="265"/>
      <c r="N321" s="265"/>
      <c r="O321" s="265"/>
      <c r="P321" s="265"/>
      <c r="Q321" s="265"/>
      <c r="V321" s="266"/>
      <c r="W321" s="266"/>
      <c r="X321" s="266"/>
    </row>
    <row r="322" spans="2:24" s="267" customFormat="1" outlineLevel="2">
      <c r="B322" s="263" t="s">
        <v>134</v>
      </c>
      <c r="C322" s="263" t="s">
        <v>562</v>
      </c>
      <c r="D322" s="261" t="s">
        <v>259</v>
      </c>
      <c r="E322" s="262" t="s">
        <v>580</v>
      </c>
      <c r="F322" s="262"/>
      <c r="G322" s="263" t="s">
        <v>487</v>
      </c>
      <c r="H322" s="263" t="str">
        <f>CONCATENATE("AR-",G322,"-",I322)</f>
        <v>AR-SDV-2</v>
      </c>
      <c r="I322" s="264">
        <v>2</v>
      </c>
      <c r="J322" s="265">
        <v>1</v>
      </c>
      <c r="K322" s="266"/>
      <c r="L322" s="265"/>
      <c r="M322" s="265"/>
      <c r="N322" s="265"/>
      <c r="O322" s="265"/>
      <c r="P322" s="265"/>
      <c r="Q322" s="265"/>
      <c r="V322" s="266"/>
      <c r="W322" s="266"/>
      <c r="X322" s="266"/>
    </row>
    <row r="323" spans="2:24" s="267" customFormat="1" outlineLevel="2">
      <c r="B323" s="263" t="s">
        <v>134</v>
      </c>
      <c r="C323" s="263" t="s">
        <v>562</v>
      </c>
      <c r="D323" s="261" t="s">
        <v>259</v>
      </c>
      <c r="E323" s="262" t="s">
        <v>580</v>
      </c>
      <c r="F323" s="262"/>
      <c r="G323" s="263" t="s">
        <v>487</v>
      </c>
      <c r="H323" s="263" t="str">
        <f>CONCATENATE("AR-",G323,"-",I323)</f>
        <v>AR-SDV-2</v>
      </c>
      <c r="I323" s="264">
        <v>2</v>
      </c>
      <c r="J323" s="265">
        <v>1</v>
      </c>
      <c r="K323" s="266"/>
      <c r="L323" s="265"/>
      <c r="M323" s="265"/>
      <c r="N323" s="265"/>
      <c r="O323" s="265"/>
      <c r="P323" s="265"/>
      <c r="Q323" s="265"/>
      <c r="V323" s="266"/>
      <c r="W323" s="266"/>
      <c r="X323" s="266"/>
    </row>
    <row r="324" spans="2:24" s="267" customFormat="1" ht="3" customHeight="1" outlineLevel="2">
      <c r="B324" s="288"/>
      <c r="C324" s="263"/>
      <c r="D324" s="311"/>
      <c r="E324" s="262"/>
      <c r="F324" s="262"/>
      <c r="G324" s="263"/>
      <c r="H324" s="263"/>
      <c r="I324" s="264"/>
      <c r="J324" s="265"/>
      <c r="K324" s="266"/>
      <c r="L324" s="265"/>
      <c r="M324" s="265"/>
      <c r="N324" s="265"/>
      <c r="O324" s="265"/>
      <c r="P324" s="265"/>
      <c r="Q324" s="265"/>
      <c r="V324" s="266"/>
      <c r="W324" s="266"/>
      <c r="X324" s="266"/>
    </row>
    <row r="325" spans="2:24" s="267" customFormat="1" ht="14.25" customHeight="1" outlineLevel="2">
      <c r="B325" s="271" t="s">
        <v>581</v>
      </c>
      <c r="C325" s="273"/>
      <c r="D325" s="274"/>
      <c r="E325" s="275"/>
      <c r="F325" s="275"/>
      <c r="G325" s="263"/>
      <c r="H325" s="263"/>
      <c r="I325" s="264"/>
      <c r="J325" s="265"/>
      <c r="K325" s="266"/>
      <c r="L325" s="265"/>
      <c r="M325" s="265"/>
      <c r="N325" s="265"/>
      <c r="O325" s="265"/>
      <c r="P325" s="265"/>
      <c r="Q325" s="265"/>
      <c r="V325" s="266"/>
      <c r="W325" s="266"/>
      <c r="X325" s="266"/>
    </row>
    <row r="326" spans="2:24" s="267" customFormat="1" outlineLevel="2">
      <c r="B326" s="263" t="s">
        <v>134</v>
      </c>
      <c r="C326" s="263" t="s">
        <v>562</v>
      </c>
      <c r="D326" s="261" t="s">
        <v>264</v>
      </c>
      <c r="E326" s="262" t="s">
        <v>582</v>
      </c>
      <c r="F326" s="262"/>
      <c r="G326" s="263" t="s">
        <v>487</v>
      </c>
      <c r="H326" s="263" t="str">
        <f>CONCATENATE("AR-",G326,"-",I326)</f>
        <v>AR-SDV-2</v>
      </c>
      <c r="I326" s="264">
        <v>2</v>
      </c>
      <c r="J326" s="265">
        <v>1</v>
      </c>
      <c r="K326" s="266"/>
      <c r="L326" s="265"/>
      <c r="M326" s="265"/>
      <c r="N326" s="265"/>
      <c r="O326" s="265"/>
      <c r="P326" s="265"/>
      <c r="Q326" s="265"/>
      <c r="V326" s="266"/>
      <c r="W326" s="266"/>
      <c r="X326" s="266"/>
    </row>
    <row r="327" spans="2:24" s="267" customFormat="1" outlineLevel="2">
      <c r="B327" s="263" t="s">
        <v>134</v>
      </c>
      <c r="C327" s="263" t="s">
        <v>562</v>
      </c>
      <c r="D327" s="261" t="s">
        <v>266</v>
      </c>
      <c r="E327" s="262" t="s">
        <v>582</v>
      </c>
      <c r="F327" s="262"/>
      <c r="G327" s="263" t="s">
        <v>487</v>
      </c>
      <c r="H327" s="263" t="str">
        <f>CONCATENATE("AR-",G327,"-",I327)</f>
        <v>AR-SDV-2</v>
      </c>
      <c r="I327" s="264">
        <v>2</v>
      </c>
      <c r="J327" s="265">
        <v>1</v>
      </c>
      <c r="K327" s="266"/>
      <c r="L327" s="265"/>
      <c r="M327" s="265"/>
      <c r="N327" s="265"/>
      <c r="O327" s="265"/>
      <c r="P327" s="265"/>
      <c r="Q327" s="265"/>
      <c r="V327" s="266"/>
      <c r="W327" s="266"/>
      <c r="X327" s="266"/>
    </row>
    <row r="328" spans="2:24" s="267" customFormat="1" ht="3" customHeight="1" outlineLevel="2">
      <c r="B328" s="288"/>
      <c r="C328" s="263"/>
      <c r="D328" s="311"/>
      <c r="E328" s="262"/>
      <c r="F328" s="262"/>
      <c r="G328" s="263"/>
      <c r="H328" s="263"/>
      <c r="I328" s="264"/>
      <c r="J328" s="265"/>
      <c r="K328" s="266"/>
      <c r="L328" s="265"/>
      <c r="M328" s="265"/>
      <c r="N328" s="265"/>
      <c r="O328" s="265"/>
      <c r="P328" s="265"/>
      <c r="Q328" s="265"/>
      <c r="V328" s="266"/>
      <c r="W328" s="266"/>
      <c r="X328" s="266"/>
    </row>
    <row r="329" spans="2:24" s="267" customFormat="1" outlineLevel="2">
      <c r="B329" s="271" t="s">
        <v>583</v>
      </c>
      <c r="C329" s="273"/>
      <c r="D329" s="274"/>
      <c r="E329" s="275"/>
      <c r="F329" s="275"/>
      <c r="G329" s="263"/>
      <c r="H329" s="263"/>
      <c r="I329" s="264"/>
      <c r="J329" s="265"/>
      <c r="K329" s="266"/>
      <c r="L329" s="265"/>
      <c r="M329" s="265"/>
      <c r="N329" s="265"/>
      <c r="O329" s="265"/>
      <c r="P329" s="265"/>
      <c r="Q329" s="265"/>
      <c r="V329" s="266"/>
      <c r="W329" s="266"/>
      <c r="X329" s="266"/>
    </row>
    <row r="330" spans="2:24" s="267" customFormat="1" outlineLevel="2">
      <c r="B330" s="263" t="s">
        <v>134</v>
      </c>
      <c r="C330" s="263" t="s">
        <v>562</v>
      </c>
      <c r="D330" s="311">
        <v>4401</v>
      </c>
      <c r="E330" s="284" t="s">
        <v>584</v>
      </c>
      <c r="F330" s="284"/>
      <c r="G330" s="263" t="s">
        <v>487</v>
      </c>
      <c r="H330" s="263" t="str">
        <f>CONCATENATE("AR-",G330,"-",I330)</f>
        <v>AR-SDV-2</v>
      </c>
      <c r="I330" s="264">
        <v>2</v>
      </c>
      <c r="J330" s="265">
        <v>1</v>
      </c>
      <c r="K330" s="266"/>
      <c r="L330" s="265"/>
      <c r="M330" s="265"/>
      <c r="N330" s="265"/>
      <c r="O330" s="265"/>
      <c r="P330" s="265"/>
      <c r="Q330" s="265"/>
      <c r="V330" s="266"/>
      <c r="W330" s="266"/>
      <c r="X330" s="266"/>
    </row>
    <row r="331" spans="2:24" s="267" customFormat="1" outlineLevel="2">
      <c r="B331" s="263" t="s">
        <v>134</v>
      </c>
      <c r="C331" s="263" t="s">
        <v>562</v>
      </c>
      <c r="D331" s="311">
        <v>4402</v>
      </c>
      <c r="E331" s="284" t="s">
        <v>585</v>
      </c>
      <c r="F331" s="284"/>
      <c r="G331" s="263" t="s">
        <v>487</v>
      </c>
      <c r="H331" s="263" t="str">
        <f>CONCATENATE("AR-",G331,"-",I331)</f>
        <v>AR-SDV-2</v>
      </c>
      <c r="I331" s="264">
        <v>2</v>
      </c>
      <c r="J331" s="265">
        <v>1</v>
      </c>
      <c r="K331" s="266"/>
      <c r="L331" s="265"/>
      <c r="M331" s="265"/>
      <c r="N331" s="265"/>
      <c r="O331" s="265"/>
      <c r="P331" s="265"/>
      <c r="Q331" s="265"/>
      <c r="V331" s="266"/>
      <c r="W331" s="266"/>
      <c r="X331" s="266"/>
    </row>
    <row r="332" spans="2:24" s="267" customFormat="1" ht="3" customHeight="1" outlineLevel="2">
      <c r="B332" s="288"/>
      <c r="C332" s="263"/>
      <c r="D332" s="311"/>
      <c r="E332" s="262"/>
      <c r="F332" s="262"/>
      <c r="G332" s="263"/>
      <c r="H332" s="263"/>
      <c r="I332" s="264"/>
      <c r="J332" s="265"/>
      <c r="K332" s="266"/>
      <c r="L332" s="265"/>
      <c r="M332" s="265"/>
      <c r="N332" s="265"/>
      <c r="O332" s="265"/>
      <c r="P332" s="265"/>
      <c r="Q332" s="265"/>
      <c r="V332" s="266"/>
      <c r="W332" s="266"/>
      <c r="X332" s="266"/>
    </row>
    <row r="333" spans="2:24" s="267" customFormat="1" outlineLevel="2">
      <c r="B333" s="271" t="s">
        <v>586</v>
      </c>
      <c r="C333" s="273"/>
      <c r="D333" s="274"/>
      <c r="E333" s="275"/>
      <c r="F333" s="275"/>
      <c r="G333" s="263"/>
      <c r="H333" s="263"/>
      <c r="I333" s="264"/>
      <c r="J333" s="265"/>
      <c r="K333" s="266"/>
      <c r="L333" s="265"/>
      <c r="M333" s="265"/>
      <c r="N333" s="265"/>
      <c r="O333" s="265"/>
      <c r="P333" s="265"/>
      <c r="Q333" s="265"/>
      <c r="V333" s="266"/>
      <c r="W333" s="266"/>
      <c r="X333" s="266"/>
    </row>
    <row r="334" spans="2:24" s="267" customFormat="1" outlineLevel="2">
      <c r="B334" s="263" t="s">
        <v>134</v>
      </c>
      <c r="C334" s="263" t="s">
        <v>562</v>
      </c>
      <c r="D334" s="261" t="s">
        <v>587</v>
      </c>
      <c r="E334" s="262" t="s">
        <v>588</v>
      </c>
      <c r="F334" s="262"/>
      <c r="G334" s="263" t="s">
        <v>487</v>
      </c>
      <c r="H334" s="263" t="str">
        <f>CONCATENATE("AR-",G334,"-",I334)</f>
        <v>AR-SDV-2</v>
      </c>
      <c r="I334" s="264">
        <v>2</v>
      </c>
      <c r="J334" s="265"/>
      <c r="K334" s="266"/>
      <c r="L334" s="265">
        <v>1</v>
      </c>
      <c r="M334" s="265">
        <v>1</v>
      </c>
      <c r="N334" s="265"/>
      <c r="O334" s="265"/>
      <c r="P334" s="265"/>
      <c r="Q334" s="265">
        <v>1</v>
      </c>
      <c r="T334" s="265">
        <v>1</v>
      </c>
      <c r="V334" s="266"/>
      <c r="W334" s="266"/>
      <c r="X334" s="266"/>
    </row>
    <row r="335" spans="2:24" s="267" customFormat="1" outlineLevel="2">
      <c r="B335" s="263" t="s">
        <v>134</v>
      </c>
      <c r="C335" s="263" t="s">
        <v>562</v>
      </c>
      <c r="D335" s="261" t="s">
        <v>589</v>
      </c>
      <c r="E335" s="262" t="s">
        <v>590</v>
      </c>
      <c r="F335" s="262"/>
      <c r="G335" s="263" t="s">
        <v>487</v>
      </c>
      <c r="H335" s="263" t="str">
        <f>CONCATENATE("AR-",G335,"-",I335)</f>
        <v>AR-SDV-2</v>
      </c>
      <c r="I335" s="264">
        <v>2</v>
      </c>
      <c r="J335" s="265"/>
      <c r="K335" s="266"/>
      <c r="L335" s="265">
        <v>1</v>
      </c>
      <c r="M335" s="265">
        <v>1</v>
      </c>
      <c r="N335" s="265"/>
      <c r="O335" s="265"/>
      <c r="P335" s="265"/>
      <c r="Q335" s="265">
        <v>1</v>
      </c>
      <c r="T335" s="265">
        <v>1</v>
      </c>
      <c r="V335" s="266"/>
      <c r="W335" s="266"/>
      <c r="X335" s="266"/>
    </row>
    <row r="336" spans="2:24" s="267" customFormat="1" outlineLevel="2">
      <c r="B336" s="263" t="s">
        <v>134</v>
      </c>
      <c r="C336" s="263" t="s">
        <v>562</v>
      </c>
      <c r="D336" s="261" t="s">
        <v>591</v>
      </c>
      <c r="E336" s="262" t="s">
        <v>592</v>
      </c>
      <c r="F336" s="262"/>
      <c r="G336" s="263" t="s">
        <v>487</v>
      </c>
      <c r="H336" s="263" t="str">
        <f>CONCATENATE("AR-",G336,"-",I336)</f>
        <v>AR-SDV-2</v>
      </c>
      <c r="I336" s="264">
        <v>2</v>
      </c>
      <c r="J336" s="265"/>
      <c r="K336" s="266"/>
      <c r="L336" s="265">
        <v>1</v>
      </c>
      <c r="M336" s="265">
        <v>1</v>
      </c>
      <c r="N336" s="265"/>
      <c r="O336" s="265"/>
      <c r="P336" s="265"/>
      <c r="Q336" s="265">
        <v>1</v>
      </c>
      <c r="T336" s="265">
        <v>1</v>
      </c>
      <c r="V336" s="266"/>
      <c r="W336" s="266"/>
      <c r="X336" s="266"/>
    </row>
    <row r="337" spans="1:16384" s="267" customFormat="1" outlineLevel="2">
      <c r="B337" s="263" t="s">
        <v>134</v>
      </c>
      <c r="C337" s="263" t="s">
        <v>562</v>
      </c>
      <c r="D337" s="261" t="s">
        <v>593</v>
      </c>
      <c r="E337" s="262" t="s">
        <v>594</v>
      </c>
      <c r="F337" s="262"/>
      <c r="G337" s="263" t="s">
        <v>487</v>
      </c>
      <c r="H337" s="263" t="str">
        <f>CONCATENATE("AR-",G337,"-",I337)</f>
        <v>AR-SDV-2</v>
      </c>
      <c r="I337" s="264">
        <v>2</v>
      </c>
      <c r="J337" s="265"/>
      <c r="K337" s="266"/>
      <c r="L337" s="265">
        <v>1</v>
      </c>
      <c r="M337" s="265">
        <v>1</v>
      </c>
      <c r="N337" s="265"/>
      <c r="O337" s="265"/>
      <c r="P337" s="265"/>
      <c r="Q337" s="265">
        <v>1</v>
      </c>
      <c r="T337" s="265">
        <v>1</v>
      </c>
      <c r="V337" s="266"/>
      <c r="W337" s="266"/>
      <c r="X337" s="266"/>
    </row>
    <row r="338" spans="1:16384">
      <c r="E338" s="262" t="s">
        <v>595</v>
      </c>
      <c r="G338" s="263" t="s">
        <v>487</v>
      </c>
      <c r="H338" s="263" t="str">
        <f t="shared" ref="H338:H339" si="46">CONCATENATE("AR-",G338,"-",I338)</f>
        <v>AR-SDV-2</v>
      </c>
      <c r="I338" s="264">
        <v>2</v>
      </c>
      <c r="J338" s="265"/>
      <c r="K338" s="266"/>
      <c r="L338" s="265">
        <v>1</v>
      </c>
      <c r="M338" s="265">
        <v>1</v>
      </c>
      <c r="Q338" s="265">
        <v>1</v>
      </c>
      <c r="T338" s="265">
        <v>1</v>
      </c>
    </row>
    <row r="339" spans="1:16384">
      <c r="E339" s="262" t="s">
        <v>596</v>
      </c>
      <c r="G339" s="263" t="s">
        <v>487</v>
      </c>
      <c r="H339" s="263" t="str">
        <f t="shared" si="46"/>
        <v>AR-SDV-2</v>
      </c>
      <c r="I339" s="264">
        <v>2</v>
      </c>
      <c r="J339" s="265"/>
      <c r="K339" s="266"/>
      <c r="L339" s="265">
        <v>1</v>
      </c>
      <c r="M339" s="265">
        <v>1</v>
      </c>
      <c r="Q339" s="265">
        <v>1</v>
      </c>
      <c r="T339" s="265">
        <v>1</v>
      </c>
    </row>
    <row r="340" spans="1:16384">
      <c r="B340" s="263" t="s">
        <v>134</v>
      </c>
      <c r="C340" s="263" t="s">
        <v>562</v>
      </c>
      <c r="D340" s="311">
        <v>4103</v>
      </c>
      <c r="E340" s="262" t="s">
        <v>597</v>
      </c>
      <c r="G340" s="263" t="s">
        <v>487</v>
      </c>
      <c r="H340" s="263" t="str">
        <f t="shared" ref="H340" si="47">CONCATENATE("AR-",G340,"-",I340)</f>
        <v>AR-SDV-2</v>
      </c>
      <c r="I340" s="264">
        <v>2</v>
      </c>
      <c r="L340" s="313">
        <v>1</v>
      </c>
      <c r="M340" s="313">
        <v>1</v>
      </c>
      <c r="Q340" s="313">
        <v>1</v>
      </c>
      <c r="T340" s="265">
        <v>1</v>
      </c>
    </row>
    <row r="341" spans="1:16384" s="288" customFormat="1" ht="1.35" customHeight="1">
      <c r="A341" s="288" t="s">
        <v>598</v>
      </c>
      <c r="B341" s="288" t="s">
        <v>598</v>
      </c>
      <c r="C341" s="288" t="s">
        <v>598</v>
      </c>
      <c r="D341" s="288" t="s">
        <v>598</v>
      </c>
      <c r="E341" s="288" t="s">
        <v>598</v>
      </c>
      <c r="F341" s="288" t="s">
        <v>598</v>
      </c>
      <c r="G341" s="288" t="s">
        <v>598</v>
      </c>
      <c r="H341" s="288" t="s">
        <v>598</v>
      </c>
      <c r="I341" s="288" t="s">
        <v>598</v>
      </c>
      <c r="J341" s="288" t="s">
        <v>598</v>
      </c>
      <c r="K341" s="288" t="s">
        <v>598</v>
      </c>
      <c r="L341" s="288" t="s">
        <v>598</v>
      </c>
      <c r="M341" s="288" t="s">
        <v>598</v>
      </c>
      <c r="N341" s="288" t="s">
        <v>598</v>
      </c>
      <c r="O341" s="288" t="s">
        <v>598</v>
      </c>
      <c r="P341" s="288" t="s">
        <v>598</v>
      </c>
      <c r="Q341" s="288" t="s">
        <v>598</v>
      </c>
      <c r="R341" s="288" t="s">
        <v>598</v>
      </c>
      <c r="S341" s="288" t="s">
        <v>598</v>
      </c>
      <c r="T341" s="288" t="s">
        <v>598</v>
      </c>
      <c r="U341" s="288" t="s">
        <v>598</v>
      </c>
      <c r="Y341" s="288" t="s">
        <v>598</v>
      </c>
      <c r="Z341" s="288" t="s">
        <v>598</v>
      </c>
      <c r="AA341" s="288" t="s">
        <v>598</v>
      </c>
      <c r="AB341" s="288" t="s">
        <v>598</v>
      </c>
      <c r="AC341" s="288" t="s">
        <v>598</v>
      </c>
      <c r="AD341" s="288" t="s">
        <v>598</v>
      </c>
      <c r="AE341" s="288" t="s">
        <v>598</v>
      </c>
      <c r="AF341" s="288" t="s">
        <v>598</v>
      </c>
      <c r="AG341" s="288" t="s">
        <v>598</v>
      </c>
      <c r="AH341" s="288" t="s">
        <v>598</v>
      </c>
      <c r="AI341" s="288" t="s">
        <v>598</v>
      </c>
      <c r="AJ341" s="288" t="s">
        <v>598</v>
      </c>
      <c r="AK341" s="288" t="s">
        <v>598</v>
      </c>
      <c r="AL341" s="288" t="s">
        <v>598</v>
      </c>
      <c r="AM341" s="288" t="s">
        <v>598</v>
      </c>
      <c r="AN341" s="288" t="s">
        <v>598</v>
      </c>
      <c r="AO341" s="288" t="s">
        <v>598</v>
      </c>
      <c r="AP341" s="288" t="s">
        <v>598</v>
      </c>
      <c r="AQ341" s="288" t="s">
        <v>598</v>
      </c>
      <c r="AR341" s="288" t="s">
        <v>598</v>
      </c>
      <c r="AS341" s="288" t="s">
        <v>598</v>
      </c>
      <c r="AT341" s="288" t="s">
        <v>598</v>
      </c>
      <c r="AU341" s="288" t="s">
        <v>598</v>
      </c>
      <c r="AV341" s="288" t="s">
        <v>598</v>
      </c>
      <c r="AW341" s="288" t="s">
        <v>598</v>
      </c>
      <c r="AX341" s="288" t="s">
        <v>598</v>
      </c>
      <c r="AY341" s="288" t="s">
        <v>598</v>
      </c>
      <c r="AZ341" s="288" t="s">
        <v>598</v>
      </c>
      <c r="BA341" s="288" t="s">
        <v>598</v>
      </c>
      <c r="BB341" s="288" t="s">
        <v>598</v>
      </c>
      <c r="BC341" s="288" t="s">
        <v>598</v>
      </c>
      <c r="BD341" s="288" t="s">
        <v>598</v>
      </c>
      <c r="BE341" s="288" t="s">
        <v>598</v>
      </c>
      <c r="BF341" s="288" t="s">
        <v>598</v>
      </c>
      <c r="BG341" s="288" t="s">
        <v>598</v>
      </c>
      <c r="BH341" s="288" t="s">
        <v>598</v>
      </c>
      <c r="BI341" s="288" t="s">
        <v>598</v>
      </c>
      <c r="BJ341" s="288" t="s">
        <v>598</v>
      </c>
      <c r="BK341" s="288" t="s">
        <v>598</v>
      </c>
      <c r="BL341" s="288" t="s">
        <v>598</v>
      </c>
      <c r="BM341" s="288" t="s">
        <v>598</v>
      </c>
      <c r="BN341" s="288" t="s">
        <v>598</v>
      </c>
      <c r="BO341" s="288" t="s">
        <v>598</v>
      </c>
      <c r="BP341" s="288" t="s">
        <v>598</v>
      </c>
      <c r="BQ341" s="288" t="s">
        <v>598</v>
      </c>
      <c r="BR341" s="288" t="s">
        <v>598</v>
      </c>
      <c r="BS341" s="288" t="s">
        <v>598</v>
      </c>
      <c r="BT341" s="288" t="s">
        <v>598</v>
      </c>
      <c r="BU341" s="288" t="s">
        <v>598</v>
      </c>
      <c r="BV341" s="288" t="s">
        <v>598</v>
      </c>
      <c r="BW341" s="288" t="s">
        <v>598</v>
      </c>
      <c r="BX341" s="288" t="s">
        <v>598</v>
      </c>
      <c r="BY341" s="288" t="s">
        <v>598</v>
      </c>
      <c r="BZ341" s="288" t="s">
        <v>598</v>
      </c>
      <c r="CA341" s="288" t="s">
        <v>598</v>
      </c>
      <c r="CB341" s="288" t="s">
        <v>598</v>
      </c>
      <c r="CC341" s="288" t="s">
        <v>598</v>
      </c>
      <c r="CD341" s="288" t="s">
        <v>598</v>
      </c>
      <c r="CE341" s="288" t="s">
        <v>598</v>
      </c>
      <c r="CF341" s="288" t="s">
        <v>598</v>
      </c>
      <c r="CG341" s="288" t="s">
        <v>598</v>
      </c>
      <c r="CH341" s="288" t="s">
        <v>598</v>
      </c>
      <c r="CI341" s="288" t="s">
        <v>598</v>
      </c>
      <c r="CJ341" s="288" t="s">
        <v>598</v>
      </c>
      <c r="CK341" s="288" t="s">
        <v>598</v>
      </c>
      <c r="CL341" s="288" t="s">
        <v>598</v>
      </c>
      <c r="CM341" s="288" t="s">
        <v>598</v>
      </c>
      <c r="CN341" s="288" t="s">
        <v>598</v>
      </c>
      <c r="CO341" s="288" t="s">
        <v>598</v>
      </c>
      <c r="CP341" s="288" t="s">
        <v>598</v>
      </c>
      <c r="CQ341" s="288" t="s">
        <v>598</v>
      </c>
      <c r="CR341" s="288" t="s">
        <v>598</v>
      </c>
      <c r="CS341" s="288" t="s">
        <v>598</v>
      </c>
      <c r="CT341" s="288" t="s">
        <v>598</v>
      </c>
      <c r="CU341" s="288" t="s">
        <v>598</v>
      </c>
      <c r="CV341" s="288" t="s">
        <v>598</v>
      </c>
      <c r="CW341" s="288" t="s">
        <v>598</v>
      </c>
      <c r="CX341" s="288" t="s">
        <v>598</v>
      </c>
      <c r="CY341" s="288" t="s">
        <v>598</v>
      </c>
      <c r="CZ341" s="288" t="s">
        <v>598</v>
      </c>
      <c r="DA341" s="288" t="s">
        <v>598</v>
      </c>
      <c r="DB341" s="288" t="s">
        <v>598</v>
      </c>
      <c r="DC341" s="288" t="s">
        <v>598</v>
      </c>
      <c r="DD341" s="288" t="s">
        <v>598</v>
      </c>
      <c r="DE341" s="288" t="s">
        <v>598</v>
      </c>
      <c r="DF341" s="288" t="s">
        <v>598</v>
      </c>
      <c r="DG341" s="288" t="s">
        <v>598</v>
      </c>
      <c r="DH341" s="288" t="s">
        <v>598</v>
      </c>
      <c r="DI341" s="288" t="s">
        <v>598</v>
      </c>
      <c r="DJ341" s="288" t="s">
        <v>598</v>
      </c>
      <c r="DK341" s="288" t="s">
        <v>598</v>
      </c>
      <c r="DL341" s="288" t="s">
        <v>598</v>
      </c>
      <c r="DM341" s="288" t="s">
        <v>598</v>
      </c>
      <c r="DN341" s="288" t="s">
        <v>598</v>
      </c>
      <c r="DO341" s="288" t="s">
        <v>598</v>
      </c>
      <c r="DP341" s="288" t="s">
        <v>598</v>
      </c>
      <c r="DQ341" s="288" t="s">
        <v>598</v>
      </c>
      <c r="DR341" s="288" t="s">
        <v>598</v>
      </c>
      <c r="DS341" s="288" t="s">
        <v>598</v>
      </c>
      <c r="DT341" s="288" t="s">
        <v>598</v>
      </c>
      <c r="DU341" s="288" t="s">
        <v>598</v>
      </c>
      <c r="DV341" s="288" t="s">
        <v>598</v>
      </c>
      <c r="DW341" s="288" t="s">
        <v>598</v>
      </c>
      <c r="DX341" s="288" t="s">
        <v>598</v>
      </c>
      <c r="DY341" s="288" t="s">
        <v>598</v>
      </c>
      <c r="DZ341" s="288" t="s">
        <v>598</v>
      </c>
      <c r="EA341" s="288" t="s">
        <v>598</v>
      </c>
      <c r="EB341" s="288" t="s">
        <v>598</v>
      </c>
      <c r="EC341" s="288" t="s">
        <v>598</v>
      </c>
      <c r="ED341" s="288" t="s">
        <v>598</v>
      </c>
      <c r="EE341" s="288" t="s">
        <v>598</v>
      </c>
      <c r="EF341" s="288" t="s">
        <v>598</v>
      </c>
      <c r="EG341" s="288" t="s">
        <v>598</v>
      </c>
      <c r="EH341" s="288" t="s">
        <v>598</v>
      </c>
      <c r="EI341" s="288" t="s">
        <v>598</v>
      </c>
      <c r="EJ341" s="288" t="s">
        <v>598</v>
      </c>
      <c r="EK341" s="288" t="s">
        <v>598</v>
      </c>
      <c r="EL341" s="288" t="s">
        <v>598</v>
      </c>
      <c r="EM341" s="288" t="s">
        <v>598</v>
      </c>
      <c r="EN341" s="288" t="s">
        <v>598</v>
      </c>
      <c r="EO341" s="288" t="s">
        <v>598</v>
      </c>
      <c r="EP341" s="288" t="s">
        <v>598</v>
      </c>
      <c r="EQ341" s="288" t="s">
        <v>598</v>
      </c>
      <c r="ER341" s="288" t="s">
        <v>598</v>
      </c>
      <c r="ES341" s="288" t="s">
        <v>598</v>
      </c>
      <c r="ET341" s="288" t="s">
        <v>598</v>
      </c>
      <c r="EU341" s="288" t="s">
        <v>598</v>
      </c>
      <c r="EV341" s="288" t="s">
        <v>598</v>
      </c>
      <c r="EW341" s="288" t="s">
        <v>598</v>
      </c>
      <c r="EX341" s="288" t="s">
        <v>598</v>
      </c>
      <c r="EY341" s="288" t="s">
        <v>598</v>
      </c>
      <c r="EZ341" s="288" t="s">
        <v>598</v>
      </c>
      <c r="FA341" s="288" t="s">
        <v>598</v>
      </c>
      <c r="FB341" s="288" t="s">
        <v>598</v>
      </c>
      <c r="FC341" s="288" t="s">
        <v>598</v>
      </c>
      <c r="FD341" s="288" t="s">
        <v>598</v>
      </c>
      <c r="FE341" s="288" t="s">
        <v>598</v>
      </c>
      <c r="FF341" s="288" t="s">
        <v>598</v>
      </c>
      <c r="FG341" s="288" t="s">
        <v>598</v>
      </c>
      <c r="FH341" s="288" t="s">
        <v>598</v>
      </c>
      <c r="FI341" s="288" t="s">
        <v>598</v>
      </c>
      <c r="FJ341" s="288" t="s">
        <v>598</v>
      </c>
      <c r="FK341" s="288" t="s">
        <v>598</v>
      </c>
      <c r="FL341" s="288" t="s">
        <v>598</v>
      </c>
      <c r="FM341" s="288" t="s">
        <v>598</v>
      </c>
      <c r="FN341" s="288" t="s">
        <v>598</v>
      </c>
      <c r="FO341" s="288" t="s">
        <v>598</v>
      </c>
      <c r="FP341" s="288" t="s">
        <v>598</v>
      </c>
      <c r="FQ341" s="288" t="s">
        <v>598</v>
      </c>
      <c r="FR341" s="288" t="s">
        <v>598</v>
      </c>
      <c r="FS341" s="288" t="s">
        <v>598</v>
      </c>
      <c r="FT341" s="288" t="s">
        <v>598</v>
      </c>
      <c r="FU341" s="288" t="s">
        <v>598</v>
      </c>
      <c r="FV341" s="288" t="s">
        <v>598</v>
      </c>
      <c r="FW341" s="288" t="s">
        <v>598</v>
      </c>
      <c r="FX341" s="288" t="s">
        <v>598</v>
      </c>
      <c r="FY341" s="288" t="s">
        <v>598</v>
      </c>
      <c r="FZ341" s="288" t="s">
        <v>598</v>
      </c>
      <c r="GA341" s="288" t="s">
        <v>598</v>
      </c>
      <c r="GB341" s="288" t="s">
        <v>598</v>
      </c>
      <c r="GC341" s="288" t="s">
        <v>598</v>
      </c>
      <c r="GD341" s="288" t="s">
        <v>598</v>
      </c>
      <c r="GE341" s="288" t="s">
        <v>598</v>
      </c>
      <c r="GF341" s="288" t="s">
        <v>598</v>
      </c>
      <c r="GG341" s="288" t="s">
        <v>598</v>
      </c>
      <c r="GH341" s="288" t="s">
        <v>598</v>
      </c>
      <c r="GI341" s="288" t="s">
        <v>598</v>
      </c>
      <c r="GJ341" s="288" t="s">
        <v>598</v>
      </c>
      <c r="GK341" s="288" t="s">
        <v>598</v>
      </c>
      <c r="GL341" s="288" t="s">
        <v>598</v>
      </c>
      <c r="GM341" s="288" t="s">
        <v>598</v>
      </c>
      <c r="GN341" s="288" t="s">
        <v>598</v>
      </c>
      <c r="GO341" s="288" t="s">
        <v>598</v>
      </c>
      <c r="GP341" s="288" t="s">
        <v>598</v>
      </c>
      <c r="GQ341" s="288" t="s">
        <v>598</v>
      </c>
      <c r="GR341" s="288" t="s">
        <v>598</v>
      </c>
      <c r="GS341" s="288" t="s">
        <v>598</v>
      </c>
      <c r="GT341" s="288" t="s">
        <v>598</v>
      </c>
      <c r="GU341" s="288" t="s">
        <v>598</v>
      </c>
      <c r="GV341" s="288" t="s">
        <v>598</v>
      </c>
      <c r="GW341" s="288" t="s">
        <v>598</v>
      </c>
      <c r="GX341" s="288" t="s">
        <v>598</v>
      </c>
      <c r="GY341" s="288" t="s">
        <v>598</v>
      </c>
      <c r="GZ341" s="288" t="s">
        <v>598</v>
      </c>
      <c r="HA341" s="288" t="s">
        <v>598</v>
      </c>
      <c r="HB341" s="288" t="s">
        <v>598</v>
      </c>
      <c r="HC341" s="288" t="s">
        <v>598</v>
      </c>
      <c r="HD341" s="288" t="s">
        <v>598</v>
      </c>
      <c r="HE341" s="288" t="s">
        <v>598</v>
      </c>
      <c r="HF341" s="288" t="s">
        <v>598</v>
      </c>
      <c r="HG341" s="288" t="s">
        <v>598</v>
      </c>
      <c r="HH341" s="288" t="s">
        <v>598</v>
      </c>
      <c r="HI341" s="288" t="s">
        <v>598</v>
      </c>
      <c r="HJ341" s="288" t="s">
        <v>598</v>
      </c>
      <c r="HK341" s="288" t="s">
        <v>598</v>
      </c>
      <c r="HL341" s="288" t="s">
        <v>598</v>
      </c>
      <c r="HM341" s="288" t="s">
        <v>598</v>
      </c>
      <c r="HN341" s="288" t="s">
        <v>598</v>
      </c>
      <c r="HO341" s="288" t="s">
        <v>598</v>
      </c>
      <c r="HP341" s="288" t="s">
        <v>598</v>
      </c>
      <c r="HQ341" s="288" t="s">
        <v>598</v>
      </c>
      <c r="HR341" s="288" t="s">
        <v>598</v>
      </c>
      <c r="HS341" s="288" t="s">
        <v>598</v>
      </c>
      <c r="HT341" s="288" t="s">
        <v>598</v>
      </c>
      <c r="HU341" s="288" t="s">
        <v>598</v>
      </c>
      <c r="HV341" s="288" t="s">
        <v>598</v>
      </c>
      <c r="HW341" s="288" t="s">
        <v>598</v>
      </c>
      <c r="HX341" s="288" t="s">
        <v>598</v>
      </c>
      <c r="HY341" s="288" t="s">
        <v>598</v>
      </c>
      <c r="HZ341" s="288" t="s">
        <v>598</v>
      </c>
      <c r="IA341" s="288" t="s">
        <v>598</v>
      </c>
      <c r="IB341" s="288" t="s">
        <v>598</v>
      </c>
      <c r="IC341" s="288" t="s">
        <v>598</v>
      </c>
      <c r="ID341" s="288" t="s">
        <v>598</v>
      </c>
      <c r="IE341" s="288" t="s">
        <v>598</v>
      </c>
      <c r="IF341" s="288" t="s">
        <v>598</v>
      </c>
      <c r="IG341" s="288" t="s">
        <v>598</v>
      </c>
      <c r="IH341" s="288" t="s">
        <v>598</v>
      </c>
      <c r="II341" s="288" t="s">
        <v>598</v>
      </c>
      <c r="IJ341" s="288" t="s">
        <v>598</v>
      </c>
      <c r="IK341" s="288" t="s">
        <v>598</v>
      </c>
      <c r="IL341" s="288" t="s">
        <v>598</v>
      </c>
      <c r="IM341" s="288" t="s">
        <v>598</v>
      </c>
      <c r="IN341" s="288" t="s">
        <v>598</v>
      </c>
      <c r="IO341" s="288" t="s">
        <v>598</v>
      </c>
      <c r="IP341" s="288" t="s">
        <v>598</v>
      </c>
      <c r="IQ341" s="288" t="s">
        <v>598</v>
      </c>
      <c r="IR341" s="288" t="s">
        <v>598</v>
      </c>
      <c r="IS341" s="288" t="s">
        <v>598</v>
      </c>
      <c r="IT341" s="288" t="s">
        <v>598</v>
      </c>
      <c r="IU341" s="288" t="s">
        <v>598</v>
      </c>
      <c r="IV341" s="288" t="s">
        <v>598</v>
      </c>
      <c r="IW341" s="288" t="s">
        <v>598</v>
      </c>
      <c r="IX341" s="288" t="s">
        <v>598</v>
      </c>
      <c r="IY341" s="288" t="s">
        <v>598</v>
      </c>
      <c r="IZ341" s="288" t="s">
        <v>598</v>
      </c>
      <c r="JA341" s="288" t="s">
        <v>598</v>
      </c>
      <c r="JB341" s="288" t="s">
        <v>598</v>
      </c>
      <c r="JC341" s="288" t="s">
        <v>598</v>
      </c>
      <c r="JD341" s="288" t="s">
        <v>598</v>
      </c>
      <c r="JE341" s="288" t="s">
        <v>598</v>
      </c>
      <c r="JF341" s="288" t="s">
        <v>598</v>
      </c>
      <c r="JG341" s="288" t="s">
        <v>598</v>
      </c>
      <c r="JH341" s="288" t="s">
        <v>598</v>
      </c>
      <c r="JI341" s="288" t="s">
        <v>598</v>
      </c>
      <c r="JJ341" s="288" t="s">
        <v>598</v>
      </c>
      <c r="JK341" s="288" t="s">
        <v>598</v>
      </c>
      <c r="JL341" s="288" t="s">
        <v>598</v>
      </c>
      <c r="JM341" s="288" t="s">
        <v>598</v>
      </c>
      <c r="JN341" s="288" t="s">
        <v>598</v>
      </c>
      <c r="JO341" s="288" t="s">
        <v>598</v>
      </c>
      <c r="JP341" s="288" t="s">
        <v>598</v>
      </c>
      <c r="JQ341" s="288" t="s">
        <v>598</v>
      </c>
      <c r="JR341" s="288" t="s">
        <v>598</v>
      </c>
      <c r="JS341" s="288" t="s">
        <v>598</v>
      </c>
      <c r="JT341" s="288" t="s">
        <v>598</v>
      </c>
      <c r="JU341" s="288" t="s">
        <v>598</v>
      </c>
      <c r="JV341" s="288" t="s">
        <v>598</v>
      </c>
      <c r="JW341" s="288" t="s">
        <v>598</v>
      </c>
      <c r="JX341" s="288" t="s">
        <v>598</v>
      </c>
      <c r="JY341" s="288" t="s">
        <v>598</v>
      </c>
      <c r="JZ341" s="288" t="s">
        <v>598</v>
      </c>
      <c r="KA341" s="288" t="s">
        <v>598</v>
      </c>
      <c r="KB341" s="288" t="s">
        <v>598</v>
      </c>
      <c r="KC341" s="288" t="s">
        <v>598</v>
      </c>
      <c r="KD341" s="288" t="s">
        <v>598</v>
      </c>
      <c r="KE341" s="288" t="s">
        <v>598</v>
      </c>
      <c r="KF341" s="288" t="s">
        <v>598</v>
      </c>
      <c r="KG341" s="288" t="s">
        <v>598</v>
      </c>
      <c r="KH341" s="288" t="s">
        <v>598</v>
      </c>
      <c r="KI341" s="288" t="s">
        <v>598</v>
      </c>
      <c r="KJ341" s="288" t="s">
        <v>598</v>
      </c>
      <c r="KK341" s="288" t="s">
        <v>598</v>
      </c>
      <c r="KL341" s="288" t="s">
        <v>598</v>
      </c>
      <c r="KM341" s="288" t="s">
        <v>598</v>
      </c>
      <c r="KN341" s="288" t="s">
        <v>598</v>
      </c>
      <c r="KO341" s="288" t="s">
        <v>598</v>
      </c>
      <c r="KP341" s="288" t="s">
        <v>598</v>
      </c>
      <c r="KQ341" s="288" t="s">
        <v>598</v>
      </c>
      <c r="KR341" s="288" t="s">
        <v>598</v>
      </c>
      <c r="KS341" s="288" t="s">
        <v>598</v>
      </c>
      <c r="KT341" s="288" t="s">
        <v>598</v>
      </c>
      <c r="KU341" s="288" t="s">
        <v>598</v>
      </c>
      <c r="KV341" s="288" t="s">
        <v>598</v>
      </c>
      <c r="KW341" s="288" t="s">
        <v>598</v>
      </c>
      <c r="KX341" s="288" t="s">
        <v>598</v>
      </c>
      <c r="KY341" s="288" t="s">
        <v>598</v>
      </c>
      <c r="KZ341" s="288" t="s">
        <v>598</v>
      </c>
      <c r="LA341" s="288" t="s">
        <v>598</v>
      </c>
      <c r="LB341" s="288" t="s">
        <v>598</v>
      </c>
      <c r="LC341" s="288" t="s">
        <v>598</v>
      </c>
      <c r="LD341" s="288" t="s">
        <v>598</v>
      </c>
      <c r="LE341" s="288" t="s">
        <v>598</v>
      </c>
      <c r="LF341" s="288" t="s">
        <v>598</v>
      </c>
      <c r="LG341" s="288" t="s">
        <v>598</v>
      </c>
      <c r="LH341" s="288" t="s">
        <v>598</v>
      </c>
      <c r="LI341" s="288" t="s">
        <v>598</v>
      </c>
      <c r="LJ341" s="288" t="s">
        <v>598</v>
      </c>
      <c r="LK341" s="288" t="s">
        <v>598</v>
      </c>
      <c r="LL341" s="288" t="s">
        <v>598</v>
      </c>
      <c r="LM341" s="288" t="s">
        <v>598</v>
      </c>
      <c r="LN341" s="288" t="s">
        <v>598</v>
      </c>
      <c r="LO341" s="288" t="s">
        <v>598</v>
      </c>
      <c r="LP341" s="288" t="s">
        <v>598</v>
      </c>
      <c r="LQ341" s="288" t="s">
        <v>598</v>
      </c>
      <c r="LR341" s="288" t="s">
        <v>598</v>
      </c>
      <c r="LS341" s="288" t="s">
        <v>598</v>
      </c>
      <c r="LT341" s="288" t="s">
        <v>598</v>
      </c>
      <c r="LU341" s="288" t="s">
        <v>598</v>
      </c>
      <c r="LV341" s="288" t="s">
        <v>598</v>
      </c>
      <c r="LW341" s="288" t="s">
        <v>598</v>
      </c>
      <c r="LX341" s="288" t="s">
        <v>598</v>
      </c>
      <c r="LY341" s="288" t="s">
        <v>598</v>
      </c>
      <c r="LZ341" s="288" t="s">
        <v>598</v>
      </c>
      <c r="MA341" s="288" t="s">
        <v>598</v>
      </c>
      <c r="MB341" s="288" t="s">
        <v>598</v>
      </c>
      <c r="MC341" s="288" t="s">
        <v>598</v>
      </c>
      <c r="MD341" s="288" t="s">
        <v>598</v>
      </c>
      <c r="ME341" s="288" t="s">
        <v>598</v>
      </c>
      <c r="MF341" s="288" t="s">
        <v>598</v>
      </c>
      <c r="MG341" s="288" t="s">
        <v>598</v>
      </c>
      <c r="MH341" s="288" t="s">
        <v>598</v>
      </c>
      <c r="MI341" s="288" t="s">
        <v>598</v>
      </c>
      <c r="MJ341" s="288" t="s">
        <v>598</v>
      </c>
      <c r="MK341" s="288" t="s">
        <v>598</v>
      </c>
      <c r="ML341" s="288" t="s">
        <v>598</v>
      </c>
      <c r="MM341" s="288" t="s">
        <v>598</v>
      </c>
      <c r="MN341" s="288" t="s">
        <v>598</v>
      </c>
      <c r="MO341" s="288" t="s">
        <v>598</v>
      </c>
      <c r="MP341" s="288" t="s">
        <v>598</v>
      </c>
      <c r="MQ341" s="288" t="s">
        <v>598</v>
      </c>
      <c r="MR341" s="288" t="s">
        <v>598</v>
      </c>
      <c r="MS341" s="288" t="s">
        <v>598</v>
      </c>
      <c r="MT341" s="288" t="s">
        <v>598</v>
      </c>
      <c r="MU341" s="288" t="s">
        <v>598</v>
      </c>
      <c r="MV341" s="288" t="s">
        <v>598</v>
      </c>
      <c r="MW341" s="288" t="s">
        <v>598</v>
      </c>
      <c r="MX341" s="288" t="s">
        <v>598</v>
      </c>
      <c r="MY341" s="288" t="s">
        <v>598</v>
      </c>
      <c r="MZ341" s="288" t="s">
        <v>598</v>
      </c>
      <c r="NA341" s="288" t="s">
        <v>598</v>
      </c>
      <c r="NB341" s="288" t="s">
        <v>598</v>
      </c>
      <c r="NC341" s="288" t="s">
        <v>598</v>
      </c>
      <c r="ND341" s="288" t="s">
        <v>598</v>
      </c>
      <c r="NE341" s="288" t="s">
        <v>598</v>
      </c>
      <c r="NF341" s="288" t="s">
        <v>598</v>
      </c>
      <c r="NG341" s="288" t="s">
        <v>598</v>
      </c>
      <c r="NH341" s="288" t="s">
        <v>598</v>
      </c>
      <c r="NI341" s="288" t="s">
        <v>598</v>
      </c>
      <c r="NJ341" s="288" t="s">
        <v>598</v>
      </c>
      <c r="NK341" s="288" t="s">
        <v>598</v>
      </c>
      <c r="NL341" s="288" t="s">
        <v>598</v>
      </c>
      <c r="NM341" s="288" t="s">
        <v>598</v>
      </c>
      <c r="NN341" s="288" t="s">
        <v>598</v>
      </c>
      <c r="NO341" s="288" t="s">
        <v>598</v>
      </c>
      <c r="NP341" s="288" t="s">
        <v>598</v>
      </c>
      <c r="NQ341" s="288" t="s">
        <v>598</v>
      </c>
      <c r="NR341" s="288" t="s">
        <v>598</v>
      </c>
      <c r="NS341" s="288" t="s">
        <v>598</v>
      </c>
      <c r="NT341" s="288" t="s">
        <v>598</v>
      </c>
      <c r="NU341" s="288" t="s">
        <v>598</v>
      </c>
      <c r="NV341" s="288" t="s">
        <v>598</v>
      </c>
      <c r="NW341" s="288" t="s">
        <v>598</v>
      </c>
      <c r="NX341" s="288" t="s">
        <v>598</v>
      </c>
      <c r="NY341" s="288" t="s">
        <v>598</v>
      </c>
      <c r="NZ341" s="288" t="s">
        <v>598</v>
      </c>
      <c r="OA341" s="288" t="s">
        <v>598</v>
      </c>
      <c r="OB341" s="288" t="s">
        <v>598</v>
      </c>
      <c r="OC341" s="288" t="s">
        <v>598</v>
      </c>
      <c r="OD341" s="288" t="s">
        <v>598</v>
      </c>
      <c r="OE341" s="288" t="s">
        <v>598</v>
      </c>
      <c r="OF341" s="288" t="s">
        <v>598</v>
      </c>
      <c r="OG341" s="288" t="s">
        <v>598</v>
      </c>
      <c r="OH341" s="288" t="s">
        <v>598</v>
      </c>
      <c r="OI341" s="288" t="s">
        <v>598</v>
      </c>
      <c r="OJ341" s="288" t="s">
        <v>598</v>
      </c>
      <c r="OK341" s="288" t="s">
        <v>598</v>
      </c>
      <c r="OL341" s="288" t="s">
        <v>598</v>
      </c>
      <c r="OM341" s="288" t="s">
        <v>598</v>
      </c>
      <c r="ON341" s="288" t="s">
        <v>598</v>
      </c>
      <c r="OO341" s="288" t="s">
        <v>598</v>
      </c>
      <c r="OP341" s="288" t="s">
        <v>598</v>
      </c>
      <c r="OQ341" s="288" t="s">
        <v>598</v>
      </c>
      <c r="OR341" s="288" t="s">
        <v>598</v>
      </c>
      <c r="OS341" s="288" t="s">
        <v>598</v>
      </c>
      <c r="OT341" s="288" t="s">
        <v>598</v>
      </c>
      <c r="OU341" s="288" t="s">
        <v>598</v>
      </c>
      <c r="OV341" s="288" t="s">
        <v>598</v>
      </c>
      <c r="OW341" s="288" t="s">
        <v>598</v>
      </c>
      <c r="OX341" s="288" t="s">
        <v>598</v>
      </c>
      <c r="OY341" s="288" t="s">
        <v>598</v>
      </c>
      <c r="OZ341" s="288" t="s">
        <v>598</v>
      </c>
      <c r="PA341" s="288" t="s">
        <v>598</v>
      </c>
      <c r="PB341" s="288" t="s">
        <v>598</v>
      </c>
      <c r="PC341" s="288" t="s">
        <v>598</v>
      </c>
      <c r="PD341" s="288" t="s">
        <v>598</v>
      </c>
      <c r="PE341" s="288" t="s">
        <v>598</v>
      </c>
      <c r="PF341" s="288" t="s">
        <v>598</v>
      </c>
      <c r="PG341" s="288" t="s">
        <v>598</v>
      </c>
      <c r="PH341" s="288" t="s">
        <v>598</v>
      </c>
      <c r="PI341" s="288" t="s">
        <v>598</v>
      </c>
      <c r="PJ341" s="288" t="s">
        <v>598</v>
      </c>
      <c r="PK341" s="288" t="s">
        <v>598</v>
      </c>
      <c r="PL341" s="288" t="s">
        <v>598</v>
      </c>
      <c r="PM341" s="288" t="s">
        <v>598</v>
      </c>
      <c r="PN341" s="288" t="s">
        <v>598</v>
      </c>
      <c r="PO341" s="288" t="s">
        <v>598</v>
      </c>
      <c r="PP341" s="288" t="s">
        <v>598</v>
      </c>
      <c r="PQ341" s="288" t="s">
        <v>598</v>
      </c>
      <c r="PR341" s="288" t="s">
        <v>598</v>
      </c>
      <c r="PS341" s="288" t="s">
        <v>598</v>
      </c>
      <c r="PT341" s="288" t="s">
        <v>598</v>
      </c>
      <c r="PU341" s="288" t="s">
        <v>598</v>
      </c>
      <c r="PV341" s="288" t="s">
        <v>598</v>
      </c>
      <c r="PW341" s="288" t="s">
        <v>598</v>
      </c>
      <c r="PX341" s="288" t="s">
        <v>598</v>
      </c>
      <c r="PY341" s="288" t="s">
        <v>598</v>
      </c>
      <c r="PZ341" s="288" t="s">
        <v>598</v>
      </c>
      <c r="QA341" s="288" t="s">
        <v>598</v>
      </c>
      <c r="QB341" s="288" t="s">
        <v>598</v>
      </c>
      <c r="QC341" s="288" t="s">
        <v>598</v>
      </c>
      <c r="QD341" s="288" t="s">
        <v>598</v>
      </c>
      <c r="QE341" s="288" t="s">
        <v>598</v>
      </c>
      <c r="QF341" s="288" t="s">
        <v>598</v>
      </c>
      <c r="QG341" s="288" t="s">
        <v>598</v>
      </c>
      <c r="QH341" s="288" t="s">
        <v>598</v>
      </c>
      <c r="QI341" s="288" t="s">
        <v>598</v>
      </c>
      <c r="QJ341" s="288" t="s">
        <v>598</v>
      </c>
      <c r="QK341" s="288" t="s">
        <v>598</v>
      </c>
      <c r="QL341" s="288" t="s">
        <v>598</v>
      </c>
      <c r="QM341" s="288" t="s">
        <v>598</v>
      </c>
      <c r="QN341" s="288" t="s">
        <v>598</v>
      </c>
      <c r="QO341" s="288" t="s">
        <v>598</v>
      </c>
      <c r="QP341" s="288" t="s">
        <v>598</v>
      </c>
      <c r="QQ341" s="288" t="s">
        <v>598</v>
      </c>
      <c r="QR341" s="288" t="s">
        <v>598</v>
      </c>
      <c r="QS341" s="288" t="s">
        <v>598</v>
      </c>
      <c r="QT341" s="288" t="s">
        <v>598</v>
      </c>
      <c r="QU341" s="288" t="s">
        <v>598</v>
      </c>
      <c r="QV341" s="288" t="s">
        <v>598</v>
      </c>
      <c r="QW341" s="288" t="s">
        <v>598</v>
      </c>
      <c r="QX341" s="288" t="s">
        <v>598</v>
      </c>
      <c r="QY341" s="288" t="s">
        <v>598</v>
      </c>
      <c r="QZ341" s="288" t="s">
        <v>598</v>
      </c>
      <c r="RA341" s="288" t="s">
        <v>598</v>
      </c>
      <c r="RB341" s="288" t="s">
        <v>598</v>
      </c>
      <c r="RC341" s="288" t="s">
        <v>598</v>
      </c>
      <c r="RD341" s="288" t="s">
        <v>598</v>
      </c>
      <c r="RE341" s="288" t="s">
        <v>598</v>
      </c>
      <c r="RF341" s="288" t="s">
        <v>598</v>
      </c>
      <c r="RG341" s="288" t="s">
        <v>598</v>
      </c>
      <c r="RH341" s="288" t="s">
        <v>598</v>
      </c>
      <c r="RI341" s="288" t="s">
        <v>598</v>
      </c>
      <c r="RJ341" s="288" t="s">
        <v>598</v>
      </c>
      <c r="RK341" s="288" t="s">
        <v>598</v>
      </c>
      <c r="RL341" s="288" t="s">
        <v>598</v>
      </c>
      <c r="RM341" s="288" t="s">
        <v>598</v>
      </c>
      <c r="RN341" s="288" t="s">
        <v>598</v>
      </c>
      <c r="RO341" s="288" t="s">
        <v>598</v>
      </c>
      <c r="RP341" s="288" t="s">
        <v>598</v>
      </c>
      <c r="RQ341" s="288" t="s">
        <v>598</v>
      </c>
      <c r="RR341" s="288" t="s">
        <v>598</v>
      </c>
      <c r="RS341" s="288" t="s">
        <v>598</v>
      </c>
      <c r="RT341" s="288" t="s">
        <v>598</v>
      </c>
      <c r="RU341" s="288" t="s">
        <v>598</v>
      </c>
      <c r="RV341" s="288" t="s">
        <v>598</v>
      </c>
      <c r="RW341" s="288" t="s">
        <v>598</v>
      </c>
      <c r="RX341" s="288" t="s">
        <v>598</v>
      </c>
      <c r="RY341" s="288" t="s">
        <v>598</v>
      </c>
      <c r="RZ341" s="288" t="s">
        <v>598</v>
      </c>
      <c r="SA341" s="288" t="s">
        <v>598</v>
      </c>
      <c r="SB341" s="288" t="s">
        <v>598</v>
      </c>
      <c r="SC341" s="288" t="s">
        <v>598</v>
      </c>
      <c r="SD341" s="288" t="s">
        <v>598</v>
      </c>
      <c r="SE341" s="288" t="s">
        <v>598</v>
      </c>
      <c r="SF341" s="288" t="s">
        <v>598</v>
      </c>
      <c r="SG341" s="288" t="s">
        <v>598</v>
      </c>
      <c r="SH341" s="288" t="s">
        <v>598</v>
      </c>
      <c r="SI341" s="288" t="s">
        <v>598</v>
      </c>
      <c r="SJ341" s="288" t="s">
        <v>598</v>
      </c>
      <c r="SK341" s="288" t="s">
        <v>598</v>
      </c>
      <c r="SL341" s="288" t="s">
        <v>598</v>
      </c>
      <c r="SM341" s="288" t="s">
        <v>598</v>
      </c>
      <c r="SN341" s="288" t="s">
        <v>598</v>
      </c>
      <c r="SO341" s="288" t="s">
        <v>598</v>
      </c>
      <c r="SP341" s="288" t="s">
        <v>598</v>
      </c>
      <c r="SQ341" s="288" t="s">
        <v>598</v>
      </c>
      <c r="SR341" s="288" t="s">
        <v>598</v>
      </c>
      <c r="SS341" s="288" t="s">
        <v>598</v>
      </c>
      <c r="ST341" s="288" t="s">
        <v>598</v>
      </c>
      <c r="SU341" s="288" t="s">
        <v>598</v>
      </c>
      <c r="SV341" s="288" t="s">
        <v>598</v>
      </c>
      <c r="SW341" s="288" t="s">
        <v>598</v>
      </c>
      <c r="SX341" s="288" t="s">
        <v>598</v>
      </c>
      <c r="SY341" s="288" t="s">
        <v>598</v>
      </c>
      <c r="SZ341" s="288" t="s">
        <v>598</v>
      </c>
      <c r="TA341" s="288" t="s">
        <v>598</v>
      </c>
      <c r="TB341" s="288" t="s">
        <v>598</v>
      </c>
      <c r="TC341" s="288" t="s">
        <v>598</v>
      </c>
      <c r="TD341" s="288" t="s">
        <v>598</v>
      </c>
      <c r="TE341" s="288" t="s">
        <v>598</v>
      </c>
      <c r="TF341" s="288" t="s">
        <v>598</v>
      </c>
      <c r="TG341" s="288" t="s">
        <v>598</v>
      </c>
      <c r="TH341" s="288" t="s">
        <v>598</v>
      </c>
      <c r="TI341" s="288" t="s">
        <v>598</v>
      </c>
      <c r="TJ341" s="288" t="s">
        <v>598</v>
      </c>
      <c r="TK341" s="288" t="s">
        <v>598</v>
      </c>
      <c r="TL341" s="288" t="s">
        <v>598</v>
      </c>
      <c r="TM341" s="288" t="s">
        <v>598</v>
      </c>
      <c r="TN341" s="288" t="s">
        <v>598</v>
      </c>
      <c r="TO341" s="288" t="s">
        <v>598</v>
      </c>
      <c r="TP341" s="288" t="s">
        <v>598</v>
      </c>
      <c r="TQ341" s="288" t="s">
        <v>598</v>
      </c>
      <c r="TR341" s="288" t="s">
        <v>598</v>
      </c>
      <c r="TS341" s="288" t="s">
        <v>598</v>
      </c>
      <c r="TT341" s="288" t="s">
        <v>598</v>
      </c>
      <c r="TU341" s="288" t="s">
        <v>598</v>
      </c>
      <c r="TV341" s="288" t="s">
        <v>598</v>
      </c>
      <c r="TW341" s="288" t="s">
        <v>598</v>
      </c>
      <c r="TX341" s="288" t="s">
        <v>598</v>
      </c>
      <c r="TY341" s="288" t="s">
        <v>598</v>
      </c>
      <c r="TZ341" s="288" t="s">
        <v>598</v>
      </c>
      <c r="UA341" s="288" t="s">
        <v>598</v>
      </c>
      <c r="UB341" s="288" t="s">
        <v>598</v>
      </c>
      <c r="UC341" s="288" t="s">
        <v>598</v>
      </c>
      <c r="UD341" s="288" t="s">
        <v>598</v>
      </c>
      <c r="UE341" s="288" t="s">
        <v>598</v>
      </c>
      <c r="UF341" s="288" t="s">
        <v>598</v>
      </c>
      <c r="UG341" s="288" t="s">
        <v>598</v>
      </c>
      <c r="UH341" s="288" t="s">
        <v>598</v>
      </c>
      <c r="UI341" s="288" t="s">
        <v>598</v>
      </c>
      <c r="UJ341" s="288" t="s">
        <v>598</v>
      </c>
      <c r="UK341" s="288" t="s">
        <v>598</v>
      </c>
      <c r="UL341" s="288" t="s">
        <v>598</v>
      </c>
      <c r="UM341" s="288" t="s">
        <v>598</v>
      </c>
      <c r="UN341" s="288" t="s">
        <v>598</v>
      </c>
      <c r="UO341" s="288" t="s">
        <v>598</v>
      </c>
      <c r="UP341" s="288" t="s">
        <v>598</v>
      </c>
      <c r="UQ341" s="288" t="s">
        <v>598</v>
      </c>
      <c r="UR341" s="288" t="s">
        <v>598</v>
      </c>
      <c r="US341" s="288" t="s">
        <v>598</v>
      </c>
      <c r="UT341" s="288" t="s">
        <v>598</v>
      </c>
      <c r="UU341" s="288" t="s">
        <v>598</v>
      </c>
      <c r="UV341" s="288" t="s">
        <v>598</v>
      </c>
      <c r="UW341" s="288" t="s">
        <v>598</v>
      </c>
      <c r="UX341" s="288" t="s">
        <v>598</v>
      </c>
      <c r="UY341" s="288" t="s">
        <v>598</v>
      </c>
      <c r="UZ341" s="288" t="s">
        <v>598</v>
      </c>
      <c r="VA341" s="288" t="s">
        <v>598</v>
      </c>
      <c r="VB341" s="288" t="s">
        <v>598</v>
      </c>
      <c r="VC341" s="288" t="s">
        <v>598</v>
      </c>
      <c r="VD341" s="288" t="s">
        <v>598</v>
      </c>
      <c r="VE341" s="288" t="s">
        <v>598</v>
      </c>
      <c r="VF341" s="288" t="s">
        <v>598</v>
      </c>
      <c r="VG341" s="288" t="s">
        <v>598</v>
      </c>
      <c r="VH341" s="288" t="s">
        <v>598</v>
      </c>
      <c r="VI341" s="288" t="s">
        <v>598</v>
      </c>
      <c r="VJ341" s="288" t="s">
        <v>598</v>
      </c>
      <c r="VK341" s="288" t="s">
        <v>598</v>
      </c>
      <c r="VL341" s="288" t="s">
        <v>598</v>
      </c>
      <c r="VM341" s="288" t="s">
        <v>598</v>
      </c>
      <c r="VN341" s="288" t="s">
        <v>598</v>
      </c>
      <c r="VO341" s="288" t="s">
        <v>598</v>
      </c>
      <c r="VP341" s="288" t="s">
        <v>598</v>
      </c>
      <c r="VQ341" s="288" t="s">
        <v>598</v>
      </c>
      <c r="VR341" s="288" t="s">
        <v>598</v>
      </c>
      <c r="VS341" s="288" t="s">
        <v>598</v>
      </c>
      <c r="VT341" s="288" t="s">
        <v>598</v>
      </c>
      <c r="VU341" s="288" t="s">
        <v>598</v>
      </c>
      <c r="VV341" s="288" t="s">
        <v>598</v>
      </c>
      <c r="VW341" s="288" t="s">
        <v>598</v>
      </c>
      <c r="VX341" s="288" t="s">
        <v>598</v>
      </c>
      <c r="VY341" s="288" t="s">
        <v>598</v>
      </c>
      <c r="VZ341" s="288" t="s">
        <v>598</v>
      </c>
      <c r="WA341" s="288" t="s">
        <v>598</v>
      </c>
      <c r="WB341" s="288" t="s">
        <v>598</v>
      </c>
      <c r="WC341" s="288" t="s">
        <v>598</v>
      </c>
      <c r="WD341" s="288" t="s">
        <v>598</v>
      </c>
      <c r="WE341" s="288" t="s">
        <v>598</v>
      </c>
      <c r="WF341" s="288" t="s">
        <v>598</v>
      </c>
      <c r="WG341" s="288" t="s">
        <v>598</v>
      </c>
      <c r="WH341" s="288" t="s">
        <v>598</v>
      </c>
      <c r="WI341" s="288" t="s">
        <v>598</v>
      </c>
      <c r="WJ341" s="288" t="s">
        <v>598</v>
      </c>
      <c r="WK341" s="288" t="s">
        <v>598</v>
      </c>
      <c r="WL341" s="288" t="s">
        <v>598</v>
      </c>
      <c r="WM341" s="288" t="s">
        <v>598</v>
      </c>
      <c r="WN341" s="288" t="s">
        <v>598</v>
      </c>
      <c r="WO341" s="288" t="s">
        <v>598</v>
      </c>
      <c r="WP341" s="288" t="s">
        <v>598</v>
      </c>
      <c r="WQ341" s="288" t="s">
        <v>598</v>
      </c>
      <c r="WR341" s="288" t="s">
        <v>598</v>
      </c>
      <c r="WS341" s="288" t="s">
        <v>598</v>
      </c>
      <c r="WT341" s="288" t="s">
        <v>598</v>
      </c>
      <c r="WU341" s="288" t="s">
        <v>598</v>
      </c>
      <c r="WV341" s="288" t="s">
        <v>598</v>
      </c>
      <c r="WW341" s="288" t="s">
        <v>598</v>
      </c>
      <c r="WX341" s="288" t="s">
        <v>598</v>
      </c>
      <c r="WY341" s="288" t="s">
        <v>598</v>
      </c>
      <c r="WZ341" s="288" t="s">
        <v>598</v>
      </c>
      <c r="XA341" s="288" t="s">
        <v>598</v>
      </c>
      <c r="XB341" s="288" t="s">
        <v>598</v>
      </c>
      <c r="XC341" s="288" t="s">
        <v>598</v>
      </c>
      <c r="XD341" s="288" t="s">
        <v>598</v>
      </c>
      <c r="XE341" s="288" t="s">
        <v>598</v>
      </c>
      <c r="XF341" s="288" t="s">
        <v>598</v>
      </c>
      <c r="XG341" s="288" t="s">
        <v>598</v>
      </c>
      <c r="XH341" s="288" t="s">
        <v>598</v>
      </c>
      <c r="XI341" s="288" t="s">
        <v>598</v>
      </c>
      <c r="XJ341" s="288" t="s">
        <v>598</v>
      </c>
      <c r="XK341" s="288" t="s">
        <v>598</v>
      </c>
      <c r="XL341" s="288" t="s">
        <v>598</v>
      </c>
      <c r="XM341" s="288" t="s">
        <v>598</v>
      </c>
      <c r="XN341" s="288" t="s">
        <v>598</v>
      </c>
      <c r="XO341" s="288" t="s">
        <v>598</v>
      </c>
      <c r="XP341" s="288" t="s">
        <v>598</v>
      </c>
      <c r="XQ341" s="288" t="s">
        <v>598</v>
      </c>
      <c r="XR341" s="288" t="s">
        <v>598</v>
      </c>
      <c r="XS341" s="288" t="s">
        <v>598</v>
      </c>
      <c r="XT341" s="288" t="s">
        <v>598</v>
      </c>
      <c r="XU341" s="288" t="s">
        <v>598</v>
      </c>
      <c r="XV341" s="288" t="s">
        <v>598</v>
      </c>
      <c r="XW341" s="288" t="s">
        <v>598</v>
      </c>
      <c r="XX341" s="288" t="s">
        <v>598</v>
      </c>
      <c r="XY341" s="288" t="s">
        <v>598</v>
      </c>
      <c r="XZ341" s="288" t="s">
        <v>598</v>
      </c>
      <c r="YA341" s="288" t="s">
        <v>598</v>
      </c>
      <c r="YB341" s="288" t="s">
        <v>598</v>
      </c>
      <c r="YC341" s="288" t="s">
        <v>598</v>
      </c>
      <c r="YD341" s="288" t="s">
        <v>598</v>
      </c>
      <c r="YE341" s="288" t="s">
        <v>598</v>
      </c>
      <c r="YF341" s="288" t="s">
        <v>598</v>
      </c>
      <c r="YG341" s="288" t="s">
        <v>598</v>
      </c>
      <c r="YH341" s="288" t="s">
        <v>598</v>
      </c>
      <c r="YI341" s="288" t="s">
        <v>598</v>
      </c>
      <c r="YJ341" s="288" t="s">
        <v>598</v>
      </c>
      <c r="YK341" s="288" t="s">
        <v>598</v>
      </c>
      <c r="YL341" s="288" t="s">
        <v>598</v>
      </c>
      <c r="YM341" s="288" t="s">
        <v>598</v>
      </c>
      <c r="YN341" s="288" t="s">
        <v>598</v>
      </c>
      <c r="YO341" s="288" t="s">
        <v>598</v>
      </c>
      <c r="YP341" s="288" t="s">
        <v>598</v>
      </c>
      <c r="YQ341" s="288" t="s">
        <v>598</v>
      </c>
      <c r="YR341" s="288" t="s">
        <v>598</v>
      </c>
      <c r="YS341" s="288" t="s">
        <v>598</v>
      </c>
      <c r="YT341" s="288" t="s">
        <v>598</v>
      </c>
      <c r="YU341" s="288" t="s">
        <v>598</v>
      </c>
      <c r="YV341" s="288" t="s">
        <v>598</v>
      </c>
      <c r="YW341" s="288" t="s">
        <v>598</v>
      </c>
      <c r="YX341" s="288" t="s">
        <v>598</v>
      </c>
      <c r="YY341" s="288" t="s">
        <v>598</v>
      </c>
      <c r="YZ341" s="288" t="s">
        <v>598</v>
      </c>
      <c r="ZA341" s="288" t="s">
        <v>598</v>
      </c>
      <c r="ZB341" s="288" t="s">
        <v>598</v>
      </c>
      <c r="ZC341" s="288" t="s">
        <v>598</v>
      </c>
      <c r="ZD341" s="288" t="s">
        <v>598</v>
      </c>
      <c r="ZE341" s="288" t="s">
        <v>598</v>
      </c>
      <c r="ZF341" s="288" t="s">
        <v>598</v>
      </c>
      <c r="ZG341" s="288" t="s">
        <v>598</v>
      </c>
      <c r="ZH341" s="288" t="s">
        <v>598</v>
      </c>
      <c r="ZI341" s="288" t="s">
        <v>598</v>
      </c>
      <c r="ZJ341" s="288" t="s">
        <v>598</v>
      </c>
      <c r="ZK341" s="288" t="s">
        <v>598</v>
      </c>
      <c r="ZL341" s="288" t="s">
        <v>598</v>
      </c>
      <c r="ZM341" s="288" t="s">
        <v>598</v>
      </c>
      <c r="ZN341" s="288" t="s">
        <v>598</v>
      </c>
      <c r="ZO341" s="288" t="s">
        <v>598</v>
      </c>
      <c r="ZP341" s="288" t="s">
        <v>598</v>
      </c>
      <c r="ZQ341" s="288" t="s">
        <v>598</v>
      </c>
      <c r="ZR341" s="288" t="s">
        <v>598</v>
      </c>
      <c r="ZS341" s="288" t="s">
        <v>598</v>
      </c>
      <c r="ZT341" s="288" t="s">
        <v>598</v>
      </c>
      <c r="ZU341" s="288" t="s">
        <v>598</v>
      </c>
      <c r="ZV341" s="288" t="s">
        <v>598</v>
      </c>
      <c r="ZW341" s="288" t="s">
        <v>598</v>
      </c>
      <c r="ZX341" s="288" t="s">
        <v>598</v>
      </c>
      <c r="ZY341" s="288" t="s">
        <v>598</v>
      </c>
      <c r="ZZ341" s="288" t="s">
        <v>598</v>
      </c>
      <c r="AAA341" s="288" t="s">
        <v>598</v>
      </c>
      <c r="AAB341" s="288" t="s">
        <v>598</v>
      </c>
      <c r="AAC341" s="288" t="s">
        <v>598</v>
      </c>
      <c r="AAD341" s="288" t="s">
        <v>598</v>
      </c>
      <c r="AAE341" s="288" t="s">
        <v>598</v>
      </c>
      <c r="AAF341" s="288" t="s">
        <v>598</v>
      </c>
      <c r="AAG341" s="288" t="s">
        <v>598</v>
      </c>
      <c r="AAH341" s="288" t="s">
        <v>598</v>
      </c>
      <c r="AAI341" s="288" t="s">
        <v>598</v>
      </c>
      <c r="AAJ341" s="288" t="s">
        <v>598</v>
      </c>
      <c r="AAK341" s="288" t="s">
        <v>598</v>
      </c>
      <c r="AAL341" s="288" t="s">
        <v>598</v>
      </c>
      <c r="AAM341" s="288" t="s">
        <v>598</v>
      </c>
      <c r="AAN341" s="288" t="s">
        <v>598</v>
      </c>
      <c r="AAO341" s="288" t="s">
        <v>598</v>
      </c>
      <c r="AAP341" s="288" t="s">
        <v>598</v>
      </c>
      <c r="AAQ341" s="288" t="s">
        <v>598</v>
      </c>
      <c r="AAR341" s="288" t="s">
        <v>598</v>
      </c>
      <c r="AAS341" s="288" t="s">
        <v>598</v>
      </c>
      <c r="AAT341" s="288" t="s">
        <v>598</v>
      </c>
      <c r="AAU341" s="288" t="s">
        <v>598</v>
      </c>
      <c r="AAV341" s="288" t="s">
        <v>598</v>
      </c>
      <c r="AAW341" s="288" t="s">
        <v>598</v>
      </c>
      <c r="AAX341" s="288" t="s">
        <v>598</v>
      </c>
      <c r="AAY341" s="288" t="s">
        <v>598</v>
      </c>
      <c r="AAZ341" s="288" t="s">
        <v>598</v>
      </c>
      <c r="ABA341" s="288" t="s">
        <v>598</v>
      </c>
      <c r="ABB341" s="288" t="s">
        <v>598</v>
      </c>
      <c r="ABC341" s="288" t="s">
        <v>598</v>
      </c>
      <c r="ABD341" s="288" t="s">
        <v>598</v>
      </c>
      <c r="ABE341" s="288" t="s">
        <v>598</v>
      </c>
      <c r="ABF341" s="288" t="s">
        <v>598</v>
      </c>
      <c r="ABG341" s="288" t="s">
        <v>598</v>
      </c>
      <c r="ABH341" s="288" t="s">
        <v>598</v>
      </c>
      <c r="ABI341" s="288" t="s">
        <v>598</v>
      </c>
      <c r="ABJ341" s="288" t="s">
        <v>598</v>
      </c>
      <c r="ABK341" s="288" t="s">
        <v>598</v>
      </c>
      <c r="ABL341" s="288" t="s">
        <v>598</v>
      </c>
      <c r="ABM341" s="288" t="s">
        <v>598</v>
      </c>
      <c r="ABN341" s="288" t="s">
        <v>598</v>
      </c>
      <c r="ABO341" s="288" t="s">
        <v>598</v>
      </c>
      <c r="ABP341" s="288" t="s">
        <v>598</v>
      </c>
      <c r="ABQ341" s="288" t="s">
        <v>598</v>
      </c>
      <c r="ABR341" s="288" t="s">
        <v>598</v>
      </c>
      <c r="ABS341" s="288" t="s">
        <v>598</v>
      </c>
      <c r="ABT341" s="288" t="s">
        <v>598</v>
      </c>
      <c r="ABU341" s="288" t="s">
        <v>598</v>
      </c>
      <c r="ABV341" s="288" t="s">
        <v>598</v>
      </c>
      <c r="ABW341" s="288" t="s">
        <v>598</v>
      </c>
      <c r="ABX341" s="288" t="s">
        <v>598</v>
      </c>
      <c r="ABY341" s="288" t="s">
        <v>598</v>
      </c>
      <c r="ABZ341" s="288" t="s">
        <v>598</v>
      </c>
      <c r="ACA341" s="288" t="s">
        <v>598</v>
      </c>
      <c r="ACB341" s="288" t="s">
        <v>598</v>
      </c>
      <c r="ACC341" s="288" t="s">
        <v>598</v>
      </c>
      <c r="ACD341" s="288" t="s">
        <v>598</v>
      </c>
      <c r="ACE341" s="288" t="s">
        <v>598</v>
      </c>
      <c r="ACF341" s="288" t="s">
        <v>598</v>
      </c>
      <c r="ACG341" s="288" t="s">
        <v>598</v>
      </c>
      <c r="ACH341" s="288" t="s">
        <v>598</v>
      </c>
      <c r="ACI341" s="288" t="s">
        <v>598</v>
      </c>
      <c r="ACJ341" s="288" t="s">
        <v>598</v>
      </c>
      <c r="ACK341" s="288" t="s">
        <v>598</v>
      </c>
      <c r="ACL341" s="288" t="s">
        <v>598</v>
      </c>
      <c r="ACM341" s="288" t="s">
        <v>598</v>
      </c>
      <c r="ACN341" s="288" t="s">
        <v>598</v>
      </c>
      <c r="ACO341" s="288" t="s">
        <v>598</v>
      </c>
      <c r="ACP341" s="288" t="s">
        <v>598</v>
      </c>
      <c r="ACQ341" s="288" t="s">
        <v>598</v>
      </c>
      <c r="ACR341" s="288" t="s">
        <v>598</v>
      </c>
      <c r="ACS341" s="288" t="s">
        <v>598</v>
      </c>
      <c r="ACT341" s="288" t="s">
        <v>598</v>
      </c>
      <c r="ACU341" s="288" t="s">
        <v>598</v>
      </c>
      <c r="ACV341" s="288" t="s">
        <v>598</v>
      </c>
      <c r="ACW341" s="288" t="s">
        <v>598</v>
      </c>
      <c r="ACX341" s="288" t="s">
        <v>598</v>
      </c>
      <c r="ACY341" s="288" t="s">
        <v>598</v>
      </c>
      <c r="ACZ341" s="288" t="s">
        <v>598</v>
      </c>
      <c r="ADA341" s="288" t="s">
        <v>598</v>
      </c>
      <c r="ADB341" s="288" t="s">
        <v>598</v>
      </c>
      <c r="ADC341" s="288" t="s">
        <v>598</v>
      </c>
      <c r="ADD341" s="288" t="s">
        <v>598</v>
      </c>
      <c r="ADE341" s="288" t="s">
        <v>598</v>
      </c>
      <c r="ADF341" s="288" t="s">
        <v>598</v>
      </c>
      <c r="ADG341" s="288" t="s">
        <v>598</v>
      </c>
      <c r="ADH341" s="288" t="s">
        <v>598</v>
      </c>
      <c r="ADI341" s="288" t="s">
        <v>598</v>
      </c>
      <c r="ADJ341" s="288" t="s">
        <v>598</v>
      </c>
      <c r="ADK341" s="288" t="s">
        <v>598</v>
      </c>
      <c r="ADL341" s="288" t="s">
        <v>598</v>
      </c>
      <c r="ADM341" s="288" t="s">
        <v>598</v>
      </c>
      <c r="ADN341" s="288" t="s">
        <v>598</v>
      </c>
      <c r="ADO341" s="288" t="s">
        <v>598</v>
      </c>
      <c r="ADP341" s="288" t="s">
        <v>598</v>
      </c>
      <c r="ADQ341" s="288" t="s">
        <v>598</v>
      </c>
      <c r="ADR341" s="288" t="s">
        <v>598</v>
      </c>
      <c r="ADS341" s="288" t="s">
        <v>598</v>
      </c>
      <c r="ADT341" s="288" t="s">
        <v>598</v>
      </c>
      <c r="ADU341" s="288" t="s">
        <v>598</v>
      </c>
      <c r="ADV341" s="288" t="s">
        <v>598</v>
      </c>
      <c r="ADW341" s="288" t="s">
        <v>598</v>
      </c>
      <c r="ADX341" s="288" t="s">
        <v>598</v>
      </c>
      <c r="ADY341" s="288" t="s">
        <v>598</v>
      </c>
      <c r="ADZ341" s="288" t="s">
        <v>598</v>
      </c>
      <c r="AEA341" s="288" t="s">
        <v>598</v>
      </c>
      <c r="AEB341" s="288" t="s">
        <v>598</v>
      </c>
      <c r="AEC341" s="288" t="s">
        <v>598</v>
      </c>
      <c r="AED341" s="288" t="s">
        <v>598</v>
      </c>
      <c r="AEE341" s="288" t="s">
        <v>598</v>
      </c>
      <c r="AEF341" s="288" t="s">
        <v>598</v>
      </c>
      <c r="AEG341" s="288" t="s">
        <v>598</v>
      </c>
      <c r="AEH341" s="288" t="s">
        <v>598</v>
      </c>
      <c r="AEI341" s="288" t="s">
        <v>598</v>
      </c>
      <c r="AEJ341" s="288" t="s">
        <v>598</v>
      </c>
      <c r="AEK341" s="288" t="s">
        <v>598</v>
      </c>
      <c r="AEL341" s="288" t="s">
        <v>598</v>
      </c>
      <c r="AEM341" s="288" t="s">
        <v>598</v>
      </c>
      <c r="AEN341" s="288" t="s">
        <v>598</v>
      </c>
      <c r="AEO341" s="288" t="s">
        <v>598</v>
      </c>
      <c r="AEP341" s="288" t="s">
        <v>598</v>
      </c>
      <c r="AEQ341" s="288" t="s">
        <v>598</v>
      </c>
      <c r="AER341" s="288" t="s">
        <v>598</v>
      </c>
      <c r="AES341" s="288" t="s">
        <v>598</v>
      </c>
      <c r="AET341" s="288" t="s">
        <v>598</v>
      </c>
      <c r="AEU341" s="288" t="s">
        <v>598</v>
      </c>
      <c r="AEV341" s="288" t="s">
        <v>598</v>
      </c>
      <c r="AEW341" s="288" t="s">
        <v>598</v>
      </c>
      <c r="AEX341" s="288" t="s">
        <v>598</v>
      </c>
      <c r="AEY341" s="288" t="s">
        <v>598</v>
      </c>
      <c r="AEZ341" s="288" t="s">
        <v>598</v>
      </c>
      <c r="AFA341" s="288" t="s">
        <v>598</v>
      </c>
      <c r="AFB341" s="288" t="s">
        <v>598</v>
      </c>
      <c r="AFC341" s="288" t="s">
        <v>598</v>
      </c>
      <c r="AFD341" s="288" t="s">
        <v>598</v>
      </c>
      <c r="AFE341" s="288" t="s">
        <v>598</v>
      </c>
      <c r="AFF341" s="288" t="s">
        <v>598</v>
      </c>
      <c r="AFG341" s="288" t="s">
        <v>598</v>
      </c>
      <c r="AFH341" s="288" t="s">
        <v>598</v>
      </c>
      <c r="AFI341" s="288" t="s">
        <v>598</v>
      </c>
      <c r="AFJ341" s="288" t="s">
        <v>598</v>
      </c>
      <c r="AFK341" s="288" t="s">
        <v>598</v>
      </c>
      <c r="AFL341" s="288" t="s">
        <v>598</v>
      </c>
      <c r="AFM341" s="288" t="s">
        <v>598</v>
      </c>
      <c r="AFN341" s="288" t="s">
        <v>598</v>
      </c>
      <c r="AFO341" s="288" t="s">
        <v>598</v>
      </c>
      <c r="AFP341" s="288" t="s">
        <v>598</v>
      </c>
      <c r="AFQ341" s="288" t="s">
        <v>598</v>
      </c>
      <c r="AFR341" s="288" t="s">
        <v>598</v>
      </c>
      <c r="AFS341" s="288" t="s">
        <v>598</v>
      </c>
      <c r="AFT341" s="288" t="s">
        <v>598</v>
      </c>
      <c r="AFU341" s="288" t="s">
        <v>598</v>
      </c>
      <c r="AFV341" s="288" t="s">
        <v>598</v>
      </c>
      <c r="AFW341" s="288" t="s">
        <v>598</v>
      </c>
      <c r="AFX341" s="288" t="s">
        <v>598</v>
      </c>
      <c r="AFY341" s="288" t="s">
        <v>598</v>
      </c>
      <c r="AFZ341" s="288" t="s">
        <v>598</v>
      </c>
      <c r="AGA341" s="288" t="s">
        <v>598</v>
      </c>
      <c r="AGB341" s="288" t="s">
        <v>598</v>
      </c>
      <c r="AGC341" s="288" t="s">
        <v>598</v>
      </c>
      <c r="AGD341" s="288" t="s">
        <v>598</v>
      </c>
      <c r="AGE341" s="288" t="s">
        <v>598</v>
      </c>
      <c r="AGF341" s="288" t="s">
        <v>598</v>
      </c>
      <c r="AGG341" s="288" t="s">
        <v>598</v>
      </c>
      <c r="AGH341" s="288" t="s">
        <v>598</v>
      </c>
      <c r="AGI341" s="288" t="s">
        <v>598</v>
      </c>
      <c r="AGJ341" s="288" t="s">
        <v>598</v>
      </c>
      <c r="AGK341" s="288" t="s">
        <v>598</v>
      </c>
      <c r="AGL341" s="288" t="s">
        <v>598</v>
      </c>
      <c r="AGM341" s="288" t="s">
        <v>598</v>
      </c>
      <c r="AGN341" s="288" t="s">
        <v>598</v>
      </c>
      <c r="AGO341" s="288" t="s">
        <v>598</v>
      </c>
      <c r="AGP341" s="288" t="s">
        <v>598</v>
      </c>
      <c r="AGQ341" s="288" t="s">
        <v>598</v>
      </c>
      <c r="AGR341" s="288" t="s">
        <v>598</v>
      </c>
      <c r="AGS341" s="288" t="s">
        <v>598</v>
      </c>
      <c r="AGT341" s="288" t="s">
        <v>598</v>
      </c>
      <c r="AGU341" s="288" t="s">
        <v>598</v>
      </c>
      <c r="AGV341" s="288" t="s">
        <v>598</v>
      </c>
      <c r="AGW341" s="288" t="s">
        <v>598</v>
      </c>
      <c r="AGX341" s="288" t="s">
        <v>598</v>
      </c>
      <c r="AGY341" s="288" t="s">
        <v>598</v>
      </c>
      <c r="AGZ341" s="288" t="s">
        <v>598</v>
      </c>
      <c r="AHA341" s="288" t="s">
        <v>598</v>
      </c>
      <c r="AHB341" s="288" t="s">
        <v>598</v>
      </c>
      <c r="AHC341" s="288" t="s">
        <v>598</v>
      </c>
      <c r="AHD341" s="288" t="s">
        <v>598</v>
      </c>
      <c r="AHE341" s="288" t="s">
        <v>598</v>
      </c>
      <c r="AHF341" s="288" t="s">
        <v>598</v>
      </c>
      <c r="AHG341" s="288" t="s">
        <v>598</v>
      </c>
      <c r="AHH341" s="288" t="s">
        <v>598</v>
      </c>
      <c r="AHI341" s="288" t="s">
        <v>598</v>
      </c>
      <c r="AHJ341" s="288" t="s">
        <v>598</v>
      </c>
      <c r="AHK341" s="288" t="s">
        <v>598</v>
      </c>
      <c r="AHL341" s="288" t="s">
        <v>598</v>
      </c>
      <c r="AHM341" s="288" t="s">
        <v>598</v>
      </c>
      <c r="AHN341" s="288" t="s">
        <v>598</v>
      </c>
      <c r="AHO341" s="288" t="s">
        <v>598</v>
      </c>
      <c r="AHP341" s="288" t="s">
        <v>598</v>
      </c>
      <c r="AHQ341" s="288" t="s">
        <v>598</v>
      </c>
      <c r="AHR341" s="288" t="s">
        <v>598</v>
      </c>
      <c r="AHS341" s="288" t="s">
        <v>598</v>
      </c>
      <c r="AHT341" s="288" t="s">
        <v>598</v>
      </c>
      <c r="AHU341" s="288" t="s">
        <v>598</v>
      </c>
      <c r="AHV341" s="288" t="s">
        <v>598</v>
      </c>
      <c r="AHW341" s="288" t="s">
        <v>598</v>
      </c>
      <c r="AHX341" s="288" t="s">
        <v>598</v>
      </c>
      <c r="AHY341" s="288" t="s">
        <v>598</v>
      </c>
      <c r="AHZ341" s="288" t="s">
        <v>598</v>
      </c>
      <c r="AIA341" s="288" t="s">
        <v>598</v>
      </c>
      <c r="AIB341" s="288" t="s">
        <v>598</v>
      </c>
      <c r="AIC341" s="288" t="s">
        <v>598</v>
      </c>
      <c r="AID341" s="288" t="s">
        <v>598</v>
      </c>
      <c r="AIE341" s="288" t="s">
        <v>598</v>
      </c>
      <c r="AIF341" s="288" t="s">
        <v>598</v>
      </c>
      <c r="AIG341" s="288" t="s">
        <v>598</v>
      </c>
      <c r="AIH341" s="288" t="s">
        <v>598</v>
      </c>
      <c r="AII341" s="288" t="s">
        <v>598</v>
      </c>
      <c r="AIJ341" s="288" t="s">
        <v>598</v>
      </c>
      <c r="AIK341" s="288" t="s">
        <v>598</v>
      </c>
      <c r="AIL341" s="288" t="s">
        <v>598</v>
      </c>
      <c r="AIM341" s="288" t="s">
        <v>598</v>
      </c>
      <c r="AIN341" s="288" t="s">
        <v>598</v>
      </c>
      <c r="AIO341" s="288" t="s">
        <v>598</v>
      </c>
      <c r="AIP341" s="288" t="s">
        <v>598</v>
      </c>
      <c r="AIQ341" s="288" t="s">
        <v>598</v>
      </c>
      <c r="AIR341" s="288" t="s">
        <v>598</v>
      </c>
      <c r="AIS341" s="288" t="s">
        <v>598</v>
      </c>
      <c r="AIT341" s="288" t="s">
        <v>598</v>
      </c>
      <c r="AIU341" s="288" t="s">
        <v>598</v>
      </c>
      <c r="AIV341" s="288" t="s">
        <v>598</v>
      </c>
      <c r="AIW341" s="288" t="s">
        <v>598</v>
      </c>
      <c r="AIX341" s="288" t="s">
        <v>598</v>
      </c>
      <c r="AIY341" s="288" t="s">
        <v>598</v>
      </c>
      <c r="AIZ341" s="288" t="s">
        <v>598</v>
      </c>
      <c r="AJA341" s="288" t="s">
        <v>598</v>
      </c>
      <c r="AJB341" s="288" t="s">
        <v>598</v>
      </c>
      <c r="AJC341" s="288" t="s">
        <v>598</v>
      </c>
      <c r="AJD341" s="288" t="s">
        <v>598</v>
      </c>
      <c r="AJE341" s="288" t="s">
        <v>598</v>
      </c>
      <c r="AJF341" s="288" t="s">
        <v>598</v>
      </c>
      <c r="AJG341" s="288" t="s">
        <v>598</v>
      </c>
      <c r="AJH341" s="288" t="s">
        <v>598</v>
      </c>
      <c r="AJI341" s="288" t="s">
        <v>598</v>
      </c>
      <c r="AJJ341" s="288" t="s">
        <v>598</v>
      </c>
      <c r="AJK341" s="288" t="s">
        <v>598</v>
      </c>
      <c r="AJL341" s="288" t="s">
        <v>598</v>
      </c>
      <c r="AJM341" s="288" t="s">
        <v>598</v>
      </c>
      <c r="AJN341" s="288" t="s">
        <v>598</v>
      </c>
      <c r="AJO341" s="288" t="s">
        <v>598</v>
      </c>
      <c r="AJP341" s="288" t="s">
        <v>598</v>
      </c>
      <c r="AJQ341" s="288" t="s">
        <v>598</v>
      </c>
      <c r="AJR341" s="288" t="s">
        <v>598</v>
      </c>
      <c r="AJS341" s="288" t="s">
        <v>598</v>
      </c>
      <c r="AJT341" s="288" t="s">
        <v>598</v>
      </c>
      <c r="AJU341" s="288" t="s">
        <v>598</v>
      </c>
      <c r="AJV341" s="288" t="s">
        <v>598</v>
      </c>
      <c r="AJW341" s="288" t="s">
        <v>598</v>
      </c>
      <c r="AJX341" s="288" t="s">
        <v>598</v>
      </c>
      <c r="AJY341" s="288" t="s">
        <v>598</v>
      </c>
      <c r="AJZ341" s="288" t="s">
        <v>598</v>
      </c>
      <c r="AKA341" s="288" t="s">
        <v>598</v>
      </c>
      <c r="AKB341" s="288" t="s">
        <v>598</v>
      </c>
      <c r="AKC341" s="288" t="s">
        <v>598</v>
      </c>
      <c r="AKD341" s="288" t="s">
        <v>598</v>
      </c>
      <c r="AKE341" s="288" t="s">
        <v>598</v>
      </c>
      <c r="AKF341" s="288" t="s">
        <v>598</v>
      </c>
      <c r="AKG341" s="288" t="s">
        <v>598</v>
      </c>
      <c r="AKH341" s="288" t="s">
        <v>598</v>
      </c>
      <c r="AKI341" s="288" t="s">
        <v>598</v>
      </c>
      <c r="AKJ341" s="288" t="s">
        <v>598</v>
      </c>
      <c r="AKK341" s="288" t="s">
        <v>598</v>
      </c>
      <c r="AKL341" s="288" t="s">
        <v>598</v>
      </c>
      <c r="AKM341" s="288" t="s">
        <v>598</v>
      </c>
      <c r="AKN341" s="288" t="s">
        <v>598</v>
      </c>
      <c r="AKO341" s="288" t="s">
        <v>598</v>
      </c>
      <c r="AKP341" s="288" t="s">
        <v>598</v>
      </c>
      <c r="AKQ341" s="288" t="s">
        <v>598</v>
      </c>
      <c r="AKR341" s="288" t="s">
        <v>598</v>
      </c>
      <c r="AKS341" s="288" t="s">
        <v>598</v>
      </c>
      <c r="AKT341" s="288" t="s">
        <v>598</v>
      </c>
      <c r="AKU341" s="288" t="s">
        <v>598</v>
      </c>
      <c r="AKV341" s="288" t="s">
        <v>598</v>
      </c>
      <c r="AKW341" s="288" t="s">
        <v>598</v>
      </c>
      <c r="AKX341" s="288" t="s">
        <v>598</v>
      </c>
      <c r="AKY341" s="288" t="s">
        <v>598</v>
      </c>
      <c r="AKZ341" s="288" t="s">
        <v>598</v>
      </c>
      <c r="ALA341" s="288" t="s">
        <v>598</v>
      </c>
      <c r="ALB341" s="288" t="s">
        <v>598</v>
      </c>
      <c r="ALC341" s="288" t="s">
        <v>598</v>
      </c>
      <c r="ALD341" s="288" t="s">
        <v>598</v>
      </c>
      <c r="ALE341" s="288" t="s">
        <v>598</v>
      </c>
      <c r="ALF341" s="288" t="s">
        <v>598</v>
      </c>
      <c r="ALG341" s="288" t="s">
        <v>598</v>
      </c>
      <c r="ALH341" s="288" t="s">
        <v>598</v>
      </c>
      <c r="ALI341" s="288" t="s">
        <v>598</v>
      </c>
      <c r="ALJ341" s="288" t="s">
        <v>598</v>
      </c>
      <c r="ALK341" s="288" t="s">
        <v>598</v>
      </c>
      <c r="ALL341" s="288" t="s">
        <v>598</v>
      </c>
      <c r="ALM341" s="288" t="s">
        <v>598</v>
      </c>
      <c r="ALN341" s="288" t="s">
        <v>598</v>
      </c>
      <c r="ALO341" s="288" t="s">
        <v>598</v>
      </c>
      <c r="ALP341" s="288" t="s">
        <v>598</v>
      </c>
      <c r="ALQ341" s="288" t="s">
        <v>598</v>
      </c>
      <c r="ALR341" s="288" t="s">
        <v>598</v>
      </c>
      <c r="ALS341" s="288" t="s">
        <v>598</v>
      </c>
      <c r="ALT341" s="288" t="s">
        <v>598</v>
      </c>
      <c r="ALU341" s="288" t="s">
        <v>598</v>
      </c>
      <c r="ALV341" s="288" t="s">
        <v>598</v>
      </c>
      <c r="ALW341" s="288" t="s">
        <v>598</v>
      </c>
      <c r="ALX341" s="288" t="s">
        <v>598</v>
      </c>
      <c r="ALY341" s="288" t="s">
        <v>598</v>
      </c>
      <c r="ALZ341" s="288" t="s">
        <v>598</v>
      </c>
      <c r="AMA341" s="288" t="s">
        <v>598</v>
      </c>
      <c r="AMB341" s="288" t="s">
        <v>598</v>
      </c>
      <c r="AMC341" s="288" t="s">
        <v>598</v>
      </c>
      <c r="AMD341" s="288" t="s">
        <v>598</v>
      </c>
      <c r="AME341" s="288" t="s">
        <v>598</v>
      </c>
      <c r="AMF341" s="288" t="s">
        <v>598</v>
      </c>
      <c r="AMG341" s="288" t="s">
        <v>598</v>
      </c>
      <c r="AMH341" s="288" t="s">
        <v>598</v>
      </c>
      <c r="AMI341" s="288" t="s">
        <v>598</v>
      </c>
      <c r="AMJ341" s="288" t="s">
        <v>598</v>
      </c>
      <c r="AMK341" s="288" t="s">
        <v>598</v>
      </c>
      <c r="AML341" s="288" t="s">
        <v>598</v>
      </c>
      <c r="AMM341" s="288" t="s">
        <v>598</v>
      </c>
      <c r="AMN341" s="288" t="s">
        <v>598</v>
      </c>
      <c r="AMO341" s="288" t="s">
        <v>598</v>
      </c>
      <c r="AMP341" s="288" t="s">
        <v>598</v>
      </c>
      <c r="AMQ341" s="288" t="s">
        <v>598</v>
      </c>
      <c r="AMR341" s="288" t="s">
        <v>598</v>
      </c>
      <c r="AMS341" s="288" t="s">
        <v>598</v>
      </c>
      <c r="AMT341" s="288" t="s">
        <v>598</v>
      </c>
      <c r="AMU341" s="288" t="s">
        <v>598</v>
      </c>
      <c r="AMV341" s="288" t="s">
        <v>598</v>
      </c>
      <c r="AMW341" s="288" t="s">
        <v>598</v>
      </c>
      <c r="AMX341" s="288" t="s">
        <v>598</v>
      </c>
      <c r="AMY341" s="288" t="s">
        <v>598</v>
      </c>
      <c r="AMZ341" s="288" t="s">
        <v>598</v>
      </c>
      <c r="ANA341" s="288" t="s">
        <v>598</v>
      </c>
      <c r="ANB341" s="288" t="s">
        <v>598</v>
      </c>
      <c r="ANC341" s="288" t="s">
        <v>598</v>
      </c>
      <c r="AND341" s="288" t="s">
        <v>598</v>
      </c>
      <c r="ANE341" s="288" t="s">
        <v>598</v>
      </c>
      <c r="ANF341" s="288" t="s">
        <v>598</v>
      </c>
      <c r="ANG341" s="288" t="s">
        <v>598</v>
      </c>
      <c r="ANH341" s="288" t="s">
        <v>598</v>
      </c>
      <c r="ANI341" s="288" t="s">
        <v>598</v>
      </c>
      <c r="ANJ341" s="288" t="s">
        <v>598</v>
      </c>
      <c r="ANK341" s="288" t="s">
        <v>598</v>
      </c>
      <c r="ANL341" s="288" t="s">
        <v>598</v>
      </c>
      <c r="ANM341" s="288" t="s">
        <v>598</v>
      </c>
      <c r="ANN341" s="288" t="s">
        <v>598</v>
      </c>
      <c r="ANO341" s="288" t="s">
        <v>598</v>
      </c>
      <c r="ANP341" s="288" t="s">
        <v>598</v>
      </c>
      <c r="ANQ341" s="288" t="s">
        <v>598</v>
      </c>
      <c r="ANR341" s="288" t="s">
        <v>598</v>
      </c>
      <c r="ANS341" s="288" t="s">
        <v>598</v>
      </c>
      <c r="ANT341" s="288" t="s">
        <v>598</v>
      </c>
      <c r="ANU341" s="288" t="s">
        <v>598</v>
      </c>
      <c r="ANV341" s="288" t="s">
        <v>598</v>
      </c>
      <c r="ANW341" s="288" t="s">
        <v>598</v>
      </c>
      <c r="ANX341" s="288" t="s">
        <v>598</v>
      </c>
      <c r="ANY341" s="288" t="s">
        <v>598</v>
      </c>
      <c r="ANZ341" s="288" t="s">
        <v>598</v>
      </c>
      <c r="AOA341" s="288" t="s">
        <v>598</v>
      </c>
      <c r="AOB341" s="288" t="s">
        <v>598</v>
      </c>
      <c r="AOC341" s="288" t="s">
        <v>598</v>
      </c>
      <c r="AOD341" s="288" t="s">
        <v>598</v>
      </c>
      <c r="AOE341" s="288" t="s">
        <v>598</v>
      </c>
      <c r="AOF341" s="288" t="s">
        <v>598</v>
      </c>
      <c r="AOG341" s="288" t="s">
        <v>598</v>
      </c>
      <c r="AOH341" s="288" t="s">
        <v>598</v>
      </c>
      <c r="AOI341" s="288" t="s">
        <v>598</v>
      </c>
      <c r="AOJ341" s="288" t="s">
        <v>598</v>
      </c>
      <c r="AOK341" s="288" t="s">
        <v>598</v>
      </c>
      <c r="AOL341" s="288" t="s">
        <v>598</v>
      </c>
      <c r="AOM341" s="288" t="s">
        <v>598</v>
      </c>
      <c r="AON341" s="288" t="s">
        <v>598</v>
      </c>
      <c r="AOO341" s="288" t="s">
        <v>598</v>
      </c>
      <c r="AOP341" s="288" t="s">
        <v>598</v>
      </c>
      <c r="AOQ341" s="288" t="s">
        <v>598</v>
      </c>
      <c r="AOR341" s="288" t="s">
        <v>598</v>
      </c>
      <c r="AOS341" s="288" t="s">
        <v>598</v>
      </c>
      <c r="AOT341" s="288" t="s">
        <v>598</v>
      </c>
      <c r="AOU341" s="288" t="s">
        <v>598</v>
      </c>
      <c r="AOV341" s="288" t="s">
        <v>598</v>
      </c>
      <c r="AOW341" s="288" t="s">
        <v>598</v>
      </c>
      <c r="AOX341" s="288" t="s">
        <v>598</v>
      </c>
      <c r="AOY341" s="288" t="s">
        <v>598</v>
      </c>
      <c r="AOZ341" s="288" t="s">
        <v>598</v>
      </c>
      <c r="APA341" s="288" t="s">
        <v>598</v>
      </c>
      <c r="APB341" s="288" t="s">
        <v>598</v>
      </c>
      <c r="APC341" s="288" t="s">
        <v>598</v>
      </c>
      <c r="APD341" s="288" t="s">
        <v>598</v>
      </c>
      <c r="APE341" s="288" t="s">
        <v>598</v>
      </c>
      <c r="APF341" s="288" t="s">
        <v>598</v>
      </c>
      <c r="APG341" s="288" t="s">
        <v>598</v>
      </c>
      <c r="APH341" s="288" t="s">
        <v>598</v>
      </c>
      <c r="API341" s="288" t="s">
        <v>598</v>
      </c>
      <c r="APJ341" s="288" t="s">
        <v>598</v>
      </c>
      <c r="APK341" s="288" t="s">
        <v>598</v>
      </c>
      <c r="APL341" s="288" t="s">
        <v>598</v>
      </c>
      <c r="APM341" s="288" t="s">
        <v>598</v>
      </c>
      <c r="APN341" s="288" t="s">
        <v>598</v>
      </c>
      <c r="APO341" s="288" t="s">
        <v>598</v>
      </c>
      <c r="APP341" s="288" t="s">
        <v>598</v>
      </c>
      <c r="APQ341" s="288" t="s">
        <v>598</v>
      </c>
      <c r="APR341" s="288" t="s">
        <v>598</v>
      </c>
      <c r="APS341" s="288" t="s">
        <v>598</v>
      </c>
      <c r="APT341" s="288" t="s">
        <v>598</v>
      </c>
      <c r="APU341" s="288" t="s">
        <v>598</v>
      </c>
      <c r="APV341" s="288" t="s">
        <v>598</v>
      </c>
      <c r="APW341" s="288" t="s">
        <v>598</v>
      </c>
      <c r="APX341" s="288" t="s">
        <v>598</v>
      </c>
      <c r="APY341" s="288" t="s">
        <v>598</v>
      </c>
      <c r="APZ341" s="288" t="s">
        <v>598</v>
      </c>
      <c r="AQA341" s="288" t="s">
        <v>598</v>
      </c>
      <c r="AQB341" s="288" t="s">
        <v>598</v>
      </c>
      <c r="AQC341" s="288" t="s">
        <v>598</v>
      </c>
      <c r="AQD341" s="288" t="s">
        <v>598</v>
      </c>
      <c r="AQE341" s="288" t="s">
        <v>598</v>
      </c>
      <c r="AQF341" s="288" t="s">
        <v>598</v>
      </c>
      <c r="AQG341" s="288" t="s">
        <v>598</v>
      </c>
      <c r="AQH341" s="288" t="s">
        <v>598</v>
      </c>
      <c r="AQI341" s="288" t="s">
        <v>598</v>
      </c>
      <c r="AQJ341" s="288" t="s">
        <v>598</v>
      </c>
      <c r="AQK341" s="288" t="s">
        <v>598</v>
      </c>
      <c r="AQL341" s="288" t="s">
        <v>598</v>
      </c>
      <c r="AQM341" s="288" t="s">
        <v>598</v>
      </c>
      <c r="AQN341" s="288" t="s">
        <v>598</v>
      </c>
      <c r="AQO341" s="288" t="s">
        <v>598</v>
      </c>
      <c r="AQP341" s="288" t="s">
        <v>598</v>
      </c>
      <c r="AQQ341" s="288" t="s">
        <v>598</v>
      </c>
      <c r="AQR341" s="288" t="s">
        <v>598</v>
      </c>
      <c r="AQS341" s="288" t="s">
        <v>598</v>
      </c>
      <c r="AQT341" s="288" t="s">
        <v>598</v>
      </c>
      <c r="AQU341" s="288" t="s">
        <v>598</v>
      </c>
      <c r="AQV341" s="288" t="s">
        <v>598</v>
      </c>
      <c r="AQW341" s="288" t="s">
        <v>598</v>
      </c>
      <c r="AQX341" s="288" t="s">
        <v>598</v>
      </c>
      <c r="AQY341" s="288" t="s">
        <v>598</v>
      </c>
      <c r="AQZ341" s="288" t="s">
        <v>598</v>
      </c>
      <c r="ARA341" s="288" t="s">
        <v>598</v>
      </c>
      <c r="ARB341" s="288" t="s">
        <v>598</v>
      </c>
      <c r="ARC341" s="288" t="s">
        <v>598</v>
      </c>
      <c r="ARD341" s="288" t="s">
        <v>598</v>
      </c>
      <c r="ARE341" s="288" t="s">
        <v>598</v>
      </c>
      <c r="ARF341" s="288" t="s">
        <v>598</v>
      </c>
      <c r="ARG341" s="288" t="s">
        <v>598</v>
      </c>
      <c r="ARH341" s="288" t="s">
        <v>598</v>
      </c>
      <c r="ARI341" s="288" t="s">
        <v>598</v>
      </c>
      <c r="ARJ341" s="288" t="s">
        <v>598</v>
      </c>
      <c r="ARK341" s="288" t="s">
        <v>598</v>
      </c>
      <c r="ARL341" s="288" t="s">
        <v>598</v>
      </c>
      <c r="ARM341" s="288" t="s">
        <v>598</v>
      </c>
      <c r="ARN341" s="288" t="s">
        <v>598</v>
      </c>
      <c r="ARO341" s="288" t="s">
        <v>598</v>
      </c>
      <c r="ARP341" s="288" t="s">
        <v>598</v>
      </c>
      <c r="ARQ341" s="288" t="s">
        <v>598</v>
      </c>
      <c r="ARR341" s="288" t="s">
        <v>598</v>
      </c>
      <c r="ARS341" s="288" t="s">
        <v>598</v>
      </c>
      <c r="ART341" s="288" t="s">
        <v>598</v>
      </c>
      <c r="ARU341" s="288" t="s">
        <v>598</v>
      </c>
      <c r="ARV341" s="288" t="s">
        <v>598</v>
      </c>
      <c r="ARW341" s="288" t="s">
        <v>598</v>
      </c>
      <c r="ARX341" s="288" t="s">
        <v>598</v>
      </c>
      <c r="ARY341" s="288" t="s">
        <v>598</v>
      </c>
      <c r="ARZ341" s="288" t="s">
        <v>598</v>
      </c>
      <c r="ASA341" s="288" t="s">
        <v>598</v>
      </c>
      <c r="ASB341" s="288" t="s">
        <v>598</v>
      </c>
      <c r="ASC341" s="288" t="s">
        <v>598</v>
      </c>
      <c r="ASD341" s="288" t="s">
        <v>598</v>
      </c>
      <c r="ASE341" s="288" t="s">
        <v>598</v>
      </c>
      <c r="ASF341" s="288" t="s">
        <v>598</v>
      </c>
      <c r="ASG341" s="288" t="s">
        <v>598</v>
      </c>
      <c r="ASH341" s="288" t="s">
        <v>598</v>
      </c>
      <c r="ASI341" s="288" t="s">
        <v>598</v>
      </c>
      <c r="ASJ341" s="288" t="s">
        <v>598</v>
      </c>
      <c r="ASK341" s="288" t="s">
        <v>598</v>
      </c>
      <c r="ASL341" s="288" t="s">
        <v>598</v>
      </c>
      <c r="ASM341" s="288" t="s">
        <v>598</v>
      </c>
      <c r="ASN341" s="288" t="s">
        <v>598</v>
      </c>
      <c r="ASO341" s="288" t="s">
        <v>598</v>
      </c>
      <c r="ASP341" s="288" t="s">
        <v>598</v>
      </c>
      <c r="ASQ341" s="288" t="s">
        <v>598</v>
      </c>
      <c r="ASR341" s="288" t="s">
        <v>598</v>
      </c>
      <c r="ASS341" s="288" t="s">
        <v>598</v>
      </c>
      <c r="AST341" s="288" t="s">
        <v>598</v>
      </c>
      <c r="ASU341" s="288" t="s">
        <v>598</v>
      </c>
      <c r="ASV341" s="288" t="s">
        <v>598</v>
      </c>
      <c r="ASW341" s="288" t="s">
        <v>598</v>
      </c>
      <c r="ASX341" s="288" t="s">
        <v>598</v>
      </c>
      <c r="ASY341" s="288" t="s">
        <v>598</v>
      </c>
      <c r="ASZ341" s="288" t="s">
        <v>598</v>
      </c>
      <c r="ATA341" s="288" t="s">
        <v>598</v>
      </c>
      <c r="ATB341" s="288" t="s">
        <v>598</v>
      </c>
      <c r="ATC341" s="288" t="s">
        <v>598</v>
      </c>
      <c r="ATD341" s="288" t="s">
        <v>598</v>
      </c>
      <c r="ATE341" s="288" t="s">
        <v>598</v>
      </c>
      <c r="ATF341" s="288" t="s">
        <v>598</v>
      </c>
      <c r="ATG341" s="288" t="s">
        <v>598</v>
      </c>
      <c r="ATH341" s="288" t="s">
        <v>598</v>
      </c>
      <c r="ATI341" s="288" t="s">
        <v>598</v>
      </c>
      <c r="ATJ341" s="288" t="s">
        <v>598</v>
      </c>
      <c r="ATK341" s="288" t="s">
        <v>598</v>
      </c>
      <c r="ATL341" s="288" t="s">
        <v>598</v>
      </c>
      <c r="ATM341" s="288" t="s">
        <v>598</v>
      </c>
      <c r="ATN341" s="288" t="s">
        <v>598</v>
      </c>
      <c r="ATO341" s="288" t="s">
        <v>598</v>
      </c>
      <c r="ATP341" s="288" t="s">
        <v>598</v>
      </c>
      <c r="ATQ341" s="288" t="s">
        <v>598</v>
      </c>
      <c r="ATR341" s="288" t="s">
        <v>598</v>
      </c>
      <c r="ATS341" s="288" t="s">
        <v>598</v>
      </c>
      <c r="ATT341" s="288" t="s">
        <v>598</v>
      </c>
      <c r="ATU341" s="288" t="s">
        <v>598</v>
      </c>
      <c r="ATV341" s="288" t="s">
        <v>598</v>
      </c>
      <c r="ATW341" s="288" t="s">
        <v>598</v>
      </c>
      <c r="ATX341" s="288" t="s">
        <v>598</v>
      </c>
      <c r="ATY341" s="288" t="s">
        <v>598</v>
      </c>
      <c r="ATZ341" s="288" t="s">
        <v>598</v>
      </c>
      <c r="AUA341" s="288" t="s">
        <v>598</v>
      </c>
      <c r="AUB341" s="288" t="s">
        <v>598</v>
      </c>
      <c r="AUC341" s="288" t="s">
        <v>598</v>
      </c>
      <c r="AUD341" s="288" t="s">
        <v>598</v>
      </c>
      <c r="AUE341" s="288" t="s">
        <v>598</v>
      </c>
      <c r="AUF341" s="288" t="s">
        <v>598</v>
      </c>
      <c r="AUG341" s="288" t="s">
        <v>598</v>
      </c>
      <c r="AUH341" s="288" t="s">
        <v>598</v>
      </c>
      <c r="AUI341" s="288" t="s">
        <v>598</v>
      </c>
      <c r="AUJ341" s="288" t="s">
        <v>598</v>
      </c>
      <c r="AUK341" s="288" t="s">
        <v>598</v>
      </c>
      <c r="AUL341" s="288" t="s">
        <v>598</v>
      </c>
      <c r="AUM341" s="288" t="s">
        <v>598</v>
      </c>
      <c r="AUN341" s="288" t="s">
        <v>598</v>
      </c>
      <c r="AUO341" s="288" t="s">
        <v>598</v>
      </c>
      <c r="AUP341" s="288" t="s">
        <v>598</v>
      </c>
      <c r="AUQ341" s="288" t="s">
        <v>598</v>
      </c>
      <c r="AUR341" s="288" t="s">
        <v>598</v>
      </c>
      <c r="AUS341" s="288" t="s">
        <v>598</v>
      </c>
      <c r="AUT341" s="288" t="s">
        <v>598</v>
      </c>
      <c r="AUU341" s="288" t="s">
        <v>598</v>
      </c>
      <c r="AUV341" s="288" t="s">
        <v>598</v>
      </c>
      <c r="AUW341" s="288" t="s">
        <v>598</v>
      </c>
      <c r="AUX341" s="288" t="s">
        <v>598</v>
      </c>
      <c r="AUY341" s="288" t="s">
        <v>598</v>
      </c>
      <c r="AUZ341" s="288" t="s">
        <v>598</v>
      </c>
      <c r="AVA341" s="288" t="s">
        <v>598</v>
      </c>
      <c r="AVB341" s="288" t="s">
        <v>598</v>
      </c>
      <c r="AVC341" s="288" t="s">
        <v>598</v>
      </c>
      <c r="AVD341" s="288" t="s">
        <v>598</v>
      </c>
      <c r="AVE341" s="288" t="s">
        <v>598</v>
      </c>
      <c r="AVF341" s="288" t="s">
        <v>598</v>
      </c>
      <c r="AVG341" s="288" t="s">
        <v>598</v>
      </c>
      <c r="AVH341" s="288" t="s">
        <v>598</v>
      </c>
      <c r="AVI341" s="288" t="s">
        <v>598</v>
      </c>
      <c r="AVJ341" s="288" t="s">
        <v>598</v>
      </c>
      <c r="AVK341" s="288" t="s">
        <v>598</v>
      </c>
      <c r="AVL341" s="288" t="s">
        <v>598</v>
      </c>
      <c r="AVM341" s="288" t="s">
        <v>598</v>
      </c>
      <c r="AVN341" s="288" t="s">
        <v>598</v>
      </c>
      <c r="AVO341" s="288" t="s">
        <v>598</v>
      </c>
      <c r="AVP341" s="288" t="s">
        <v>598</v>
      </c>
      <c r="AVQ341" s="288" t="s">
        <v>598</v>
      </c>
      <c r="AVR341" s="288" t="s">
        <v>598</v>
      </c>
      <c r="AVS341" s="288" t="s">
        <v>598</v>
      </c>
      <c r="AVT341" s="288" t="s">
        <v>598</v>
      </c>
      <c r="AVU341" s="288" t="s">
        <v>598</v>
      </c>
      <c r="AVV341" s="288" t="s">
        <v>598</v>
      </c>
      <c r="AVW341" s="288" t="s">
        <v>598</v>
      </c>
      <c r="AVX341" s="288" t="s">
        <v>598</v>
      </c>
      <c r="AVY341" s="288" t="s">
        <v>598</v>
      </c>
      <c r="AVZ341" s="288" t="s">
        <v>598</v>
      </c>
      <c r="AWA341" s="288" t="s">
        <v>598</v>
      </c>
      <c r="AWB341" s="288" t="s">
        <v>598</v>
      </c>
      <c r="AWC341" s="288" t="s">
        <v>598</v>
      </c>
      <c r="AWD341" s="288" t="s">
        <v>598</v>
      </c>
      <c r="AWE341" s="288" t="s">
        <v>598</v>
      </c>
      <c r="AWF341" s="288" t="s">
        <v>598</v>
      </c>
      <c r="AWG341" s="288" t="s">
        <v>598</v>
      </c>
      <c r="AWH341" s="288" t="s">
        <v>598</v>
      </c>
      <c r="AWI341" s="288" t="s">
        <v>598</v>
      </c>
      <c r="AWJ341" s="288" t="s">
        <v>598</v>
      </c>
      <c r="AWK341" s="288" t="s">
        <v>598</v>
      </c>
      <c r="AWL341" s="288" t="s">
        <v>598</v>
      </c>
      <c r="AWM341" s="288" t="s">
        <v>598</v>
      </c>
      <c r="AWN341" s="288" t="s">
        <v>598</v>
      </c>
      <c r="AWO341" s="288" t="s">
        <v>598</v>
      </c>
      <c r="AWP341" s="288" t="s">
        <v>598</v>
      </c>
      <c r="AWQ341" s="288" t="s">
        <v>598</v>
      </c>
      <c r="AWR341" s="288" t="s">
        <v>598</v>
      </c>
      <c r="AWS341" s="288" t="s">
        <v>598</v>
      </c>
      <c r="AWT341" s="288" t="s">
        <v>598</v>
      </c>
      <c r="AWU341" s="288" t="s">
        <v>598</v>
      </c>
      <c r="AWV341" s="288" t="s">
        <v>598</v>
      </c>
      <c r="AWW341" s="288" t="s">
        <v>598</v>
      </c>
      <c r="AWX341" s="288" t="s">
        <v>598</v>
      </c>
      <c r="AWY341" s="288" t="s">
        <v>598</v>
      </c>
      <c r="AWZ341" s="288" t="s">
        <v>598</v>
      </c>
      <c r="AXA341" s="288" t="s">
        <v>598</v>
      </c>
      <c r="AXB341" s="288" t="s">
        <v>598</v>
      </c>
      <c r="AXC341" s="288" t="s">
        <v>598</v>
      </c>
      <c r="AXD341" s="288" t="s">
        <v>598</v>
      </c>
      <c r="AXE341" s="288" t="s">
        <v>598</v>
      </c>
      <c r="AXF341" s="288" t="s">
        <v>598</v>
      </c>
      <c r="AXG341" s="288" t="s">
        <v>598</v>
      </c>
      <c r="AXH341" s="288" t="s">
        <v>598</v>
      </c>
      <c r="AXI341" s="288" t="s">
        <v>598</v>
      </c>
      <c r="AXJ341" s="288" t="s">
        <v>598</v>
      </c>
      <c r="AXK341" s="288" t="s">
        <v>598</v>
      </c>
      <c r="AXL341" s="288" t="s">
        <v>598</v>
      </c>
      <c r="AXM341" s="288" t="s">
        <v>598</v>
      </c>
      <c r="AXN341" s="288" t="s">
        <v>598</v>
      </c>
      <c r="AXO341" s="288" t="s">
        <v>598</v>
      </c>
      <c r="AXP341" s="288" t="s">
        <v>598</v>
      </c>
      <c r="AXQ341" s="288" t="s">
        <v>598</v>
      </c>
      <c r="AXR341" s="288" t="s">
        <v>598</v>
      </c>
      <c r="AXS341" s="288" t="s">
        <v>598</v>
      </c>
      <c r="AXT341" s="288" t="s">
        <v>598</v>
      </c>
      <c r="AXU341" s="288" t="s">
        <v>598</v>
      </c>
      <c r="AXV341" s="288" t="s">
        <v>598</v>
      </c>
      <c r="AXW341" s="288" t="s">
        <v>598</v>
      </c>
      <c r="AXX341" s="288" t="s">
        <v>598</v>
      </c>
      <c r="AXY341" s="288" t="s">
        <v>598</v>
      </c>
      <c r="AXZ341" s="288" t="s">
        <v>598</v>
      </c>
      <c r="AYA341" s="288" t="s">
        <v>598</v>
      </c>
      <c r="AYB341" s="288" t="s">
        <v>598</v>
      </c>
      <c r="AYC341" s="288" t="s">
        <v>598</v>
      </c>
      <c r="AYD341" s="288" t="s">
        <v>598</v>
      </c>
      <c r="AYE341" s="288" t="s">
        <v>598</v>
      </c>
      <c r="AYF341" s="288" t="s">
        <v>598</v>
      </c>
      <c r="AYG341" s="288" t="s">
        <v>598</v>
      </c>
      <c r="AYH341" s="288" t="s">
        <v>598</v>
      </c>
      <c r="AYI341" s="288" t="s">
        <v>598</v>
      </c>
      <c r="AYJ341" s="288" t="s">
        <v>598</v>
      </c>
      <c r="AYK341" s="288" t="s">
        <v>598</v>
      </c>
      <c r="AYL341" s="288" t="s">
        <v>598</v>
      </c>
      <c r="AYM341" s="288" t="s">
        <v>598</v>
      </c>
      <c r="AYN341" s="288" t="s">
        <v>598</v>
      </c>
      <c r="AYO341" s="288" t="s">
        <v>598</v>
      </c>
      <c r="AYP341" s="288" t="s">
        <v>598</v>
      </c>
      <c r="AYQ341" s="288" t="s">
        <v>598</v>
      </c>
      <c r="AYR341" s="288" t="s">
        <v>598</v>
      </c>
      <c r="AYS341" s="288" t="s">
        <v>598</v>
      </c>
      <c r="AYT341" s="288" t="s">
        <v>598</v>
      </c>
      <c r="AYU341" s="288" t="s">
        <v>598</v>
      </c>
      <c r="AYV341" s="288" t="s">
        <v>598</v>
      </c>
      <c r="AYW341" s="288" t="s">
        <v>598</v>
      </c>
      <c r="AYX341" s="288" t="s">
        <v>598</v>
      </c>
      <c r="AYY341" s="288" t="s">
        <v>598</v>
      </c>
      <c r="AYZ341" s="288" t="s">
        <v>598</v>
      </c>
      <c r="AZA341" s="288" t="s">
        <v>598</v>
      </c>
      <c r="AZB341" s="288" t="s">
        <v>598</v>
      </c>
      <c r="AZC341" s="288" t="s">
        <v>598</v>
      </c>
      <c r="AZD341" s="288" t="s">
        <v>598</v>
      </c>
      <c r="AZE341" s="288" t="s">
        <v>598</v>
      </c>
      <c r="AZF341" s="288" t="s">
        <v>598</v>
      </c>
      <c r="AZG341" s="288" t="s">
        <v>598</v>
      </c>
      <c r="AZH341" s="288" t="s">
        <v>598</v>
      </c>
      <c r="AZI341" s="288" t="s">
        <v>598</v>
      </c>
      <c r="AZJ341" s="288" t="s">
        <v>598</v>
      </c>
      <c r="AZK341" s="288" t="s">
        <v>598</v>
      </c>
      <c r="AZL341" s="288" t="s">
        <v>598</v>
      </c>
      <c r="AZM341" s="288" t="s">
        <v>598</v>
      </c>
      <c r="AZN341" s="288" t="s">
        <v>598</v>
      </c>
      <c r="AZO341" s="288" t="s">
        <v>598</v>
      </c>
      <c r="AZP341" s="288" t="s">
        <v>598</v>
      </c>
      <c r="AZQ341" s="288" t="s">
        <v>598</v>
      </c>
      <c r="AZR341" s="288" t="s">
        <v>598</v>
      </c>
      <c r="AZS341" s="288" t="s">
        <v>598</v>
      </c>
      <c r="AZT341" s="288" t="s">
        <v>598</v>
      </c>
      <c r="AZU341" s="288" t="s">
        <v>598</v>
      </c>
      <c r="AZV341" s="288" t="s">
        <v>598</v>
      </c>
      <c r="AZW341" s="288" t="s">
        <v>598</v>
      </c>
      <c r="AZX341" s="288" t="s">
        <v>598</v>
      </c>
      <c r="AZY341" s="288" t="s">
        <v>598</v>
      </c>
      <c r="AZZ341" s="288" t="s">
        <v>598</v>
      </c>
      <c r="BAA341" s="288" t="s">
        <v>598</v>
      </c>
      <c r="BAB341" s="288" t="s">
        <v>598</v>
      </c>
      <c r="BAC341" s="288" t="s">
        <v>598</v>
      </c>
      <c r="BAD341" s="288" t="s">
        <v>598</v>
      </c>
      <c r="BAE341" s="288" t="s">
        <v>598</v>
      </c>
      <c r="BAF341" s="288" t="s">
        <v>598</v>
      </c>
      <c r="BAG341" s="288" t="s">
        <v>598</v>
      </c>
      <c r="BAH341" s="288" t="s">
        <v>598</v>
      </c>
      <c r="BAI341" s="288" t="s">
        <v>598</v>
      </c>
      <c r="BAJ341" s="288" t="s">
        <v>598</v>
      </c>
      <c r="BAK341" s="288" t="s">
        <v>598</v>
      </c>
      <c r="BAL341" s="288" t="s">
        <v>598</v>
      </c>
      <c r="BAM341" s="288" t="s">
        <v>598</v>
      </c>
      <c r="BAN341" s="288" t="s">
        <v>598</v>
      </c>
      <c r="BAO341" s="288" t="s">
        <v>598</v>
      </c>
      <c r="BAP341" s="288" t="s">
        <v>598</v>
      </c>
      <c r="BAQ341" s="288" t="s">
        <v>598</v>
      </c>
      <c r="BAR341" s="288" t="s">
        <v>598</v>
      </c>
      <c r="BAS341" s="288" t="s">
        <v>598</v>
      </c>
      <c r="BAT341" s="288" t="s">
        <v>598</v>
      </c>
      <c r="BAU341" s="288" t="s">
        <v>598</v>
      </c>
      <c r="BAV341" s="288" t="s">
        <v>598</v>
      </c>
      <c r="BAW341" s="288" t="s">
        <v>598</v>
      </c>
      <c r="BAX341" s="288" t="s">
        <v>598</v>
      </c>
      <c r="BAY341" s="288" t="s">
        <v>598</v>
      </c>
      <c r="BAZ341" s="288" t="s">
        <v>598</v>
      </c>
      <c r="BBA341" s="288" t="s">
        <v>598</v>
      </c>
      <c r="BBB341" s="288" t="s">
        <v>598</v>
      </c>
      <c r="BBC341" s="288" t="s">
        <v>598</v>
      </c>
      <c r="BBD341" s="288" t="s">
        <v>598</v>
      </c>
      <c r="BBE341" s="288" t="s">
        <v>598</v>
      </c>
      <c r="BBF341" s="288" t="s">
        <v>598</v>
      </c>
      <c r="BBG341" s="288" t="s">
        <v>598</v>
      </c>
      <c r="BBH341" s="288" t="s">
        <v>598</v>
      </c>
      <c r="BBI341" s="288" t="s">
        <v>598</v>
      </c>
      <c r="BBJ341" s="288" t="s">
        <v>598</v>
      </c>
      <c r="BBK341" s="288" t="s">
        <v>598</v>
      </c>
      <c r="BBL341" s="288" t="s">
        <v>598</v>
      </c>
      <c r="BBM341" s="288" t="s">
        <v>598</v>
      </c>
      <c r="BBN341" s="288" t="s">
        <v>598</v>
      </c>
      <c r="BBO341" s="288" t="s">
        <v>598</v>
      </c>
      <c r="BBP341" s="288" t="s">
        <v>598</v>
      </c>
      <c r="BBQ341" s="288" t="s">
        <v>598</v>
      </c>
      <c r="BBR341" s="288" t="s">
        <v>598</v>
      </c>
      <c r="BBS341" s="288" t="s">
        <v>598</v>
      </c>
      <c r="BBT341" s="288" t="s">
        <v>598</v>
      </c>
      <c r="BBU341" s="288" t="s">
        <v>598</v>
      </c>
      <c r="BBV341" s="288" t="s">
        <v>598</v>
      </c>
      <c r="BBW341" s="288" t="s">
        <v>598</v>
      </c>
      <c r="BBX341" s="288" t="s">
        <v>598</v>
      </c>
      <c r="BBY341" s="288" t="s">
        <v>598</v>
      </c>
      <c r="BBZ341" s="288" t="s">
        <v>598</v>
      </c>
      <c r="BCA341" s="288" t="s">
        <v>598</v>
      </c>
      <c r="BCB341" s="288" t="s">
        <v>598</v>
      </c>
      <c r="BCC341" s="288" t="s">
        <v>598</v>
      </c>
      <c r="BCD341" s="288" t="s">
        <v>598</v>
      </c>
      <c r="BCE341" s="288" t="s">
        <v>598</v>
      </c>
      <c r="BCF341" s="288" t="s">
        <v>598</v>
      </c>
      <c r="BCG341" s="288" t="s">
        <v>598</v>
      </c>
      <c r="BCH341" s="288" t="s">
        <v>598</v>
      </c>
      <c r="BCI341" s="288" t="s">
        <v>598</v>
      </c>
      <c r="BCJ341" s="288" t="s">
        <v>598</v>
      </c>
      <c r="BCK341" s="288" t="s">
        <v>598</v>
      </c>
      <c r="BCL341" s="288" t="s">
        <v>598</v>
      </c>
      <c r="BCM341" s="288" t="s">
        <v>598</v>
      </c>
      <c r="BCN341" s="288" t="s">
        <v>598</v>
      </c>
      <c r="BCO341" s="288" t="s">
        <v>598</v>
      </c>
      <c r="BCP341" s="288" t="s">
        <v>598</v>
      </c>
      <c r="BCQ341" s="288" t="s">
        <v>598</v>
      </c>
      <c r="BCR341" s="288" t="s">
        <v>598</v>
      </c>
      <c r="BCS341" s="288" t="s">
        <v>598</v>
      </c>
      <c r="BCT341" s="288" t="s">
        <v>598</v>
      </c>
      <c r="BCU341" s="288" t="s">
        <v>598</v>
      </c>
      <c r="BCV341" s="288" t="s">
        <v>598</v>
      </c>
      <c r="BCW341" s="288" t="s">
        <v>598</v>
      </c>
      <c r="BCX341" s="288" t="s">
        <v>598</v>
      </c>
      <c r="BCY341" s="288" t="s">
        <v>598</v>
      </c>
      <c r="BCZ341" s="288" t="s">
        <v>598</v>
      </c>
      <c r="BDA341" s="288" t="s">
        <v>598</v>
      </c>
      <c r="BDB341" s="288" t="s">
        <v>598</v>
      </c>
      <c r="BDC341" s="288" t="s">
        <v>598</v>
      </c>
      <c r="BDD341" s="288" t="s">
        <v>598</v>
      </c>
      <c r="BDE341" s="288" t="s">
        <v>598</v>
      </c>
      <c r="BDF341" s="288" t="s">
        <v>598</v>
      </c>
      <c r="BDG341" s="288" t="s">
        <v>598</v>
      </c>
      <c r="BDH341" s="288" t="s">
        <v>598</v>
      </c>
      <c r="BDI341" s="288" t="s">
        <v>598</v>
      </c>
      <c r="BDJ341" s="288" t="s">
        <v>598</v>
      </c>
      <c r="BDK341" s="288" t="s">
        <v>598</v>
      </c>
      <c r="BDL341" s="288" t="s">
        <v>598</v>
      </c>
      <c r="BDM341" s="288" t="s">
        <v>598</v>
      </c>
      <c r="BDN341" s="288" t="s">
        <v>598</v>
      </c>
      <c r="BDO341" s="288" t="s">
        <v>598</v>
      </c>
      <c r="BDP341" s="288" t="s">
        <v>598</v>
      </c>
      <c r="BDQ341" s="288" t="s">
        <v>598</v>
      </c>
      <c r="BDR341" s="288" t="s">
        <v>598</v>
      </c>
      <c r="BDS341" s="288" t="s">
        <v>598</v>
      </c>
      <c r="BDT341" s="288" t="s">
        <v>598</v>
      </c>
      <c r="BDU341" s="288" t="s">
        <v>598</v>
      </c>
      <c r="BDV341" s="288" t="s">
        <v>598</v>
      </c>
      <c r="BDW341" s="288" t="s">
        <v>598</v>
      </c>
      <c r="BDX341" s="288" t="s">
        <v>598</v>
      </c>
      <c r="BDY341" s="288" t="s">
        <v>598</v>
      </c>
      <c r="BDZ341" s="288" t="s">
        <v>598</v>
      </c>
      <c r="BEA341" s="288" t="s">
        <v>598</v>
      </c>
      <c r="BEB341" s="288" t="s">
        <v>598</v>
      </c>
      <c r="BEC341" s="288" t="s">
        <v>598</v>
      </c>
      <c r="BED341" s="288" t="s">
        <v>598</v>
      </c>
      <c r="BEE341" s="288" t="s">
        <v>598</v>
      </c>
      <c r="BEF341" s="288" t="s">
        <v>598</v>
      </c>
      <c r="BEG341" s="288" t="s">
        <v>598</v>
      </c>
      <c r="BEH341" s="288" t="s">
        <v>598</v>
      </c>
      <c r="BEI341" s="288" t="s">
        <v>598</v>
      </c>
      <c r="BEJ341" s="288" t="s">
        <v>598</v>
      </c>
      <c r="BEK341" s="288" t="s">
        <v>598</v>
      </c>
      <c r="BEL341" s="288" t="s">
        <v>598</v>
      </c>
      <c r="BEM341" s="288" t="s">
        <v>598</v>
      </c>
      <c r="BEN341" s="288" t="s">
        <v>598</v>
      </c>
      <c r="BEO341" s="288" t="s">
        <v>598</v>
      </c>
      <c r="BEP341" s="288" t="s">
        <v>598</v>
      </c>
      <c r="BEQ341" s="288" t="s">
        <v>598</v>
      </c>
      <c r="BER341" s="288" t="s">
        <v>598</v>
      </c>
      <c r="BES341" s="288" t="s">
        <v>598</v>
      </c>
      <c r="BET341" s="288" t="s">
        <v>598</v>
      </c>
      <c r="BEU341" s="288" t="s">
        <v>598</v>
      </c>
      <c r="BEV341" s="288" t="s">
        <v>598</v>
      </c>
      <c r="BEW341" s="288" t="s">
        <v>598</v>
      </c>
      <c r="BEX341" s="288" t="s">
        <v>598</v>
      </c>
      <c r="BEY341" s="288" t="s">
        <v>598</v>
      </c>
      <c r="BEZ341" s="288" t="s">
        <v>598</v>
      </c>
      <c r="BFA341" s="288" t="s">
        <v>598</v>
      </c>
      <c r="BFB341" s="288" t="s">
        <v>598</v>
      </c>
      <c r="BFC341" s="288" t="s">
        <v>598</v>
      </c>
      <c r="BFD341" s="288" t="s">
        <v>598</v>
      </c>
      <c r="BFE341" s="288" t="s">
        <v>598</v>
      </c>
      <c r="BFF341" s="288" t="s">
        <v>598</v>
      </c>
      <c r="BFG341" s="288" t="s">
        <v>598</v>
      </c>
      <c r="BFH341" s="288" t="s">
        <v>598</v>
      </c>
      <c r="BFI341" s="288" t="s">
        <v>598</v>
      </c>
      <c r="BFJ341" s="288" t="s">
        <v>598</v>
      </c>
      <c r="BFK341" s="288" t="s">
        <v>598</v>
      </c>
      <c r="BFL341" s="288" t="s">
        <v>598</v>
      </c>
      <c r="BFM341" s="288" t="s">
        <v>598</v>
      </c>
      <c r="BFN341" s="288" t="s">
        <v>598</v>
      </c>
      <c r="BFO341" s="288" t="s">
        <v>598</v>
      </c>
      <c r="BFP341" s="288" t="s">
        <v>598</v>
      </c>
      <c r="BFQ341" s="288" t="s">
        <v>598</v>
      </c>
      <c r="BFR341" s="288" t="s">
        <v>598</v>
      </c>
      <c r="BFS341" s="288" t="s">
        <v>598</v>
      </c>
      <c r="BFT341" s="288" t="s">
        <v>598</v>
      </c>
      <c r="BFU341" s="288" t="s">
        <v>598</v>
      </c>
      <c r="BFV341" s="288" t="s">
        <v>598</v>
      </c>
      <c r="BFW341" s="288" t="s">
        <v>598</v>
      </c>
      <c r="BFX341" s="288" t="s">
        <v>598</v>
      </c>
      <c r="BFY341" s="288" t="s">
        <v>598</v>
      </c>
      <c r="BFZ341" s="288" t="s">
        <v>598</v>
      </c>
      <c r="BGA341" s="288" t="s">
        <v>598</v>
      </c>
      <c r="BGB341" s="288" t="s">
        <v>598</v>
      </c>
      <c r="BGC341" s="288" t="s">
        <v>598</v>
      </c>
      <c r="BGD341" s="288" t="s">
        <v>598</v>
      </c>
      <c r="BGE341" s="288" t="s">
        <v>598</v>
      </c>
      <c r="BGF341" s="288" t="s">
        <v>598</v>
      </c>
      <c r="BGG341" s="288" t="s">
        <v>598</v>
      </c>
      <c r="BGH341" s="288" t="s">
        <v>598</v>
      </c>
      <c r="BGI341" s="288" t="s">
        <v>598</v>
      </c>
      <c r="BGJ341" s="288" t="s">
        <v>598</v>
      </c>
      <c r="BGK341" s="288" t="s">
        <v>598</v>
      </c>
      <c r="BGL341" s="288" t="s">
        <v>598</v>
      </c>
      <c r="BGM341" s="288" t="s">
        <v>598</v>
      </c>
      <c r="BGN341" s="288" t="s">
        <v>598</v>
      </c>
      <c r="BGO341" s="288" t="s">
        <v>598</v>
      </c>
      <c r="BGP341" s="288" t="s">
        <v>598</v>
      </c>
      <c r="BGQ341" s="288" t="s">
        <v>598</v>
      </c>
      <c r="BGR341" s="288" t="s">
        <v>598</v>
      </c>
      <c r="BGS341" s="288" t="s">
        <v>598</v>
      </c>
      <c r="BGT341" s="288" t="s">
        <v>598</v>
      </c>
      <c r="BGU341" s="288" t="s">
        <v>598</v>
      </c>
      <c r="BGV341" s="288" t="s">
        <v>598</v>
      </c>
      <c r="BGW341" s="288" t="s">
        <v>598</v>
      </c>
      <c r="BGX341" s="288" t="s">
        <v>598</v>
      </c>
      <c r="BGY341" s="288" t="s">
        <v>598</v>
      </c>
      <c r="BGZ341" s="288" t="s">
        <v>598</v>
      </c>
      <c r="BHA341" s="288" t="s">
        <v>598</v>
      </c>
      <c r="BHB341" s="288" t="s">
        <v>598</v>
      </c>
      <c r="BHC341" s="288" t="s">
        <v>598</v>
      </c>
      <c r="BHD341" s="288" t="s">
        <v>598</v>
      </c>
      <c r="BHE341" s="288" t="s">
        <v>598</v>
      </c>
      <c r="BHF341" s="288" t="s">
        <v>598</v>
      </c>
      <c r="BHG341" s="288" t="s">
        <v>598</v>
      </c>
      <c r="BHH341" s="288" t="s">
        <v>598</v>
      </c>
      <c r="BHI341" s="288" t="s">
        <v>598</v>
      </c>
      <c r="BHJ341" s="288" t="s">
        <v>598</v>
      </c>
      <c r="BHK341" s="288" t="s">
        <v>598</v>
      </c>
      <c r="BHL341" s="288" t="s">
        <v>598</v>
      </c>
      <c r="BHM341" s="288" t="s">
        <v>598</v>
      </c>
      <c r="BHN341" s="288" t="s">
        <v>598</v>
      </c>
      <c r="BHO341" s="288" t="s">
        <v>598</v>
      </c>
      <c r="BHP341" s="288" t="s">
        <v>598</v>
      </c>
      <c r="BHQ341" s="288" t="s">
        <v>598</v>
      </c>
      <c r="BHR341" s="288" t="s">
        <v>598</v>
      </c>
      <c r="BHS341" s="288" t="s">
        <v>598</v>
      </c>
      <c r="BHT341" s="288" t="s">
        <v>598</v>
      </c>
      <c r="BHU341" s="288" t="s">
        <v>598</v>
      </c>
      <c r="BHV341" s="288" t="s">
        <v>598</v>
      </c>
      <c r="BHW341" s="288" t="s">
        <v>598</v>
      </c>
      <c r="BHX341" s="288" t="s">
        <v>598</v>
      </c>
      <c r="BHY341" s="288" t="s">
        <v>598</v>
      </c>
      <c r="BHZ341" s="288" t="s">
        <v>598</v>
      </c>
      <c r="BIA341" s="288" t="s">
        <v>598</v>
      </c>
      <c r="BIB341" s="288" t="s">
        <v>598</v>
      </c>
      <c r="BIC341" s="288" t="s">
        <v>598</v>
      </c>
      <c r="BID341" s="288" t="s">
        <v>598</v>
      </c>
      <c r="BIE341" s="288" t="s">
        <v>598</v>
      </c>
      <c r="BIF341" s="288" t="s">
        <v>598</v>
      </c>
      <c r="BIG341" s="288" t="s">
        <v>598</v>
      </c>
      <c r="BIH341" s="288" t="s">
        <v>598</v>
      </c>
      <c r="BII341" s="288" t="s">
        <v>598</v>
      </c>
      <c r="BIJ341" s="288" t="s">
        <v>598</v>
      </c>
      <c r="BIK341" s="288" t="s">
        <v>598</v>
      </c>
      <c r="BIL341" s="288" t="s">
        <v>598</v>
      </c>
      <c r="BIM341" s="288" t="s">
        <v>598</v>
      </c>
      <c r="BIN341" s="288" t="s">
        <v>598</v>
      </c>
      <c r="BIO341" s="288" t="s">
        <v>598</v>
      </c>
      <c r="BIP341" s="288" t="s">
        <v>598</v>
      </c>
      <c r="BIQ341" s="288" t="s">
        <v>598</v>
      </c>
      <c r="BIR341" s="288" t="s">
        <v>598</v>
      </c>
      <c r="BIS341" s="288" t="s">
        <v>598</v>
      </c>
      <c r="BIT341" s="288" t="s">
        <v>598</v>
      </c>
      <c r="BIU341" s="288" t="s">
        <v>598</v>
      </c>
      <c r="BIV341" s="288" t="s">
        <v>598</v>
      </c>
      <c r="BIW341" s="288" t="s">
        <v>598</v>
      </c>
      <c r="BIX341" s="288" t="s">
        <v>598</v>
      </c>
      <c r="BIY341" s="288" t="s">
        <v>598</v>
      </c>
      <c r="BIZ341" s="288" t="s">
        <v>598</v>
      </c>
      <c r="BJA341" s="288" t="s">
        <v>598</v>
      </c>
      <c r="BJB341" s="288" t="s">
        <v>598</v>
      </c>
      <c r="BJC341" s="288" t="s">
        <v>598</v>
      </c>
      <c r="BJD341" s="288" t="s">
        <v>598</v>
      </c>
      <c r="BJE341" s="288" t="s">
        <v>598</v>
      </c>
      <c r="BJF341" s="288" t="s">
        <v>598</v>
      </c>
      <c r="BJG341" s="288" t="s">
        <v>598</v>
      </c>
      <c r="BJH341" s="288" t="s">
        <v>598</v>
      </c>
      <c r="BJI341" s="288" t="s">
        <v>598</v>
      </c>
      <c r="BJJ341" s="288" t="s">
        <v>598</v>
      </c>
      <c r="BJK341" s="288" t="s">
        <v>598</v>
      </c>
      <c r="BJL341" s="288" t="s">
        <v>598</v>
      </c>
      <c r="BJM341" s="288" t="s">
        <v>598</v>
      </c>
      <c r="BJN341" s="288" t="s">
        <v>598</v>
      </c>
      <c r="BJO341" s="288" t="s">
        <v>598</v>
      </c>
      <c r="BJP341" s="288" t="s">
        <v>598</v>
      </c>
      <c r="BJQ341" s="288" t="s">
        <v>598</v>
      </c>
      <c r="BJR341" s="288" t="s">
        <v>598</v>
      </c>
      <c r="BJS341" s="288" t="s">
        <v>598</v>
      </c>
      <c r="BJT341" s="288" t="s">
        <v>598</v>
      </c>
      <c r="BJU341" s="288" t="s">
        <v>598</v>
      </c>
      <c r="BJV341" s="288" t="s">
        <v>598</v>
      </c>
      <c r="BJW341" s="288" t="s">
        <v>598</v>
      </c>
      <c r="BJX341" s="288" t="s">
        <v>598</v>
      </c>
      <c r="BJY341" s="288" t="s">
        <v>598</v>
      </c>
      <c r="BJZ341" s="288" t="s">
        <v>598</v>
      </c>
      <c r="BKA341" s="288" t="s">
        <v>598</v>
      </c>
      <c r="BKB341" s="288" t="s">
        <v>598</v>
      </c>
      <c r="BKC341" s="288" t="s">
        <v>598</v>
      </c>
      <c r="BKD341" s="288" t="s">
        <v>598</v>
      </c>
      <c r="BKE341" s="288" t="s">
        <v>598</v>
      </c>
      <c r="BKF341" s="288" t="s">
        <v>598</v>
      </c>
      <c r="BKG341" s="288" t="s">
        <v>598</v>
      </c>
      <c r="BKH341" s="288" t="s">
        <v>598</v>
      </c>
      <c r="BKI341" s="288" t="s">
        <v>598</v>
      </c>
      <c r="BKJ341" s="288" t="s">
        <v>598</v>
      </c>
      <c r="BKK341" s="288" t="s">
        <v>598</v>
      </c>
      <c r="BKL341" s="288" t="s">
        <v>598</v>
      </c>
      <c r="BKM341" s="288" t="s">
        <v>598</v>
      </c>
      <c r="BKN341" s="288" t="s">
        <v>598</v>
      </c>
      <c r="BKO341" s="288" t="s">
        <v>598</v>
      </c>
      <c r="BKP341" s="288" t="s">
        <v>598</v>
      </c>
      <c r="BKQ341" s="288" t="s">
        <v>598</v>
      </c>
      <c r="BKR341" s="288" t="s">
        <v>598</v>
      </c>
      <c r="BKS341" s="288" t="s">
        <v>598</v>
      </c>
      <c r="BKT341" s="288" t="s">
        <v>598</v>
      </c>
      <c r="BKU341" s="288" t="s">
        <v>598</v>
      </c>
      <c r="BKV341" s="288" t="s">
        <v>598</v>
      </c>
      <c r="BKW341" s="288" t="s">
        <v>598</v>
      </c>
      <c r="BKX341" s="288" t="s">
        <v>598</v>
      </c>
      <c r="BKY341" s="288" t="s">
        <v>598</v>
      </c>
      <c r="BKZ341" s="288" t="s">
        <v>598</v>
      </c>
      <c r="BLA341" s="288" t="s">
        <v>598</v>
      </c>
      <c r="BLB341" s="288" t="s">
        <v>598</v>
      </c>
      <c r="BLC341" s="288" t="s">
        <v>598</v>
      </c>
      <c r="BLD341" s="288" t="s">
        <v>598</v>
      </c>
      <c r="BLE341" s="288" t="s">
        <v>598</v>
      </c>
      <c r="BLF341" s="288" t="s">
        <v>598</v>
      </c>
      <c r="BLG341" s="288" t="s">
        <v>598</v>
      </c>
      <c r="BLH341" s="288" t="s">
        <v>598</v>
      </c>
      <c r="BLI341" s="288" t="s">
        <v>598</v>
      </c>
      <c r="BLJ341" s="288" t="s">
        <v>598</v>
      </c>
      <c r="BLK341" s="288" t="s">
        <v>598</v>
      </c>
      <c r="BLL341" s="288" t="s">
        <v>598</v>
      </c>
      <c r="BLM341" s="288" t="s">
        <v>598</v>
      </c>
      <c r="BLN341" s="288" t="s">
        <v>598</v>
      </c>
      <c r="BLO341" s="288" t="s">
        <v>598</v>
      </c>
      <c r="BLP341" s="288" t="s">
        <v>598</v>
      </c>
      <c r="BLQ341" s="288" t="s">
        <v>598</v>
      </c>
      <c r="BLR341" s="288" t="s">
        <v>598</v>
      </c>
      <c r="BLS341" s="288" t="s">
        <v>598</v>
      </c>
      <c r="BLT341" s="288" t="s">
        <v>598</v>
      </c>
      <c r="BLU341" s="288" t="s">
        <v>598</v>
      </c>
      <c r="BLV341" s="288" t="s">
        <v>598</v>
      </c>
      <c r="BLW341" s="288" t="s">
        <v>598</v>
      </c>
      <c r="BLX341" s="288" t="s">
        <v>598</v>
      </c>
      <c r="BLY341" s="288" t="s">
        <v>598</v>
      </c>
      <c r="BLZ341" s="288" t="s">
        <v>598</v>
      </c>
      <c r="BMA341" s="288" t="s">
        <v>598</v>
      </c>
      <c r="BMB341" s="288" t="s">
        <v>598</v>
      </c>
      <c r="BMC341" s="288" t="s">
        <v>598</v>
      </c>
      <c r="BMD341" s="288" t="s">
        <v>598</v>
      </c>
      <c r="BME341" s="288" t="s">
        <v>598</v>
      </c>
      <c r="BMF341" s="288" t="s">
        <v>598</v>
      </c>
      <c r="BMG341" s="288" t="s">
        <v>598</v>
      </c>
      <c r="BMH341" s="288" t="s">
        <v>598</v>
      </c>
      <c r="BMI341" s="288" t="s">
        <v>598</v>
      </c>
      <c r="BMJ341" s="288" t="s">
        <v>598</v>
      </c>
      <c r="BMK341" s="288" t="s">
        <v>598</v>
      </c>
      <c r="BML341" s="288" t="s">
        <v>598</v>
      </c>
      <c r="BMM341" s="288" t="s">
        <v>598</v>
      </c>
      <c r="BMN341" s="288" t="s">
        <v>598</v>
      </c>
      <c r="BMO341" s="288" t="s">
        <v>598</v>
      </c>
      <c r="BMP341" s="288" t="s">
        <v>598</v>
      </c>
      <c r="BMQ341" s="288" t="s">
        <v>598</v>
      </c>
      <c r="BMR341" s="288" t="s">
        <v>598</v>
      </c>
      <c r="BMS341" s="288" t="s">
        <v>598</v>
      </c>
      <c r="BMT341" s="288" t="s">
        <v>598</v>
      </c>
      <c r="BMU341" s="288" t="s">
        <v>598</v>
      </c>
      <c r="BMV341" s="288" t="s">
        <v>598</v>
      </c>
      <c r="BMW341" s="288" t="s">
        <v>598</v>
      </c>
      <c r="BMX341" s="288" t="s">
        <v>598</v>
      </c>
      <c r="BMY341" s="288" t="s">
        <v>598</v>
      </c>
      <c r="BMZ341" s="288" t="s">
        <v>598</v>
      </c>
      <c r="BNA341" s="288" t="s">
        <v>598</v>
      </c>
      <c r="BNB341" s="288" t="s">
        <v>598</v>
      </c>
      <c r="BNC341" s="288" t="s">
        <v>598</v>
      </c>
      <c r="BND341" s="288" t="s">
        <v>598</v>
      </c>
      <c r="BNE341" s="288" t="s">
        <v>598</v>
      </c>
      <c r="BNF341" s="288" t="s">
        <v>598</v>
      </c>
      <c r="BNG341" s="288" t="s">
        <v>598</v>
      </c>
      <c r="BNH341" s="288" t="s">
        <v>598</v>
      </c>
      <c r="BNI341" s="288" t="s">
        <v>598</v>
      </c>
      <c r="BNJ341" s="288" t="s">
        <v>598</v>
      </c>
      <c r="BNK341" s="288" t="s">
        <v>598</v>
      </c>
      <c r="BNL341" s="288" t="s">
        <v>598</v>
      </c>
      <c r="BNM341" s="288" t="s">
        <v>598</v>
      </c>
      <c r="BNN341" s="288" t="s">
        <v>598</v>
      </c>
      <c r="BNO341" s="288" t="s">
        <v>598</v>
      </c>
      <c r="BNP341" s="288" t="s">
        <v>598</v>
      </c>
      <c r="BNQ341" s="288" t="s">
        <v>598</v>
      </c>
      <c r="BNR341" s="288" t="s">
        <v>598</v>
      </c>
      <c r="BNS341" s="288" t="s">
        <v>598</v>
      </c>
      <c r="BNT341" s="288" t="s">
        <v>598</v>
      </c>
      <c r="BNU341" s="288" t="s">
        <v>598</v>
      </c>
      <c r="BNV341" s="288" t="s">
        <v>598</v>
      </c>
      <c r="BNW341" s="288" t="s">
        <v>598</v>
      </c>
      <c r="BNX341" s="288" t="s">
        <v>598</v>
      </c>
      <c r="BNY341" s="288" t="s">
        <v>598</v>
      </c>
      <c r="BNZ341" s="288" t="s">
        <v>598</v>
      </c>
      <c r="BOA341" s="288" t="s">
        <v>598</v>
      </c>
      <c r="BOB341" s="288" t="s">
        <v>598</v>
      </c>
      <c r="BOC341" s="288" t="s">
        <v>598</v>
      </c>
      <c r="BOD341" s="288" t="s">
        <v>598</v>
      </c>
      <c r="BOE341" s="288" t="s">
        <v>598</v>
      </c>
      <c r="BOF341" s="288" t="s">
        <v>598</v>
      </c>
      <c r="BOG341" s="288" t="s">
        <v>598</v>
      </c>
      <c r="BOH341" s="288" t="s">
        <v>598</v>
      </c>
      <c r="BOI341" s="288" t="s">
        <v>598</v>
      </c>
      <c r="BOJ341" s="288" t="s">
        <v>598</v>
      </c>
      <c r="BOK341" s="288" t="s">
        <v>598</v>
      </c>
      <c r="BOL341" s="288" t="s">
        <v>598</v>
      </c>
      <c r="BOM341" s="288" t="s">
        <v>598</v>
      </c>
      <c r="BON341" s="288" t="s">
        <v>598</v>
      </c>
      <c r="BOO341" s="288" t="s">
        <v>598</v>
      </c>
      <c r="BOP341" s="288" t="s">
        <v>598</v>
      </c>
      <c r="BOQ341" s="288" t="s">
        <v>598</v>
      </c>
      <c r="BOR341" s="288" t="s">
        <v>598</v>
      </c>
      <c r="BOS341" s="288" t="s">
        <v>598</v>
      </c>
      <c r="BOT341" s="288" t="s">
        <v>598</v>
      </c>
      <c r="BOU341" s="288" t="s">
        <v>598</v>
      </c>
      <c r="BOV341" s="288" t="s">
        <v>598</v>
      </c>
      <c r="BOW341" s="288" t="s">
        <v>598</v>
      </c>
      <c r="BOX341" s="288" t="s">
        <v>598</v>
      </c>
      <c r="BOY341" s="288" t="s">
        <v>598</v>
      </c>
      <c r="BOZ341" s="288" t="s">
        <v>598</v>
      </c>
      <c r="BPA341" s="288" t="s">
        <v>598</v>
      </c>
      <c r="BPB341" s="288" t="s">
        <v>598</v>
      </c>
      <c r="BPC341" s="288" t="s">
        <v>598</v>
      </c>
      <c r="BPD341" s="288" t="s">
        <v>598</v>
      </c>
      <c r="BPE341" s="288" t="s">
        <v>598</v>
      </c>
      <c r="BPF341" s="288" t="s">
        <v>598</v>
      </c>
      <c r="BPG341" s="288" t="s">
        <v>598</v>
      </c>
      <c r="BPH341" s="288" t="s">
        <v>598</v>
      </c>
      <c r="BPI341" s="288" t="s">
        <v>598</v>
      </c>
      <c r="BPJ341" s="288" t="s">
        <v>598</v>
      </c>
      <c r="BPK341" s="288" t="s">
        <v>598</v>
      </c>
      <c r="BPL341" s="288" t="s">
        <v>598</v>
      </c>
      <c r="BPM341" s="288" t="s">
        <v>598</v>
      </c>
      <c r="BPN341" s="288" t="s">
        <v>598</v>
      </c>
      <c r="BPO341" s="288" t="s">
        <v>598</v>
      </c>
      <c r="BPP341" s="288" t="s">
        <v>598</v>
      </c>
      <c r="BPQ341" s="288" t="s">
        <v>598</v>
      </c>
      <c r="BPR341" s="288" t="s">
        <v>598</v>
      </c>
      <c r="BPS341" s="288" t="s">
        <v>598</v>
      </c>
      <c r="BPT341" s="288" t="s">
        <v>598</v>
      </c>
      <c r="BPU341" s="288" t="s">
        <v>598</v>
      </c>
      <c r="BPV341" s="288" t="s">
        <v>598</v>
      </c>
      <c r="BPW341" s="288" t="s">
        <v>598</v>
      </c>
      <c r="BPX341" s="288" t="s">
        <v>598</v>
      </c>
      <c r="BPY341" s="288" t="s">
        <v>598</v>
      </c>
      <c r="BPZ341" s="288" t="s">
        <v>598</v>
      </c>
      <c r="BQA341" s="288" t="s">
        <v>598</v>
      </c>
      <c r="BQB341" s="288" t="s">
        <v>598</v>
      </c>
      <c r="BQC341" s="288" t="s">
        <v>598</v>
      </c>
      <c r="BQD341" s="288" t="s">
        <v>598</v>
      </c>
      <c r="BQE341" s="288" t="s">
        <v>598</v>
      </c>
      <c r="BQF341" s="288" t="s">
        <v>598</v>
      </c>
      <c r="BQG341" s="288" t="s">
        <v>598</v>
      </c>
      <c r="BQH341" s="288" t="s">
        <v>598</v>
      </c>
      <c r="BQI341" s="288" t="s">
        <v>598</v>
      </c>
      <c r="BQJ341" s="288" t="s">
        <v>598</v>
      </c>
      <c r="BQK341" s="288" t="s">
        <v>598</v>
      </c>
      <c r="BQL341" s="288" t="s">
        <v>598</v>
      </c>
      <c r="BQM341" s="288" t="s">
        <v>598</v>
      </c>
      <c r="BQN341" s="288" t="s">
        <v>598</v>
      </c>
      <c r="BQO341" s="288" t="s">
        <v>598</v>
      </c>
      <c r="BQP341" s="288" t="s">
        <v>598</v>
      </c>
      <c r="BQQ341" s="288" t="s">
        <v>598</v>
      </c>
      <c r="BQR341" s="288" t="s">
        <v>598</v>
      </c>
      <c r="BQS341" s="288" t="s">
        <v>598</v>
      </c>
      <c r="BQT341" s="288" t="s">
        <v>598</v>
      </c>
      <c r="BQU341" s="288" t="s">
        <v>598</v>
      </c>
      <c r="BQV341" s="288" t="s">
        <v>598</v>
      </c>
      <c r="BQW341" s="288" t="s">
        <v>598</v>
      </c>
      <c r="BQX341" s="288" t="s">
        <v>598</v>
      </c>
      <c r="BQY341" s="288" t="s">
        <v>598</v>
      </c>
      <c r="BQZ341" s="288" t="s">
        <v>598</v>
      </c>
      <c r="BRA341" s="288" t="s">
        <v>598</v>
      </c>
      <c r="BRB341" s="288" t="s">
        <v>598</v>
      </c>
      <c r="BRC341" s="288" t="s">
        <v>598</v>
      </c>
      <c r="BRD341" s="288" t="s">
        <v>598</v>
      </c>
      <c r="BRE341" s="288" t="s">
        <v>598</v>
      </c>
      <c r="BRF341" s="288" t="s">
        <v>598</v>
      </c>
      <c r="BRG341" s="288" t="s">
        <v>598</v>
      </c>
      <c r="BRH341" s="288" t="s">
        <v>598</v>
      </c>
      <c r="BRI341" s="288" t="s">
        <v>598</v>
      </c>
      <c r="BRJ341" s="288" t="s">
        <v>598</v>
      </c>
      <c r="BRK341" s="288" t="s">
        <v>598</v>
      </c>
      <c r="BRL341" s="288" t="s">
        <v>598</v>
      </c>
      <c r="BRM341" s="288" t="s">
        <v>598</v>
      </c>
      <c r="BRN341" s="288" t="s">
        <v>598</v>
      </c>
      <c r="BRO341" s="288" t="s">
        <v>598</v>
      </c>
      <c r="BRP341" s="288" t="s">
        <v>598</v>
      </c>
      <c r="BRQ341" s="288" t="s">
        <v>598</v>
      </c>
      <c r="BRR341" s="288" t="s">
        <v>598</v>
      </c>
      <c r="BRS341" s="288" t="s">
        <v>598</v>
      </c>
      <c r="BRT341" s="288" t="s">
        <v>598</v>
      </c>
      <c r="BRU341" s="288" t="s">
        <v>598</v>
      </c>
      <c r="BRV341" s="288" t="s">
        <v>598</v>
      </c>
      <c r="BRW341" s="288" t="s">
        <v>598</v>
      </c>
      <c r="BRX341" s="288" t="s">
        <v>598</v>
      </c>
      <c r="BRY341" s="288" t="s">
        <v>598</v>
      </c>
      <c r="BRZ341" s="288" t="s">
        <v>598</v>
      </c>
      <c r="BSA341" s="288" t="s">
        <v>598</v>
      </c>
      <c r="BSB341" s="288" t="s">
        <v>598</v>
      </c>
      <c r="BSC341" s="288" t="s">
        <v>598</v>
      </c>
      <c r="BSD341" s="288" t="s">
        <v>598</v>
      </c>
      <c r="BSE341" s="288" t="s">
        <v>598</v>
      </c>
      <c r="BSF341" s="288" t="s">
        <v>598</v>
      </c>
      <c r="BSG341" s="288" t="s">
        <v>598</v>
      </c>
      <c r="BSH341" s="288" t="s">
        <v>598</v>
      </c>
      <c r="BSI341" s="288" t="s">
        <v>598</v>
      </c>
      <c r="BSJ341" s="288" t="s">
        <v>598</v>
      </c>
      <c r="BSK341" s="288" t="s">
        <v>598</v>
      </c>
      <c r="BSL341" s="288" t="s">
        <v>598</v>
      </c>
      <c r="BSM341" s="288" t="s">
        <v>598</v>
      </c>
      <c r="BSN341" s="288" t="s">
        <v>598</v>
      </c>
      <c r="BSO341" s="288" t="s">
        <v>598</v>
      </c>
      <c r="BSP341" s="288" t="s">
        <v>598</v>
      </c>
      <c r="BSQ341" s="288" t="s">
        <v>598</v>
      </c>
      <c r="BSR341" s="288" t="s">
        <v>598</v>
      </c>
      <c r="BSS341" s="288" t="s">
        <v>598</v>
      </c>
      <c r="BST341" s="288" t="s">
        <v>598</v>
      </c>
      <c r="BSU341" s="288" t="s">
        <v>598</v>
      </c>
      <c r="BSV341" s="288" t="s">
        <v>598</v>
      </c>
      <c r="BSW341" s="288" t="s">
        <v>598</v>
      </c>
      <c r="BSX341" s="288" t="s">
        <v>598</v>
      </c>
      <c r="BSY341" s="288" t="s">
        <v>598</v>
      </c>
      <c r="BSZ341" s="288" t="s">
        <v>598</v>
      </c>
      <c r="BTA341" s="288" t="s">
        <v>598</v>
      </c>
      <c r="BTB341" s="288" t="s">
        <v>598</v>
      </c>
      <c r="BTC341" s="288" t="s">
        <v>598</v>
      </c>
      <c r="BTD341" s="288" t="s">
        <v>598</v>
      </c>
      <c r="BTE341" s="288" t="s">
        <v>598</v>
      </c>
      <c r="BTF341" s="288" t="s">
        <v>598</v>
      </c>
      <c r="BTG341" s="288" t="s">
        <v>598</v>
      </c>
      <c r="BTH341" s="288" t="s">
        <v>598</v>
      </c>
      <c r="BTI341" s="288" t="s">
        <v>598</v>
      </c>
      <c r="BTJ341" s="288" t="s">
        <v>598</v>
      </c>
      <c r="BTK341" s="288" t="s">
        <v>598</v>
      </c>
      <c r="BTL341" s="288" t="s">
        <v>598</v>
      </c>
      <c r="BTM341" s="288" t="s">
        <v>598</v>
      </c>
      <c r="BTN341" s="288" t="s">
        <v>598</v>
      </c>
      <c r="BTO341" s="288" t="s">
        <v>598</v>
      </c>
      <c r="BTP341" s="288" t="s">
        <v>598</v>
      </c>
      <c r="BTQ341" s="288" t="s">
        <v>598</v>
      </c>
      <c r="BTR341" s="288" t="s">
        <v>598</v>
      </c>
      <c r="BTS341" s="288" t="s">
        <v>598</v>
      </c>
      <c r="BTT341" s="288" t="s">
        <v>598</v>
      </c>
      <c r="BTU341" s="288" t="s">
        <v>598</v>
      </c>
      <c r="BTV341" s="288" t="s">
        <v>598</v>
      </c>
      <c r="BTW341" s="288" t="s">
        <v>598</v>
      </c>
      <c r="BTX341" s="288" t="s">
        <v>598</v>
      </c>
      <c r="BTY341" s="288" t="s">
        <v>598</v>
      </c>
      <c r="BTZ341" s="288" t="s">
        <v>598</v>
      </c>
      <c r="BUA341" s="288" t="s">
        <v>598</v>
      </c>
      <c r="BUB341" s="288" t="s">
        <v>598</v>
      </c>
      <c r="BUC341" s="288" t="s">
        <v>598</v>
      </c>
      <c r="BUD341" s="288" t="s">
        <v>598</v>
      </c>
      <c r="BUE341" s="288" t="s">
        <v>598</v>
      </c>
      <c r="BUF341" s="288" t="s">
        <v>598</v>
      </c>
      <c r="BUG341" s="288" t="s">
        <v>598</v>
      </c>
      <c r="BUH341" s="288" t="s">
        <v>598</v>
      </c>
      <c r="BUI341" s="288" t="s">
        <v>598</v>
      </c>
      <c r="BUJ341" s="288" t="s">
        <v>598</v>
      </c>
      <c r="BUK341" s="288" t="s">
        <v>598</v>
      </c>
      <c r="BUL341" s="288" t="s">
        <v>598</v>
      </c>
      <c r="BUM341" s="288" t="s">
        <v>598</v>
      </c>
      <c r="BUN341" s="288" t="s">
        <v>598</v>
      </c>
      <c r="BUO341" s="288" t="s">
        <v>598</v>
      </c>
      <c r="BUP341" s="288" t="s">
        <v>598</v>
      </c>
      <c r="BUQ341" s="288" t="s">
        <v>598</v>
      </c>
      <c r="BUR341" s="288" t="s">
        <v>598</v>
      </c>
      <c r="BUS341" s="288" t="s">
        <v>598</v>
      </c>
      <c r="BUT341" s="288" t="s">
        <v>598</v>
      </c>
      <c r="BUU341" s="288" t="s">
        <v>598</v>
      </c>
      <c r="BUV341" s="288" t="s">
        <v>598</v>
      </c>
      <c r="BUW341" s="288" t="s">
        <v>598</v>
      </c>
      <c r="BUX341" s="288" t="s">
        <v>598</v>
      </c>
      <c r="BUY341" s="288" t="s">
        <v>598</v>
      </c>
      <c r="BUZ341" s="288" t="s">
        <v>598</v>
      </c>
      <c r="BVA341" s="288" t="s">
        <v>598</v>
      </c>
      <c r="BVB341" s="288" t="s">
        <v>598</v>
      </c>
      <c r="BVC341" s="288" t="s">
        <v>598</v>
      </c>
      <c r="BVD341" s="288" t="s">
        <v>598</v>
      </c>
      <c r="BVE341" s="288" t="s">
        <v>598</v>
      </c>
      <c r="BVF341" s="288" t="s">
        <v>598</v>
      </c>
      <c r="BVG341" s="288" t="s">
        <v>598</v>
      </c>
      <c r="BVH341" s="288" t="s">
        <v>598</v>
      </c>
      <c r="BVI341" s="288" t="s">
        <v>598</v>
      </c>
      <c r="BVJ341" s="288" t="s">
        <v>598</v>
      </c>
      <c r="BVK341" s="288" t="s">
        <v>598</v>
      </c>
      <c r="BVL341" s="288" t="s">
        <v>598</v>
      </c>
      <c r="BVM341" s="288" t="s">
        <v>598</v>
      </c>
      <c r="BVN341" s="288" t="s">
        <v>598</v>
      </c>
      <c r="BVO341" s="288" t="s">
        <v>598</v>
      </c>
      <c r="BVP341" s="288" t="s">
        <v>598</v>
      </c>
      <c r="BVQ341" s="288" t="s">
        <v>598</v>
      </c>
      <c r="BVR341" s="288" t="s">
        <v>598</v>
      </c>
      <c r="BVS341" s="288" t="s">
        <v>598</v>
      </c>
      <c r="BVT341" s="288" t="s">
        <v>598</v>
      </c>
      <c r="BVU341" s="288" t="s">
        <v>598</v>
      </c>
      <c r="BVV341" s="288" t="s">
        <v>598</v>
      </c>
      <c r="BVW341" s="288" t="s">
        <v>598</v>
      </c>
      <c r="BVX341" s="288" t="s">
        <v>598</v>
      </c>
      <c r="BVY341" s="288" t="s">
        <v>598</v>
      </c>
      <c r="BVZ341" s="288" t="s">
        <v>598</v>
      </c>
      <c r="BWA341" s="288" t="s">
        <v>598</v>
      </c>
      <c r="BWB341" s="288" t="s">
        <v>598</v>
      </c>
      <c r="BWC341" s="288" t="s">
        <v>598</v>
      </c>
      <c r="BWD341" s="288" t="s">
        <v>598</v>
      </c>
      <c r="BWE341" s="288" t="s">
        <v>598</v>
      </c>
      <c r="BWF341" s="288" t="s">
        <v>598</v>
      </c>
      <c r="BWG341" s="288" t="s">
        <v>598</v>
      </c>
      <c r="BWH341" s="288" t="s">
        <v>598</v>
      </c>
      <c r="BWI341" s="288" t="s">
        <v>598</v>
      </c>
      <c r="BWJ341" s="288" t="s">
        <v>598</v>
      </c>
      <c r="BWK341" s="288" t="s">
        <v>598</v>
      </c>
      <c r="BWL341" s="288" t="s">
        <v>598</v>
      </c>
      <c r="BWM341" s="288" t="s">
        <v>598</v>
      </c>
      <c r="BWN341" s="288" t="s">
        <v>598</v>
      </c>
      <c r="BWO341" s="288" t="s">
        <v>598</v>
      </c>
      <c r="BWP341" s="288" t="s">
        <v>598</v>
      </c>
      <c r="BWQ341" s="288" t="s">
        <v>598</v>
      </c>
      <c r="BWR341" s="288" t="s">
        <v>598</v>
      </c>
      <c r="BWS341" s="288" t="s">
        <v>598</v>
      </c>
      <c r="BWT341" s="288" t="s">
        <v>598</v>
      </c>
      <c r="BWU341" s="288" t="s">
        <v>598</v>
      </c>
      <c r="BWV341" s="288" t="s">
        <v>598</v>
      </c>
      <c r="BWW341" s="288" t="s">
        <v>598</v>
      </c>
      <c r="BWX341" s="288" t="s">
        <v>598</v>
      </c>
      <c r="BWY341" s="288" t="s">
        <v>598</v>
      </c>
      <c r="BWZ341" s="288" t="s">
        <v>598</v>
      </c>
      <c r="BXA341" s="288" t="s">
        <v>598</v>
      </c>
      <c r="BXB341" s="288" t="s">
        <v>598</v>
      </c>
      <c r="BXC341" s="288" t="s">
        <v>598</v>
      </c>
      <c r="BXD341" s="288" t="s">
        <v>598</v>
      </c>
      <c r="BXE341" s="288" t="s">
        <v>598</v>
      </c>
      <c r="BXF341" s="288" t="s">
        <v>598</v>
      </c>
      <c r="BXG341" s="288" t="s">
        <v>598</v>
      </c>
      <c r="BXH341" s="288" t="s">
        <v>598</v>
      </c>
      <c r="BXI341" s="288" t="s">
        <v>598</v>
      </c>
      <c r="BXJ341" s="288" t="s">
        <v>598</v>
      </c>
      <c r="BXK341" s="288" t="s">
        <v>598</v>
      </c>
      <c r="BXL341" s="288" t="s">
        <v>598</v>
      </c>
      <c r="BXM341" s="288" t="s">
        <v>598</v>
      </c>
      <c r="BXN341" s="288" t="s">
        <v>598</v>
      </c>
      <c r="BXO341" s="288" t="s">
        <v>598</v>
      </c>
      <c r="BXP341" s="288" t="s">
        <v>598</v>
      </c>
      <c r="BXQ341" s="288" t="s">
        <v>598</v>
      </c>
      <c r="BXR341" s="288" t="s">
        <v>598</v>
      </c>
      <c r="BXS341" s="288" t="s">
        <v>598</v>
      </c>
      <c r="BXT341" s="288" t="s">
        <v>598</v>
      </c>
      <c r="BXU341" s="288" t="s">
        <v>598</v>
      </c>
      <c r="BXV341" s="288" t="s">
        <v>598</v>
      </c>
      <c r="BXW341" s="288" t="s">
        <v>598</v>
      </c>
      <c r="BXX341" s="288" t="s">
        <v>598</v>
      </c>
      <c r="BXY341" s="288" t="s">
        <v>598</v>
      </c>
      <c r="BXZ341" s="288" t="s">
        <v>598</v>
      </c>
      <c r="BYA341" s="288" t="s">
        <v>598</v>
      </c>
      <c r="BYB341" s="288" t="s">
        <v>598</v>
      </c>
      <c r="BYC341" s="288" t="s">
        <v>598</v>
      </c>
      <c r="BYD341" s="288" t="s">
        <v>598</v>
      </c>
      <c r="BYE341" s="288" t="s">
        <v>598</v>
      </c>
      <c r="BYF341" s="288" t="s">
        <v>598</v>
      </c>
      <c r="BYG341" s="288" t="s">
        <v>598</v>
      </c>
      <c r="BYH341" s="288" t="s">
        <v>598</v>
      </c>
      <c r="BYI341" s="288" t="s">
        <v>598</v>
      </c>
      <c r="BYJ341" s="288" t="s">
        <v>598</v>
      </c>
      <c r="BYK341" s="288" t="s">
        <v>598</v>
      </c>
      <c r="BYL341" s="288" t="s">
        <v>598</v>
      </c>
      <c r="BYM341" s="288" t="s">
        <v>598</v>
      </c>
      <c r="BYN341" s="288" t="s">
        <v>598</v>
      </c>
      <c r="BYO341" s="288" t="s">
        <v>598</v>
      </c>
      <c r="BYP341" s="288" t="s">
        <v>598</v>
      </c>
      <c r="BYQ341" s="288" t="s">
        <v>598</v>
      </c>
      <c r="BYR341" s="288" t="s">
        <v>598</v>
      </c>
      <c r="BYS341" s="288" t="s">
        <v>598</v>
      </c>
      <c r="BYT341" s="288" t="s">
        <v>598</v>
      </c>
      <c r="BYU341" s="288" t="s">
        <v>598</v>
      </c>
      <c r="BYV341" s="288" t="s">
        <v>598</v>
      </c>
      <c r="BYW341" s="288" t="s">
        <v>598</v>
      </c>
      <c r="BYX341" s="288" t="s">
        <v>598</v>
      </c>
      <c r="BYY341" s="288" t="s">
        <v>598</v>
      </c>
      <c r="BYZ341" s="288" t="s">
        <v>598</v>
      </c>
      <c r="BZA341" s="288" t="s">
        <v>598</v>
      </c>
      <c r="BZB341" s="288" t="s">
        <v>598</v>
      </c>
      <c r="BZC341" s="288" t="s">
        <v>598</v>
      </c>
      <c r="BZD341" s="288" t="s">
        <v>598</v>
      </c>
      <c r="BZE341" s="288" t="s">
        <v>598</v>
      </c>
      <c r="BZF341" s="288" t="s">
        <v>598</v>
      </c>
      <c r="BZG341" s="288" t="s">
        <v>598</v>
      </c>
      <c r="BZH341" s="288" t="s">
        <v>598</v>
      </c>
      <c r="BZI341" s="288" t="s">
        <v>598</v>
      </c>
      <c r="BZJ341" s="288" t="s">
        <v>598</v>
      </c>
      <c r="BZK341" s="288" t="s">
        <v>598</v>
      </c>
      <c r="BZL341" s="288" t="s">
        <v>598</v>
      </c>
      <c r="BZM341" s="288" t="s">
        <v>598</v>
      </c>
      <c r="BZN341" s="288" t="s">
        <v>598</v>
      </c>
      <c r="BZO341" s="288" t="s">
        <v>598</v>
      </c>
      <c r="BZP341" s="288" t="s">
        <v>598</v>
      </c>
      <c r="BZQ341" s="288" t="s">
        <v>598</v>
      </c>
      <c r="BZR341" s="288" t="s">
        <v>598</v>
      </c>
      <c r="BZS341" s="288" t="s">
        <v>598</v>
      </c>
      <c r="BZT341" s="288" t="s">
        <v>598</v>
      </c>
      <c r="BZU341" s="288" t="s">
        <v>598</v>
      </c>
      <c r="BZV341" s="288" t="s">
        <v>598</v>
      </c>
      <c r="BZW341" s="288" t="s">
        <v>598</v>
      </c>
      <c r="BZX341" s="288" t="s">
        <v>598</v>
      </c>
      <c r="BZY341" s="288" t="s">
        <v>598</v>
      </c>
      <c r="BZZ341" s="288" t="s">
        <v>598</v>
      </c>
      <c r="CAA341" s="288" t="s">
        <v>598</v>
      </c>
      <c r="CAB341" s="288" t="s">
        <v>598</v>
      </c>
      <c r="CAC341" s="288" t="s">
        <v>598</v>
      </c>
      <c r="CAD341" s="288" t="s">
        <v>598</v>
      </c>
      <c r="CAE341" s="288" t="s">
        <v>598</v>
      </c>
      <c r="CAF341" s="288" t="s">
        <v>598</v>
      </c>
      <c r="CAG341" s="288" t="s">
        <v>598</v>
      </c>
      <c r="CAH341" s="288" t="s">
        <v>598</v>
      </c>
      <c r="CAI341" s="288" t="s">
        <v>598</v>
      </c>
      <c r="CAJ341" s="288" t="s">
        <v>598</v>
      </c>
      <c r="CAK341" s="288" t="s">
        <v>598</v>
      </c>
      <c r="CAL341" s="288" t="s">
        <v>598</v>
      </c>
      <c r="CAM341" s="288" t="s">
        <v>598</v>
      </c>
      <c r="CAN341" s="288" t="s">
        <v>598</v>
      </c>
      <c r="CAO341" s="288" t="s">
        <v>598</v>
      </c>
      <c r="CAP341" s="288" t="s">
        <v>598</v>
      </c>
      <c r="CAQ341" s="288" t="s">
        <v>598</v>
      </c>
      <c r="CAR341" s="288" t="s">
        <v>598</v>
      </c>
      <c r="CAS341" s="288" t="s">
        <v>598</v>
      </c>
      <c r="CAT341" s="288" t="s">
        <v>598</v>
      </c>
      <c r="CAU341" s="288" t="s">
        <v>598</v>
      </c>
      <c r="CAV341" s="288" t="s">
        <v>598</v>
      </c>
      <c r="CAW341" s="288" t="s">
        <v>598</v>
      </c>
      <c r="CAX341" s="288" t="s">
        <v>598</v>
      </c>
      <c r="CAY341" s="288" t="s">
        <v>598</v>
      </c>
      <c r="CAZ341" s="288" t="s">
        <v>598</v>
      </c>
      <c r="CBA341" s="288" t="s">
        <v>598</v>
      </c>
      <c r="CBB341" s="288" t="s">
        <v>598</v>
      </c>
      <c r="CBC341" s="288" t="s">
        <v>598</v>
      </c>
      <c r="CBD341" s="288" t="s">
        <v>598</v>
      </c>
      <c r="CBE341" s="288" t="s">
        <v>598</v>
      </c>
      <c r="CBF341" s="288" t="s">
        <v>598</v>
      </c>
      <c r="CBG341" s="288" t="s">
        <v>598</v>
      </c>
      <c r="CBH341" s="288" t="s">
        <v>598</v>
      </c>
      <c r="CBI341" s="288" t="s">
        <v>598</v>
      </c>
      <c r="CBJ341" s="288" t="s">
        <v>598</v>
      </c>
      <c r="CBK341" s="288" t="s">
        <v>598</v>
      </c>
      <c r="CBL341" s="288" t="s">
        <v>598</v>
      </c>
      <c r="CBM341" s="288" t="s">
        <v>598</v>
      </c>
      <c r="CBN341" s="288" t="s">
        <v>598</v>
      </c>
      <c r="CBO341" s="288" t="s">
        <v>598</v>
      </c>
      <c r="CBP341" s="288" t="s">
        <v>598</v>
      </c>
      <c r="CBQ341" s="288" t="s">
        <v>598</v>
      </c>
      <c r="CBR341" s="288" t="s">
        <v>598</v>
      </c>
      <c r="CBS341" s="288" t="s">
        <v>598</v>
      </c>
      <c r="CBT341" s="288" t="s">
        <v>598</v>
      </c>
      <c r="CBU341" s="288" t="s">
        <v>598</v>
      </c>
      <c r="CBV341" s="288" t="s">
        <v>598</v>
      </c>
      <c r="CBW341" s="288" t="s">
        <v>598</v>
      </c>
      <c r="CBX341" s="288" t="s">
        <v>598</v>
      </c>
      <c r="CBY341" s="288" t="s">
        <v>598</v>
      </c>
      <c r="CBZ341" s="288" t="s">
        <v>598</v>
      </c>
      <c r="CCA341" s="288" t="s">
        <v>598</v>
      </c>
      <c r="CCB341" s="288" t="s">
        <v>598</v>
      </c>
      <c r="CCC341" s="288" t="s">
        <v>598</v>
      </c>
      <c r="CCD341" s="288" t="s">
        <v>598</v>
      </c>
      <c r="CCE341" s="288" t="s">
        <v>598</v>
      </c>
      <c r="CCF341" s="288" t="s">
        <v>598</v>
      </c>
      <c r="CCG341" s="288" t="s">
        <v>598</v>
      </c>
      <c r="CCH341" s="288" t="s">
        <v>598</v>
      </c>
      <c r="CCI341" s="288" t="s">
        <v>598</v>
      </c>
      <c r="CCJ341" s="288" t="s">
        <v>598</v>
      </c>
      <c r="CCK341" s="288" t="s">
        <v>598</v>
      </c>
      <c r="CCL341" s="288" t="s">
        <v>598</v>
      </c>
      <c r="CCM341" s="288" t="s">
        <v>598</v>
      </c>
      <c r="CCN341" s="288" t="s">
        <v>598</v>
      </c>
      <c r="CCO341" s="288" t="s">
        <v>598</v>
      </c>
      <c r="CCP341" s="288" t="s">
        <v>598</v>
      </c>
      <c r="CCQ341" s="288" t="s">
        <v>598</v>
      </c>
      <c r="CCR341" s="288" t="s">
        <v>598</v>
      </c>
      <c r="CCS341" s="288" t="s">
        <v>598</v>
      </c>
      <c r="CCT341" s="288" t="s">
        <v>598</v>
      </c>
      <c r="CCU341" s="288" t="s">
        <v>598</v>
      </c>
      <c r="CCV341" s="288" t="s">
        <v>598</v>
      </c>
      <c r="CCW341" s="288" t="s">
        <v>598</v>
      </c>
      <c r="CCX341" s="288" t="s">
        <v>598</v>
      </c>
      <c r="CCY341" s="288" t="s">
        <v>598</v>
      </c>
      <c r="CCZ341" s="288" t="s">
        <v>598</v>
      </c>
      <c r="CDA341" s="288" t="s">
        <v>598</v>
      </c>
      <c r="CDB341" s="288" t="s">
        <v>598</v>
      </c>
      <c r="CDC341" s="288" t="s">
        <v>598</v>
      </c>
      <c r="CDD341" s="288" t="s">
        <v>598</v>
      </c>
      <c r="CDE341" s="288" t="s">
        <v>598</v>
      </c>
      <c r="CDF341" s="288" t="s">
        <v>598</v>
      </c>
      <c r="CDG341" s="288" t="s">
        <v>598</v>
      </c>
      <c r="CDH341" s="288" t="s">
        <v>598</v>
      </c>
      <c r="CDI341" s="288" t="s">
        <v>598</v>
      </c>
      <c r="CDJ341" s="288" t="s">
        <v>598</v>
      </c>
      <c r="CDK341" s="288" t="s">
        <v>598</v>
      </c>
      <c r="CDL341" s="288" t="s">
        <v>598</v>
      </c>
      <c r="CDM341" s="288" t="s">
        <v>598</v>
      </c>
      <c r="CDN341" s="288" t="s">
        <v>598</v>
      </c>
      <c r="CDO341" s="288" t="s">
        <v>598</v>
      </c>
      <c r="CDP341" s="288" t="s">
        <v>598</v>
      </c>
      <c r="CDQ341" s="288" t="s">
        <v>598</v>
      </c>
      <c r="CDR341" s="288" t="s">
        <v>598</v>
      </c>
      <c r="CDS341" s="288" t="s">
        <v>598</v>
      </c>
      <c r="CDT341" s="288" t="s">
        <v>598</v>
      </c>
      <c r="CDU341" s="288" t="s">
        <v>598</v>
      </c>
      <c r="CDV341" s="288" t="s">
        <v>598</v>
      </c>
      <c r="CDW341" s="288" t="s">
        <v>598</v>
      </c>
      <c r="CDX341" s="288" t="s">
        <v>598</v>
      </c>
      <c r="CDY341" s="288" t="s">
        <v>598</v>
      </c>
      <c r="CDZ341" s="288" t="s">
        <v>598</v>
      </c>
      <c r="CEA341" s="288" t="s">
        <v>598</v>
      </c>
      <c r="CEB341" s="288" t="s">
        <v>598</v>
      </c>
      <c r="CEC341" s="288" t="s">
        <v>598</v>
      </c>
      <c r="CED341" s="288" t="s">
        <v>598</v>
      </c>
      <c r="CEE341" s="288" t="s">
        <v>598</v>
      </c>
      <c r="CEF341" s="288" t="s">
        <v>598</v>
      </c>
      <c r="CEG341" s="288" t="s">
        <v>598</v>
      </c>
      <c r="CEH341" s="288" t="s">
        <v>598</v>
      </c>
      <c r="CEI341" s="288" t="s">
        <v>598</v>
      </c>
      <c r="CEJ341" s="288" t="s">
        <v>598</v>
      </c>
      <c r="CEK341" s="288" t="s">
        <v>598</v>
      </c>
      <c r="CEL341" s="288" t="s">
        <v>598</v>
      </c>
      <c r="CEM341" s="288" t="s">
        <v>598</v>
      </c>
      <c r="CEN341" s="288" t="s">
        <v>598</v>
      </c>
      <c r="CEO341" s="288" t="s">
        <v>598</v>
      </c>
      <c r="CEP341" s="288" t="s">
        <v>598</v>
      </c>
      <c r="CEQ341" s="288" t="s">
        <v>598</v>
      </c>
      <c r="CER341" s="288" t="s">
        <v>598</v>
      </c>
      <c r="CES341" s="288" t="s">
        <v>598</v>
      </c>
      <c r="CET341" s="288" t="s">
        <v>598</v>
      </c>
      <c r="CEU341" s="288" t="s">
        <v>598</v>
      </c>
      <c r="CEV341" s="288" t="s">
        <v>598</v>
      </c>
      <c r="CEW341" s="288" t="s">
        <v>598</v>
      </c>
      <c r="CEX341" s="288" t="s">
        <v>598</v>
      </c>
      <c r="CEY341" s="288" t="s">
        <v>598</v>
      </c>
      <c r="CEZ341" s="288" t="s">
        <v>598</v>
      </c>
      <c r="CFA341" s="288" t="s">
        <v>598</v>
      </c>
      <c r="CFB341" s="288" t="s">
        <v>598</v>
      </c>
      <c r="CFC341" s="288" t="s">
        <v>598</v>
      </c>
      <c r="CFD341" s="288" t="s">
        <v>598</v>
      </c>
      <c r="CFE341" s="288" t="s">
        <v>598</v>
      </c>
      <c r="CFF341" s="288" t="s">
        <v>598</v>
      </c>
      <c r="CFG341" s="288" t="s">
        <v>598</v>
      </c>
      <c r="CFH341" s="288" t="s">
        <v>598</v>
      </c>
      <c r="CFI341" s="288" t="s">
        <v>598</v>
      </c>
      <c r="CFJ341" s="288" t="s">
        <v>598</v>
      </c>
      <c r="CFK341" s="288" t="s">
        <v>598</v>
      </c>
      <c r="CFL341" s="288" t="s">
        <v>598</v>
      </c>
      <c r="CFM341" s="288" t="s">
        <v>598</v>
      </c>
      <c r="CFN341" s="288" t="s">
        <v>598</v>
      </c>
      <c r="CFO341" s="288" t="s">
        <v>598</v>
      </c>
      <c r="CFP341" s="288" t="s">
        <v>598</v>
      </c>
      <c r="CFQ341" s="288" t="s">
        <v>598</v>
      </c>
      <c r="CFR341" s="288" t="s">
        <v>598</v>
      </c>
      <c r="CFS341" s="288" t="s">
        <v>598</v>
      </c>
      <c r="CFT341" s="288" t="s">
        <v>598</v>
      </c>
      <c r="CFU341" s="288" t="s">
        <v>598</v>
      </c>
      <c r="CFV341" s="288" t="s">
        <v>598</v>
      </c>
      <c r="CFW341" s="288" t="s">
        <v>598</v>
      </c>
      <c r="CFX341" s="288" t="s">
        <v>598</v>
      </c>
      <c r="CFY341" s="288" t="s">
        <v>598</v>
      </c>
      <c r="CFZ341" s="288" t="s">
        <v>598</v>
      </c>
      <c r="CGA341" s="288" t="s">
        <v>598</v>
      </c>
      <c r="CGB341" s="288" t="s">
        <v>598</v>
      </c>
      <c r="CGC341" s="288" t="s">
        <v>598</v>
      </c>
      <c r="CGD341" s="288" t="s">
        <v>598</v>
      </c>
      <c r="CGE341" s="288" t="s">
        <v>598</v>
      </c>
      <c r="CGF341" s="288" t="s">
        <v>598</v>
      </c>
      <c r="CGG341" s="288" t="s">
        <v>598</v>
      </c>
      <c r="CGH341" s="288" t="s">
        <v>598</v>
      </c>
      <c r="CGI341" s="288" t="s">
        <v>598</v>
      </c>
      <c r="CGJ341" s="288" t="s">
        <v>598</v>
      </c>
      <c r="CGK341" s="288" t="s">
        <v>598</v>
      </c>
      <c r="CGL341" s="288" t="s">
        <v>598</v>
      </c>
      <c r="CGM341" s="288" t="s">
        <v>598</v>
      </c>
      <c r="CGN341" s="288" t="s">
        <v>598</v>
      </c>
      <c r="CGO341" s="288" t="s">
        <v>598</v>
      </c>
      <c r="CGP341" s="288" t="s">
        <v>598</v>
      </c>
      <c r="CGQ341" s="288" t="s">
        <v>598</v>
      </c>
      <c r="CGR341" s="288" t="s">
        <v>598</v>
      </c>
      <c r="CGS341" s="288" t="s">
        <v>598</v>
      </c>
      <c r="CGT341" s="288" t="s">
        <v>598</v>
      </c>
      <c r="CGU341" s="288" t="s">
        <v>598</v>
      </c>
      <c r="CGV341" s="288" t="s">
        <v>598</v>
      </c>
      <c r="CGW341" s="288" t="s">
        <v>598</v>
      </c>
      <c r="CGX341" s="288" t="s">
        <v>598</v>
      </c>
      <c r="CGY341" s="288" t="s">
        <v>598</v>
      </c>
      <c r="CGZ341" s="288" t="s">
        <v>598</v>
      </c>
      <c r="CHA341" s="288" t="s">
        <v>598</v>
      </c>
      <c r="CHB341" s="288" t="s">
        <v>598</v>
      </c>
      <c r="CHC341" s="288" t="s">
        <v>598</v>
      </c>
      <c r="CHD341" s="288" t="s">
        <v>598</v>
      </c>
      <c r="CHE341" s="288" t="s">
        <v>598</v>
      </c>
      <c r="CHF341" s="288" t="s">
        <v>598</v>
      </c>
      <c r="CHG341" s="288" t="s">
        <v>598</v>
      </c>
      <c r="CHH341" s="288" t="s">
        <v>598</v>
      </c>
      <c r="CHI341" s="288" t="s">
        <v>598</v>
      </c>
      <c r="CHJ341" s="288" t="s">
        <v>598</v>
      </c>
      <c r="CHK341" s="288" t="s">
        <v>598</v>
      </c>
      <c r="CHL341" s="288" t="s">
        <v>598</v>
      </c>
      <c r="CHM341" s="288" t="s">
        <v>598</v>
      </c>
      <c r="CHN341" s="288" t="s">
        <v>598</v>
      </c>
      <c r="CHO341" s="288" t="s">
        <v>598</v>
      </c>
      <c r="CHP341" s="288" t="s">
        <v>598</v>
      </c>
      <c r="CHQ341" s="288" t="s">
        <v>598</v>
      </c>
      <c r="CHR341" s="288" t="s">
        <v>598</v>
      </c>
      <c r="CHS341" s="288" t="s">
        <v>598</v>
      </c>
      <c r="CHT341" s="288" t="s">
        <v>598</v>
      </c>
      <c r="CHU341" s="288" t="s">
        <v>598</v>
      </c>
      <c r="CHV341" s="288" t="s">
        <v>598</v>
      </c>
      <c r="CHW341" s="288" t="s">
        <v>598</v>
      </c>
      <c r="CHX341" s="288" t="s">
        <v>598</v>
      </c>
      <c r="CHY341" s="288" t="s">
        <v>598</v>
      </c>
      <c r="CHZ341" s="288" t="s">
        <v>598</v>
      </c>
      <c r="CIA341" s="288" t="s">
        <v>598</v>
      </c>
      <c r="CIB341" s="288" t="s">
        <v>598</v>
      </c>
      <c r="CIC341" s="288" t="s">
        <v>598</v>
      </c>
      <c r="CID341" s="288" t="s">
        <v>598</v>
      </c>
      <c r="CIE341" s="288" t="s">
        <v>598</v>
      </c>
      <c r="CIF341" s="288" t="s">
        <v>598</v>
      </c>
      <c r="CIG341" s="288" t="s">
        <v>598</v>
      </c>
      <c r="CIH341" s="288" t="s">
        <v>598</v>
      </c>
      <c r="CII341" s="288" t="s">
        <v>598</v>
      </c>
      <c r="CIJ341" s="288" t="s">
        <v>598</v>
      </c>
      <c r="CIK341" s="288" t="s">
        <v>598</v>
      </c>
      <c r="CIL341" s="288" t="s">
        <v>598</v>
      </c>
      <c r="CIM341" s="288" t="s">
        <v>598</v>
      </c>
      <c r="CIN341" s="288" t="s">
        <v>598</v>
      </c>
      <c r="CIO341" s="288" t="s">
        <v>598</v>
      </c>
      <c r="CIP341" s="288" t="s">
        <v>598</v>
      </c>
      <c r="CIQ341" s="288" t="s">
        <v>598</v>
      </c>
      <c r="CIR341" s="288" t="s">
        <v>598</v>
      </c>
      <c r="CIS341" s="288" t="s">
        <v>598</v>
      </c>
      <c r="CIT341" s="288" t="s">
        <v>598</v>
      </c>
      <c r="CIU341" s="288" t="s">
        <v>598</v>
      </c>
      <c r="CIV341" s="288" t="s">
        <v>598</v>
      </c>
      <c r="CIW341" s="288" t="s">
        <v>598</v>
      </c>
      <c r="CIX341" s="288" t="s">
        <v>598</v>
      </c>
      <c r="CIY341" s="288" t="s">
        <v>598</v>
      </c>
      <c r="CIZ341" s="288" t="s">
        <v>598</v>
      </c>
      <c r="CJA341" s="288" t="s">
        <v>598</v>
      </c>
      <c r="CJB341" s="288" t="s">
        <v>598</v>
      </c>
      <c r="CJC341" s="288" t="s">
        <v>598</v>
      </c>
      <c r="CJD341" s="288" t="s">
        <v>598</v>
      </c>
      <c r="CJE341" s="288" t="s">
        <v>598</v>
      </c>
      <c r="CJF341" s="288" t="s">
        <v>598</v>
      </c>
      <c r="CJG341" s="288" t="s">
        <v>598</v>
      </c>
      <c r="CJH341" s="288" t="s">
        <v>598</v>
      </c>
      <c r="CJI341" s="288" t="s">
        <v>598</v>
      </c>
      <c r="CJJ341" s="288" t="s">
        <v>598</v>
      </c>
      <c r="CJK341" s="288" t="s">
        <v>598</v>
      </c>
      <c r="CJL341" s="288" t="s">
        <v>598</v>
      </c>
      <c r="CJM341" s="288" t="s">
        <v>598</v>
      </c>
      <c r="CJN341" s="288" t="s">
        <v>598</v>
      </c>
      <c r="CJO341" s="288" t="s">
        <v>598</v>
      </c>
      <c r="CJP341" s="288" t="s">
        <v>598</v>
      </c>
      <c r="CJQ341" s="288" t="s">
        <v>598</v>
      </c>
      <c r="CJR341" s="288" t="s">
        <v>598</v>
      </c>
      <c r="CJS341" s="288" t="s">
        <v>598</v>
      </c>
      <c r="CJT341" s="288" t="s">
        <v>598</v>
      </c>
      <c r="CJU341" s="288" t="s">
        <v>598</v>
      </c>
      <c r="CJV341" s="288" t="s">
        <v>598</v>
      </c>
      <c r="CJW341" s="288" t="s">
        <v>598</v>
      </c>
      <c r="CJX341" s="288" t="s">
        <v>598</v>
      </c>
      <c r="CJY341" s="288" t="s">
        <v>598</v>
      </c>
      <c r="CJZ341" s="288" t="s">
        <v>598</v>
      </c>
      <c r="CKA341" s="288" t="s">
        <v>598</v>
      </c>
      <c r="CKB341" s="288" t="s">
        <v>598</v>
      </c>
      <c r="CKC341" s="288" t="s">
        <v>598</v>
      </c>
      <c r="CKD341" s="288" t="s">
        <v>598</v>
      </c>
      <c r="CKE341" s="288" t="s">
        <v>598</v>
      </c>
      <c r="CKF341" s="288" t="s">
        <v>598</v>
      </c>
      <c r="CKG341" s="288" t="s">
        <v>598</v>
      </c>
      <c r="CKH341" s="288" t="s">
        <v>598</v>
      </c>
      <c r="CKI341" s="288" t="s">
        <v>598</v>
      </c>
      <c r="CKJ341" s="288" t="s">
        <v>598</v>
      </c>
      <c r="CKK341" s="288" t="s">
        <v>598</v>
      </c>
      <c r="CKL341" s="288" t="s">
        <v>598</v>
      </c>
      <c r="CKM341" s="288" t="s">
        <v>598</v>
      </c>
      <c r="CKN341" s="288" t="s">
        <v>598</v>
      </c>
      <c r="CKO341" s="288" t="s">
        <v>598</v>
      </c>
      <c r="CKP341" s="288" t="s">
        <v>598</v>
      </c>
      <c r="CKQ341" s="288" t="s">
        <v>598</v>
      </c>
      <c r="CKR341" s="288" t="s">
        <v>598</v>
      </c>
      <c r="CKS341" s="288" t="s">
        <v>598</v>
      </c>
      <c r="CKT341" s="288" t="s">
        <v>598</v>
      </c>
      <c r="CKU341" s="288" t="s">
        <v>598</v>
      </c>
      <c r="CKV341" s="288" t="s">
        <v>598</v>
      </c>
      <c r="CKW341" s="288" t="s">
        <v>598</v>
      </c>
      <c r="CKX341" s="288" t="s">
        <v>598</v>
      </c>
      <c r="CKY341" s="288" t="s">
        <v>598</v>
      </c>
      <c r="CKZ341" s="288" t="s">
        <v>598</v>
      </c>
      <c r="CLA341" s="288" t="s">
        <v>598</v>
      </c>
      <c r="CLB341" s="288" t="s">
        <v>598</v>
      </c>
      <c r="CLC341" s="288" t="s">
        <v>598</v>
      </c>
      <c r="CLD341" s="288" t="s">
        <v>598</v>
      </c>
      <c r="CLE341" s="288" t="s">
        <v>598</v>
      </c>
      <c r="CLF341" s="288" t="s">
        <v>598</v>
      </c>
      <c r="CLG341" s="288" t="s">
        <v>598</v>
      </c>
      <c r="CLH341" s="288" t="s">
        <v>598</v>
      </c>
      <c r="CLI341" s="288" t="s">
        <v>598</v>
      </c>
      <c r="CLJ341" s="288" t="s">
        <v>598</v>
      </c>
      <c r="CLK341" s="288" t="s">
        <v>598</v>
      </c>
      <c r="CLL341" s="288" t="s">
        <v>598</v>
      </c>
      <c r="CLM341" s="288" t="s">
        <v>598</v>
      </c>
      <c r="CLN341" s="288" t="s">
        <v>598</v>
      </c>
      <c r="CLO341" s="288" t="s">
        <v>598</v>
      </c>
      <c r="CLP341" s="288" t="s">
        <v>598</v>
      </c>
      <c r="CLQ341" s="288" t="s">
        <v>598</v>
      </c>
      <c r="CLR341" s="288" t="s">
        <v>598</v>
      </c>
      <c r="CLS341" s="288" t="s">
        <v>598</v>
      </c>
      <c r="CLT341" s="288" t="s">
        <v>598</v>
      </c>
      <c r="CLU341" s="288" t="s">
        <v>598</v>
      </c>
      <c r="CLV341" s="288" t="s">
        <v>598</v>
      </c>
      <c r="CLW341" s="288" t="s">
        <v>598</v>
      </c>
      <c r="CLX341" s="288" t="s">
        <v>598</v>
      </c>
      <c r="CLY341" s="288" t="s">
        <v>598</v>
      </c>
      <c r="CLZ341" s="288" t="s">
        <v>598</v>
      </c>
      <c r="CMA341" s="288" t="s">
        <v>598</v>
      </c>
      <c r="CMB341" s="288" t="s">
        <v>598</v>
      </c>
      <c r="CMC341" s="288" t="s">
        <v>598</v>
      </c>
      <c r="CMD341" s="288" t="s">
        <v>598</v>
      </c>
      <c r="CME341" s="288" t="s">
        <v>598</v>
      </c>
      <c r="CMF341" s="288" t="s">
        <v>598</v>
      </c>
      <c r="CMG341" s="288" t="s">
        <v>598</v>
      </c>
      <c r="CMH341" s="288" t="s">
        <v>598</v>
      </c>
      <c r="CMI341" s="288" t="s">
        <v>598</v>
      </c>
      <c r="CMJ341" s="288" t="s">
        <v>598</v>
      </c>
      <c r="CMK341" s="288" t="s">
        <v>598</v>
      </c>
      <c r="CML341" s="288" t="s">
        <v>598</v>
      </c>
      <c r="CMM341" s="288" t="s">
        <v>598</v>
      </c>
      <c r="CMN341" s="288" t="s">
        <v>598</v>
      </c>
      <c r="CMO341" s="288" t="s">
        <v>598</v>
      </c>
      <c r="CMP341" s="288" t="s">
        <v>598</v>
      </c>
      <c r="CMQ341" s="288" t="s">
        <v>598</v>
      </c>
      <c r="CMR341" s="288" t="s">
        <v>598</v>
      </c>
      <c r="CMS341" s="288" t="s">
        <v>598</v>
      </c>
      <c r="CMT341" s="288" t="s">
        <v>598</v>
      </c>
      <c r="CMU341" s="288" t="s">
        <v>598</v>
      </c>
      <c r="CMV341" s="288" t="s">
        <v>598</v>
      </c>
      <c r="CMW341" s="288" t="s">
        <v>598</v>
      </c>
      <c r="CMX341" s="288" t="s">
        <v>598</v>
      </c>
      <c r="CMY341" s="288" t="s">
        <v>598</v>
      </c>
      <c r="CMZ341" s="288" t="s">
        <v>598</v>
      </c>
      <c r="CNA341" s="288" t="s">
        <v>598</v>
      </c>
      <c r="CNB341" s="288" t="s">
        <v>598</v>
      </c>
      <c r="CNC341" s="288" t="s">
        <v>598</v>
      </c>
      <c r="CND341" s="288" t="s">
        <v>598</v>
      </c>
      <c r="CNE341" s="288" t="s">
        <v>598</v>
      </c>
      <c r="CNF341" s="288" t="s">
        <v>598</v>
      </c>
      <c r="CNG341" s="288" t="s">
        <v>598</v>
      </c>
      <c r="CNH341" s="288" t="s">
        <v>598</v>
      </c>
      <c r="CNI341" s="288" t="s">
        <v>598</v>
      </c>
      <c r="CNJ341" s="288" t="s">
        <v>598</v>
      </c>
      <c r="CNK341" s="288" t="s">
        <v>598</v>
      </c>
      <c r="CNL341" s="288" t="s">
        <v>598</v>
      </c>
      <c r="CNM341" s="288" t="s">
        <v>598</v>
      </c>
      <c r="CNN341" s="288" t="s">
        <v>598</v>
      </c>
      <c r="CNO341" s="288" t="s">
        <v>598</v>
      </c>
      <c r="CNP341" s="288" t="s">
        <v>598</v>
      </c>
      <c r="CNQ341" s="288" t="s">
        <v>598</v>
      </c>
      <c r="CNR341" s="288" t="s">
        <v>598</v>
      </c>
      <c r="CNS341" s="288" t="s">
        <v>598</v>
      </c>
      <c r="CNT341" s="288" t="s">
        <v>598</v>
      </c>
      <c r="CNU341" s="288" t="s">
        <v>598</v>
      </c>
      <c r="CNV341" s="288" t="s">
        <v>598</v>
      </c>
      <c r="CNW341" s="288" t="s">
        <v>598</v>
      </c>
      <c r="CNX341" s="288" t="s">
        <v>598</v>
      </c>
      <c r="CNY341" s="288" t="s">
        <v>598</v>
      </c>
      <c r="CNZ341" s="288" t="s">
        <v>598</v>
      </c>
      <c r="COA341" s="288" t="s">
        <v>598</v>
      </c>
      <c r="COB341" s="288" t="s">
        <v>598</v>
      </c>
      <c r="COC341" s="288" t="s">
        <v>598</v>
      </c>
      <c r="COD341" s="288" t="s">
        <v>598</v>
      </c>
      <c r="COE341" s="288" t="s">
        <v>598</v>
      </c>
      <c r="COF341" s="288" t="s">
        <v>598</v>
      </c>
      <c r="COG341" s="288" t="s">
        <v>598</v>
      </c>
      <c r="COH341" s="288" t="s">
        <v>598</v>
      </c>
      <c r="COI341" s="288" t="s">
        <v>598</v>
      </c>
      <c r="COJ341" s="288" t="s">
        <v>598</v>
      </c>
      <c r="COK341" s="288" t="s">
        <v>598</v>
      </c>
      <c r="COL341" s="288" t="s">
        <v>598</v>
      </c>
      <c r="COM341" s="288" t="s">
        <v>598</v>
      </c>
      <c r="CON341" s="288" t="s">
        <v>598</v>
      </c>
      <c r="COO341" s="288" t="s">
        <v>598</v>
      </c>
      <c r="COP341" s="288" t="s">
        <v>598</v>
      </c>
      <c r="COQ341" s="288" t="s">
        <v>598</v>
      </c>
      <c r="COR341" s="288" t="s">
        <v>598</v>
      </c>
      <c r="COS341" s="288" t="s">
        <v>598</v>
      </c>
      <c r="COT341" s="288" t="s">
        <v>598</v>
      </c>
      <c r="COU341" s="288" t="s">
        <v>598</v>
      </c>
      <c r="COV341" s="288" t="s">
        <v>598</v>
      </c>
      <c r="COW341" s="288" t="s">
        <v>598</v>
      </c>
      <c r="COX341" s="288" t="s">
        <v>598</v>
      </c>
      <c r="COY341" s="288" t="s">
        <v>598</v>
      </c>
      <c r="COZ341" s="288" t="s">
        <v>598</v>
      </c>
      <c r="CPA341" s="288" t="s">
        <v>598</v>
      </c>
      <c r="CPB341" s="288" t="s">
        <v>598</v>
      </c>
      <c r="CPC341" s="288" t="s">
        <v>598</v>
      </c>
      <c r="CPD341" s="288" t="s">
        <v>598</v>
      </c>
      <c r="CPE341" s="288" t="s">
        <v>598</v>
      </c>
      <c r="CPF341" s="288" t="s">
        <v>598</v>
      </c>
      <c r="CPG341" s="288" t="s">
        <v>598</v>
      </c>
      <c r="CPH341" s="288" t="s">
        <v>598</v>
      </c>
      <c r="CPI341" s="288" t="s">
        <v>598</v>
      </c>
      <c r="CPJ341" s="288" t="s">
        <v>598</v>
      </c>
      <c r="CPK341" s="288" t="s">
        <v>598</v>
      </c>
      <c r="CPL341" s="288" t="s">
        <v>598</v>
      </c>
      <c r="CPM341" s="288" t="s">
        <v>598</v>
      </c>
      <c r="CPN341" s="288" t="s">
        <v>598</v>
      </c>
      <c r="CPO341" s="288" t="s">
        <v>598</v>
      </c>
      <c r="CPP341" s="288" t="s">
        <v>598</v>
      </c>
      <c r="CPQ341" s="288" t="s">
        <v>598</v>
      </c>
      <c r="CPR341" s="288" t="s">
        <v>598</v>
      </c>
      <c r="CPS341" s="288" t="s">
        <v>598</v>
      </c>
      <c r="CPT341" s="288" t="s">
        <v>598</v>
      </c>
      <c r="CPU341" s="288" t="s">
        <v>598</v>
      </c>
      <c r="CPV341" s="288" t="s">
        <v>598</v>
      </c>
      <c r="CPW341" s="288" t="s">
        <v>598</v>
      </c>
      <c r="CPX341" s="288" t="s">
        <v>598</v>
      </c>
      <c r="CPY341" s="288" t="s">
        <v>598</v>
      </c>
      <c r="CPZ341" s="288" t="s">
        <v>598</v>
      </c>
      <c r="CQA341" s="288" t="s">
        <v>598</v>
      </c>
      <c r="CQB341" s="288" t="s">
        <v>598</v>
      </c>
      <c r="CQC341" s="288" t="s">
        <v>598</v>
      </c>
      <c r="CQD341" s="288" t="s">
        <v>598</v>
      </c>
      <c r="CQE341" s="288" t="s">
        <v>598</v>
      </c>
      <c r="CQF341" s="288" t="s">
        <v>598</v>
      </c>
      <c r="CQG341" s="288" t="s">
        <v>598</v>
      </c>
      <c r="CQH341" s="288" t="s">
        <v>598</v>
      </c>
      <c r="CQI341" s="288" t="s">
        <v>598</v>
      </c>
      <c r="CQJ341" s="288" t="s">
        <v>598</v>
      </c>
      <c r="CQK341" s="288" t="s">
        <v>598</v>
      </c>
      <c r="CQL341" s="288" t="s">
        <v>598</v>
      </c>
      <c r="CQM341" s="288" t="s">
        <v>598</v>
      </c>
      <c r="CQN341" s="288" t="s">
        <v>598</v>
      </c>
      <c r="CQO341" s="288" t="s">
        <v>598</v>
      </c>
      <c r="CQP341" s="288" t="s">
        <v>598</v>
      </c>
      <c r="CQQ341" s="288" t="s">
        <v>598</v>
      </c>
      <c r="CQR341" s="288" t="s">
        <v>598</v>
      </c>
      <c r="CQS341" s="288" t="s">
        <v>598</v>
      </c>
      <c r="CQT341" s="288" t="s">
        <v>598</v>
      </c>
      <c r="CQU341" s="288" t="s">
        <v>598</v>
      </c>
      <c r="CQV341" s="288" t="s">
        <v>598</v>
      </c>
      <c r="CQW341" s="288" t="s">
        <v>598</v>
      </c>
      <c r="CQX341" s="288" t="s">
        <v>598</v>
      </c>
      <c r="CQY341" s="288" t="s">
        <v>598</v>
      </c>
      <c r="CQZ341" s="288" t="s">
        <v>598</v>
      </c>
      <c r="CRA341" s="288" t="s">
        <v>598</v>
      </c>
      <c r="CRB341" s="288" t="s">
        <v>598</v>
      </c>
      <c r="CRC341" s="288" t="s">
        <v>598</v>
      </c>
      <c r="CRD341" s="288" t="s">
        <v>598</v>
      </c>
      <c r="CRE341" s="288" t="s">
        <v>598</v>
      </c>
      <c r="CRF341" s="288" t="s">
        <v>598</v>
      </c>
      <c r="CRG341" s="288" t="s">
        <v>598</v>
      </c>
      <c r="CRH341" s="288" t="s">
        <v>598</v>
      </c>
      <c r="CRI341" s="288" t="s">
        <v>598</v>
      </c>
      <c r="CRJ341" s="288" t="s">
        <v>598</v>
      </c>
      <c r="CRK341" s="288" t="s">
        <v>598</v>
      </c>
      <c r="CRL341" s="288" t="s">
        <v>598</v>
      </c>
      <c r="CRM341" s="288" t="s">
        <v>598</v>
      </c>
      <c r="CRN341" s="288" t="s">
        <v>598</v>
      </c>
      <c r="CRO341" s="288" t="s">
        <v>598</v>
      </c>
      <c r="CRP341" s="288" t="s">
        <v>598</v>
      </c>
      <c r="CRQ341" s="288" t="s">
        <v>598</v>
      </c>
      <c r="CRR341" s="288" t="s">
        <v>598</v>
      </c>
      <c r="CRS341" s="288" t="s">
        <v>598</v>
      </c>
      <c r="CRT341" s="288" t="s">
        <v>598</v>
      </c>
      <c r="CRU341" s="288" t="s">
        <v>598</v>
      </c>
      <c r="CRV341" s="288" t="s">
        <v>598</v>
      </c>
      <c r="CRW341" s="288" t="s">
        <v>598</v>
      </c>
      <c r="CRX341" s="288" t="s">
        <v>598</v>
      </c>
      <c r="CRY341" s="288" t="s">
        <v>598</v>
      </c>
      <c r="CRZ341" s="288" t="s">
        <v>598</v>
      </c>
      <c r="CSA341" s="288" t="s">
        <v>598</v>
      </c>
      <c r="CSB341" s="288" t="s">
        <v>598</v>
      </c>
      <c r="CSC341" s="288" t="s">
        <v>598</v>
      </c>
      <c r="CSD341" s="288" t="s">
        <v>598</v>
      </c>
      <c r="CSE341" s="288" t="s">
        <v>598</v>
      </c>
      <c r="CSF341" s="288" t="s">
        <v>598</v>
      </c>
      <c r="CSG341" s="288" t="s">
        <v>598</v>
      </c>
      <c r="CSH341" s="288" t="s">
        <v>598</v>
      </c>
      <c r="CSI341" s="288" t="s">
        <v>598</v>
      </c>
      <c r="CSJ341" s="288" t="s">
        <v>598</v>
      </c>
      <c r="CSK341" s="288" t="s">
        <v>598</v>
      </c>
      <c r="CSL341" s="288" t="s">
        <v>598</v>
      </c>
      <c r="CSM341" s="288" t="s">
        <v>598</v>
      </c>
      <c r="CSN341" s="288" t="s">
        <v>598</v>
      </c>
      <c r="CSO341" s="288" t="s">
        <v>598</v>
      </c>
      <c r="CSP341" s="288" t="s">
        <v>598</v>
      </c>
      <c r="CSQ341" s="288" t="s">
        <v>598</v>
      </c>
      <c r="CSR341" s="288" t="s">
        <v>598</v>
      </c>
      <c r="CSS341" s="288" t="s">
        <v>598</v>
      </c>
      <c r="CST341" s="288" t="s">
        <v>598</v>
      </c>
      <c r="CSU341" s="288" t="s">
        <v>598</v>
      </c>
      <c r="CSV341" s="288" t="s">
        <v>598</v>
      </c>
      <c r="CSW341" s="288" t="s">
        <v>598</v>
      </c>
      <c r="CSX341" s="288" t="s">
        <v>598</v>
      </c>
      <c r="CSY341" s="288" t="s">
        <v>598</v>
      </c>
      <c r="CSZ341" s="288" t="s">
        <v>598</v>
      </c>
      <c r="CTA341" s="288" t="s">
        <v>598</v>
      </c>
      <c r="CTB341" s="288" t="s">
        <v>598</v>
      </c>
      <c r="CTC341" s="288" t="s">
        <v>598</v>
      </c>
      <c r="CTD341" s="288" t="s">
        <v>598</v>
      </c>
      <c r="CTE341" s="288" t="s">
        <v>598</v>
      </c>
      <c r="CTF341" s="288" t="s">
        <v>598</v>
      </c>
      <c r="CTG341" s="288" t="s">
        <v>598</v>
      </c>
      <c r="CTH341" s="288" t="s">
        <v>598</v>
      </c>
      <c r="CTI341" s="288" t="s">
        <v>598</v>
      </c>
      <c r="CTJ341" s="288" t="s">
        <v>598</v>
      </c>
      <c r="CTK341" s="288" t="s">
        <v>598</v>
      </c>
      <c r="CTL341" s="288" t="s">
        <v>598</v>
      </c>
      <c r="CTM341" s="288" t="s">
        <v>598</v>
      </c>
      <c r="CTN341" s="288" t="s">
        <v>598</v>
      </c>
      <c r="CTO341" s="288" t="s">
        <v>598</v>
      </c>
      <c r="CTP341" s="288" t="s">
        <v>598</v>
      </c>
      <c r="CTQ341" s="288" t="s">
        <v>598</v>
      </c>
      <c r="CTR341" s="288" t="s">
        <v>598</v>
      </c>
      <c r="CTS341" s="288" t="s">
        <v>598</v>
      </c>
      <c r="CTT341" s="288" t="s">
        <v>598</v>
      </c>
      <c r="CTU341" s="288" t="s">
        <v>598</v>
      </c>
      <c r="CTV341" s="288" t="s">
        <v>598</v>
      </c>
      <c r="CTW341" s="288" t="s">
        <v>598</v>
      </c>
      <c r="CTX341" s="288" t="s">
        <v>598</v>
      </c>
      <c r="CTY341" s="288" t="s">
        <v>598</v>
      </c>
      <c r="CTZ341" s="288" t="s">
        <v>598</v>
      </c>
      <c r="CUA341" s="288" t="s">
        <v>598</v>
      </c>
      <c r="CUB341" s="288" t="s">
        <v>598</v>
      </c>
      <c r="CUC341" s="288" t="s">
        <v>598</v>
      </c>
      <c r="CUD341" s="288" t="s">
        <v>598</v>
      </c>
      <c r="CUE341" s="288" t="s">
        <v>598</v>
      </c>
      <c r="CUF341" s="288" t="s">
        <v>598</v>
      </c>
      <c r="CUG341" s="288" t="s">
        <v>598</v>
      </c>
      <c r="CUH341" s="288" t="s">
        <v>598</v>
      </c>
      <c r="CUI341" s="288" t="s">
        <v>598</v>
      </c>
      <c r="CUJ341" s="288" t="s">
        <v>598</v>
      </c>
      <c r="CUK341" s="288" t="s">
        <v>598</v>
      </c>
      <c r="CUL341" s="288" t="s">
        <v>598</v>
      </c>
      <c r="CUM341" s="288" t="s">
        <v>598</v>
      </c>
      <c r="CUN341" s="288" t="s">
        <v>598</v>
      </c>
      <c r="CUO341" s="288" t="s">
        <v>598</v>
      </c>
      <c r="CUP341" s="288" t="s">
        <v>598</v>
      </c>
      <c r="CUQ341" s="288" t="s">
        <v>598</v>
      </c>
      <c r="CUR341" s="288" t="s">
        <v>598</v>
      </c>
      <c r="CUS341" s="288" t="s">
        <v>598</v>
      </c>
      <c r="CUT341" s="288" t="s">
        <v>598</v>
      </c>
      <c r="CUU341" s="288" t="s">
        <v>598</v>
      </c>
      <c r="CUV341" s="288" t="s">
        <v>598</v>
      </c>
      <c r="CUW341" s="288" t="s">
        <v>598</v>
      </c>
      <c r="CUX341" s="288" t="s">
        <v>598</v>
      </c>
      <c r="CUY341" s="288" t="s">
        <v>598</v>
      </c>
      <c r="CUZ341" s="288" t="s">
        <v>598</v>
      </c>
      <c r="CVA341" s="288" t="s">
        <v>598</v>
      </c>
      <c r="CVB341" s="288" t="s">
        <v>598</v>
      </c>
      <c r="CVC341" s="288" t="s">
        <v>598</v>
      </c>
      <c r="CVD341" s="288" t="s">
        <v>598</v>
      </c>
      <c r="CVE341" s="288" t="s">
        <v>598</v>
      </c>
      <c r="CVF341" s="288" t="s">
        <v>598</v>
      </c>
      <c r="CVG341" s="288" t="s">
        <v>598</v>
      </c>
      <c r="CVH341" s="288" t="s">
        <v>598</v>
      </c>
      <c r="CVI341" s="288" t="s">
        <v>598</v>
      </c>
      <c r="CVJ341" s="288" t="s">
        <v>598</v>
      </c>
      <c r="CVK341" s="288" t="s">
        <v>598</v>
      </c>
      <c r="CVL341" s="288" t="s">
        <v>598</v>
      </c>
      <c r="CVM341" s="288" t="s">
        <v>598</v>
      </c>
      <c r="CVN341" s="288" t="s">
        <v>598</v>
      </c>
      <c r="CVO341" s="288" t="s">
        <v>598</v>
      </c>
      <c r="CVP341" s="288" t="s">
        <v>598</v>
      </c>
      <c r="CVQ341" s="288" t="s">
        <v>598</v>
      </c>
      <c r="CVR341" s="288" t="s">
        <v>598</v>
      </c>
      <c r="CVS341" s="288" t="s">
        <v>598</v>
      </c>
      <c r="CVT341" s="288" t="s">
        <v>598</v>
      </c>
      <c r="CVU341" s="288" t="s">
        <v>598</v>
      </c>
      <c r="CVV341" s="288" t="s">
        <v>598</v>
      </c>
      <c r="CVW341" s="288" t="s">
        <v>598</v>
      </c>
      <c r="CVX341" s="288" t="s">
        <v>598</v>
      </c>
      <c r="CVY341" s="288" t="s">
        <v>598</v>
      </c>
      <c r="CVZ341" s="288" t="s">
        <v>598</v>
      </c>
      <c r="CWA341" s="288" t="s">
        <v>598</v>
      </c>
      <c r="CWB341" s="288" t="s">
        <v>598</v>
      </c>
      <c r="CWC341" s="288" t="s">
        <v>598</v>
      </c>
      <c r="CWD341" s="288" t="s">
        <v>598</v>
      </c>
      <c r="CWE341" s="288" t="s">
        <v>598</v>
      </c>
      <c r="CWF341" s="288" t="s">
        <v>598</v>
      </c>
      <c r="CWG341" s="288" t="s">
        <v>598</v>
      </c>
      <c r="CWH341" s="288" t="s">
        <v>598</v>
      </c>
      <c r="CWI341" s="288" t="s">
        <v>598</v>
      </c>
      <c r="CWJ341" s="288" t="s">
        <v>598</v>
      </c>
      <c r="CWK341" s="288" t="s">
        <v>598</v>
      </c>
      <c r="CWL341" s="288" t="s">
        <v>598</v>
      </c>
      <c r="CWM341" s="288" t="s">
        <v>598</v>
      </c>
      <c r="CWN341" s="288" t="s">
        <v>598</v>
      </c>
      <c r="CWO341" s="288" t="s">
        <v>598</v>
      </c>
      <c r="CWP341" s="288" t="s">
        <v>598</v>
      </c>
      <c r="CWQ341" s="288" t="s">
        <v>598</v>
      </c>
      <c r="CWR341" s="288" t="s">
        <v>598</v>
      </c>
      <c r="CWS341" s="288" t="s">
        <v>598</v>
      </c>
      <c r="CWT341" s="288" t="s">
        <v>598</v>
      </c>
      <c r="CWU341" s="288" t="s">
        <v>598</v>
      </c>
      <c r="CWV341" s="288" t="s">
        <v>598</v>
      </c>
      <c r="CWW341" s="288" t="s">
        <v>598</v>
      </c>
      <c r="CWX341" s="288" t="s">
        <v>598</v>
      </c>
      <c r="CWY341" s="288" t="s">
        <v>598</v>
      </c>
      <c r="CWZ341" s="288" t="s">
        <v>598</v>
      </c>
      <c r="CXA341" s="288" t="s">
        <v>598</v>
      </c>
      <c r="CXB341" s="288" t="s">
        <v>598</v>
      </c>
      <c r="CXC341" s="288" t="s">
        <v>598</v>
      </c>
      <c r="CXD341" s="288" t="s">
        <v>598</v>
      </c>
      <c r="CXE341" s="288" t="s">
        <v>598</v>
      </c>
      <c r="CXF341" s="288" t="s">
        <v>598</v>
      </c>
      <c r="CXG341" s="288" t="s">
        <v>598</v>
      </c>
      <c r="CXH341" s="288" t="s">
        <v>598</v>
      </c>
      <c r="CXI341" s="288" t="s">
        <v>598</v>
      </c>
      <c r="CXJ341" s="288" t="s">
        <v>598</v>
      </c>
      <c r="CXK341" s="288" t="s">
        <v>598</v>
      </c>
      <c r="CXL341" s="288" t="s">
        <v>598</v>
      </c>
      <c r="CXM341" s="288" t="s">
        <v>598</v>
      </c>
      <c r="CXN341" s="288" t="s">
        <v>598</v>
      </c>
      <c r="CXO341" s="288" t="s">
        <v>598</v>
      </c>
      <c r="CXP341" s="288" t="s">
        <v>598</v>
      </c>
      <c r="CXQ341" s="288" t="s">
        <v>598</v>
      </c>
      <c r="CXR341" s="288" t="s">
        <v>598</v>
      </c>
      <c r="CXS341" s="288" t="s">
        <v>598</v>
      </c>
      <c r="CXT341" s="288" t="s">
        <v>598</v>
      </c>
      <c r="CXU341" s="288" t="s">
        <v>598</v>
      </c>
      <c r="CXV341" s="288" t="s">
        <v>598</v>
      </c>
      <c r="CXW341" s="288" t="s">
        <v>598</v>
      </c>
      <c r="CXX341" s="288" t="s">
        <v>598</v>
      </c>
      <c r="CXY341" s="288" t="s">
        <v>598</v>
      </c>
      <c r="CXZ341" s="288" t="s">
        <v>598</v>
      </c>
      <c r="CYA341" s="288" t="s">
        <v>598</v>
      </c>
      <c r="CYB341" s="288" t="s">
        <v>598</v>
      </c>
      <c r="CYC341" s="288" t="s">
        <v>598</v>
      </c>
      <c r="CYD341" s="288" t="s">
        <v>598</v>
      </c>
      <c r="CYE341" s="288" t="s">
        <v>598</v>
      </c>
      <c r="CYF341" s="288" t="s">
        <v>598</v>
      </c>
      <c r="CYG341" s="288" t="s">
        <v>598</v>
      </c>
      <c r="CYH341" s="288" t="s">
        <v>598</v>
      </c>
      <c r="CYI341" s="288" t="s">
        <v>598</v>
      </c>
      <c r="CYJ341" s="288" t="s">
        <v>598</v>
      </c>
      <c r="CYK341" s="288" t="s">
        <v>598</v>
      </c>
      <c r="CYL341" s="288" t="s">
        <v>598</v>
      </c>
      <c r="CYM341" s="288" t="s">
        <v>598</v>
      </c>
      <c r="CYN341" s="288" t="s">
        <v>598</v>
      </c>
      <c r="CYO341" s="288" t="s">
        <v>598</v>
      </c>
      <c r="CYP341" s="288" t="s">
        <v>598</v>
      </c>
      <c r="CYQ341" s="288" t="s">
        <v>598</v>
      </c>
      <c r="CYR341" s="288" t="s">
        <v>598</v>
      </c>
      <c r="CYS341" s="288" t="s">
        <v>598</v>
      </c>
      <c r="CYT341" s="288" t="s">
        <v>598</v>
      </c>
      <c r="CYU341" s="288" t="s">
        <v>598</v>
      </c>
      <c r="CYV341" s="288" t="s">
        <v>598</v>
      </c>
      <c r="CYW341" s="288" t="s">
        <v>598</v>
      </c>
      <c r="CYX341" s="288" t="s">
        <v>598</v>
      </c>
      <c r="CYY341" s="288" t="s">
        <v>598</v>
      </c>
      <c r="CYZ341" s="288" t="s">
        <v>598</v>
      </c>
      <c r="CZA341" s="288" t="s">
        <v>598</v>
      </c>
      <c r="CZB341" s="288" t="s">
        <v>598</v>
      </c>
      <c r="CZC341" s="288" t="s">
        <v>598</v>
      </c>
      <c r="CZD341" s="288" t="s">
        <v>598</v>
      </c>
      <c r="CZE341" s="288" t="s">
        <v>598</v>
      </c>
      <c r="CZF341" s="288" t="s">
        <v>598</v>
      </c>
      <c r="CZG341" s="288" t="s">
        <v>598</v>
      </c>
      <c r="CZH341" s="288" t="s">
        <v>598</v>
      </c>
      <c r="CZI341" s="288" t="s">
        <v>598</v>
      </c>
      <c r="CZJ341" s="288" t="s">
        <v>598</v>
      </c>
      <c r="CZK341" s="288" t="s">
        <v>598</v>
      </c>
      <c r="CZL341" s="288" t="s">
        <v>598</v>
      </c>
      <c r="CZM341" s="288" t="s">
        <v>598</v>
      </c>
      <c r="CZN341" s="288" t="s">
        <v>598</v>
      </c>
      <c r="CZO341" s="288" t="s">
        <v>598</v>
      </c>
      <c r="CZP341" s="288" t="s">
        <v>598</v>
      </c>
      <c r="CZQ341" s="288" t="s">
        <v>598</v>
      </c>
      <c r="CZR341" s="288" t="s">
        <v>598</v>
      </c>
      <c r="CZS341" s="288" t="s">
        <v>598</v>
      </c>
      <c r="CZT341" s="288" t="s">
        <v>598</v>
      </c>
      <c r="CZU341" s="288" t="s">
        <v>598</v>
      </c>
      <c r="CZV341" s="288" t="s">
        <v>598</v>
      </c>
      <c r="CZW341" s="288" t="s">
        <v>598</v>
      </c>
      <c r="CZX341" s="288" t="s">
        <v>598</v>
      </c>
      <c r="CZY341" s="288" t="s">
        <v>598</v>
      </c>
      <c r="CZZ341" s="288" t="s">
        <v>598</v>
      </c>
      <c r="DAA341" s="288" t="s">
        <v>598</v>
      </c>
      <c r="DAB341" s="288" t="s">
        <v>598</v>
      </c>
      <c r="DAC341" s="288" t="s">
        <v>598</v>
      </c>
      <c r="DAD341" s="288" t="s">
        <v>598</v>
      </c>
      <c r="DAE341" s="288" t="s">
        <v>598</v>
      </c>
      <c r="DAF341" s="288" t="s">
        <v>598</v>
      </c>
      <c r="DAG341" s="288" t="s">
        <v>598</v>
      </c>
      <c r="DAH341" s="288" t="s">
        <v>598</v>
      </c>
      <c r="DAI341" s="288" t="s">
        <v>598</v>
      </c>
      <c r="DAJ341" s="288" t="s">
        <v>598</v>
      </c>
      <c r="DAK341" s="288" t="s">
        <v>598</v>
      </c>
      <c r="DAL341" s="288" t="s">
        <v>598</v>
      </c>
      <c r="DAM341" s="288" t="s">
        <v>598</v>
      </c>
      <c r="DAN341" s="288" t="s">
        <v>598</v>
      </c>
      <c r="DAO341" s="288" t="s">
        <v>598</v>
      </c>
      <c r="DAP341" s="288" t="s">
        <v>598</v>
      </c>
      <c r="DAQ341" s="288" t="s">
        <v>598</v>
      </c>
      <c r="DAR341" s="288" t="s">
        <v>598</v>
      </c>
      <c r="DAS341" s="288" t="s">
        <v>598</v>
      </c>
      <c r="DAT341" s="288" t="s">
        <v>598</v>
      </c>
      <c r="DAU341" s="288" t="s">
        <v>598</v>
      </c>
      <c r="DAV341" s="288" t="s">
        <v>598</v>
      </c>
      <c r="DAW341" s="288" t="s">
        <v>598</v>
      </c>
      <c r="DAX341" s="288" t="s">
        <v>598</v>
      </c>
      <c r="DAY341" s="288" t="s">
        <v>598</v>
      </c>
      <c r="DAZ341" s="288" t="s">
        <v>598</v>
      </c>
      <c r="DBA341" s="288" t="s">
        <v>598</v>
      </c>
      <c r="DBB341" s="288" t="s">
        <v>598</v>
      </c>
      <c r="DBC341" s="288" t="s">
        <v>598</v>
      </c>
      <c r="DBD341" s="288" t="s">
        <v>598</v>
      </c>
      <c r="DBE341" s="288" t="s">
        <v>598</v>
      </c>
      <c r="DBF341" s="288" t="s">
        <v>598</v>
      </c>
      <c r="DBG341" s="288" t="s">
        <v>598</v>
      </c>
      <c r="DBH341" s="288" t="s">
        <v>598</v>
      </c>
      <c r="DBI341" s="288" t="s">
        <v>598</v>
      </c>
      <c r="DBJ341" s="288" t="s">
        <v>598</v>
      </c>
      <c r="DBK341" s="288" t="s">
        <v>598</v>
      </c>
      <c r="DBL341" s="288" t="s">
        <v>598</v>
      </c>
      <c r="DBM341" s="288" t="s">
        <v>598</v>
      </c>
      <c r="DBN341" s="288" t="s">
        <v>598</v>
      </c>
      <c r="DBO341" s="288" t="s">
        <v>598</v>
      </c>
      <c r="DBP341" s="288" t="s">
        <v>598</v>
      </c>
      <c r="DBQ341" s="288" t="s">
        <v>598</v>
      </c>
      <c r="DBR341" s="288" t="s">
        <v>598</v>
      </c>
      <c r="DBS341" s="288" t="s">
        <v>598</v>
      </c>
      <c r="DBT341" s="288" t="s">
        <v>598</v>
      </c>
      <c r="DBU341" s="288" t="s">
        <v>598</v>
      </c>
      <c r="DBV341" s="288" t="s">
        <v>598</v>
      </c>
      <c r="DBW341" s="288" t="s">
        <v>598</v>
      </c>
      <c r="DBX341" s="288" t="s">
        <v>598</v>
      </c>
      <c r="DBY341" s="288" t="s">
        <v>598</v>
      </c>
      <c r="DBZ341" s="288" t="s">
        <v>598</v>
      </c>
      <c r="DCA341" s="288" t="s">
        <v>598</v>
      </c>
      <c r="DCB341" s="288" t="s">
        <v>598</v>
      </c>
      <c r="DCC341" s="288" t="s">
        <v>598</v>
      </c>
      <c r="DCD341" s="288" t="s">
        <v>598</v>
      </c>
      <c r="DCE341" s="288" t="s">
        <v>598</v>
      </c>
      <c r="DCF341" s="288" t="s">
        <v>598</v>
      </c>
      <c r="DCG341" s="288" t="s">
        <v>598</v>
      </c>
      <c r="DCH341" s="288" t="s">
        <v>598</v>
      </c>
      <c r="DCI341" s="288" t="s">
        <v>598</v>
      </c>
      <c r="DCJ341" s="288" t="s">
        <v>598</v>
      </c>
      <c r="DCK341" s="288" t="s">
        <v>598</v>
      </c>
      <c r="DCL341" s="288" t="s">
        <v>598</v>
      </c>
      <c r="DCM341" s="288" t="s">
        <v>598</v>
      </c>
      <c r="DCN341" s="288" t="s">
        <v>598</v>
      </c>
      <c r="DCO341" s="288" t="s">
        <v>598</v>
      </c>
      <c r="DCP341" s="288" t="s">
        <v>598</v>
      </c>
      <c r="DCQ341" s="288" t="s">
        <v>598</v>
      </c>
      <c r="DCR341" s="288" t="s">
        <v>598</v>
      </c>
      <c r="DCS341" s="288" t="s">
        <v>598</v>
      </c>
      <c r="DCT341" s="288" t="s">
        <v>598</v>
      </c>
      <c r="DCU341" s="288" t="s">
        <v>598</v>
      </c>
      <c r="DCV341" s="288" t="s">
        <v>598</v>
      </c>
      <c r="DCW341" s="288" t="s">
        <v>598</v>
      </c>
      <c r="DCX341" s="288" t="s">
        <v>598</v>
      </c>
      <c r="DCY341" s="288" t="s">
        <v>598</v>
      </c>
      <c r="DCZ341" s="288" t="s">
        <v>598</v>
      </c>
      <c r="DDA341" s="288" t="s">
        <v>598</v>
      </c>
      <c r="DDB341" s="288" t="s">
        <v>598</v>
      </c>
      <c r="DDC341" s="288" t="s">
        <v>598</v>
      </c>
      <c r="DDD341" s="288" t="s">
        <v>598</v>
      </c>
      <c r="DDE341" s="288" t="s">
        <v>598</v>
      </c>
      <c r="DDF341" s="288" t="s">
        <v>598</v>
      </c>
      <c r="DDG341" s="288" t="s">
        <v>598</v>
      </c>
      <c r="DDH341" s="288" t="s">
        <v>598</v>
      </c>
      <c r="DDI341" s="288" t="s">
        <v>598</v>
      </c>
      <c r="DDJ341" s="288" t="s">
        <v>598</v>
      </c>
      <c r="DDK341" s="288" t="s">
        <v>598</v>
      </c>
      <c r="DDL341" s="288" t="s">
        <v>598</v>
      </c>
      <c r="DDM341" s="288" t="s">
        <v>598</v>
      </c>
      <c r="DDN341" s="288" t="s">
        <v>598</v>
      </c>
      <c r="DDO341" s="288" t="s">
        <v>598</v>
      </c>
      <c r="DDP341" s="288" t="s">
        <v>598</v>
      </c>
      <c r="DDQ341" s="288" t="s">
        <v>598</v>
      </c>
      <c r="DDR341" s="288" t="s">
        <v>598</v>
      </c>
      <c r="DDS341" s="288" t="s">
        <v>598</v>
      </c>
      <c r="DDT341" s="288" t="s">
        <v>598</v>
      </c>
      <c r="DDU341" s="288" t="s">
        <v>598</v>
      </c>
      <c r="DDV341" s="288" t="s">
        <v>598</v>
      </c>
      <c r="DDW341" s="288" t="s">
        <v>598</v>
      </c>
      <c r="DDX341" s="288" t="s">
        <v>598</v>
      </c>
      <c r="DDY341" s="288" t="s">
        <v>598</v>
      </c>
      <c r="DDZ341" s="288" t="s">
        <v>598</v>
      </c>
      <c r="DEA341" s="288" t="s">
        <v>598</v>
      </c>
      <c r="DEB341" s="288" t="s">
        <v>598</v>
      </c>
      <c r="DEC341" s="288" t="s">
        <v>598</v>
      </c>
      <c r="DED341" s="288" t="s">
        <v>598</v>
      </c>
      <c r="DEE341" s="288" t="s">
        <v>598</v>
      </c>
      <c r="DEF341" s="288" t="s">
        <v>598</v>
      </c>
      <c r="DEG341" s="288" t="s">
        <v>598</v>
      </c>
      <c r="DEH341" s="288" t="s">
        <v>598</v>
      </c>
      <c r="DEI341" s="288" t="s">
        <v>598</v>
      </c>
      <c r="DEJ341" s="288" t="s">
        <v>598</v>
      </c>
      <c r="DEK341" s="288" t="s">
        <v>598</v>
      </c>
      <c r="DEL341" s="288" t="s">
        <v>598</v>
      </c>
      <c r="DEM341" s="288" t="s">
        <v>598</v>
      </c>
      <c r="DEN341" s="288" t="s">
        <v>598</v>
      </c>
      <c r="DEO341" s="288" t="s">
        <v>598</v>
      </c>
      <c r="DEP341" s="288" t="s">
        <v>598</v>
      </c>
      <c r="DEQ341" s="288" t="s">
        <v>598</v>
      </c>
      <c r="DER341" s="288" t="s">
        <v>598</v>
      </c>
      <c r="DES341" s="288" t="s">
        <v>598</v>
      </c>
      <c r="DET341" s="288" t="s">
        <v>598</v>
      </c>
      <c r="DEU341" s="288" t="s">
        <v>598</v>
      </c>
      <c r="DEV341" s="288" t="s">
        <v>598</v>
      </c>
      <c r="DEW341" s="288" t="s">
        <v>598</v>
      </c>
      <c r="DEX341" s="288" t="s">
        <v>598</v>
      </c>
      <c r="DEY341" s="288" t="s">
        <v>598</v>
      </c>
      <c r="DEZ341" s="288" t="s">
        <v>598</v>
      </c>
      <c r="DFA341" s="288" t="s">
        <v>598</v>
      </c>
      <c r="DFB341" s="288" t="s">
        <v>598</v>
      </c>
      <c r="DFC341" s="288" t="s">
        <v>598</v>
      </c>
      <c r="DFD341" s="288" t="s">
        <v>598</v>
      </c>
      <c r="DFE341" s="288" t="s">
        <v>598</v>
      </c>
      <c r="DFF341" s="288" t="s">
        <v>598</v>
      </c>
      <c r="DFG341" s="288" t="s">
        <v>598</v>
      </c>
      <c r="DFH341" s="288" t="s">
        <v>598</v>
      </c>
      <c r="DFI341" s="288" t="s">
        <v>598</v>
      </c>
      <c r="DFJ341" s="288" t="s">
        <v>598</v>
      </c>
      <c r="DFK341" s="288" t="s">
        <v>598</v>
      </c>
      <c r="DFL341" s="288" t="s">
        <v>598</v>
      </c>
      <c r="DFM341" s="288" t="s">
        <v>598</v>
      </c>
      <c r="DFN341" s="288" t="s">
        <v>598</v>
      </c>
      <c r="DFO341" s="288" t="s">
        <v>598</v>
      </c>
      <c r="DFP341" s="288" t="s">
        <v>598</v>
      </c>
      <c r="DFQ341" s="288" t="s">
        <v>598</v>
      </c>
      <c r="DFR341" s="288" t="s">
        <v>598</v>
      </c>
      <c r="DFS341" s="288" t="s">
        <v>598</v>
      </c>
      <c r="DFT341" s="288" t="s">
        <v>598</v>
      </c>
      <c r="DFU341" s="288" t="s">
        <v>598</v>
      </c>
      <c r="DFV341" s="288" t="s">
        <v>598</v>
      </c>
      <c r="DFW341" s="288" t="s">
        <v>598</v>
      </c>
      <c r="DFX341" s="288" t="s">
        <v>598</v>
      </c>
      <c r="DFY341" s="288" t="s">
        <v>598</v>
      </c>
      <c r="DFZ341" s="288" t="s">
        <v>598</v>
      </c>
      <c r="DGA341" s="288" t="s">
        <v>598</v>
      </c>
      <c r="DGB341" s="288" t="s">
        <v>598</v>
      </c>
      <c r="DGC341" s="288" t="s">
        <v>598</v>
      </c>
      <c r="DGD341" s="288" t="s">
        <v>598</v>
      </c>
      <c r="DGE341" s="288" t="s">
        <v>598</v>
      </c>
      <c r="DGF341" s="288" t="s">
        <v>598</v>
      </c>
      <c r="DGG341" s="288" t="s">
        <v>598</v>
      </c>
      <c r="DGH341" s="288" t="s">
        <v>598</v>
      </c>
      <c r="DGI341" s="288" t="s">
        <v>598</v>
      </c>
      <c r="DGJ341" s="288" t="s">
        <v>598</v>
      </c>
      <c r="DGK341" s="288" t="s">
        <v>598</v>
      </c>
      <c r="DGL341" s="288" t="s">
        <v>598</v>
      </c>
      <c r="DGM341" s="288" t="s">
        <v>598</v>
      </c>
      <c r="DGN341" s="288" t="s">
        <v>598</v>
      </c>
      <c r="DGO341" s="288" t="s">
        <v>598</v>
      </c>
      <c r="DGP341" s="288" t="s">
        <v>598</v>
      </c>
      <c r="DGQ341" s="288" t="s">
        <v>598</v>
      </c>
      <c r="DGR341" s="288" t="s">
        <v>598</v>
      </c>
      <c r="DGS341" s="288" t="s">
        <v>598</v>
      </c>
      <c r="DGT341" s="288" t="s">
        <v>598</v>
      </c>
      <c r="DGU341" s="288" t="s">
        <v>598</v>
      </c>
      <c r="DGV341" s="288" t="s">
        <v>598</v>
      </c>
      <c r="DGW341" s="288" t="s">
        <v>598</v>
      </c>
      <c r="DGX341" s="288" t="s">
        <v>598</v>
      </c>
      <c r="DGY341" s="288" t="s">
        <v>598</v>
      </c>
      <c r="DGZ341" s="288" t="s">
        <v>598</v>
      </c>
      <c r="DHA341" s="288" t="s">
        <v>598</v>
      </c>
      <c r="DHB341" s="288" t="s">
        <v>598</v>
      </c>
      <c r="DHC341" s="288" t="s">
        <v>598</v>
      </c>
      <c r="DHD341" s="288" t="s">
        <v>598</v>
      </c>
      <c r="DHE341" s="288" t="s">
        <v>598</v>
      </c>
      <c r="DHF341" s="288" t="s">
        <v>598</v>
      </c>
      <c r="DHG341" s="288" t="s">
        <v>598</v>
      </c>
      <c r="DHH341" s="288" t="s">
        <v>598</v>
      </c>
      <c r="DHI341" s="288" t="s">
        <v>598</v>
      </c>
      <c r="DHJ341" s="288" t="s">
        <v>598</v>
      </c>
      <c r="DHK341" s="288" t="s">
        <v>598</v>
      </c>
      <c r="DHL341" s="288" t="s">
        <v>598</v>
      </c>
      <c r="DHM341" s="288" t="s">
        <v>598</v>
      </c>
      <c r="DHN341" s="288" t="s">
        <v>598</v>
      </c>
      <c r="DHO341" s="288" t="s">
        <v>598</v>
      </c>
      <c r="DHP341" s="288" t="s">
        <v>598</v>
      </c>
      <c r="DHQ341" s="288" t="s">
        <v>598</v>
      </c>
      <c r="DHR341" s="288" t="s">
        <v>598</v>
      </c>
      <c r="DHS341" s="288" t="s">
        <v>598</v>
      </c>
      <c r="DHT341" s="288" t="s">
        <v>598</v>
      </c>
      <c r="DHU341" s="288" t="s">
        <v>598</v>
      </c>
      <c r="DHV341" s="288" t="s">
        <v>598</v>
      </c>
      <c r="DHW341" s="288" t="s">
        <v>598</v>
      </c>
      <c r="DHX341" s="288" t="s">
        <v>598</v>
      </c>
      <c r="DHY341" s="288" t="s">
        <v>598</v>
      </c>
      <c r="DHZ341" s="288" t="s">
        <v>598</v>
      </c>
      <c r="DIA341" s="288" t="s">
        <v>598</v>
      </c>
      <c r="DIB341" s="288" t="s">
        <v>598</v>
      </c>
      <c r="DIC341" s="288" t="s">
        <v>598</v>
      </c>
      <c r="DID341" s="288" t="s">
        <v>598</v>
      </c>
      <c r="DIE341" s="288" t="s">
        <v>598</v>
      </c>
      <c r="DIF341" s="288" t="s">
        <v>598</v>
      </c>
      <c r="DIG341" s="288" t="s">
        <v>598</v>
      </c>
      <c r="DIH341" s="288" t="s">
        <v>598</v>
      </c>
      <c r="DII341" s="288" t="s">
        <v>598</v>
      </c>
      <c r="DIJ341" s="288" t="s">
        <v>598</v>
      </c>
      <c r="DIK341" s="288" t="s">
        <v>598</v>
      </c>
      <c r="DIL341" s="288" t="s">
        <v>598</v>
      </c>
      <c r="DIM341" s="288" t="s">
        <v>598</v>
      </c>
      <c r="DIN341" s="288" t="s">
        <v>598</v>
      </c>
      <c r="DIO341" s="288" t="s">
        <v>598</v>
      </c>
      <c r="DIP341" s="288" t="s">
        <v>598</v>
      </c>
      <c r="DIQ341" s="288" t="s">
        <v>598</v>
      </c>
      <c r="DIR341" s="288" t="s">
        <v>598</v>
      </c>
      <c r="DIS341" s="288" t="s">
        <v>598</v>
      </c>
      <c r="DIT341" s="288" t="s">
        <v>598</v>
      </c>
      <c r="DIU341" s="288" t="s">
        <v>598</v>
      </c>
      <c r="DIV341" s="288" t="s">
        <v>598</v>
      </c>
      <c r="DIW341" s="288" t="s">
        <v>598</v>
      </c>
      <c r="DIX341" s="288" t="s">
        <v>598</v>
      </c>
      <c r="DIY341" s="288" t="s">
        <v>598</v>
      </c>
      <c r="DIZ341" s="288" t="s">
        <v>598</v>
      </c>
      <c r="DJA341" s="288" t="s">
        <v>598</v>
      </c>
      <c r="DJB341" s="288" t="s">
        <v>598</v>
      </c>
      <c r="DJC341" s="288" t="s">
        <v>598</v>
      </c>
      <c r="DJD341" s="288" t="s">
        <v>598</v>
      </c>
      <c r="DJE341" s="288" t="s">
        <v>598</v>
      </c>
      <c r="DJF341" s="288" t="s">
        <v>598</v>
      </c>
      <c r="DJG341" s="288" t="s">
        <v>598</v>
      </c>
      <c r="DJH341" s="288" t="s">
        <v>598</v>
      </c>
      <c r="DJI341" s="288" t="s">
        <v>598</v>
      </c>
      <c r="DJJ341" s="288" t="s">
        <v>598</v>
      </c>
      <c r="DJK341" s="288" t="s">
        <v>598</v>
      </c>
      <c r="DJL341" s="288" t="s">
        <v>598</v>
      </c>
      <c r="DJM341" s="288" t="s">
        <v>598</v>
      </c>
      <c r="DJN341" s="288" t="s">
        <v>598</v>
      </c>
      <c r="DJO341" s="288" t="s">
        <v>598</v>
      </c>
      <c r="DJP341" s="288" t="s">
        <v>598</v>
      </c>
      <c r="DJQ341" s="288" t="s">
        <v>598</v>
      </c>
      <c r="DJR341" s="288" t="s">
        <v>598</v>
      </c>
      <c r="DJS341" s="288" t="s">
        <v>598</v>
      </c>
      <c r="DJT341" s="288" t="s">
        <v>598</v>
      </c>
      <c r="DJU341" s="288" t="s">
        <v>598</v>
      </c>
      <c r="DJV341" s="288" t="s">
        <v>598</v>
      </c>
      <c r="DJW341" s="288" t="s">
        <v>598</v>
      </c>
      <c r="DJX341" s="288" t="s">
        <v>598</v>
      </c>
      <c r="DJY341" s="288" t="s">
        <v>598</v>
      </c>
      <c r="DJZ341" s="288" t="s">
        <v>598</v>
      </c>
      <c r="DKA341" s="288" t="s">
        <v>598</v>
      </c>
      <c r="DKB341" s="288" t="s">
        <v>598</v>
      </c>
      <c r="DKC341" s="288" t="s">
        <v>598</v>
      </c>
      <c r="DKD341" s="288" t="s">
        <v>598</v>
      </c>
      <c r="DKE341" s="288" t="s">
        <v>598</v>
      </c>
      <c r="DKF341" s="288" t="s">
        <v>598</v>
      </c>
      <c r="DKG341" s="288" t="s">
        <v>598</v>
      </c>
      <c r="DKH341" s="288" t="s">
        <v>598</v>
      </c>
      <c r="DKI341" s="288" t="s">
        <v>598</v>
      </c>
      <c r="DKJ341" s="288" t="s">
        <v>598</v>
      </c>
      <c r="DKK341" s="288" t="s">
        <v>598</v>
      </c>
      <c r="DKL341" s="288" t="s">
        <v>598</v>
      </c>
      <c r="DKM341" s="288" t="s">
        <v>598</v>
      </c>
      <c r="DKN341" s="288" t="s">
        <v>598</v>
      </c>
      <c r="DKO341" s="288" t="s">
        <v>598</v>
      </c>
      <c r="DKP341" s="288" t="s">
        <v>598</v>
      </c>
      <c r="DKQ341" s="288" t="s">
        <v>598</v>
      </c>
      <c r="DKR341" s="288" t="s">
        <v>598</v>
      </c>
      <c r="DKS341" s="288" t="s">
        <v>598</v>
      </c>
      <c r="DKT341" s="288" t="s">
        <v>598</v>
      </c>
      <c r="DKU341" s="288" t="s">
        <v>598</v>
      </c>
      <c r="DKV341" s="288" t="s">
        <v>598</v>
      </c>
      <c r="DKW341" s="288" t="s">
        <v>598</v>
      </c>
      <c r="DKX341" s="288" t="s">
        <v>598</v>
      </c>
      <c r="DKY341" s="288" t="s">
        <v>598</v>
      </c>
      <c r="DKZ341" s="288" t="s">
        <v>598</v>
      </c>
      <c r="DLA341" s="288" t="s">
        <v>598</v>
      </c>
      <c r="DLB341" s="288" t="s">
        <v>598</v>
      </c>
      <c r="DLC341" s="288" t="s">
        <v>598</v>
      </c>
      <c r="DLD341" s="288" t="s">
        <v>598</v>
      </c>
      <c r="DLE341" s="288" t="s">
        <v>598</v>
      </c>
      <c r="DLF341" s="288" t="s">
        <v>598</v>
      </c>
      <c r="DLG341" s="288" t="s">
        <v>598</v>
      </c>
      <c r="DLH341" s="288" t="s">
        <v>598</v>
      </c>
      <c r="DLI341" s="288" t="s">
        <v>598</v>
      </c>
      <c r="DLJ341" s="288" t="s">
        <v>598</v>
      </c>
      <c r="DLK341" s="288" t="s">
        <v>598</v>
      </c>
      <c r="DLL341" s="288" t="s">
        <v>598</v>
      </c>
      <c r="DLM341" s="288" t="s">
        <v>598</v>
      </c>
      <c r="DLN341" s="288" t="s">
        <v>598</v>
      </c>
      <c r="DLO341" s="288" t="s">
        <v>598</v>
      </c>
      <c r="DLP341" s="288" t="s">
        <v>598</v>
      </c>
      <c r="DLQ341" s="288" t="s">
        <v>598</v>
      </c>
      <c r="DLR341" s="288" t="s">
        <v>598</v>
      </c>
      <c r="DLS341" s="288" t="s">
        <v>598</v>
      </c>
      <c r="DLT341" s="288" t="s">
        <v>598</v>
      </c>
      <c r="DLU341" s="288" t="s">
        <v>598</v>
      </c>
      <c r="DLV341" s="288" t="s">
        <v>598</v>
      </c>
      <c r="DLW341" s="288" t="s">
        <v>598</v>
      </c>
      <c r="DLX341" s="288" t="s">
        <v>598</v>
      </c>
      <c r="DLY341" s="288" t="s">
        <v>598</v>
      </c>
      <c r="DLZ341" s="288" t="s">
        <v>598</v>
      </c>
      <c r="DMA341" s="288" t="s">
        <v>598</v>
      </c>
      <c r="DMB341" s="288" t="s">
        <v>598</v>
      </c>
      <c r="DMC341" s="288" t="s">
        <v>598</v>
      </c>
      <c r="DMD341" s="288" t="s">
        <v>598</v>
      </c>
      <c r="DME341" s="288" t="s">
        <v>598</v>
      </c>
      <c r="DMF341" s="288" t="s">
        <v>598</v>
      </c>
      <c r="DMG341" s="288" t="s">
        <v>598</v>
      </c>
      <c r="DMH341" s="288" t="s">
        <v>598</v>
      </c>
      <c r="DMI341" s="288" t="s">
        <v>598</v>
      </c>
      <c r="DMJ341" s="288" t="s">
        <v>598</v>
      </c>
      <c r="DMK341" s="288" t="s">
        <v>598</v>
      </c>
      <c r="DML341" s="288" t="s">
        <v>598</v>
      </c>
      <c r="DMM341" s="288" t="s">
        <v>598</v>
      </c>
      <c r="DMN341" s="288" t="s">
        <v>598</v>
      </c>
      <c r="DMO341" s="288" t="s">
        <v>598</v>
      </c>
      <c r="DMP341" s="288" t="s">
        <v>598</v>
      </c>
      <c r="DMQ341" s="288" t="s">
        <v>598</v>
      </c>
      <c r="DMR341" s="288" t="s">
        <v>598</v>
      </c>
      <c r="DMS341" s="288" t="s">
        <v>598</v>
      </c>
      <c r="DMT341" s="288" t="s">
        <v>598</v>
      </c>
      <c r="DMU341" s="288" t="s">
        <v>598</v>
      </c>
      <c r="DMV341" s="288" t="s">
        <v>598</v>
      </c>
      <c r="DMW341" s="288" t="s">
        <v>598</v>
      </c>
      <c r="DMX341" s="288" t="s">
        <v>598</v>
      </c>
      <c r="DMY341" s="288" t="s">
        <v>598</v>
      </c>
      <c r="DMZ341" s="288" t="s">
        <v>598</v>
      </c>
      <c r="DNA341" s="288" t="s">
        <v>598</v>
      </c>
      <c r="DNB341" s="288" t="s">
        <v>598</v>
      </c>
      <c r="DNC341" s="288" t="s">
        <v>598</v>
      </c>
      <c r="DND341" s="288" t="s">
        <v>598</v>
      </c>
      <c r="DNE341" s="288" t="s">
        <v>598</v>
      </c>
      <c r="DNF341" s="288" t="s">
        <v>598</v>
      </c>
      <c r="DNG341" s="288" t="s">
        <v>598</v>
      </c>
      <c r="DNH341" s="288" t="s">
        <v>598</v>
      </c>
      <c r="DNI341" s="288" t="s">
        <v>598</v>
      </c>
      <c r="DNJ341" s="288" t="s">
        <v>598</v>
      </c>
      <c r="DNK341" s="288" t="s">
        <v>598</v>
      </c>
      <c r="DNL341" s="288" t="s">
        <v>598</v>
      </c>
      <c r="DNM341" s="288" t="s">
        <v>598</v>
      </c>
      <c r="DNN341" s="288" t="s">
        <v>598</v>
      </c>
      <c r="DNO341" s="288" t="s">
        <v>598</v>
      </c>
      <c r="DNP341" s="288" t="s">
        <v>598</v>
      </c>
      <c r="DNQ341" s="288" t="s">
        <v>598</v>
      </c>
      <c r="DNR341" s="288" t="s">
        <v>598</v>
      </c>
      <c r="DNS341" s="288" t="s">
        <v>598</v>
      </c>
      <c r="DNT341" s="288" t="s">
        <v>598</v>
      </c>
      <c r="DNU341" s="288" t="s">
        <v>598</v>
      </c>
      <c r="DNV341" s="288" t="s">
        <v>598</v>
      </c>
      <c r="DNW341" s="288" t="s">
        <v>598</v>
      </c>
      <c r="DNX341" s="288" t="s">
        <v>598</v>
      </c>
      <c r="DNY341" s="288" t="s">
        <v>598</v>
      </c>
      <c r="DNZ341" s="288" t="s">
        <v>598</v>
      </c>
      <c r="DOA341" s="288" t="s">
        <v>598</v>
      </c>
      <c r="DOB341" s="288" t="s">
        <v>598</v>
      </c>
      <c r="DOC341" s="288" t="s">
        <v>598</v>
      </c>
      <c r="DOD341" s="288" t="s">
        <v>598</v>
      </c>
      <c r="DOE341" s="288" t="s">
        <v>598</v>
      </c>
      <c r="DOF341" s="288" t="s">
        <v>598</v>
      </c>
      <c r="DOG341" s="288" t="s">
        <v>598</v>
      </c>
      <c r="DOH341" s="288" t="s">
        <v>598</v>
      </c>
      <c r="DOI341" s="288" t="s">
        <v>598</v>
      </c>
      <c r="DOJ341" s="288" t="s">
        <v>598</v>
      </c>
      <c r="DOK341" s="288" t="s">
        <v>598</v>
      </c>
      <c r="DOL341" s="288" t="s">
        <v>598</v>
      </c>
      <c r="DOM341" s="288" t="s">
        <v>598</v>
      </c>
      <c r="DON341" s="288" t="s">
        <v>598</v>
      </c>
      <c r="DOO341" s="288" t="s">
        <v>598</v>
      </c>
      <c r="DOP341" s="288" t="s">
        <v>598</v>
      </c>
      <c r="DOQ341" s="288" t="s">
        <v>598</v>
      </c>
      <c r="DOR341" s="288" t="s">
        <v>598</v>
      </c>
      <c r="DOS341" s="288" t="s">
        <v>598</v>
      </c>
      <c r="DOT341" s="288" t="s">
        <v>598</v>
      </c>
      <c r="DOU341" s="288" t="s">
        <v>598</v>
      </c>
      <c r="DOV341" s="288" t="s">
        <v>598</v>
      </c>
      <c r="DOW341" s="288" t="s">
        <v>598</v>
      </c>
      <c r="DOX341" s="288" t="s">
        <v>598</v>
      </c>
      <c r="DOY341" s="288" t="s">
        <v>598</v>
      </c>
      <c r="DOZ341" s="288" t="s">
        <v>598</v>
      </c>
      <c r="DPA341" s="288" t="s">
        <v>598</v>
      </c>
      <c r="DPB341" s="288" t="s">
        <v>598</v>
      </c>
      <c r="DPC341" s="288" t="s">
        <v>598</v>
      </c>
      <c r="DPD341" s="288" t="s">
        <v>598</v>
      </c>
      <c r="DPE341" s="288" t="s">
        <v>598</v>
      </c>
      <c r="DPF341" s="288" t="s">
        <v>598</v>
      </c>
      <c r="DPG341" s="288" t="s">
        <v>598</v>
      </c>
      <c r="DPH341" s="288" t="s">
        <v>598</v>
      </c>
      <c r="DPI341" s="288" t="s">
        <v>598</v>
      </c>
      <c r="DPJ341" s="288" t="s">
        <v>598</v>
      </c>
      <c r="DPK341" s="288" t="s">
        <v>598</v>
      </c>
      <c r="DPL341" s="288" t="s">
        <v>598</v>
      </c>
      <c r="DPM341" s="288" t="s">
        <v>598</v>
      </c>
      <c r="DPN341" s="288" t="s">
        <v>598</v>
      </c>
      <c r="DPO341" s="288" t="s">
        <v>598</v>
      </c>
      <c r="DPP341" s="288" t="s">
        <v>598</v>
      </c>
      <c r="DPQ341" s="288" t="s">
        <v>598</v>
      </c>
      <c r="DPR341" s="288" t="s">
        <v>598</v>
      </c>
      <c r="DPS341" s="288" t="s">
        <v>598</v>
      </c>
      <c r="DPT341" s="288" t="s">
        <v>598</v>
      </c>
      <c r="DPU341" s="288" t="s">
        <v>598</v>
      </c>
      <c r="DPV341" s="288" t="s">
        <v>598</v>
      </c>
      <c r="DPW341" s="288" t="s">
        <v>598</v>
      </c>
      <c r="DPX341" s="288" t="s">
        <v>598</v>
      </c>
      <c r="DPY341" s="288" t="s">
        <v>598</v>
      </c>
      <c r="DPZ341" s="288" t="s">
        <v>598</v>
      </c>
      <c r="DQA341" s="288" t="s">
        <v>598</v>
      </c>
      <c r="DQB341" s="288" t="s">
        <v>598</v>
      </c>
      <c r="DQC341" s="288" t="s">
        <v>598</v>
      </c>
      <c r="DQD341" s="288" t="s">
        <v>598</v>
      </c>
      <c r="DQE341" s="288" t="s">
        <v>598</v>
      </c>
      <c r="DQF341" s="288" t="s">
        <v>598</v>
      </c>
      <c r="DQG341" s="288" t="s">
        <v>598</v>
      </c>
      <c r="DQH341" s="288" t="s">
        <v>598</v>
      </c>
      <c r="DQI341" s="288" t="s">
        <v>598</v>
      </c>
      <c r="DQJ341" s="288" t="s">
        <v>598</v>
      </c>
      <c r="DQK341" s="288" t="s">
        <v>598</v>
      </c>
      <c r="DQL341" s="288" t="s">
        <v>598</v>
      </c>
      <c r="DQM341" s="288" t="s">
        <v>598</v>
      </c>
      <c r="DQN341" s="288" t="s">
        <v>598</v>
      </c>
      <c r="DQO341" s="288" t="s">
        <v>598</v>
      </c>
      <c r="DQP341" s="288" t="s">
        <v>598</v>
      </c>
      <c r="DQQ341" s="288" t="s">
        <v>598</v>
      </c>
      <c r="DQR341" s="288" t="s">
        <v>598</v>
      </c>
      <c r="DQS341" s="288" t="s">
        <v>598</v>
      </c>
      <c r="DQT341" s="288" t="s">
        <v>598</v>
      </c>
      <c r="DQU341" s="288" t="s">
        <v>598</v>
      </c>
      <c r="DQV341" s="288" t="s">
        <v>598</v>
      </c>
      <c r="DQW341" s="288" t="s">
        <v>598</v>
      </c>
      <c r="DQX341" s="288" t="s">
        <v>598</v>
      </c>
      <c r="DQY341" s="288" t="s">
        <v>598</v>
      </c>
      <c r="DQZ341" s="288" t="s">
        <v>598</v>
      </c>
      <c r="DRA341" s="288" t="s">
        <v>598</v>
      </c>
      <c r="DRB341" s="288" t="s">
        <v>598</v>
      </c>
      <c r="DRC341" s="288" t="s">
        <v>598</v>
      </c>
      <c r="DRD341" s="288" t="s">
        <v>598</v>
      </c>
      <c r="DRE341" s="288" t="s">
        <v>598</v>
      </c>
      <c r="DRF341" s="288" t="s">
        <v>598</v>
      </c>
      <c r="DRG341" s="288" t="s">
        <v>598</v>
      </c>
      <c r="DRH341" s="288" t="s">
        <v>598</v>
      </c>
      <c r="DRI341" s="288" t="s">
        <v>598</v>
      </c>
      <c r="DRJ341" s="288" t="s">
        <v>598</v>
      </c>
      <c r="DRK341" s="288" t="s">
        <v>598</v>
      </c>
      <c r="DRL341" s="288" t="s">
        <v>598</v>
      </c>
      <c r="DRM341" s="288" t="s">
        <v>598</v>
      </c>
      <c r="DRN341" s="288" t="s">
        <v>598</v>
      </c>
      <c r="DRO341" s="288" t="s">
        <v>598</v>
      </c>
      <c r="DRP341" s="288" t="s">
        <v>598</v>
      </c>
      <c r="DRQ341" s="288" t="s">
        <v>598</v>
      </c>
      <c r="DRR341" s="288" t="s">
        <v>598</v>
      </c>
      <c r="DRS341" s="288" t="s">
        <v>598</v>
      </c>
      <c r="DRT341" s="288" t="s">
        <v>598</v>
      </c>
      <c r="DRU341" s="288" t="s">
        <v>598</v>
      </c>
      <c r="DRV341" s="288" t="s">
        <v>598</v>
      </c>
      <c r="DRW341" s="288" t="s">
        <v>598</v>
      </c>
      <c r="DRX341" s="288" t="s">
        <v>598</v>
      </c>
      <c r="DRY341" s="288" t="s">
        <v>598</v>
      </c>
      <c r="DRZ341" s="288" t="s">
        <v>598</v>
      </c>
      <c r="DSA341" s="288" t="s">
        <v>598</v>
      </c>
      <c r="DSB341" s="288" t="s">
        <v>598</v>
      </c>
      <c r="DSC341" s="288" t="s">
        <v>598</v>
      </c>
      <c r="DSD341" s="288" t="s">
        <v>598</v>
      </c>
      <c r="DSE341" s="288" t="s">
        <v>598</v>
      </c>
      <c r="DSF341" s="288" t="s">
        <v>598</v>
      </c>
      <c r="DSG341" s="288" t="s">
        <v>598</v>
      </c>
      <c r="DSH341" s="288" t="s">
        <v>598</v>
      </c>
      <c r="DSI341" s="288" t="s">
        <v>598</v>
      </c>
      <c r="DSJ341" s="288" t="s">
        <v>598</v>
      </c>
      <c r="DSK341" s="288" t="s">
        <v>598</v>
      </c>
      <c r="DSL341" s="288" t="s">
        <v>598</v>
      </c>
      <c r="DSM341" s="288" t="s">
        <v>598</v>
      </c>
      <c r="DSN341" s="288" t="s">
        <v>598</v>
      </c>
      <c r="DSO341" s="288" t="s">
        <v>598</v>
      </c>
      <c r="DSP341" s="288" t="s">
        <v>598</v>
      </c>
      <c r="DSQ341" s="288" t="s">
        <v>598</v>
      </c>
      <c r="DSR341" s="288" t="s">
        <v>598</v>
      </c>
      <c r="DSS341" s="288" t="s">
        <v>598</v>
      </c>
      <c r="DST341" s="288" t="s">
        <v>598</v>
      </c>
      <c r="DSU341" s="288" t="s">
        <v>598</v>
      </c>
      <c r="DSV341" s="288" t="s">
        <v>598</v>
      </c>
      <c r="DSW341" s="288" t="s">
        <v>598</v>
      </c>
      <c r="DSX341" s="288" t="s">
        <v>598</v>
      </c>
      <c r="DSY341" s="288" t="s">
        <v>598</v>
      </c>
      <c r="DSZ341" s="288" t="s">
        <v>598</v>
      </c>
      <c r="DTA341" s="288" t="s">
        <v>598</v>
      </c>
      <c r="DTB341" s="288" t="s">
        <v>598</v>
      </c>
      <c r="DTC341" s="288" t="s">
        <v>598</v>
      </c>
      <c r="DTD341" s="288" t="s">
        <v>598</v>
      </c>
      <c r="DTE341" s="288" t="s">
        <v>598</v>
      </c>
      <c r="DTF341" s="288" t="s">
        <v>598</v>
      </c>
      <c r="DTG341" s="288" t="s">
        <v>598</v>
      </c>
      <c r="DTH341" s="288" t="s">
        <v>598</v>
      </c>
      <c r="DTI341" s="288" t="s">
        <v>598</v>
      </c>
      <c r="DTJ341" s="288" t="s">
        <v>598</v>
      </c>
      <c r="DTK341" s="288" t="s">
        <v>598</v>
      </c>
      <c r="DTL341" s="288" t="s">
        <v>598</v>
      </c>
      <c r="DTM341" s="288" t="s">
        <v>598</v>
      </c>
      <c r="DTN341" s="288" t="s">
        <v>598</v>
      </c>
      <c r="DTO341" s="288" t="s">
        <v>598</v>
      </c>
      <c r="DTP341" s="288" t="s">
        <v>598</v>
      </c>
      <c r="DTQ341" s="288" t="s">
        <v>598</v>
      </c>
      <c r="DTR341" s="288" t="s">
        <v>598</v>
      </c>
      <c r="DTS341" s="288" t="s">
        <v>598</v>
      </c>
      <c r="DTT341" s="288" t="s">
        <v>598</v>
      </c>
      <c r="DTU341" s="288" t="s">
        <v>598</v>
      </c>
      <c r="DTV341" s="288" t="s">
        <v>598</v>
      </c>
      <c r="DTW341" s="288" t="s">
        <v>598</v>
      </c>
      <c r="DTX341" s="288" t="s">
        <v>598</v>
      </c>
      <c r="DTY341" s="288" t="s">
        <v>598</v>
      </c>
      <c r="DTZ341" s="288" t="s">
        <v>598</v>
      </c>
      <c r="DUA341" s="288" t="s">
        <v>598</v>
      </c>
      <c r="DUB341" s="288" t="s">
        <v>598</v>
      </c>
      <c r="DUC341" s="288" t="s">
        <v>598</v>
      </c>
      <c r="DUD341" s="288" t="s">
        <v>598</v>
      </c>
      <c r="DUE341" s="288" t="s">
        <v>598</v>
      </c>
      <c r="DUF341" s="288" t="s">
        <v>598</v>
      </c>
      <c r="DUG341" s="288" t="s">
        <v>598</v>
      </c>
      <c r="DUH341" s="288" t="s">
        <v>598</v>
      </c>
      <c r="DUI341" s="288" t="s">
        <v>598</v>
      </c>
      <c r="DUJ341" s="288" t="s">
        <v>598</v>
      </c>
      <c r="DUK341" s="288" t="s">
        <v>598</v>
      </c>
      <c r="DUL341" s="288" t="s">
        <v>598</v>
      </c>
      <c r="DUM341" s="288" t="s">
        <v>598</v>
      </c>
      <c r="DUN341" s="288" t="s">
        <v>598</v>
      </c>
      <c r="DUO341" s="288" t="s">
        <v>598</v>
      </c>
      <c r="DUP341" s="288" t="s">
        <v>598</v>
      </c>
      <c r="DUQ341" s="288" t="s">
        <v>598</v>
      </c>
      <c r="DUR341" s="288" t="s">
        <v>598</v>
      </c>
      <c r="DUS341" s="288" t="s">
        <v>598</v>
      </c>
      <c r="DUT341" s="288" t="s">
        <v>598</v>
      </c>
      <c r="DUU341" s="288" t="s">
        <v>598</v>
      </c>
      <c r="DUV341" s="288" t="s">
        <v>598</v>
      </c>
      <c r="DUW341" s="288" t="s">
        <v>598</v>
      </c>
      <c r="DUX341" s="288" t="s">
        <v>598</v>
      </c>
      <c r="DUY341" s="288" t="s">
        <v>598</v>
      </c>
      <c r="DUZ341" s="288" t="s">
        <v>598</v>
      </c>
      <c r="DVA341" s="288" t="s">
        <v>598</v>
      </c>
      <c r="DVB341" s="288" t="s">
        <v>598</v>
      </c>
      <c r="DVC341" s="288" t="s">
        <v>598</v>
      </c>
      <c r="DVD341" s="288" t="s">
        <v>598</v>
      </c>
      <c r="DVE341" s="288" t="s">
        <v>598</v>
      </c>
      <c r="DVF341" s="288" t="s">
        <v>598</v>
      </c>
      <c r="DVG341" s="288" t="s">
        <v>598</v>
      </c>
      <c r="DVH341" s="288" t="s">
        <v>598</v>
      </c>
      <c r="DVI341" s="288" t="s">
        <v>598</v>
      </c>
      <c r="DVJ341" s="288" t="s">
        <v>598</v>
      </c>
      <c r="DVK341" s="288" t="s">
        <v>598</v>
      </c>
      <c r="DVL341" s="288" t="s">
        <v>598</v>
      </c>
      <c r="DVM341" s="288" t="s">
        <v>598</v>
      </c>
      <c r="DVN341" s="288" t="s">
        <v>598</v>
      </c>
      <c r="DVO341" s="288" t="s">
        <v>598</v>
      </c>
      <c r="DVP341" s="288" t="s">
        <v>598</v>
      </c>
      <c r="DVQ341" s="288" t="s">
        <v>598</v>
      </c>
      <c r="DVR341" s="288" t="s">
        <v>598</v>
      </c>
      <c r="DVS341" s="288" t="s">
        <v>598</v>
      </c>
      <c r="DVT341" s="288" t="s">
        <v>598</v>
      </c>
      <c r="DVU341" s="288" t="s">
        <v>598</v>
      </c>
      <c r="DVV341" s="288" t="s">
        <v>598</v>
      </c>
      <c r="DVW341" s="288" t="s">
        <v>598</v>
      </c>
      <c r="DVX341" s="288" t="s">
        <v>598</v>
      </c>
      <c r="DVY341" s="288" t="s">
        <v>598</v>
      </c>
      <c r="DVZ341" s="288" t="s">
        <v>598</v>
      </c>
      <c r="DWA341" s="288" t="s">
        <v>598</v>
      </c>
      <c r="DWB341" s="288" t="s">
        <v>598</v>
      </c>
      <c r="DWC341" s="288" t="s">
        <v>598</v>
      </c>
      <c r="DWD341" s="288" t="s">
        <v>598</v>
      </c>
      <c r="DWE341" s="288" t="s">
        <v>598</v>
      </c>
      <c r="DWF341" s="288" t="s">
        <v>598</v>
      </c>
      <c r="DWG341" s="288" t="s">
        <v>598</v>
      </c>
      <c r="DWH341" s="288" t="s">
        <v>598</v>
      </c>
      <c r="DWI341" s="288" t="s">
        <v>598</v>
      </c>
      <c r="DWJ341" s="288" t="s">
        <v>598</v>
      </c>
      <c r="DWK341" s="288" t="s">
        <v>598</v>
      </c>
      <c r="DWL341" s="288" t="s">
        <v>598</v>
      </c>
      <c r="DWM341" s="288" t="s">
        <v>598</v>
      </c>
      <c r="DWN341" s="288" t="s">
        <v>598</v>
      </c>
      <c r="DWO341" s="288" t="s">
        <v>598</v>
      </c>
      <c r="DWP341" s="288" t="s">
        <v>598</v>
      </c>
      <c r="DWQ341" s="288" t="s">
        <v>598</v>
      </c>
      <c r="DWR341" s="288" t="s">
        <v>598</v>
      </c>
      <c r="DWS341" s="288" t="s">
        <v>598</v>
      </c>
      <c r="DWT341" s="288" t="s">
        <v>598</v>
      </c>
      <c r="DWU341" s="288" t="s">
        <v>598</v>
      </c>
      <c r="DWV341" s="288" t="s">
        <v>598</v>
      </c>
      <c r="DWW341" s="288" t="s">
        <v>598</v>
      </c>
      <c r="DWX341" s="288" t="s">
        <v>598</v>
      </c>
      <c r="DWY341" s="288" t="s">
        <v>598</v>
      </c>
      <c r="DWZ341" s="288" t="s">
        <v>598</v>
      </c>
      <c r="DXA341" s="288" t="s">
        <v>598</v>
      </c>
      <c r="DXB341" s="288" t="s">
        <v>598</v>
      </c>
      <c r="DXC341" s="288" t="s">
        <v>598</v>
      </c>
      <c r="DXD341" s="288" t="s">
        <v>598</v>
      </c>
      <c r="DXE341" s="288" t="s">
        <v>598</v>
      </c>
      <c r="DXF341" s="288" t="s">
        <v>598</v>
      </c>
      <c r="DXG341" s="288" t="s">
        <v>598</v>
      </c>
      <c r="DXH341" s="288" t="s">
        <v>598</v>
      </c>
      <c r="DXI341" s="288" t="s">
        <v>598</v>
      </c>
      <c r="DXJ341" s="288" t="s">
        <v>598</v>
      </c>
      <c r="DXK341" s="288" t="s">
        <v>598</v>
      </c>
      <c r="DXL341" s="288" t="s">
        <v>598</v>
      </c>
      <c r="DXM341" s="288" t="s">
        <v>598</v>
      </c>
      <c r="DXN341" s="288" t="s">
        <v>598</v>
      </c>
      <c r="DXO341" s="288" t="s">
        <v>598</v>
      </c>
      <c r="DXP341" s="288" t="s">
        <v>598</v>
      </c>
      <c r="DXQ341" s="288" t="s">
        <v>598</v>
      </c>
      <c r="DXR341" s="288" t="s">
        <v>598</v>
      </c>
      <c r="DXS341" s="288" t="s">
        <v>598</v>
      </c>
      <c r="DXT341" s="288" t="s">
        <v>598</v>
      </c>
      <c r="DXU341" s="288" t="s">
        <v>598</v>
      </c>
      <c r="DXV341" s="288" t="s">
        <v>598</v>
      </c>
      <c r="DXW341" s="288" t="s">
        <v>598</v>
      </c>
      <c r="DXX341" s="288" t="s">
        <v>598</v>
      </c>
      <c r="DXY341" s="288" t="s">
        <v>598</v>
      </c>
      <c r="DXZ341" s="288" t="s">
        <v>598</v>
      </c>
      <c r="DYA341" s="288" t="s">
        <v>598</v>
      </c>
      <c r="DYB341" s="288" t="s">
        <v>598</v>
      </c>
      <c r="DYC341" s="288" t="s">
        <v>598</v>
      </c>
      <c r="DYD341" s="288" t="s">
        <v>598</v>
      </c>
      <c r="DYE341" s="288" t="s">
        <v>598</v>
      </c>
      <c r="DYF341" s="288" t="s">
        <v>598</v>
      </c>
      <c r="DYG341" s="288" t="s">
        <v>598</v>
      </c>
      <c r="DYH341" s="288" t="s">
        <v>598</v>
      </c>
      <c r="DYI341" s="288" t="s">
        <v>598</v>
      </c>
      <c r="DYJ341" s="288" t="s">
        <v>598</v>
      </c>
      <c r="DYK341" s="288" t="s">
        <v>598</v>
      </c>
      <c r="DYL341" s="288" t="s">
        <v>598</v>
      </c>
      <c r="DYM341" s="288" t="s">
        <v>598</v>
      </c>
      <c r="DYN341" s="288" t="s">
        <v>598</v>
      </c>
      <c r="DYO341" s="288" t="s">
        <v>598</v>
      </c>
      <c r="DYP341" s="288" t="s">
        <v>598</v>
      </c>
      <c r="DYQ341" s="288" t="s">
        <v>598</v>
      </c>
      <c r="DYR341" s="288" t="s">
        <v>598</v>
      </c>
      <c r="DYS341" s="288" t="s">
        <v>598</v>
      </c>
      <c r="DYT341" s="288" t="s">
        <v>598</v>
      </c>
      <c r="DYU341" s="288" t="s">
        <v>598</v>
      </c>
      <c r="DYV341" s="288" t="s">
        <v>598</v>
      </c>
      <c r="DYW341" s="288" t="s">
        <v>598</v>
      </c>
      <c r="DYX341" s="288" t="s">
        <v>598</v>
      </c>
      <c r="DYY341" s="288" t="s">
        <v>598</v>
      </c>
      <c r="DYZ341" s="288" t="s">
        <v>598</v>
      </c>
      <c r="DZA341" s="288" t="s">
        <v>598</v>
      </c>
      <c r="DZB341" s="288" t="s">
        <v>598</v>
      </c>
      <c r="DZC341" s="288" t="s">
        <v>598</v>
      </c>
      <c r="DZD341" s="288" t="s">
        <v>598</v>
      </c>
      <c r="DZE341" s="288" t="s">
        <v>598</v>
      </c>
      <c r="DZF341" s="288" t="s">
        <v>598</v>
      </c>
      <c r="DZG341" s="288" t="s">
        <v>598</v>
      </c>
      <c r="DZH341" s="288" t="s">
        <v>598</v>
      </c>
      <c r="DZI341" s="288" t="s">
        <v>598</v>
      </c>
      <c r="DZJ341" s="288" t="s">
        <v>598</v>
      </c>
      <c r="DZK341" s="288" t="s">
        <v>598</v>
      </c>
      <c r="DZL341" s="288" t="s">
        <v>598</v>
      </c>
      <c r="DZM341" s="288" t="s">
        <v>598</v>
      </c>
      <c r="DZN341" s="288" t="s">
        <v>598</v>
      </c>
      <c r="DZO341" s="288" t="s">
        <v>598</v>
      </c>
      <c r="DZP341" s="288" t="s">
        <v>598</v>
      </c>
      <c r="DZQ341" s="288" t="s">
        <v>598</v>
      </c>
      <c r="DZR341" s="288" t="s">
        <v>598</v>
      </c>
      <c r="DZS341" s="288" t="s">
        <v>598</v>
      </c>
      <c r="DZT341" s="288" t="s">
        <v>598</v>
      </c>
      <c r="DZU341" s="288" t="s">
        <v>598</v>
      </c>
      <c r="DZV341" s="288" t="s">
        <v>598</v>
      </c>
      <c r="DZW341" s="288" t="s">
        <v>598</v>
      </c>
      <c r="DZX341" s="288" t="s">
        <v>598</v>
      </c>
      <c r="DZY341" s="288" t="s">
        <v>598</v>
      </c>
      <c r="DZZ341" s="288" t="s">
        <v>598</v>
      </c>
      <c r="EAA341" s="288" t="s">
        <v>598</v>
      </c>
      <c r="EAB341" s="288" t="s">
        <v>598</v>
      </c>
      <c r="EAC341" s="288" t="s">
        <v>598</v>
      </c>
      <c r="EAD341" s="288" t="s">
        <v>598</v>
      </c>
      <c r="EAE341" s="288" t="s">
        <v>598</v>
      </c>
      <c r="EAF341" s="288" t="s">
        <v>598</v>
      </c>
      <c r="EAG341" s="288" t="s">
        <v>598</v>
      </c>
      <c r="EAH341" s="288" t="s">
        <v>598</v>
      </c>
      <c r="EAI341" s="288" t="s">
        <v>598</v>
      </c>
      <c r="EAJ341" s="288" t="s">
        <v>598</v>
      </c>
      <c r="EAK341" s="288" t="s">
        <v>598</v>
      </c>
      <c r="EAL341" s="288" t="s">
        <v>598</v>
      </c>
      <c r="EAM341" s="288" t="s">
        <v>598</v>
      </c>
      <c r="EAN341" s="288" t="s">
        <v>598</v>
      </c>
      <c r="EAO341" s="288" t="s">
        <v>598</v>
      </c>
      <c r="EAP341" s="288" t="s">
        <v>598</v>
      </c>
      <c r="EAQ341" s="288" t="s">
        <v>598</v>
      </c>
      <c r="EAR341" s="288" t="s">
        <v>598</v>
      </c>
      <c r="EAS341" s="288" t="s">
        <v>598</v>
      </c>
      <c r="EAT341" s="288" t="s">
        <v>598</v>
      </c>
      <c r="EAU341" s="288" t="s">
        <v>598</v>
      </c>
      <c r="EAV341" s="288" t="s">
        <v>598</v>
      </c>
      <c r="EAW341" s="288" t="s">
        <v>598</v>
      </c>
      <c r="EAX341" s="288" t="s">
        <v>598</v>
      </c>
      <c r="EAY341" s="288" t="s">
        <v>598</v>
      </c>
      <c r="EAZ341" s="288" t="s">
        <v>598</v>
      </c>
      <c r="EBA341" s="288" t="s">
        <v>598</v>
      </c>
      <c r="EBB341" s="288" t="s">
        <v>598</v>
      </c>
      <c r="EBC341" s="288" t="s">
        <v>598</v>
      </c>
      <c r="EBD341" s="288" t="s">
        <v>598</v>
      </c>
      <c r="EBE341" s="288" t="s">
        <v>598</v>
      </c>
      <c r="EBF341" s="288" t="s">
        <v>598</v>
      </c>
      <c r="EBG341" s="288" t="s">
        <v>598</v>
      </c>
      <c r="EBH341" s="288" t="s">
        <v>598</v>
      </c>
      <c r="EBI341" s="288" t="s">
        <v>598</v>
      </c>
      <c r="EBJ341" s="288" t="s">
        <v>598</v>
      </c>
      <c r="EBK341" s="288" t="s">
        <v>598</v>
      </c>
      <c r="EBL341" s="288" t="s">
        <v>598</v>
      </c>
      <c r="EBM341" s="288" t="s">
        <v>598</v>
      </c>
      <c r="EBN341" s="288" t="s">
        <v>598</v>
      </c>
      <c r="EBO341" s="288" t="s">
        <v>598</v>
      </c>
      <c r="EBP341" s="288" t="s">
        <v>598</v>
      </c>
      <c r="EBQ341" s="288" t="s">
        <v>598</v>
      </c>
      <c r="EBR341" s="288" t="s">
        <v>598</v>
      </c>
      <c r="EBS341" s="288" t="s">
        <v>598</v>
      </c>
      <c r="EBT341" s="288" t="s">
        <v>598</v>
      </c>
      <c r="EBU341" s="288" t="s">
        <v>598</v>
      </c>
      <c r="EBV341" s="288" t="s">
        <v>598</v>
      </c>
      <c r="EBW341" s="288" t="s">
        <v>598</v>
      </c>
      <c r="EBX341" s="288" t="s">
        <v>598</v>
      </c>
      <c r="EBY341" s="288" t="s">
        <v>598</v>
      </c>
      <c r="EBZ341" s="288" t="s">
        <v>598</v>
      </c>
      <c r="ECA341" s="288" t="s">
        <v>598</v>
      </c>
      <c r="ECB341" s="288" t="s">
        <v>598</v>
      </c>
      <c r="ECC341" s="288" t="s">
        <v>598</v>
      </c>
      <c r="ECD341" s="288" t="s">
        <v>598</v>
      </c>
      <c r="ECE341" s="288" t="s">
        <v>598</v>
      </c>
      <c r="ECF341" s="288" t="s">
        <v>598</v>
      </c>
      <c r="ECG341" s="288" t="s">
        <v>598</v>
      </c>
      <c r="ECH341" s="288" t="s">
        <v>598</v>
      </c>
      <c r="ECI341" s="288" t="s">
        <v>598</v>
      </c>
      <c r="ECJ341" s="288" t="s">
        <v>598</v>
      </c>
      <c r="ECK341" s="288" t="s">
        <v>598</v>
      </c>
      <c r="ECL341" s="288" t="s">
        <v>598</v>
      </c>
      <c r="ECM341" s="288" t="s">
        <v>598</v>
      </c>
      <c r="ECN341" s="288" t="s">
        <v>598</v>
      </c>
      <c r="ECO341" s="288" t="s">
        <v>598</v>
      </c>
      <c r="ECP341" s="288" t="s">
        <v>598</v>
      </c>
      <c r="ECQ341" s="288" t="s">
        <v>598</v>
      </c>
      <c r="ECR341" s="288" t="s">
        <v>598</v>
      </c>
      <c r="ECS341" s="288" t="s">
        <v>598</v>
      </c>
      <c r="ECT341" s="288" t="s">
        <v>598</v>
      </c>
      <c r="ECU341" s="288" t="s">
        <v>598</v>
      </c>
      <c r="ECV341" s="288" t="s">
        <v>598</v>
      </c>
      <c r="ECW341" s="288" t="s">
        <v>598</v>
      </c>
      <c r="ECX341" s="288" t="s">
        <v>598</v>
      </c>
      <c r="ECY341" s="288" t="s">
        <v>598</v>
      </c>
      <c r="ECZ341" s="288" t="s">
        <v>598</v>
      </c>
      <c r="EDA341" s="288" t="s">
        <v>598</v>
      </c>
      <c r="EDB341" s="288" t="s">
        <v>598</v>
      </c>
      <c r="EDC341" s="288" t="s">
        <v>598</v>
      </c>
      <c r="EDD341" s="288" t="s">
        <v>598</v>
      </c>
      <c r="EDE341" s="288" t="s">
        <v>598</v>
      </c>
      <c r="EDF341" s="288" t="s">
        <v>598</v>
      </c>
      <c r="EDG341" s="288" t="s">
        <v>598</v>
      </c>
      <c r="EDH341" s="288" t="s">
        <v>598</v>
      </c>
      <c r="EDI341" s="288" t="s">
        <v>598</v>
      </c>
      <c r="EDJ341" s="288" t="s">
        <v>598</v>
      </c>
      <c r="EDK341" s="288" t="s">
        <v>598</v>
      </c>
      <c r="EDL341" s="288" t="s">
        <v>598</v>
      </c>
      <c r="EDM341" s="288" t="s">
        <v>598</v>
      </c>
      <c r="EDN341" s="288" t="s">
        <v>598</v>
      </c>
      <c r="EDO341" s="288" t="s">
        <v>598</v>
      </c>
      <c r="EDP341" s="288" t="s">
        <v>598</v>
      </c>
      <c r="EDQ341" s="288" t="s">
        <v>598</v>
      </c>
      <c r="EDR341" s="288" t="s">
        <v>598</v>
      </c>
      <c r="EDS341" s="288" t="s">
        <v>598</v>
      </c>
      <c r="EDT341" s="288" t="s">
        <v>598</v>
      </c>
      <c r="EDU341" s="288" t="s">
        <v>598</v>
      </c>
      <c r="EDV341" s="288" t="s">
        <v>598</v>
      </c>
      <c r="EDW341" s="288" t="s">
        <v>598</v>
      </c>
      <c r="EDX341" s="288" t="s">
        <v>598</v>
      </c>
      <c r="EDY341" s="288" t="s">
        <v>598</v>
      </c>
      <c r="EDZ341" s="288" t="s">
        <v>598</v>
      </c>
      <c r="EEA341" s="288" t="s">
        <v>598</v>
      </c>
      <c r="EEB341" s="288" t="s">
        <v>598</v>
      </c>
      <c r="EEC341" s="288" t="s">
        <v>598</v>
      </c>
      <c r="EED341" s="288" t="s">
        <v>598</v>
      </c>
      <c r="EEE341" s="288" t="s">
        <v>598</v>
      </c>
      <c r="EEF341" s="288" t="s">
        <v>598</v>
      </c>
      <c r="EEG341" s="288" t="s">
        <v>598</v>
      </c>
      <c r="EEH341" s="288" t="s">
        <v>598</v>
      </c>
      <c r="EEI341" s="288" t="s">
        <v>598</v>
      </c>
      <c r="EEJ341" s="288" t="s">
        <v>598</v>
      </c>
      <c r="EEK341" s="288" t="s">
        <v>598</v>
      </c>
      <c r="EEL341" s="288" t="s">
        <v>598</v>
      </c>
      <c r="EEM341" s="288" t="s">
        <v>598</v>
      </c>
      <c r="EEN341" s="288" t="s">
        <v>598</v>
      </c>
      <c r="EEO341" s="288" t="s">
        <v>598</v>
      </c>
      <c r="EEP341" s="288" t="s">
        <v>598</v>
      </c>
      <c r="EEQ341" s="288" t="s">
        <v>598</v>
      </c>
      <c r="EER341" s="288" t="s">
        <v>598</v>
      </c>
      <c r="EES341" s="288" t="s">
        <v>598</v>
      </c>
      <c r="EET341" s="288" t="s">
        <v>598</v>
      </c>
      <c r="EEU341" s="288" t="s">
        <v>598</v>
      </c>
      <c r="EEV341" s="288" t="s">
        <v>598</v>
      </c>
      <c r="EEW341" s="288" t="s">
        <v>598</v>
      </c>
      <c r="EEX341" s="288" t="s">
        <v>598</v>
      </c>
      <c r="EEY341" s="288" t="s">
        <v>598</v>
      </c>
      <c r="EEZ341" s="288" t="s">
        <v>598</v>
      </c>
      <c r="EFA341" s="288" t="s">
        <v>598</v>
      </c>
      <c r="EFB341" s="288" t="s">
        <v>598</v>
      </c>
      <c r="EFC341" s="288" t="s">
        <v>598</v>
      </c>
      <c r="EFD341" s="288" t="s">
        <v>598</v>
      </c>
      <c r="EFE341" s="288" t="s">
        <v>598</v>
      </c>
      <c r="EFF341" s="288" t="s">
        <v>598</v>
      </c>
      <c r="EFG341" s="288" t="s">
        <v>598</v>
      </c>
      <c r="EFH341" s="288" t="s">
        <v>598</v>
      </c>
      <c r="EFI341" s="288" t="s">
        <v>598</v>
      </c>
      <c r="EFJ341" s="288" t="s">
        <v>598</v>
      </c>
      <c r="EFK341" s="288" t="s">
        <v>598</v>
      </c>
      <c r="EFL341" s="288" t="s">
        <v>598</v>
      </c>
      <c r="EFM341" s="288" t="s">
        <v>598</v>
      </c>
      <c r="EFN341" s="288" t="s">
        <v>598</v>
      </c>
      <c r="EFO341" s="288" t="s">
        <v>598</v>
      </c>
      <c r="EFP341" s="288" t="s">
        <v>598</v>
      </c>
      <c r="EFQ341" s="288" t="s">
        <v>598</v>
      </c>
      <c r="EFR341" s="288" t="s">
        <v>598</v>
      </c>
      <c r="EFS341" s="288" t="s">
        <v>598</v>
      </c>
      <c r="EFT341" s="288" t="s">
        <v>598</v>
      </c>
      <c r="EFU341" s="288" t="s">
        <v>598</v>
      </c>
      <c r="EFV341" s="288" t="s">
        <v>598</v>
      </c>
      <c r="EFW341" s="288" t="s">
        <v>598</v>
      </c>
      <c r="EFX341" s="288" t="s">
        <v>598</v>
      </c>
      <c r="EFY341" s="288" t="s">
        <v>598</v>
      </c>
      <c r="EFZ341" s="288" t="s">
        <v>598</v>
      </c>
      <c r="EGA341" s="288" t="s">
        <v>598</v>
      </c>
      <c r="EGB341" s="288" t="s">
        <v>598</v>
      </c>
      <c r="EGC341" s="288" t="s">
        <v>598</v>
      </c>
      <c r="EGD341" s="288" t="s">
        <v>598</v>
      </c>
      <c r="EGE341" s="288" t="s">
        <v>598</v>
      </c>
      <c r="EGF341" s="288" t="s">
        <v>598</v>
      </c>
      <c r="EGG341" s="288" t="s">
        <v>598</v>
      </c>
      <c r="EGH341" s="288" t="s">
        <v>598</v>
      </c>
      <c r="EGI341" s="288" t="s">
        <v>598</v>
      </c>
      <c r="EGJ341" s="288" t="s">
        <v>598</v>
      </c>
      <c r="EGK341" s="288" t="s">
        <v>598</v>
      </c>
      <c r="EGL341" s="288" t="s">
        <v>598</v>
      </c>
      <c r="EGM341" s="288" t="s">
        <v>598</v>
      </c>
      <c r="EGN341" s="288" t="s">
        <v>598</v>
      </c>
      <c r="EGO341" s="288" t="s">
        <v>598</v>
      </c>
      <c r="EGP341" s="288" t="s">
        <v>598</v>
      </c>
      <c r="EGQ341" s="288" t="s">
        <v>598</v>
      </c>
      <c r="EGR341" s="288" t="s">
        <v>598</v>
      </c>
      <c r="EGS341" s="288" t="s">
        <v>598</v>
      </c>
      <c r="EGT341" s="288" t="s">
        <v>598</v>
      </c>
      <c r="EGU341" s="288" t="s">
        <v>598</v>
      </c>
      <c r="EGV341" s="288" t="s">
        <v>598</v>
      </c>
      <c r="EGW341" s="288" t="s">
        <v>598</v>
      </c>
      <c r="EGX341" s="288" t="s">
        <v>598</v>
      </c>
      <c r="EGY341" s="288" t="s">
        <v>598</v>
      </c>
      <c r="EGZ341" s="288" t="s">
        <v>598</v>
      </c>
      <c r="EHA341" s="288" t="s">
        <v>598</v>
      </c>
      <c r="EHB341" s="288" t="s">
        <v>598</v>
      </c>
      <c r="EHC341" s="288" t="s">
        <v>598</v>
      </c>
      <c r="EHD341" s="288" t="s">
        <v>598</v>
      </c>
      <c r="EHE341" s="288" t="s">
        <v>598</v>
      </c>
      <c r="EHF341" s="288" t="s">
        <v>598</v>
      </c>
      <c r="EHG341" s="288" t="s">
        <v>598</v>
      </c>
      <c r="EHH341" s="288" t="s">
        <v>598</v>
      </c>
      <c r="EHI341" s="288" t="s">
        <v>598</v>
      </c>
      <c r="EHJ341" s="288" t="s">
        <v>598</v>
      </c>
      <c r="EHK341" s="288" t="s">
        <v>598</v>
      </c>
      <c r="EHL341" s="288" t="s">
        <v>598</v>
      </c>
      <c r="EHM341" s="288" t="s">
        <v>598</v>
      </c>
      <c r="EHN341" s="288" t="s">
        <v>598</v>
      </c>
      <c r="EHO341" s="288" t="s">
        <v>598</v>
      </c>
      <c r="EHP341" s="288" t="s">
        <v>598</v>
      </c>
      <c r="EHQ341" s="288" t="s">
        <v>598</v>
      </c>
      <c r="EHR341" s="288" t="s">
        <v>598</v>
      </c>
      <c r="EHS341" s="288" t="s">
        <v>598</v>
      </c>
      <c r="EHT341" s="288" t="s">
        <v>598</v>
      </c>
      <c r="EHU341" s="288" t="s">
        <v>598</v>
      </c>
      <c r="EHV341" s="288" t="s">
        <v>598</v>
      </c>
      <c r="EHW341" s="288" t="s">
        <v>598</v>
      </c>
      <c r="EHX341" s="288" t="s">
        <v>598</v>
      </c>
      <c r="EHY341" s="288" t="s">
        <v>598</v>
      </c>
      <c r="EHZ341" s="288" t="s">
        <v>598</v>
      </c>
      <c r="EIA341" s="288" t="s">
        <v>598</v>
      </c>
      <c r="EIB341" s="288" t="s">
        <v>598</v>
      </c>
      <c r="EIC341" s="288" t="s">
        <v>598</v>
      </c>
      <c r="EID341" s="288" t="s">
        <v>598</v>
      </c>
      <c r="EIE341" s="288" t="s">
        <v>598</v>
      </c>
      <c r="EIF341" s="288" t="s">
        <v>598</v>
      </c>
      <c r="EIG341" s="288" t="s">
        <v>598</v>
      </c>
      <c r="EIH341" s="288" t="s">
        <v>598</v>
      </c>
      <c r="EII341" s="288" t="s">
        <v>598</v>
      </c>
      <c r="EIJ341" s="288" t="s">
        <v>598</v>
      </c>
      <c r="EIK341" s="288" t="s">
        <v>598</v>
      </c>
      <c r="EIL341" s="288" t="s">
        <v>598</v>
      </c>
      <c r="EIM341" s="288" t="s">
        <v>598</v>
      </c>
      <c r="EIN341" s="288" t="s">
        <v>598</v>
      </c>
      <c r="EIO341" s="288" t="s">
        <v>598</v>
      </c>
      <c r="EIP341" s="288" t="s">
        <v>598</v>
      </c>
      <c r="EIQ341" s="288" t="s">
        <v>598</v>
      </c>
      <c r="EIR341" s="288" t="s">
        <v>598</v>
      </c>
      <c r="EIS341" s="288" t="s">
        <v>598</v>
      </c>
      <c r="EIT341" s="288" t="s">
        <v>598</v>
      </c>
      <c r="EIU341" s="288" t="s">
        <v>598</v>
      </c>
      <c r="EIV341" s="288" t="s">
        <v>598</v>
      </c>
      <c r="EIW341" s="288" t="s">
        <v>598</v>
      </c>
      <c r="EIX341" s="288" t="s">
        <v>598</v>
      </c>
      <c r="EIY341" s="288" t="s">
        <v>598</v>
      </c>
      <c r="EIZ341" s="288" t="s">
        <v>598</v>
      </c>
      <c r="EJA341" s="288" t="s">
        <v>598</v>
      </c>
      <c r="EJB341" s="288" t="s">
        <v>598</v>
      </c>
      <c r="EJC341" s="288" t="s">
        <v>598</v>
      </c>
      <c r="EJD341" s="288" t="s">
        <v>598</v>
      </c>
      <c r="EJE341" s="288" t="s">
        <v>598</v>
      </c>
      <c r="EJF341" s="288" t="s">
        <v>598</v>
      </c>
      <c r="EJG341" s="288" t="s">
        <v>598</v>
      </c>
      <c r="EJH341" s="288" t="s">
        <v>598</v>
      </c>
      <c r="EJI341" s="288" t="s">
        <v>598</v>
      </c>
      <c r="EJJ341" s="288" t="s">
        <v>598</v>
      </c>
      <c r="EJK341" s="288" t="s">
        <v>598</v>
      </c>
      <c r="EJL341" s="288" t="s">
        <v>598</v>
      </c>
      <c r="EJM341" s="288" t="s">
        <v>598</v>
      </c>
      <c r="EJN341" s="288" t="s">
        <v>598</v>
      </c>
      <c r="EJO341" s="288" t="s">
        <v>598</v>
      </c>
      <c r="EJP341" s="288" t="s">
        <v>598</v>
      </c>
      <c r="EJQ341" s="288" t="s">
        <v>598</v>
      </c>
      <c r="EJR341" s="288" t="s">
        <v>598</v>
      </c>
      <c r="EJS341" s="288" t="s">
        <v>598</v>
      </c>
      <c r="EJT341" s="288" t="s">
        <v>598</v>
      </c>
      <c r="EJU341" s="288" t="s">
        <v>598</v>
      </c>
      <c r="EJV341" s="288" t="s">
        <v>598</v>
      </c>
      <c r="EJW341" s="288" t="s">
        <v>598</v>
      </c>
      <c r="EJX341" s="288" t="s">
        <v>598</v>
      </c>
      <c r="EJY341" s="288" t="s">
        <v>598</v>
      </c>
      <c r="EJZ341" s="288" t="s">
        <v>598</v>
      </c>
      <c r="EKA341" s="288" t="s">
        <v>598</v>
      </c>
      <c r="EKB341" s="288" t="s">
        <v>598</v>
      </c>
      <c r="EKC341" s="288" t="s">
        <v>598</v>
      </c>
      <c r="EKD341" s="288" t="s">
        <v>598</v>
      </c>
      <c r="EKE341" s="288" t="s">
        <v>598</v>
      </c>
      <c r="EKF341" s="288" t="s">
        <v>598</v>
      </c>
      <c r="EKG341" s="288" t="s">
        <v>598</v>
      </c>
      <c r="EKH341" s="288" t="s">
        <v>598</v>
      </c>
      <c r="EKI341" s="288" t="s">
        <v>598</v>
      </c>
      <c r="EKJ341" s="288" t="s">
        <v>598</v>
      </c>
      <c r="EKK341" s="288" t="s">
        <v>598</v>
      </c>
      <c r="EKL341" s="288" t="s">
        <v>598</v>
      </c>
      <c r="EKM341" s="288" t="s">
        <v>598</v>
      </c>
      <c r="EKN341" s="288" t="s">
        <v>598</v>
      </c>
      <c r="EKO341" s="288" t="s">
        <v>598</v>
      </c>
      <c r="EKP341" s="288" t="s">
        <v>598</v>
      </c>
      <c r="EKQ341" s="288" t="s">
        <v>598</v>
      </c>
      <c r="EKR341" s="288" t="s">
        <v>598</v>
      </c>
      <c r="EKS341" s="288" t="s">
        <v>598</v>
      </c>
      <c r="EKT341" s="288" t="s">
        <v>598</v>
      </c>
      <c r="EKU341" s="288" t="s">
        <v>598</v>
      </c>
      <c r="EKV341" s="288" t="s">
        <v>598</v>
      </c>
      <c r="EKW341" s="288" t="s">
        <v>598</v>
      </c>
      <c r="EKX341" s="288" t="s">
        <v>598</v>
      </c>
      <c r="EKY341" s="288" t="s">
        <v>598</v>
      </c>
      <c r="EKZ341" s="288" t="s">
        <v>598</v>
      </c>
      <c r="ELA341" s="288" t="s">
        <v>598</v>
      </c>
      <c r="ELB341" s="288" t="s">
        <v>598</v>
      </c>
      <c r="ELC341" s="288" t="s">
        <v>598</v>
      </c>
      <c r="ELD341" s="288" t="s">
        <v>598</v>
      </c>
      <c r="ELE341" s="288" t="s">
        <v>598</v>
      </c>
      <c r="ELF341" s="288" t="s">
        <v>598</v>
      </c>
      <c r="ELG341" s="288" t="s">
        <v>598</v>
      </c>
      <c r="ELH341" s="288" t="s">
        <v>598</v>
      </c>
      <c r="ELI341" s="288" t="s">
        <v>598</v>
      </c>
      <c r="ELJ341" s="288" t="s">
        <v>598</v>
      </c>
      <c r="ELK341" s="288" t="s">
        <v>598</v>
      </c>
      <c r="ELL341" s="288" t="s">
        <v>598</v>
      </c>
      <c r="ELM341" s="288" t="s">
        <v>598</v>
      </c>
      <c r="ELN341" s="288" t="s">
        <v>598</v>
      </c>
      <c r="ELO341" s="288" t="s">
        <v>598</v>
      </c>
      <c r="ELP341" s="288" t="s">
        <v>598</v>
      </c>
      <c r="ELQ341" s="288" t="s">
        <v>598</v>
      </c>
      <c r="ELR341" s="288" t="s">
        <v>598</v>
      </c>
      <c r="ELS341" s="288" t="s">
        <v>598</v>
      </c>
      <c r="ELT341" s="288" t="s">
        <v>598</v>
      </c>
      <c r="ELU341" s="288" t="s">
        <v>598</v>
      </c>
      <c r="ELV341" s="288" t="s">
        <v>598</v>
      </c>
      <c r="ELW341" s="288" t="s">
        <v>598</v>
      </c>
      <c r="ELX341" s="288" t="s">
        <v>598</v>
      </c>
      <c r="ELY341" s="288" t="s">
        <v>598</v>
      </c>
      <c r="ELZ341" s="288" t="s">
        <v>598</v>
      </c>
      <c r="EMA341" s="288" t="s">
        <v>598</v>
      </c>
      <c r="EMB341" s="288" t="s">
        <v>598</v>
      </c>
      <c r="EMC341" s="288" t="s">
        <v>598</v>
      </c>
      <c r="EMD341" s="288" t="s">
        <v>598</v>
      </c>
      <c r="EME341" s="288" t="s">
        <v>598</v>
      </c>
      <c r="EMF341" s="288" t="s">
        <v>598</v>
      </c>
      <c r="EMG341" s="288" t="s">
        <v>598</v>
      </c>
      <c r="EMH341" s="288" t="s">
        <v>598</v>
      </c>
      <c r="EMI341" s="288" t="s">
        <v>598</v>
      </c>
      <c r="EMJ341" s="288" t="s">
        <v>598</v>
      </c>
      <c r="EMK341" s="288" t="s">
        <v>598</v>
      </c>
      <c r="EML341" s="288" t="s">
        <v>598</v>
      </c>
      <c r="EMM341" s="288" t="s">
        <v>598</v>
      </c>
      <c r="EMN341" s="288" t="s">
        <v>598</v>
      </c>
      <c r="EMO341" s="288" t="s">
        <v>598</v>
      </c>
      <c r="EMP341" s="288" t="s">
        <v>598</v>
      </c>
      <c r="EMQ341" s="288" t="s">
        <v>598</v>
      </c>
      <c r="EMR341" s="288" t="s">
        <v>598</v>
      </c>
      <c r="EMS341" s="288" t="s">
        <v>598</v>
      </c>
      <c r="EMT341" s="288" t="s">
        <v>598</v>
      </c>
      <c r="EMU341" s="288" t="s">
        <v>598</v>
      </c>
      <c r="EMV341" s="288" t="s">
        <v>598</v>
      </c>
      <c r="EMW341" s="288" t="s">
        <v>598</v>
      </c>
      <c r="EMX341" s="288" t="s">
        <v>598</v>
      </c>
      <c r="EMY341" s="288" t="s">
        <v>598</v>
      </c>
      <c r="EMZ341" s="288" t="s">
        <v>598</v>
      </c>
      <c r="ENA341" s="288" t="s">
        <v>598</v>
      </c>
      <c r="ENB341" s="288" t="s">
        <v>598</v>
      </c>
      <c r="ENC341" s="288" t="s">
        <v>598</v>
      </c>
      <c r="END341" s="288" t="s">
        <v>598</v>
      </c>
      <c r="ENE341" s="288" t="s">
        <v>598</v>
      </c>
      <c r="ENF341" s="288" t="s">
        <v>598</v>
      </c>
      <c r="ENG341" s="288" t="s">
        <v>598</v>
      </c>
      <c r="ENH341" s="288" t="s">
        <v>598</v>
      </c>
      <c r="ENI341" s="288" t="s">
        <v>598</v>
      </c>
      <c r="ENJ341" s="288" t="s">
        <v>598</v>
      </c>
      <c r="ENK341" s="288" t="s">
        <v>598</v>
      </c>
      <c r="ENL341" s="288" t="s">
        <v>598</v>
      </c>
      <c r="ENM341" s="288" t="s">
        <v>598</v>
      </c>
      <c r="ENN341" s="288" t="s">
        <v>598</v>
      </c>
      <c r="ENO341" s="288" t="s">
        <v>598</v>
      </c>
      <c r="ENP341" s="288" t="s">
        <v>598</v>
      </c>
      <c r="ENQ341" s="288" t="s">
        <v>598</v>
      </c>
      <c r="ENR341" s="288" t="s">
        <v>598</v>
      </c>
      <c r="ENS341" s="288" t="s">
        <v>598</v>
      </c>
      <c r="ENT341" s="288" t="s">
        <v>598</v>
      </c>
      <c r="ENU341" s="288" t="s">
        <v>598</v>
      </c>
      <c r="ENV341" s="288" t="s">
        <v>598</v>
      </c>
      <c r="ENW341" s="288" t="s">
        <v>598</v>
      </c>
      <c r="ENX341" s="288" t="s">
        <v>598</v>
      </c>
      <c r="ENY341" s="288" t="s">
        <v>598</v>
      </c>
      <c r="ENZ341" s="288" t="s">
        <v>598</v>
      </c>
      <c r="EOA341" s="288" t="s">
        <v>598</v>
      </c>
      <c r="EOB341" s="288" t="s">
        <v>598</v>
      </c>
      <c r="EOC341" s="288" t="s">
        <v>598</v>
      </c>
      <c r="EOD341" s="288" t="s">
        <v>598</v>
      </c>
      <c r="EOE341" s="288" t="s">
        <v>598</v>
      </c>
      <c r="EOF341" s="288" t="s">
        <v>598</v>
      </c>
      <c r="EOG341" s="288" t="s">
        <v>598</v>
      </c>
      <c r="EOH341" s="288" t="s">
        <v>598</v>
      </c>
      <c r="EOI341" s="288" t="s">
        <v>598</v>
      </c>
      <c r="EOJ341" s="288" t="s">
        <v>598</v>
      </c>
      <c r="EOK341" s="288" t="s">
        <v>598</v>
      </c>
      <c r="EOL341" s="288" t="s">
        <v>598</v>
      </c>
      <c r="EOM341" s="288" t="s">
        <v>598</v>
      </c>
      <c r="EON341" s="288" t="s">
        <v>598</v>
      </c>
      <c r="EOO341" s="288" t="s">
        <v>598</v>
      </c>
      <c r="EOP341" s="288" t="s">
        <v>598</v>
      </c>
      <c r="EOQ341" s="288" t="s">
        <v>598</v>
      </c>
      <c r="EOR341" s="288" t="s">
        <v>598</v>
      </c>
      <c r="EOS341" s="288" t="s">
        <v>598</v>
      </c>
      <c r="EOT341" s="288" t="s">
        <v>598</v>
      </c>
      <c r="EOU341" s="288" t="s">
        <v>598</v>
      </c>
      <c r="EOV341" s="288" t="s">
        <v>598</v>
      </c>
      <c r="EOW341" s="288" t="s">
        <v>598</v>
      </c>
      <c r="EOX341" s="288" t="s">
        <v>598</v>
      </c>
      <c r="EOY341" s="288" t="s">
        <v>598</v>
      </c>
      <c r="EOZ341" s="288" t="s">
        <v>598</v>
      </c>
      <c r="EPA341" s="288" t="s">
        <v>598</v>
      </c>
      <c r="EPB341" s="288" t="s">
        <v>598</v>
      </c>
      <c r="EPC341" s="288" t="s">
        <v>598</v>
      </c>
      <c r="EPD341" s="288" t="s">
        <v>598</v>
      </c>
      <c r="EPE341" s="288" t="s">
        <v>598</v>
      </c>
      <c r="EPF341" s="288" t="s">
        <v>598</v>
      </c>
      <c r="EPG341" s="288" t="s">
        <v>598</v>
      </c>
      <c r="EPH341" s="288" t="s">
        <v>598</v>
      </c>
      <c r="EPI341" s="288" t="s">
        <v>598</v>
      </c>
      <c r="EPJ341" s="288" t="s">
        <v>598</v>
      </c>
      <c r="EPK341" s="288" t="s">
        <v>598</v>
      </c>
      <c r="EPL341" s="288" t="s">
        <v>598</v>
      </c>
      <c r="EPM341" s="288" t="s">
        <v>598</v>
      </c>
      <c r="EPN341" s="288" t="s">
        <v>598</v>
      </c>
      <c r="EPO341" s="288" t="s">
        <v>598</v>
      </c>
      <c r="EPP341" s="288" t="s">
        <v>598</v>
      </c>
      <c r="EPQ341" s="288" t="s">
        <v>598</v>
      </c>
      <c r="EPR341" s="288" t="s">
        <v>598</v>
      </c>
      <c r="EPS341" s="288" t="s">
        <v>598</v>
      </c>
      <c r="EPT341" s="288" t="s">
        <v>598</v>
      </c>
      <c r="EPU341" s="288" t="s">
        <v>598</v>
      </c>
      <c r="EPV341" s="288" t="s">
        <v>598</v>
      </c>
      <c r="EPW341" s="288" t="s">
        <v>598</v>
      </c>
      <c r="EPX341" s="288" t="s">
        <v>598</v>
      </c>
      <c r="EPY341" s="288" t="s">
        <v>598</v>
      </c>
      <c r="EPZ341" s="288" t="s">
        <v>598</v>
      </c>
      <c r="EQA341" s="288" t="s">
        <v>598</v>
      </c>
      <c r="EQB341" s="288" t="s">
        <v>598</v>
      </c>
      <c r="EQC341" s="288" t="s">
        <v>598</v>
      </c>
      <c r="EQD341" s="288" t="s">
        <v>598</v>
      </c>
      <c r="EQE341" s="288" t="s">
        <v>598</v>
      </c>
      <c r="EQF341" s="288" t="s">
        <v>598</v>
      </c>
      <c r="EQG341" s="288" t="s">
        <v>598</v>
      </c>
      <c r="EQH341" s="288" t="s">
        <v>598</v>
      </c>
      <c r="EQI341" s="288" t="s">
        <v>598</v>
      </c>
      <c r="EQJ341" s="288" t="s">
        <v>598</v>
      </c>
      <c r="EQK341" s="288" t="s">
        <v>598</v>
      </c>
      <c r="EQL341" s="288" t="s">
        <v>598</v>
      </c>
      <c r="EQM341" s="288" t="s">
        <v>598</v>
      </c>
      <c r="EQN341" s="288" t="s">
        <v>598</v>
      </c>
      <c r="EQO341" s="288" t="s">
        <v>598</v>
      </c>
      <c r="EQP341" s="288" t="s">
        <v>598</v>
      </c>
      <c r="EQQ341" s="288" t="s">
        <v>598</v>
      </c>
      <c r="EQR341" s="288" t="s">
        <v>598</v>
      </c>
      <c r="EQS341" s="288" t="s">
        <v>598</v>
      </c>
      <c r="EQT341" s="288" t="s">
        <v>598</v>
      </c>
      <c r="EQU341" s="288" t="s">
        <v>598</v>
      </c>
      <c r="EQV341" s="288" t="s">
        <v>598</v>
      </c>
      <c r="EQW341" s="288" t="s">
        <v>598</v>
      </c>
      <c r="EQX341" s="288" t="s">
        <v>598</v>
      </c>
      <c r="EQY341" s="288" t="s">
        <v>598</v>
      </c>
      <c r="EQZ341" s="288" t="s">
        <v>598</v>
      </c>
      <c r="ERA341" s="288" t="s">
        <v>598</v>
      </c>
      <c r="ERB341" s="288" t="s">
        <v>598</v>
      </c>
      <c r="ERC341" s="288" t="s">
        <v>598</v>
      </c>
      <c r="ERD341" s="288" t="s">
        <v>598</v>
      </c>
      <c r="ERE341" s="288" t="s">
        <v>598</v>
      </c>
      <c r="ERF341" s="288" t="s">
        <v>598</v>
      </c>
      <c r="ERG341" s="288" t="s">
        <v>598</v>
      </c>
      <c r="ERH341" s="288" t="s">
        <v>598</v>
      </c>
      <c r="ERI341" s="288" t="s">
        <v>598</v>
      </c>
      <c r="ERJ341" s="288" t="s">
        <v>598</v>
      </c>
      <c r="ERK341" s="288" t="s">
        <v>598</v>
      </c>
      <c r="ERL341" s="288" t="s">
        <v>598</v>
      </c>
      <c r="ERM341" s="288" t="s">
        <v>598</v>
      </c>
      <c r="ERN341" s="288" t="s">
        <v>598</v>
      </c>
      <c r="ERO341" s="288" t="s">
        <v>598</v>
      </c>
      <c r="ERP341" s="288" t="s">
        <v>598</v>
      </c>
      <c r="ERQ341" s="288" t="s">
        <v>598</v>
      </c>
      <c r="ERR341" s="288" t="s">
        <v>598</v>
      </c>
      <c r="ERS341" s="288" t="s">
        <v>598</v>
      </c>
      <c r="ERT341" s="288" t="s">
        <v>598</v>
      </c>
      <c r="ERU341" s="288" t="s">
        <v>598</v>
      </c>
      <c r="ERV341" s="288" t="s">
        <v>598</v>
      </c>
      <c r="ERW341" s="288" t="s">
        <v>598</v>
      </c>
      <c r="ERX341" s="288" t="s">
        <v>598</v>
      </c>
      <c r="ERY341" s="288" t="s">
        <v>598</v>
      </c>
      <c r="ERZ341" s="288" t="s">
        <v>598</v>
      </c>
      <c r="ESA341" s="288" t="s">
        <v>598</v>
      </c>
      <c r="ESB341" s="288" t="s">
        <v>598</v>
      </c>
      <c r="ESC341" s="288" t="s">
        <v>598</v>
      </c>
      <c r="ESD341" s="288" t="s">
        <v>598</v>
      </c>
      <c r="ESE341" s="288" t="s">
        <v>598</v>
      </c>
      <c r="ESF341" s="288" t="s">
        <v>598</v>
      </c>
      <c r="ESG341" s="288" t="s">
        <v>598</v>
      </c>
      <c r="ESH341" s="288" t="s">
        <v>598</v>
      </c>
      <c r="ESI341" s="288" t="s">
        <v>598</v>
      </c>
      <c r="ESJ341" s="288" t="s">
        <v>598</v>
      </c>
      <c r="ESK341" s="288" t="s">
        <v>598</v>
      </c>
      <c r="ESL341" s="288" t="s">
        <v>598</v>
      </c>
      <c r="ESM341" s="288" t="s">
        <v>598</v>
      </c>
      <c r="ESN341" s="288" t="s">
        <v>598</v>
      </c>
      <c r="ESO341" s="288" t="s">
        <v>598</v>
      </c>
      <c r="ESP341" s="288" t="s">
        <v>598</v>
      </c>
      <c r="ESQ341" s="288" t="s">
        <v>598</v>
      </c>
      <c r="ESR341" s="288" t="s">
        <v>598</v>
      </c>
      <c r="ESS341" s="288" t="s">
        <v>598</v>
      </c>
      <c r="EST341" s="288" t="s">
        <v>598</v>
      </c>
      <c r="ESU341" s="288" t="s">
        <v>598</v>
      </c>
      <c r="ESV341" s="288" t="s">
        <v>598</v>
      </c>
      <c r="ESW341" s="288" t="s">
        <v>598</v>
      </c>
      <c r="ESX341" s="288" t="s">
        <v>598</v>
      </c>
      <c r="ESY341" s="288" t="s">
        <v>598</v>
      </c>
      <c r="ESZ341" s="288" t="s">
        <v>598</v>
      </c>
      <c r="ETA341" s="288" t="s">
        <v>598</v>
      </c>
      <c r="ETB341" s="288" t="s">
        <v>598</v>
      </c>
      <c r="ETC341" s="288" t="s">
        <v>598</v>
      </c>
      <c r="ETD341" s="288" t="s">
        <v>598</v>
      </c>
      <c r="ETE341" s="288" t="s">
        <v>598</v>
      </c>
      <c r="ETF341" s="288" t="s">
        <v>598</v>
      </c>
      <c r="ETG341" s="288" t="s">
        <v>598</v>
      </c>
      <c r="ETH341" s="288" t="s">
        <v>598</v>
      </c>
      <c r="ETI341" s="288" t="s">
        <v>598</v>
      </c>
      <c r="ETJ341" s="288" t="s">
        <v>598</v>
      </c>
      <c r="ETK341" s="288" t="s">
        <v>598</v>
      </c>
      <c r="ETL341" s="288" t="s">
        <v>598</v>
      </c>
      <c r="ETM341" s="288" t="s">
        <v>598</v>
      </c>
      <c r="ETN341" s="288" t="s">
        <v>598</v>
      </c>
      <c r="ETO341" s="288" t="s">
        <v>598</v>
      </c>
      <c r="ETP341" s="288" t="s">
        <v>598</v>
      </c>
      <c r="ETQ341" s="288" t="s">
        <v>598</v>
      </c>
      <c r="ETR341" s="288" t="s">
        <v>598</v>
      </c>
      <c r="ETS341" s="288" t="s">
        <v>598</v>
      </c>
      <c r="ETT341" s="288" t="s">
        <v>598</v>
      </c>
      <c r="ETU341" s="288" t="s">
        <v>598</v>
      </c>
      <c r="ETV341" s="288" t="s">
        <v>598</v>
      </c>
      <c r="ETW341" s="288" t="s">
        <v>598</v>
      </c>
      <c r="ETX341" s="288" t="s">
        <v>598</v>
      </c>
      <c r="ETY341" s="288" t="s">
        <v>598</v>
      </c>
      <c r="ETZ341" s="288" t="s">
        <v>598</v>
      </c>
      <c r="EUA341" s="288" t="s">
        <v>598</v>
      </c>
      <c r="EUB341" s="288" t="s">
        <v>598</v>
      </c>
      <c r="EUC341" s="288" t="s">
        <v>598</v>
      </c>
      <c r="EUD341" s="288" t="s">
        <v>598</v>
      </c>
      <c r="EUE341" s="288" t="s">
        <v>598</v>
      </c>
      <c r="EUF341" s="288" t="s">
        <v>598</v>
      </c>
      <c r="EUG341" s="288" t="s">
        <v>598</v>
      </c>
      <c r="EUH341" s="288" t="s">
        <v>598</v>
      </c>
      <c r="EUI341" s="288" t="s">
        <v>598</v>
      </c>
      <c r="EUJ341" s="288" t="s">
        <v>598</v>
      </c>
      <c r="EUK341" s="288" t="s">
        <v>598</v>
      </c>
      <c r="EUL341" s="288" t="s">
        <v>598</v>
      </c>
      <c r="EUM341" s="288" t="s">
        <v>598</v>
      </c>
      <c r="EUN341" s="288" t="s">
        <v>598</v>
      </c>
      <c r="EUO341" s="288" t="s">
        <v>598</v>
      </c>
      <c r="EUP341" s="288" t="s">
        <v>598</v>
      </c>
      <c r="EUQ341" s="288" t="s">
        <v>598</v>
      </c>
      <c r="EUR341" s="288" t="s">
        <v>598</v>
      </c>
      <c r="EUS341" s="288" t="s">
        <v>598</v>
      </c>
      <c r="EUT341" s="288" t="s">
        <v>598</v>
      </c>
      <c r="EUU341" s="288" t="s">
        <v>598</v>
      </c>
      <c r="EUV341" s="288" t="s">
        <v>598</v>
      </c>
      <c r="EUW341" s="288" t="s">
        <v>598</v>
      </c>
      <c r="EUX341" s="288" t="s">
        <v>598</v>
      </c>
      <c r="EUY341" s="288" t="s">
        <v>598</v>
      </c>
      <c r="EUZ341" s="288" t="s">
        <v>598</v>
      </c>
      <c r="EVA341" s="288" t="s">
        <v>598</v>
      </c>
      <c r="EVB341" s="288" t="s">
        <v>598</v>
      </c>
      <c r="EVC341" s="288" t="s">
        <v>598</v>
      </c>
      <c r="EVD341" s="288" t="s">
        <v>598</v>
      </c>
      <c r="EVE341" s="288" t="s">
        <v>598</v>
      </c>
      <c r="EVF341" s="288" t="s">
        <v>598</v>
      </c>
      <c r="EVG341" s="288" t="s">
        <v>598</v>
      </c>
      <c r="EVH341" s="288" t="s">
        <v>598</v>
      </c>
      <c r="EVI341" s="288" t="s">
        <v>598</v>
      </c>
      <c r="EVJ341" s="288" t="s">
        <v>598</v>
      </c>
      <c r="EVK341" s="288" t="s">
        <v>598</v>
      </c>
      <c r="EVL341" s="288" t="s">
        <v>598</v>
      </c>
      <c r="EVM341" s="288" t="s">
        <v>598</v>
      </c>
      <c r="EVN341" s="288" t="s">
        <v>598</v>
      </c>
      <c r="EVO341" s="288" t="s">
        <v>598</v>
      </c>
      <c r="EVP341" s="288" t="s">
        <v>598</v>
      </c>
      <c r="EVQ341" s="288" t="s">
        <v>598</v>
      </c>
      <c r="EVR341" s="288" t="s">
        <v>598</v>
      </c>
      <c r="EVS341" s="288" t="s">
        <v>598</v>
      </c>
      <c r="EVT341" s="288" t="s">
        <v>598</v>
      </c>
      <c r="EVU341" s="288" t="s">
        <v>598</v>
      </c>
      <c r="EVV341" s="288" t="s">
        <v>598</v>
      </c>
      <c r="EVW341" s="288" t="s">
        <v>598</v>
      </c>
      <c r="EVX341" s="288" t="s">
        <v>598</v>
      </c>
      <c r="EVY341" s="288" t="s">
        <v>598</v>
      </c>
      <c r="EVZ341" s="288" t="s">
        <v>598</v>
      </c>
      <c r="EWA341" s="288" t="s">
        <v>598</v>
      </c>
      <c r="EWB341" s="288" t="s">
        <v>598</v>
      </c>
      <c r="EWC341" s="288" t="s">
        <v>598</v>
      </c>
      <c r="EWD341" s="288" t="s">
        <v>598</v>
      </c>
      <c r="EWE341" s="288" t="s">
        <v>598</v>
      </c>
      <c r="EWF341" s="288" t="s">
        <v>598</v>
      </c>
      <c r="EWG341" s="288" t="s">
        <v>598</v>
      </c>
      <c r="EWH341" s="288" t="s">
        <v>598</v>
      </c>
      <c r="EWI341" s="288" t="s">
        <v>598</v>
      </c>
      <c r="EWJ341" s="288" t="s">
        <v>598</v>
      </c>
      <c r="EWK341" s="288" t="s">
        <v>598</v>
      </c>
      <c r="EWL341" s="288" t="s">
        <v>598</v>
      </c>
      <c r="EWM341" s="288" t="s">
        <v>598</v>
      </c>
      <c r="EWN341" s="288" t="s">
        <v>598</v>
      </c>
      <c r="EWO341" s="288" t="s">
        <v>598</v>
      </c>
      <c r="EWP341" s="288" t="s">
        <v>598</v>
      </c>
      <c r="EWQ341" s="288" t="s">
        <v>598</v>
      </c>
      <c r="EWR341" s="288" t="s">
        <v>598</v>
      </c>
      <c r="EWS341" s="288" t="s">
        <v>598</v>
      </c>
      <c r="EWT341" s="288" t="s">
        <v>598</v>
      </c>
      <c r="EWU341" s="288" t="s">
        <v>598</v>
      </c>
      <c r="EWV341" s="288" t="s">
        <v>598</v>
      </c>
      <c r="EWW341" s="288" t="s">
        <v>598</v>
      </c>
      <c r="EWX341" s="288" t="s">
        <v>598</v>
      </c>
      <c r="EWY341" s="288" t="s">
        <v>598</v>
      </c>
      <c r="EWZ341" s="288" t="s">
        <v>598</v>
      </c>
      <c r="EXA341" s="288" t="s">
        <v>598</v>
      </c>
      <c r="EXB341" s="288" t="s">
        <v>598</v>
      </c>
      <c r="EXC341" s="288" t="s">
        <v>598</v>
      </c>
      <c r="EXD341" s="288" t="s">
        <v>598</v>
      </c>
      <c r="EXE341" s="288" t="s">
        <v>598</v>
      </c>
      <c r="EXF341" s="288" t="s">
        <v>598</v>
      </c>
      <c r="EXG341" s="288" t="s">
        <v>598</v>
      </c>
      <c r="EXH341" s="288" t="s">
        <v>598</v>
      </c>
      <c r="EXI341" s="288" t="s">
        <v>598</v>
      </c>
      <c r="EXJ341" s="288" t="s">
        <v>598</v>
      </c>
      <c r="EXK341" s="288" t="s">
        <v>598</v>
      </c>
      <c r="EXL341" s="288" t="s">
        <v>598</v>
      </c>
      <c r="EXM341" s="288" t="s">
        <v>598</v>
      </c>
      <c r="EXN341" s="288" t="s">
        <v>598</v>
      </c>
      <c r="EXO341" s="288" t="s">
        <v>598</v>
      </c>
      <c r="EXP341" s="288" t="s">
        <v>598</v>
      </c>
      <c r="EXQ341" s="288" t="s">
        <v>598</v>
      </c>
      <c r="EXR341" s="288" t="s">
        <v>598</v>
      </c>
      <c r="EXS341" s="288" t="s">
        <v>598</v>
      </c>
      <c r="EXT341" s="288" t="s">
        <v>598</v>
      </c>
      <c r="EXU341" s="288" t="s">
        <v>598</v>
      </c>
      <c r="EXV341" s="288" t="s">
        <v>598</v>
      </c>
      <c r="EXW341" s="288" t="s">
        <v>598</v>
      </c>
      <c r="EXX341" s="288" t="s">
        <v>598</v>
      </c>
      <c r="EXY341" s="288" t="s">
        <v>598</v>
      </c>
      <c r="EXZ341" s="288" t="s">
        <v>598</v>
      </c>
      <c r="EYA341" s="288" t="s">
        <v>598</v>
      </c>
      <c r="EYB341" s="288" t="s">
        <v>598</v>
      </c>
      <c r="EYC341" s="288" t="s">
        <v>598</v>
      </c>
      <c r="EYD341" s="288" t="s">
        <v>598</v>
      </c>
      <c r="EYE341" s="288" t="s">
        <v>598</v>
      </c>
      <c r="EYF341" s="288" t="s">
        <v>598</v>
      </c>
      <c r="EYG341" s="288" t="s">
        <v>598</v>
      </c>
      <c r="EYH341" s="288" t="s">
        <v>598</v>
      </c>
      <c r="EYI341" s="288" t="s">
        <v>598</v>
      </c>
      <c r="EYJ341" s="288" t="s">
        <v>598</v>
      </c>
      <c r="EYK341" s="288" t="s">
        <v>598</v>
      </c>
      <c r="EYL341" s="288" t="s">
        <v>598</v>
      </c>
      <c r="EYM341" s="288" t="s">
        <v>598</v>
      </c>
      <c r="EYN341" s="288" t="s">
        <v>598</v>
      </c>
      <c r="EYO341" s="288" t="s">
        <v>598</v>
      </c>
      <c r="EYP341" s="288" t="s">
        <v>598</v>
      </c>
      <c r="EYQ341" s="288" t="s">
        <v>598</v>
      </c>
      <c r="EYR341" s="288" t="s">
        <v>598</v>
      </c>
      <c r="EYS341" s="288" t="s">
        <v>598</v>
      </c>
      <c r="EYT341" s="288" t="s">
        <v>598</v>
      </c>
      <c r="EYU341" s="288" t="s">
        <v>598</v>
      </c>
      <c r="EYV341" s="288" t="s">
        <v>598</v>
      </c>
      <c r="EYW341" s="288" t="s">
        <v>598</v>
      </c>
      <c r="EYX341" s="288" t="s">
        <v>598</v>
      </c>
      <c r="EYY341" s="288" t="s">
        <v>598</v>
      </c>
      <c r="EYZ341" s="288" t="s">
        <v>598</v>
      </c>
      <c r="EZA341" s="288" t="s">
        <v>598</v>
      </c>
      <c r="EZB341" s="288" t="s">
        <v>598</v>
      </c>
      <c r="EZC341" s="288" t="s">
        <v>598</v>
      </c>
      <c r="EZD341" s="288" t="s">
        <v>598</v>
      </c>
      <c r="EZE341" s="288" t="s">
        <v>598</v>
      </c>
      <c r="EZF341" s="288" t="s">
        <v>598</v>
      </c>
      <c r="EZG341" s="288" t="s">
        <v>598</v>
      </c>
      <c r="EZH341" s="288" t="s">
        <v>598</v>
      </c>
      <c r="EZI341" s="288" t="s">
        <v>598</v>
      </c>
      <c r="EZJ341" s="288" t="s">
        <v>598</v>
      </c>
      <c r="EZK341" s="288" t="s">
        <v>598</v>
      </c>
      <c r="EZL341" s="288" t="s">
        <v>598</v>
      </c>
      <c r="EZM341" s="288" t="s">
        <v>598</v>
      </c>
      <c r="EZN341" s="288" t="s">
        <v>598</v>
      </c>
      <c r="EZO341" s="288" t="s">
        <v>598</v>
      </c>
      <c r="EZP341" s="288" t="s">
        <v>598</v>
      </c>
      <c r="EZQ341" s="288" t="s">
        <v>598</v>
      </c>
      <c r="EZR341" s="288" t="s">
        <v>598</v>
      </c>
      <c r="EZS341" s="288" t="s">
        <v>598</v>
      </c>
      <c r="EZT341" s="288" t="s">
        <v>598</v>
      </c>
      <c r="EZU341" s="288" t="s">
        <v>598</v>
      </c>
      <c r="EZV341" s="288" t="s">
        <v>598</v>
      </c>
      <c r="EZW341" s="288" t="s">
        <v>598</v>
      </c>
      <c r="EZX341" s="288" t="s">
        <v>598</v>
      </c>
      <c r="EZY341" s="288" t="s">
        <v>598</v>
      </c>
      <c r="EZZ341" s="288" t="s">
        <v>598</v>
      </c>
      <c r="FAA341" s="288" t="s">
        <v>598</v>
      </c>
      <c r="FAB341" s="288" t="s">
        <v>598</v>
      </c>
      <c r="FAC341" s="288" t="s">
        <v>598</v>
      </c>
      <c r="FAD341" s="288" t="s">
        <v>598</v>
      </c>
      <c r="FAE341" s="288" t="s">
        <v>598</v>
      </c>
      <c r="FAF341" s="288" t="s">
        <v>598</v>
      </c>
      <c r="FAG341" s="288" t="s">
        <v>598</v>
      </c>
      <c r="FAH341" s="288" t="s">
        <v>598</v>
      </c>
      <c r="FAI341" s="288" t="s">
        <v>598</v>
      </c>
      <c r="FAJ341" s="288" t="s">
        <v>598</v>
      </c>
      <c r="FAK341" s="288" t="s">
        <v>598</v>
      </c>
      <c r="FAL341" s="288" t="s">
        <v>598</v>
      </c>
      <c r="FAM341" s="288" t="s">
        <v>598</v>
      </c>
      <c r="FAN341" s="288" t="s">
        <v>598</v>
      </c>
      <c r="FAO341" s="288" t="s">
        <v>598</v>
      </c>
      <c r="FAP341" s="288" t="s">
        <v>598</v>
      </c>
      <c r="FAQ341" s="288" t="s">
        <v>598</v>
      </c>
      <c r="FAR341" s="288" t="s">
        <v>598</v>
      </c>
      <c r="FAS341" s="288" t="s">
        <v>598</v>
      </c>
      <c r="FAT341" s="288" t="s">
        <v>598</v>
      </c>
      <c r="FAU341" s="288" t="s">
        <v>598</v>
      </c>
      <c r="FAV341" s="288" t="s">
        <v>598</v>
      </c>
      <c r="FAW341" s="288" t="s">
        <v>598</v>
      </c>
      <c r="FAX341" s="288" t="s">
        <v>598</v>
      </c>
      <c r="FAY341" s="288" t="s">
        <v>598</v>
      </c>
      <c r="FAZ341" s="288" t="s">
        <v>598</v>
      </c>
      <c r="FBA341" s="288" t="s">
        <v>598</v>
      </c>
      <c r="FBB341" s="288" t="s">
        <v>598</v>
      </c>
      <c r="FBC341" s="288" t="s">
        <v>598</v>
      </c>
      <c r="FBD341" s="288" t="s">
        <v>598</v>
      </c>
      <c r="FBE341" s="288" t="s">
        <v>598</v>
      </c>
      <c r="FBF341" s="288" t="s">
        <v>598</v>
      </c>
      <c r="FBG341" s="288" t="s">
        <v>598</v>
      </c>
      <c r="FBH341" s="288" t="s">
        <v>598</v>
      </c>
      <c r="FBI341" s="288" t="s">
        <v>598</v>
      </c>
      <c r="FBJ341" s="288" t="s">
        <v>598</v>
      </c>
      <c r="FBK341" s="288" t="s">
        <v>598</v>
      </c>
      <c r="FBL341" s="288" t="s">
        <v>598</v>
      </c>
      <c r="FBM341" s="288" t="s">
        <v>598</v>
      </c>
      <c r="FBN341" s="288" t="s">
        <v>598</v>
      </c>
      <c r="FBO341" s="288" t="s">
        <v>598</v>
      </c>
      <c r="FBP341" s="288" t="s">
        <v>598</v>
      </c>
      <c r="FBQ341" s="288" t="s">
        <v>598</v>
      </c>
      <c r="FBR341" s="288" t="s">
        <v>598</v>
      </c>
      <c r="FBS341" s="288" t="s">
        <v>598</v>
      </c>
      <c r="FBT341" s="288" t="s">
        <v>598</v>
      </c>
      <c r="FBU341" s="288" t="s">
        <v>598</v>
      </c>
      <c r="FBV341" s="288" t="s">
        <v>598</v>
      </c>
      <c r="FBW341" s="288" t="s">
        <v>598</v>
      </c>
      <c r="FBX341" s="288" t="s">
        <v>598</v>
      </c>
      <c r="FBY341" s="288" t="s">
        <v>598</v>
      </c>
      <c r="FBZ341" s="288" t="s">
        <v>598</v>
      </c>
      <c r="FCA341" s="288" t="s">
        <v>598</v>
      </c>
      <c r="FCB341" s="288" t="s">
        <v>598</v>
      </c>
      <c r="FCC341" s="288" t="s">
        <v>598</v>
      </c>
      <c r="FCD341" s="288" t="s">
        <v>598</v>
      </c>
      <c r="FCE341" s="288" t="s">
        <v>598</v>
      </c>
      <c r="FCF341" s="288" t="s">
        <v>598</v>
      </c>
      <c r="FCG341" s="288" t="s">
        <v>598</v>
      </c>
      <c r="FCH341" s="288" t="s">
        <v>598</v>
      </c>
      <c r="FCI341" s="288" t="s">
        <v>598</v>
      </c>
      <c r="FCJ341" s="288" t="s">
        <v>598</v>
      </c>
      <c r="FCK341" s="288" t="s">
        <v>598</v>
      </c>
      <c r="FCL341" s="288" t="s">
        <v>598</v>
      </c>
      <c r="FCM341" s="288" t="s">
        <v>598</v>
      </c>
      <c r="FCN341" s="288" t="s">
        <v>598</v>
      </c>
      <c r="FCO341" s="288" t="s">
        <v>598</v>
      </c>
      <c r="FCP341" s="288" t="s">
        <v>598</v>
      </c>
      <c r="FCQ341" s="288" t="s">
        <v>598</v>
      </c>
      <c r="FCR341" s="288" t="s">
        <v>598</v>
      </c>
      <c r="FCS341" s="288" t="s">
        <v>598</v>
      </c>
      <c r="FCT341" s="288" t="s">
        <v>598</v>
      </c>
      <c r="FCU341" s="288" t="s">
        <v>598</v>
      </c>
      <c r="FCV341" s="288" t="s">
        <v>598</v>
      </c>
      <c r="FCW341" s="288" t="s">
        <v>598</v>
      </c>
      <c r="FCX341" s="288" t="s">
        <v>598</v>
      </c>
      <c r="FCY341" s="288" t="s">
        <v>598</v>
      </c>
      <c r="FCZ341" s="288" t="s">
        <v>598</v>
      </c>
      <c r="FDA341" s="288" t="s">
        <v>598</v>
      </c>
      <c r="FDB341" s="288" t="s">
        <v>598</v>
      </c>
      <c r="FDC341" s="288" t="s">
        <v>598</v>
      </c>
      <c r="FDD341" s="288" t="s">
        <v>598</v>
      </c>
      <c r="FDE341" s="288" t="s">
        <v>598</v>
      </c>
      <c r="FDF341" s="288" t="s">
        <v>598</v>
      </c>
      <c r="FDG341" s="288" t="s">
        <v>598</v>
      </c>
      <c r="FDH341" s="288" t="s">
        <v>598</v>
      </c>
      <c r="FDI341" s="288" t="s">
        <v>598</v>
      </c>
      <c r="FDJ341" s="288" t="s">
        <v>598</v>
      </c>
      <c r="FDK341" s="288" t="s">
        <v>598</v>
      </c>
      <c r="FDL341" s="288" t="s">
        <v>598</v>
      </c>
      <c r="FDM341" s="288" t="s">
        <v>598</v>
      </c>
      <c r="FDN341" s="288" t="s">
        <v>598</v>
      </c>
      <c r="FDO341" s="288" t="s">
        <v>598</v>
      </c>
      <c r="FDP341" s="288" t="s">
        <v>598</v>
      </c>
      <c r="FDQ341" s="288" t="s">
        <v>598</v>
      </c>
      <c r="FDR341" s="288" t="s">
        <v>598</v>
      </c>
      <c r="FDS341" s="288" t="s">
        <v>598</v>
      </c>
      <c r="FDT341" s="288" t="s">
        <v>598</v>
      </c>
      <c r="FDU341" s="288" t="s">
        <v>598</v>
      </c>
      <c r="FDV341" s="288" t="s">
        <v>598</v>
      </c>
      <c r="FDW341" s="288" t="s">
        <v>598</v>
      </c>
      <c r="FDX341" s="288" t="s">
        <v>598</v>
      </c>
      <c r="FDY341" s="288" t="s">
        <v>598</v>
      </c>
      <c r="FDZ341" s="288" t="s">
        <v>598</v>
      </c>
      <c r="FEA341" s="288" t="s">
        <v>598</v>
      </c>
      <c r="FEB341" s="288" t="s">
        <v>598</v>
      </c>
      <c r="FEC341" s="288" t="s">
        <v>598</v>
      </c>
      <c r="FED341" s="288" t="s">
        <v>598</v>
      </c>
      <c r="FEE341" s="288" t="s">
        <v>598</v>
      </c>
      <c r="FEF341" s="288" t="s">
        <v>598</v>
      </c>
      <c r="FEG341" s="288" t="s">
        <v>598</v>
      </c>
      <c r="FEH341" s="288" t="s">
        <v>598</v>
      </c>
      <c r="FEI341" s="288" t="s">
        <v>598</v>
      </c>
      <c r="FEJ341" s="288" t="s">
        <v>598</v>
      </c>
      <c r="FEK341" s="288" t="s">
        <v>598</v>
      </c>
      <c r="FEL341" s="288" t="s">
        <v>598</v>
      </c>
      <c r="FEM341" s="288" t="s">
        <v>598</v>
      </c>
      <c r="FEN341" s="288" t="s">
        <v>598</v>
      </c>
      <c r="FEO341" s="288" t="s">
        <v>598</v>
      </c>
      <c r="FEP341" s="288" t="s">
        <v>598</v>
      </c>
      <c r="FEQ341" s="288" t="s">
        <v>598</v>
      </c>
      <c r="FER341" s="288" t="s">
        <v>598</v>
      </c>
      <c r="FES341" s="288" t="s">
        <v>598</v>
      </c>
      <c r="FET341" s="288" t="s">
        <v>598</v>
      </c>
      <c r="FEU341" s="288" t="s">
        <v>598</v>
      </c>
      <c r="FEV341" s="288" t="s">
        <v>598</v>
      </c>
      <c r="FEW341" s="288" t="s">
        <v>598</v>
      </c>
      <c r="FEX341" s="288" t="s">
        <v>598</v>
      </c>
      <c r="FEY341" s="288" t="s">
        <v>598</v>
      </c>
      <c r="FEZ341" s="288" t="s">
        <v>598</v>
      </c>
      <c r="FFA341" s="288" t="s">
        <v>598</v>
      </c>
      <c r="FFB341" s="288" t="s">
        <v>598</v>
      </c>
      <c r="FFC341" s="288" t="s">
        <v>598</v>
      </c>
      <c r="FFD341" s="288" t="s">
        <v>598</v>
      </c>
      <c r="FFE341" s="288" t="s">
        <v>598</v>
      </c>
      <c r="FFF341" s="288" t="s">
        <v>598</v>
      </c>
      <c r="FFG341" s="288" t="s">
        <v>598</v>
      </c>
      <c r="FFH341" s="288" t="s">
        <v>598</v>
      </c>
      <c r="FFI341" s="288" t="s">
        <v>598</v>
      </c>
      <c r="FFJ341" s="288" t="s">
        <v>598</v>
      </c>
      <c r="FFK341" s="288" t="s">
        <v>598</v>
      </c>
      <c r="FFL341" s="288" t="s">
        <v>598</v>
      </c>
      <c r="FFM341" s="288" t="s">
        <v>598</v>
      </c>
      <c r="FFN341" s="288" t="s">
        <v>598</v>
      </c>
      <c r="FFO341" s="288" t="s">
        <v>598</v>
      </c>
      <c r="FFP341" s="288" t="s">
        <v>598</v>
      </c>
      <c r="FFQ341" s="288" t="s">
        <v>598</v>
      </c>
      <c r="FFR341" s="288" t="s">
        <v>598</v>
      </c>
      <c r="FFS341" s="288" t="s">
        <v>598</v>
      </c>
      <c r="FFT341" s="288" t="s">
        <v>598</v>
      </c>
      <c r="FFU341" s="288" t="s">
        <v>598</v>
      </c>
      <c r="FFV341" s="288" t="s">
        <v>598</v>
      </c>
      <c r="FFW341" s="288" t="s">
        <v>598</v>
      </c>
      <c r="FFX341" s="288" t="s">
        <v>598</v>
      </c>
      <c r="FFY341" s="288" t="s">
        <v>598</v>
      </c>
      <c r="FFZ341" s="288" t="s">
        <v>598</v>
      </c>
      <c r="FGA341" s="288" t="s">
        <v>598</v>
      </c>
      <c r="FGB341" s="288" t="s">
        <v>598</v>
      </c>
      <c r="FGC341" s="288" t="s">
        <v>598</v>
      </c>
      <c r="FGD341" s="288" t="s">
        <v>598</v>
      </c>
      <c r="FGE341" s="288" t="s">
        <v>598</v>
      </c>
      <c r="FGF341" s="288" t="s">
        <v>598</v>
      </c>
      <c r="FGG341" s="288" t="s">
        <v>598</v>
      </c>
      <c r="FGH341" s="288" t="s">
        <v>598</v>
      </c>
      <c r="FGI341" s="288" t="s">
        <v>598</v>
      </c>
      <c r="FGJ341" s="288" t="s">
        <v>598</v>
      </c>
      <c r="FGK341" s="288" t="s">
        <v>598</v>
      </c>
      <c r="FGL341" s="288" t="s">
        <v>598</v>
      </c>
      <c r="FGM341" s="288" t="s">
        <v>598</v>
      </c>
      <c r="FGN341" s="288" t="s">
        <v>598</v>
      </c>
      <c r="FGO341" s="288" t="s">
        <v>598</v>
      </c>
      <c r="FGP341" s="288" t="s">
        <v>598</v>
      </c>
      <c r="FGQ341" s="288" t="s">
        <v>598</v>
      </c>
      <c r="FGR341" s="288" t="s">
        <v>598</v>
      </c>
      <c r="FGS341" s="288" t="s">
        <v>598</v>
      </c>
      <c r="FGT341" s="288" t="s">
        <v>598</v>
      </c>
      <c r="FGU341" s="288" t="s">
        <v>598</v>
      </c>
      <c r="FGV341" s="288" t="s">
        <v>598</v>
      </c>
      <c r="FGW341" s="288" t="s">
        <v>598</v>
      </c>
      <c r="FGX341" s="288" t="s">
        <v>598</v>
      </c>
      <c r="FGY341" s="288" t="s">
        <v>598</v>
      </c>
      <c r="FGZ341" s="288" t="s">
        <v>598</v>
      </c>
      <c r="FHA341" s="288" t="s">
        <v>598</v>
      </c>
      <c r="FHB341" s="288" t="s">
        <v>598</v>
      </c>
      <c r="FHC341" s="288" t="s">
        <v>598</v>
      </c>
      <c r="FHD341" s="288" t="s">
        <v>598</v>
      </c>
      <c r="FHE341" s="288" t="s">
        <v>598</v>
      </c>
      <c r="FHF341" s="288" t="s">
        <v>598</v>
      </c>
      <c r="FHG341" s="288" t="s">
        <v>598</v>
      </c>
      <c r="FHH341" s="288" t="s">
        <v>598</v>
      </c>
      <c r="FHI341" s="288" t="s">
        <v>598</v>
      </c>
      <c r="FHJ341" s="288" t="s">
        <v>598</v>
      </c>
      <c r="FHK341" s="288" t="s">
        <v>598</v>
      </c>
      <c r="FHL341" s="288" t="s">
        <v>598</v>
      </c>
      <c r="FHM341" s="288" t="s">
        <v>598</v>
      </c>
      <c r="FHN341" s="288" t="s">
        <v>598</v>
      </c>
      <c r="FHO341" s="288" t="s">
        <v>598</v>
      </c>
      <c r="FHP341" s="288" t="s">
        <v>598</v>
      </c>
      <c r="FHQ341" s="288" t="s">
        <v>598</v>
      </c>
      <c r="FHR341" s="288" t="s">
        <v>598</v>
      </c>
      <c r="FHS341" s="288" t="s">
        <v>598</v>
      </c>
      <c r="FHT341" s="288" t="s">
        <v>598</v>
      </c>
      <c r="FHU341" s="288" t="s">
        <v>598</v>
      </c>
      <c r="FHV341" s="288" t="s">
        <v>598</v>
      </c>
      <c r="FHW341" s="288" t="s">
        <v>598</v>
      </c>
      <c r="FHX341" s="288" t="s">
        <v>598</v>
      </c>
      <c r="FHY341" s="288" t="s">
        <v>598</v>
      </c>
      <c r="FHZ341" s="288" t="s">
        <v>598</v>
      </c>
      <c r="FIA341" s="288" t="s">
        <v>598</v>
      </c>
      <c r="FIB341" s="288" t="s">
        <v>598</v>
      </c>
      <c r="FIC341" s="288" t="s">
        <v>598</v>
      </c>
      <c r="FID341" s="288" t="s">
        <v>598</v>
      </c>
      <c r="FIE341" s="288" t="s">
        <v>598</v>
      </c>
      <c r="FIF341" s="288" t="s">
        <v>598</v>
      </c>
      <c r="FIG341" s="288" t="s">
        <v>598</v>
      </c>
      <c r="FIH341" s="288" t="s">
        <v>598</v>
      </c>
      <c r="FII341" s="288" t="s">
        <v>598</v>
      </c>
      <c r="FIJ341" s="288" t="s">
        <v>598</v>
      </c>
      <c r="FIK341" s="288" t="s">
        <v>598</v>
      </c>
      <c r="FIL341" s="288" t="s">
        <v>598</v>
      </c>
      <c r="FIM341" s="288" t="s">
        <v>598</v>
      </c>
      <c r="FIN341" s="288" t="s">
        <v>598</v>
      </c>
      <c r="FIO341" s="288" t="s">
        <v>598</v>
      </c>
      <c r="FIP341" s="288" t="s">
        <v>598</v>
      </c>
      <c r="FIQ341" s="288" t="s">
        <v>598</v>
      </c>
      <c r="FIR341" s="288" t="s">
        <v>598</v>
      </c>
      <c r="FIS341" s="288" t="s">
        <v>598</v>
      </c>
      <c r="FIT341" s="288" t="s">
        <v>598</v>
      </c>
      <c r="FIU341" s="288" t="s">
        <v>598</v>
      </c>
      <c r="FIV341" s="288" t="s">
        <v>598</v>
      </c>
      <c r="FIW341" s="288" t="s">
        <v>598</v>
      </c>
      <c r="FIX341" s="288" t="s">
        <v>598</v>
      </c>
      <c r="FIY341" s="288" t="s">
        <v>598</v>
      </c>
      <c r="FIZ341" s="288" t="s">
        <v>598</v>
      </c>
      <c r="FJA341" s="288" t="s">
        <v>598</v>
      </c>
      <c r="FJB341" s="288" t="s">
        <v>598</v>
      </c>
      <c r="FJC341" s="288" t="s">
        <v>598</v>
      </c>
      <c r="FJD341" s="288" t="s">
        <v>598</v>
      </c>
      <c r="FJE341" s="288" t="s">
        <v>598</v>
      </c>
      <c r="FJF341" s="288" t="s">
        <v>598</v>
      </c>
      <c r="FJG341" s="288" t="s">
        <v>598</v>
      </c>
      <c r="FJH341" s="288" t="s">
        <v>598</v>
      </c>
      <c r="FJI341" s="288" t="s">
        <v>598</v>
      </c>
      <c r="FJJ341" s="288" t="s">
        <v>598</v>
      </c>
      <c r="FJK341" s="288" t="s">
        <v>598</v>
      </c>
      <c r="FJL341" s="288" t="s">
        <v>598</v>
      </c>
      <c r="FJM341" s="288" t="s">
        <v>598</v>
      </c>
      <c r="FJN341" s="288" t="s">
        <v>598</v>
      </c>
      <c r="FJO341" s="288" t="s">
        <v>598</v>
      </c>
      <c r="FJP341" s="288" t="s">
        <v>598</v>
      </c>
      <c r="FJQ341" s="288" t="s">
        <v>598</v>
      </c>
      <c r="FJR341" s="288" t="s">
        <v>598</v>
      </c>
      <c r="FJS341" s="288" t="s">
        <v>598</v>
      </c>
      <c r="FJT341" s="288" t="s">
        <v>598</v>
      </c>
      <c r="FJU341" s="288" t="s">
        <v>598</v>
      </c>
      <c r="FJV341" s="288" t="s">
        <v>598</v>
      </c>
      <c r="FJW341" s="288" t="s">
        <v>598</v>
      </c>
      <c r="FJX341" s="288" t="s">
        <v>598</v>
      </c>
      <c r="FJY341" s="288" t="s">
        <v>598</v>
      </c>
      <c r="FJZ341" s="288" t="s">
        <v>598</v>
      </c>
      <c r="FKA341" s="288" t="s">
        <v>598</v>
      </c>
      <c r="FKB341" s="288" t="s">
        <v>598</v>
      </c>
      <c r="FKC341" s="288" t="s">
        <v>598</v>
      </c>
      <c r="FKD341" s="288" t="s">
        <v>598</v>
      </c>
      <c r="FKE341" s="288" t="s">
        <v>598</v>
      </c>
      <c r="FKF341" s="288" t="s">
        <v>598</v>
      </c>
      <c r="FKG341" s="288" t="s">
        <v>598</v>
      </c>
      <c r="FKH341" s="288" t="s">
        <v>598</v>
      </c>
      <c r="FKI341" s="288" t="s">
        <v>598</v>
      </c>
      <c r="FKJ341" s="288" t="s">
        <v>598</v>
      </c>
      <c r="FKK341" s="288" t="s">
        <v>598</v>
      </c>
      <c r="FKL341" s="288" t="s">
        <v>598</v>
      </c>
      <c r="FKM341" s="288" t="s">
        <v>598</v>
      </c>
      <c r="FKN341" s="288" t="s">
        <v>598</v>
      </c>
      <c r="FKO341" s="288" t="s">
        <v>598</v>
      </c>
      <c r="FKP341" s="288" t="s">
        <v>598</v>
      </c>
      <c r="FKQ341" s="288" t="s">
        <v>598</v>
      </c>
      <c r="FKR341" s="288" t="s">
        <v>598</v>
      </c>
      <c r="FKS341" s="288" t="s">
        <v>598</v>
      </c>
      <c r="FKT341" s="288" t="s">
        <v>598</v>
      </c>
      <c r="FKU341" s="288" t="s">
        <v>598</v>
      </c>
      <c r="FKV341" s="288" t="s">
        <v>598</v>
      </c>
      <c r="FKW341" s="288" t="s">
        <v>598</v>
      </c>
      <c r="FKX341" s="288" t="s">
        <v>598</v>
      </c>
      <c r="FKY341" s="288" t="s">
        <v>598</v>
      </c>
      <c r="FKZ341" s="288" t="s">
        <v>598</v>
      </c>
      <c r="FLA341" s="288" t="s">
        <v>598</v>
      </c>
      <c r="FLB341" s="288" t="s">
        <v>598</v>
      </c>
      <c r="FLC341" s="288" t="s">
        <v>598</v>
      </c>
      <c r="FLD341" s="288" t="s">
        <v>598</v>
      </c>
      <c r="FLE341" s="288" t="s">
        <v>598</v>
      </c>
      <c r="FLF341" s="288" t="s">
        <v>598</v>
      </c>
      <c r="FLG341" s="288" t="s">
        <v>598</v>
      </c>
      <c r="FLH341" s="288" t="s">
        <v>598</v>
      </c>
      <c r="FLI341" s="288" t="s">
        <v>598</v>
      </c>
      <c r="FLJ341" s="288" t="s">
        <v>598</v>
      </c>
      <c r="FLK341" s="288" t="s">
        <v>598</v>
      </c>
      <c r="FLL341" s="288" t="s">
        <v>598</v>
      </c>
      <c r="FLM341" s="288" t="s">
        <v>598</v>
      </c>
      <c r="FLN341" s="288" t="s">
        <v>598</v>
      </c>
      <c r="FLO341" s="288" t="s">
        <v>598</v>
      </c>
      <c r="FLP341" s="288" t="s">
        <v>598</v>
      </c>
      <c r="FLQ341" s="288" t="s">
        <v>598</v>
      </c>
      <c r="FLR341" s="288" t="s">
        <v>598</v>
      </c>
      <c r="FLS341" s="288" t="s">
        <v>598</v>
      </c>
      <c r="FLT341" s="288" t="s">
        <v>598</v>
      </c>
      <c r="FLU341" s="288" t="s">
        <v>598</v>
      </c>
      <c r="FLV341" s="288" t="s">
        <v>598</v>
      </c>
      <c r="FLW341" s="288" t="s">
        <v>598</v>
      </c>
      <c r="FLX341" s="288" t="s">
        <v>598</v>
      </c>
      <c r="FLY341" s="288" t="s">
        <v>598</v>
      </c>
      <c r="FLZ341" s="288" t="s">
        <v>598</v>
      </c>
      <c r="FMA341" s="288" t="s">
        <v>598</v>
      </c>
      <c r="FMB341" s="288" t="s">
        <v>598</v>
      </c>
      <c r="FMC341" s="288" t="s">
        <v>598</v>
      </c>
      <c r="FMD341" s="288" t="s">
        <v>598</v>
      </c>
      <c r="FME341" s="288" t="s">
        <v>598</v>
      </c>
      <c r="FMF341" s="288" t="s">
        <v>598</v>
      </c>
      <c r="FMG341" s="288" t="s">
        <v>598</v>
      </c>
      <c r="FMH341" s="288" t="s">
        <v>598</v>
      </c>
      <c r="FMI341" s="288" t="s">
        <v>598</v>
      </c>
      <c r="FMJ341" s="288" t="s">
        <v>598</v>
      </c>
      <c r="FMK341" s="288" t="s">
        <v>598</v>
      </c>
      <c r="FML341" s="288" t="s">
        <v>598</v>
      </c>
      <c r="FMM341" s="288" t="s">
        <v>598</v>
      </c>
      <c r="FMN341" s="288" t="s">
        <v>598</v>
      </c>
      <c r="FMO341" s="288" t="s">
        <v>598</v>
      </c>
      <c r="FMP341" s="288" t="s">
        <v>598</v>
      </c>
      <c r="FMQ341" s="288" t="s">
        <v>598</v>
      </c>
      <c r="FMR341" s="288" t="s">
        <v>598</v>
      </c>
      <c r="FMS341" s="288" t="s">
        <v>598</v>
      </c>
      <c r="FMT341" s="288" t="s">
        <v>598</v>
      </c>
      <c r="FMU341" s="288" t="s">
        <v>598</v>
      </c>
      <c r="FMV341" s="288" t="s">
        <v>598</v>
      </c>
      <c r="FMW341" s="288" t="s">
        <v>598</v>
      </c>
      <c r="FMX341" s="288" t="s">
        <v>598</v>
      </c>
      <c r="FMY341" s="288" t="s">
        <v>598</v>
      </c>
      <c r="FMZ341" s="288" t="s">
        <v>598</v>
      </c>
      <c r="FNA341" s="288" t="s">
        <v>598</v>
      </c>
      <c r="FNB341" s="288" t="s">
        <v>598</v>
      </c>
      <c r="FNC341" s="288" t="s">
        <v>598</v>
      </c>
      <c r="FND341" s="288" t="s">
        <v>598</v>
      </c>
      <c r="FNE341" s="288" t="s">
        <v>598</v>
      </c>
      <c r="FNF341" s="288" t="s">
        <v>598</v>
      </c>
      <c r="FNG341" s="288" t="s">
        <v>598</v>
      </c>
      <c r="FNH341" s="288" t="s">
        <v>598</v>
      </c>
      <c r="FNI341" s="288" t="s">
        <v>598</v>
      </c>
      <c r="FNJ341" s="288" t="s">
        <v>598</v>
      </c>
      <c r="FNK341" s="288" t="s">
        <v>598</v>
      </c>
      <c r="FNL341" s="288" t="s">
        <v>598</v>
      </c>
      <c r="FNM341" s="288" t="s">
        <v>598</v>
      </c>
      <c r="FNN341" s="288" t="s">
        <v>598</v>
      </c>
      <c r="FNO341" s="288" t="s">
        <v>598</v>
      </c>
      <c r="FNP341" s="288" t="s">
        <v>598</v>
      </c>
      <c r="FNQ341" s="288" t="s">
        <v>598</v>
      </c>
      <c r="FNR341" s="288" t="s">
        <v>598</v>
      </c>
      <c r="FNS341" s="288" t="s">
        <v>598</v>
      </c>
      <c r="FNT341" s="288" t="s">
        <v>598</v>
      </c>
      <c r="FNU341" s="288" t="s">
        <v>598</v>
      </c>
      <c r="FNV341" s="288" t="s">
        <v>598</v>
      </c>
      <c r="FNW341" s="288" t="s">
        <v>598</v>
      </c>
      <c r="FNX341" s="288" t="s">
        <v>598</v>
      </c>
      <c r="FNY341" s="288" t="s">
        <v>598</v>
      </c>
      <c r="FNZ341" s="288" t="s">
        <v>598</v>
      </c>
      <c r="FOA341" s="288" t="s">
        <v>598</v>
      </c>
      <c r="FOB341" s="288" t="s">
        <v>598</v>
      </c>
      <c r="FOC341" s="288" t="s">
        <v>598</v>
      </c>
      <c r="FOD341" s="288" t="s">
        <v>598</v>
      </c>
      <c r="FOE341" s="288" t="s">
        <v>598</v>
      </c>
      <c r="FOF341" s="288" t="s">
        <v>598</v>
      </c>
      <c r="FOG341" s="288" t="s">
        <v>598</v>
      </c>
      <c r="FOH341" s="288" t="s">
        <v>598</v>
      </c>
      <c r="FOI341" s="288" t="s">
        <v>598</v>
      </c>
      <c r="FOJ341" s="288" t="s">
        <v>598</v>
      </c>
      <c r="FOK341" s="288" t="s">
        <v>598</v>
      </c>
      <c r="FOL341" s="288" t="s">
        <v>598</v>
      </c>
      <c r="FOM341" s="288" t="s">
        <v>598</v>
      </c>
      <c r="FON341" s="288" t="s">
        <v>598</v>
      </c>
      <c r="FOO341" s="288" t="s">
        <v>598</v>
      </c>
      <c r="FOP341" s="288" t="s">
        <v>598</v>
      </c>
      <c r="FOQ341" s="288" t="s">
        <v>598</v>
      </c>
      <c r="FOR341" s="288" t="s">
        <v>598</v>
      </c>
      <c r="FOS341" s="288" t="s">
        <v>598</v>
      </c>
      <c r="FOT341" s="288" t="s">
        <v>598</v>
      </c>
      <c r="FOU341" s="288" t="s">
        <v>598</v>
      </c>
      <c r="FOV341" s="288" t="s">
        <v>598</v>
      </c>
      <c r="FOW341" s="288" t="s">
        <v>598</v>
      </c>
      <c r="FOX341" s="288" t="s">
        <v>598</v>
      </c>
      <c r="FOY341" s="288" t="s">
        <v>598</v>
      </c>
      <c r="FOZ341" s="288" t="s">
        <v>598</v>
      </c>
      <c r="FPA341" s="288" t="s">
        <v>598</v>
      </c>
      <c r="FPB341" s="288" t="s">
        <v>598</v>
      </c>
      <c r="FPC341" s="288" t="s">
        <v>598</v>
      </c>
      <c r="FPD341" s="288" t="s">
        <v>598</v>
      </c>
      <c r="FPE341" s="288" t="s">
        <v>598</v>
      </c>
      <c r="FPF341" s="288" t="s">
        <v>598</v>
      </c>
      <c r="FPG341" s="288" t="s">
        <v>598</v>
      </c>
      <c r="FPH341" s="288" t="s">
        <v>598</v>
      </c>
      <c r="FPI341" s="288" t="s">
        <v>598</v>
      </c>
      <c r="FPJ341" s="288" t="s">
        <v>598</v>
      </c>
      <c r="FPK341" s="288" t="s">
        <v>598</v>
      </c>
      <c r="FPL341" s="288" t="s">
        <v>598</v>
      </c>
      <c r="FPM341" s="288" t="s">
        <v>598</v>
      </c>
      <c r="FPN341" s="288" t="s">
        <v>598</v>
      </c>
      <c r="FPO341" s="288" t="s">
        <v>598</v>
      </c>
      <c r="FPP341" s="288" t="s">
        <v>598</v>
      </c>
      <c r="FPQ341" s="288" t="s">
        <v>598</v>
      </c>
      <c r="FPR341" s="288" t="s">
        <v>598</v>
      </c>
      <c r="FPS341" s="288" t="s">
        <v>598</v>
      </c>
      <c r="FPT341" s="288" t="s">
        <v>598</v>
      </c>
      <c r="FPU341" s="288" t="s">
        <v>598</v>
      </c>
      <c r="FPV341" s="288" t="s">
        <v>598</v>
      </c>
      <c r="FPW341" s="288" t="s">
        <v>598</v>
      </c>
      <c r="FPX341" s="288" t="s">
        <v>598</v>
      </c>
      <c r="FPY341" s="288" t="s">
        <v>598</v>
      </c>
      <c r="FPZ341" s="288" t="s">
        <v>598</v>
      </c>
      <c r="FQA341" s="288" t="s">
        <v>598</v>
      </c>
      <c r="FQB341" s="288" t="s">
        <v>598</v>
      </c>
      <c r="FQC341" s="288" t="s">
        <v>598</v>
      </c>
      <c r="FQD341" s="288" t="s">
        <v>598</v>
      </c>
      <c r="FQE341" s="288" t="s">
        <v>598</v>
      </c>
      <c r="FQF341" s="288" t="s">
        <v>598</v>
      </c>
      <c r="FQG341" s="288" t="s">
        <v>598</v>
      </c>
      <c r="FQH341" s="288" t="s">
        <v>598</v>
      </c>
      <c r="FQI341" s="288" t="s">
        <v>598</v>
      </c>
      <c r="FQJ341" s="288" t="s">
        <v>598</v>
      </c>
      <c r="FQK341" s="288" t="s">
        <v>598</v>
      </c>
      <c r="FQL341" s="288" t="s">
        <v>598</v>
      </c>
      <c r="FQM341" s="288" t="s">
        <v>598</v>
      </c>
      <c r="FQN341" s="288" t="s">
        <v>598</v>
      </c>
      <c r="FQO341" s="288" t="s">
        <v>598</v>
      </c>
      <c r="FQP341" s="288" t="s">
        <v>598</v>
      </c>
      <c r="FQQ341" s="288" t="s">
        <v>598</v>
      </c>
      <c r="FQR341" s="288" t="s">
        <v>598</v>
      </c>
      <c r="FQS341" s="288" t="s">
        <v>598</v>
      </c>
      <c r="FQT341" s="288" t="s">
        <v>598</v>
      </c>
      <c r="FQU341" s="288" t="s">
        <v>598</v>
      </c>
      <c r="FQV341" s="288" t="s">
        <v>598</v>
      </c>
      <c r="FQW341" s="288" t="s">
        <v>598</v>
      </c>
      <c r="FQX341" s="288" t="s">
        <v>598</v>
      </c>
      <c r="FQY341" s="288" t="s">
        <v>598</v>
      </c>
      <c r="FQZ341" s="288" t="s">
        <v>598</v>
      </c>
      <c r="FRA341" s="288" t="s">
        <v>598</v>
      </c>
      <c r="FRB341" s="288" t="s">
        <v>598</v>
      </c>
      <c r="FRC341" s="288" t="s">
        <v>598</v>
      </c>
      <c r="FRD341" s="288" t="s">
        <v>598</v>
      </c>
      <c r="FRE341" s="288" t="s">
        <v>598</v>
      </c>
      <c r="FRF341" s="288" t="s">
        <v>598</v>
      </c>
      <c r="FRG341" s="288" t="s">
        <v>598</v>
      </c>
      <c r="FRH341" s="288" t="s">
        <v>598</v>
      </c>
      <c r="FRI341" s="288" t="s">
        <v>598</v>
      </c>
      <c r="FRJ341" s="288" t="s">
        <v>598</v>
      </c>
      <c r="FRK341" s="288" t="s">
        <v>598</v>
      </c>
      <c r="FRL341" s="288" t="s">
        <v>598</v>
      </c>
      <c r="FRM341" s="288" t="s">
        <v>598</v>
      </c>
      <c r="FRN341" s="288" t="s">
        <v>598</v>
      </c>
      <c r="FRO341" s="288" t="s">
        <v>598</v>
      </c>
      <c r="FRP341" s="288" t="s">
        <v>598</v>
      </c>
      <c r="FRQ341" s="288" t="s">
        <v>598</v>
      </c>
      <c r="FRR341" s="288" t="s">
        <v>598</v>
      </c>
      <c r="FRS341" s="288" t="s">
        <v>598</v>
      </c>
      <c r="FRT341" s="288" t="s">
        <v>598</v>
      </c>
      <c r="FRU341" s="288" t="s">
        <v>598</v>
      </c>
      <c r="FRV341" s="288" t="s">
        <v>598</v>
      </c>
      <c r="FRW341" s="288" t="s">
        <v>598</v>
      </c>
      <c r="FRX341" s="288" t="s">
        <v>598</v>
      </c>
      <c r="FRY341" s="288" t="s">
        <v>598</v>
      </c>
      <c r="FRZ341" s="288" t="s">
        <v>598</v>
      </c>
      <c r="FSA341" s="288" t="s">
        <v>598</v>
      </c>
      <c r="FSB341" s="288" t="s">
        <v>598</v>
      </c>
      <c r="FSC341" s="288" t="s">
        <v>598</v>
      </c>
      <c r="FSD341" s="288" t="s">
        <v>598</v>
      </c>
      <c r="FSE341" s="288" t="s">
        <v>598</v>
      </c>
      <c r="FSF341" s="288" t="s">
        <v>598</v>
      </c>
      <c r="FSG341" s="288" t="s">
        <v>598</v>
      </c>
      <c r="FSH341" s="288" t="s">
        <v>598</v>
      </c>
      <c r="FSI341" s="288" t="s">
        <v>598</v>
      </c>
      <c r="FSJ341" s="288" t="s">
        <v>598</v>
      </c>
      <c r="FSK341" s="288" t="s">
        <v>598</v>
      </c>
      <c r="FSL341" s="288" t="s">
        <v>598</v>
      </c>
      <c r="FSM341" s="288" t="s">
        <v>598</v>
      </c>
      <c r="FSN341" s="288" t="s">
        <v>598</v>
      </c>
      <c r="FSO341" s="288" t="s">
        <v>598</v>
      </c>
      <c r="FSP341" s="288" t="s">
        <v>598</v>
      </c>
      <c r="FSQ341" s="288" t="s">
        <v>598</v>
      </c>
      <c r="FSR341" s="288" t="s">
        <v>598</v>
      </c>
      <c r="FSS341" s="288" t="s">
        <v>598</v>
      </c>
      <c r="FST341" s="288" t="s">
        <v>598</v>
      </c>
      <c r="FSU341" s="288" t="s">
        <v>598</v>
      </c>
      <c r="FSV341" s="288" t="s">
        <v>598</v>
      </c>
      <c r="FSW341" s="288" t="s">
        <v>598</v>
      </c>
      <c r="FSX341" s="288" t="s">
        <v>598</v>
      </c>
      <c r="FSY341" s="288" t="s">
        <v>598</v>
      </c>
      <c r="FSZ341" s="288" t="s">
        <v>598</v>
      </c>
      <c r="FTA341" s="288" t="s">
        <v>598</v>
      </c>
      <c r="FTB341" s="288" t="s">
        <v>598</v>
      </c>
      <c r="FTC341" s="288" t="s">
        <v>598</v>
      </c>
      <c r="FTD341" s="288" t="s">
        <v>598</v>
      </c>
      <c r="FTE341" s="288" t="s">
        <v>598</v>
      </c>
      <c r="FTF341" s="288" t="s">
        <v>598</v>
      </c>
      <c r="FTG341" s="288" t="s">
        <v>598</v>
      </c>
      <c r="FTH341" s="288" t="s">
        <v>598</v>
      </c>
      <c r="FTI341" s="288" t="s">
        <v>598</v>
      </c>
      <c r="FTJ341" s="288" t="s">
        <v>598</v>
      </c>
      <c r="FTK341" s="288" t="s">
        <v>598</v>
      </c>
      <c r="FTL341" s="288" t="s">
        <v>598</v>
      </c>
      <c r="FTM341" s="288" t="s">
        <v>598</v>
      </c>
      <c r="FTN341" s="288" t="s">
        <v>598</v>
      </c>
      <c r="FTO341" s="288" t="s">
        <v>598</v>
      </c>
      <c r="FTP341" s="288" t="s">
        <v>598</v>
      </c>
      <c r="FTQ341" s="288" t="s">
        <v>598</v>
      </c>
      <c r="FTR341" s="288" t="s">
        <v>598</v>
      </c>
      <c r="FTS341" s="288" t="s">
        <v>598</v>
      </c>
      <c r="FTT341" s="288" t="s">
        <v>598</v>
      </c>
      <c r="FTU341" s="288" t="s">
        <v>598</v>
      </c>
      <c r="FTV341" s="288" t="s">
        <v>598</v>
      </c>
      <c r="FTW341" s="288" t="s">
        <v>598</v>
      </c>
      <c r="FTX341" s="288" t="s">
        <v>598</v>
      </c>
      <c r="FTY341" s="288" t="s">
        <v>598</v>
      </c>
      <c r="FTZ341" s="288" t="s">
        <v>598</v>
      </c>
      <c r="FUA341" s="288" t="s">
        <v>598</v>
      </c>
      <c r="FUB341" s="288" t="s">
        <v>598</v>
      </c>
      <c r="FUC341" s="288" t="s">
        <v>598</v>
      </c>
      <c r="FUD341" s="288" t="s">
        <v>598</v>
      </c>
      <c r="FUE341" s="288" t="s">
        <v>598</v>
      </c>
      <c r="FUF341" s="288" t="s">
        <v>598</v>
      </c>
      <c r="FUG341" s="288" t="s">
        <v>598</v>
      </c>
      <c r="FUH341" s="288" t="s">
        <v>598</v>
      </c>
      <c r="FUI341" s="288" t="s">
        <v>598</v>
      </c>
      <c r="FUJ341" s="288" t="s">
        <v>598</v>
      </c>
      <c r="FUK341" s="288" t="s">
        <v>598</v>
      </c>
      <c r="FUL341" s="288" t="s">
        <v>598</v>
      </c>
      <c r="FUM341" s="288" t="s">
        <v>598</v>
      </c>
      <c r="FUN341" s="288" t="s">
        <v>598</v>
      </c>
      <c r="FUO341" s="288" t="s">
        <v>598</v>
      </c>
      <c r="FUP341" s="288" t="s">
        <v>598</v>
      </c>
      <c r="FUQ341" s="288" t="s">
        <v>598</v>
      </c>
      <c r="FUR341" s="288" t="s">
        <v>598</v>
      </c>
      <c r="FUS341" s="288" t="s">
        <v>598</v>
      </c>
      <c r="FUT341" s="288" t="s">
        <v>598</v>
      </c>
      <c r="FUU341" s="288" t="s">
        <v>598</v>
      </c>
      <c r="FUV341" s="288" t="s">
        <v>598</v>
      </c>
      <c r="FUW341" s="288" t="s">
        <v>598</v>
      </c>
      <c r="FUX341" s="288" t="s">
        <v>598</v>
      </c>
      <c r="FUY341" s="288" t="s">
        <v>598</v>
      </c>
      <c r="FUZ341" s="288" t="s">
        <v>598</v>
      </c>
      <c r="FVA341" s="288" t="s">
        <v>598</v>
      </c>
      <c r="FVB341" s="288" t="s">
        <v>598</v>
      </c>
      <c r="FVC341" s="288" t="s">
        <v>598</v>
      </c>
      <c r="FVD341" s="288" t="s">
        <v>598</v>
      </c>
      <c r="FVE341" s="288" t="s">
        <v>598</v>
      </c>
      <c r="FVF341" s="288" t="s">
        <v>598</v>
      </c>
      <c r="FVG341" s="288" t="s">
        <v>598</v>
      </c>
      <c r="FVH341" s="288" t="s">
        <v>598</v>
      </c>
      <c r="FVI341" s="288" t="s">
        <v>598</v>
      </c>
      <c r="FVJ341" s="288" t="s">
        <v>598</v>
      </c>
      <c r="FVK341" s="288" t="s">
        <v>598</v>
      </c>
      <c r="FVL341" s="288" t="s">
        <v>598</v>
      </c>
      <c r="FVM341" s="288" t="s">
        <v>598</v>
      </c>
      <c r="FVN341" s="288" t="s">
        <v>598</v>
      </c>
      <c r="FVO341" s="288" t="s">
        <v>598</v>
      </c>
      <c r="FVP341" s="288" t="s">
        <v>598</v>
      </c>
      <c r="FVQ341" s="288" t="s">
        <v>598</v>
      </c>
      <c r="FVR341" s="288" t="s">
        <v>598</v>
      </c>
      <c r="FVS341" s="288" t="s">
        <v>598</v>
      </c>
      <c r="FVT341" s="288" t="s">
        <v>598</v>
      </c>
      <c r="FVU341" s="288" t="s">
        <v>598</v>
      </c>
      <c r="FVV341" s="288" t="s">
        <v>598</v>
      </c>
      <c r="FVW341" s="288" t="s">
        <v>598</v>
      </c>
      <c r="FVX341" s="288" t="s">
        <v>598</v>
      </c>
      <c r="FVY341" s="288" t="s">
        <v>598</v>
      </c>
      <c r="FVZ341" s="288" t="s">
        <v>598</v>
      </c>
      <c r="FWA341" s="288" t="s">
        <v>598</v>
      </c>
      <c r="FWB341" s="288" t="s">
        <v>598</v>
      </c>
      <c r="FWC341" s="288" t="s">
        <v>598</v>
      </c>
      <c r="FWD341" s="288" t="s">
        <v>598</v>
      </c>
      <c r="FWE341" s="288" t="s">
        <v>598</v>
      </c>
      <c r="FWF341" s="288" t="s">
        <v>598</v>
      </c>
      <c r="FWG341" s="288" t="s">
        <v>598</v>
      </c>
      <c r="FWH341" s="288" t="s">
        <v>598</v>
      </c>
      <c r="FWI341" s="288" t="s">
        <v>598</v>
      </c>
      <c r="FWJ341" s="288" t="s">
        <v>598</v>
      </c>
      <c r="FWK341" s="288" t="s">
        <v>598</v>
      </c>
      <c r="FWL341" s="288" t="s">
        <v>598</v>
      </c>
      <c r="FWM341" s="288" t="s">
        <v>598</v>
      </c>
      <c r="FWN341" s="288" t="s">
        <v>598</v>
      </c>
      <c r="FWO341" s="288" t="s">
        <v>598</v>
      </c>
      <c r="FWP341" s="288" t="s">
        <v>598</v>
      </c>
      <c r="FWQ341" s="288" t="s">
        <v>598</v>
      </c>
      <c r="FWR341" s="288" t="s">
        <v>598</v>
      </c>
      <c r="FWS341" s="288" t="s">
        <v>598</v>
      </c>
      <c r="FWT341" s="288" t="s">
        <v>598</v>
      </c>
      <c r="FWU341" s="288" t="s">
        <v>598</v>
      </c>
      <c r="FWV341" s="288" t="s">
        <v>598</v>
      </c>
      <c r="FWW341" s="288" t="s">
        <v>598</v>
      </c>
      <c r="FWX341" s="288" t="s">
        <v>598</v>
      </c>
      <c r="FWY341" s="288" t="s">
        <v>598</v>
      </c>
      <c r="FWZ341" s="288" t="s">
        <v>598</v>
      </c>
      <c r="FXA341" s="288" t="s">
        <v>598</v>
      </c>
      <c r="FXB341" s="288" t="s">
        <v>598</v>
      </c>
      <c r="FXC341" s="288" t="s">
        <v>598</v>
      </c>
      <c r="FXD341" s="288" t="s">
        <v>598</v>
      </c>
      <c r="FXE341" s="288" t="s">
        <v>598</v>
      </c>
      <c r="FXF341" s="288" t="s">
        <v>598</v>
      </c>
      <c r="FXG341" s="288" t="s">
        <v>598</v>
      </c>
      <c r="FXH341" s="288" t="s">
        <v>598</v>
      </c>
      <c r="FXI341" s="288" t="s">
        <v>598</v>
      </c>
      <c r="FXJ341" s="288" t="s">
        <v>598</v>
      </c>
      <c r="FXK341" s="288" t="s">
        <v>598</v>
      </c>
      <c r="FXL341" s="288" t="s">
        <v>598</v>
      </c>
      <c r="FXM341" s="288" t="s">
        <v>598</v>
      </c>
      <c r="FXN341" s="288" t="s">
        <v>598</v>
      </c>
      <c r="FXO341" s="288" t="s">
        <v>598</v>
      </c>
      <c r="FXP341" s="288" t="s">
        <v>598</v>
      </c>
      <c r="FXQ341" s="288" t="s">
        <v>598</v>
      </c>
      <c r="FXR341" s="288" t="s">
        <v>598</v>
      </c>
      <c r="FXS341" s="288" t="s">
        <v>598</v>
      </c>
      <c r="FXT341" s="288" t="s">
        <v>598</v>
      </c>
      <c r="FXU341" s="288" t="s">
        <v>598</v>
      </c>
      <c r="FXV341" s="288" t="s">
        <v>598</v>
      </c>
      <c r="FXW341" s="288" t="s">
        <v>598</v>
      </c>
      <c r="FXX341" s="288" t="s">
        <v>598</v>
      </c>
      <c r="FXY341" s="288" t="s">
        <v>598</v>
      </c>
      <c r="FXZ341" s="288" t="s">
        <v>598</v>
      </c>
      <c r="FYA341" s="288" t="s">
        <v>598</v>
      </c>
      <c r="FYB341" s="288" t="s">
        <v>598</v>
      </c>
      <c r="FYC341" s="288" t="s">
        <v>598</v>
      </c>
      <c r="FYD341" s="288" t="s">
        <v>598</v>
      </c>
      <c r="FYE341" s="288" t="s">
        <v>598</v>
      </c>
      <c r="FYF341" s="288" t="s">
        <v>598</v>
      </c>
      <c r="FYG341" s="288" t="s">
        <v>598</v>
      </c>
      <c r="FYH341" s="288" t="s">
        <v>598</v>
      </c>
      <c r="FYI341" s="288" t="s">
        <v>598</v>
      </c>
      <c r="FYJ341" s="288" t="s">
        <v>598</v>
      </c>
      <c r="FYK341" s="288" t="s">
        <v>598</v>
      </c>
      <c r="FYL341" s="288" t="s">
        <v>598</v>
      </c>
      <c r="FYM341" s="288" t="s">
        <v>598</v>
      </c>
      <c r="FYN341" s="288" t="s">
        <v>598</v>
      </c>
      <c r="FYO341" s="288" t="s">
        <v>598</v>
      </c>
      <c r="FYP341" s="288" t="s">
        <v>598</v>
      </c>
      <c r="FYQ341" s="288" t="s">
        <v>598</v>
      </c>
      <c r="FYR341" s="288" t="s">
        <v>598</v>
      </c>
      <c r="FYS341" s="288" t="s">
        <v>598</v>
      </c>
      <c r="FYT341" s="288" t="s">
        <v>598</v>
      </c>
      <c r="FYU341" s="288" t="s">
        <v>598</v>
      </c>
      <c r="FYV341" s="288" t="s">
        <v>598</v>
      </c>
      <c r="FYW341" s="288" t="s">
        <v>598</v>
      </c>
      <c r="FYX341" s="288" t="s">
        <v>598</v>
      </c>
      <c r="FYY341" s="288" t="s">
        <v>598</v>
      </c>
      <c r="FYZ341" s="288" t="s">
        <v>598</v>
      </c>
      <c r="FZA341" s="288" t="s">
        <v>598</v>
      </c>
      <c r="FZB341" s="288" t="s">
        <v>598</v>
      </c>
      <c r="FZC341" s="288" t="s">
        <v>598</v>
      </c>
      <c r="FZD341" s="288" t="s">
        <v>598</v>
      </c>
      <c r="FZE341" s="288" t="s">
        <v>598</v>
      </c>
      <c r="FZF341" s="288" t="s">
        <v>598</v>
      </c>
      <c r="FZG341" s="288" t="s">
        <v>598</v>
      </c>
      <c r="FZH341" s="288" t="s">
        <v>598</v>
      </c>
      <c r="FZI341" s="288" t="s">
        <v>598</v>
      </c>
      <c r="FZJ341" s="288" t="s">
        <v>598</v>
      </c>
      <c r="FZK341" s="288" t="s">
        <v>598</v>
      </c>
      <c r="FZL341" s="288" t="s">
        <v>598</v>
      </c>
      <c r="FZM341" s="288" t="s">
        <v>598</v>
      </c>
      <c r="FZN341" s="288" t="s">
        <v>598</v>
      </c>
      <c r="FZO341" s="288" t="s">
        <v>598</v>
      </c>
      <c r="FZP341" s="288" t="s">
        <v>598</v>
      </c>
      <c r="FZQ341" s="288" t="s">
        <v>598</v>
      </c>
      <c r="FZR341" s="288" t="s">
        <v>598</v>
      </c>
      <c r="FZS341" s="288" t="s">
        <v>598</v>
      </c>
      <c r="FZT341" s="288" t="s">
        <v>598</v>
      </c>
      <c r="FZU341" s="288" t="s">
        <v>598</v>
      </c>
      <c r="FZV341" s="288" t="s">
        <v>598</v>
      </c>
      <c r="FZW341" s="288" t="s">
        <v>598</v>
      </c>
      <c r="FZX341" s="288" t="s">
        <v>598</v>
      </c>
      <c r="FZY341" s="288" t="s">
        <v>598</v>
      </c>
      <c r="FZZ341" s="288" t="s">
        <v>598</v>
      </c>
      <c r="GAA341" s="288" t="s">
        <v>598</v>
      </c>
      <c r="GAB341" s="288" t="s">
        <v>598</v>
      </c>
      <c r="GAC341" s="288" t="s">
        <v>598</v>
      </c>
      <c r="GAD341" s="288" t="s">
        <v>598</v>
      </c>
      <c r="GAE341" s="288" t="s">
        <v>598</v>
      </c>
      <c r="GAF341" s="288" t="s">
        <v>598</v>
      </c>
      <c r="GAG341" s="288" t="s">
        <v>598</v>
      </c>
      <c r="GAH341" s="288" t="s">
        <v>598</v>
      </c>
      <c r="GAI341" s="288" t="s">
        <v>598</v>
      </c>
      <c r="GAJ341" s="288" t="s">
        <v>598</v>
      </c>
      <c r="GAK341" s="288" t="s">
        <v>598</v>
      </c>
      <c r="GAL341" s="288" t="s">
        <v>598</v>
      </c>
      <c r="GAM341" s="288" t="s">
        <v>598</v>
      </c>
      <c r="GAN341" s="288" t="s">
        <v>598</v>
      </c>
      <c r="GAO341" s="288" t="s">
        <v>598</v>
      </c>
      <c r="GAP341" s="288" t="s">
        <v>598</v>
      </c>
      <c r="GAQ341" s="288" t="s">
        <v>598</v>
      </c>
      <c r="GAR341" s="288" t="s">
        <v>598</v>
      </c>
      <c r="GAS341" s="288" t="s">
        <v>598</v>
      </c>
      <c r="GAT341" s="288" t="s">
        <v>598</v>
      </c>
      <c r="GAU341" s="288" t="s">
        <v>598</v>
      </c>
      <c r="GAV341" s="288" t="s">
        <v>598</v>
      </c>
      <c r="GAW341" s="288" t="s">
        <v>598</v>
      </c>
      <c r="GAX341" s="288" t="s">
        <v>598</v>
      </c>
      <c r="GAY341" s="288" t="s">
        <v>598</v>
      </c>
      <c r="GAZ341" s="288" t="s">
        <v>598</v>
      </c>
      <c r="GBA341" s="288" t="s">
        <v>598</v>
      </c>
      <c r="GBB341" s="288" t="s">
        <v>598</v>
      </c>
      <c r="GBC341" s="288" t="s">
        <v>598</v>
      </c>
      <c r="GBD341" s="288" t="s">
        <v>598</v>
      </c>
      <c r="GBE341" s="288" t="s">
        <v>598</v>
      </c>
      <c r="GBF341" s="288" t="s">
        <v>598</v>
      </c>
      <c r="GBG341" s="288" t="s">
        <v>598</v>
      </c>
      <c r="GBH341" s="288" t="s">
        <v>598</v>
      </c>
      <c r="GBI341" s="288" t="s">
        <v>598</v>
      </c>
      <c r="GBJ341" s="288" t="s">
        <v>598</v>
      </c>
      <c r="GBK341" s="288" t="s">
        <v>598</v>
      </c>
      <c r="GBL341" s="288" t="s">
        <v>598</v>
      </c>
      <c r="GBM341" s="288" t="s">
        <v>598</v>
      </c>
      <c r="GBN341" s="288" t="s">
        <v>598</v>
      </c>
      <c r="GBO341" s="288" t="s">
        <v>598</v>
      </c>
      <c r="GBP341" s="288" t="s">
        <v>598</v>
      </c>
      <c r="GBQ341" s="288" t="s">
        <v>598</v>
      </c>
      <c r="GBR341" s="288" t="s">
        <v>598</v>
      </c>
      <c r="GBS341" s="288" t="s">
        <v>598</v>
      </c>
      <c r="GBT341" s="288" t="s">
        <v>598</v>
      </c>
      <c r="GBU341" s="288" t="s">
        <v>598</v>
      </c>
      <c r="GBV341" s="288" t="s">
        <v>598</v>
      </c>
      <c r="GBW341" s="288" t="s">
        <v>598</v>
      </c>
      <c r="GBX341" s="288" t="s">
        <v>598</v>
      </c>
      <c r="GBY341" s="288" t="s">
        <v>598</v>
      </c>
      <c r="GBZ341" s="288" t="s">
        <v>598</v>
      </c>
      <c r="GCA341" s="288" t="s">
        <v>598</v>
      </c>
      <c r="GCB341" s="288" t="s">
        <v>598</v>
      </c>
      <c r="GCC341" s="288" t="s">
        <v>598</v>
      </c>
      <c r="GCD341" s="288" t="s">
        <v>598</v>
      </c>
      <c r="GCE341" s="288" t="s">
        <v>598</v>
      </c>
      <c r="GCF341" s="288" t="s">
        <v>598</v>
      </c>
      <c r="GCG341" s="288" t="s">
        <v>598</v>
      </c>
      <c r="GCH341" s="288" t="s">
        <v>598</v>
      </c>
      <c r="GCI341" s="288" t="s">
        <v>598</v>
      </c>
      <c r="GCJ341" s="288" t="s">
        <v>598</v>
      </c>
      <c r="GCK341" s="288" t="s">
        <v>598</v>
      </c>
      <c r="GCL341" s="288" t="s">
        <v>598</v>
      </c>
      <c r="GCM341" s="288" t="s">
        <v>598</v>
      </c>
      <c r="GCN341" s="288" t="s">
        <v>598</v>
      </c>
      <c r="GCO341" s="288" t="s">
        <v>598</v>
      </c>
      <c r="GCP341" s="288" t="s">
        <v>598</v>
      </c>
      <c r="GCQ341" s="288" t="s">
        <v>598</v>
      </c>
      <c r="GCR341" s="288" t="s">
        <v>598</v>
      </c>
      <c r="GCS341" s="288" t="s">
        <v>598</v>
      </c>
      <c r="GCT341" s="288" t="s">
        <v>598</v>
      </c>
      <c r="GCU341" s="288" t="s">
        <v>598</v>
      </c>
      <c r="GCV341" s="288" t="s">
        <v>598</v>
      </c>
      <c r="GCW341" s="288" t="s">
        <v>598</v>
      </c>
      <c r="GCX341" s="288" t="s">
        <v>598</v>
      </c>
      <c r="GCY341" s="288" t="s">
        <v>598</v>
      </c>
      <c r="GCZ341" s="288" t="s">
        <v>598</v>
      </c>
      <c r="GDA341" s="288" t="s">
        <v>598</v>
      </c>
      <c r="GDB341" s="288" t="s">
        <v>598</v>
      </c>
      <c r="GDC341" s="288" t="s">
        <v>598</v>
      </c>
      <c r="GDD341" s="288" t="s">
        <v>598</v>
      </c>
      <c r="GDE341" s="288" t="s">
        <v>598</v>
      </c>
      <c r="GDF341" s="288" t="s">
        <v>598</v>
      </c>
      <c r="GDG341" s="288" t="s">
        <v>598</v>
      </c>
      <c r="GDH341" s="288" t="s">
        <v>598</v>
      </c>
      <c r="GDI341" s="288" t="s">
        <v>598</v>
      </c>
      <c r="GDJ341" s="288" t="s">
        <v>598</v>
      </c>
      <c r="GDK341" s="288" t="s">
        <v>598</v>
      </c>
      <c r="GDL341" s="288" t="s">
        <v>598</v>
      </c>
      <c r="GDM341" s="288" t="s">
        <v>598</v>
      </c>
      <c r="GDN341" s="288" t="s">
        <v>598</v>
      </c>
      <c r="GDO341" s="288" t="s">
        <v>598</v>
      </c>
      <c r="GDP341" s="288" t="s">
        <v>598</v>
      </c>
      <c r="GDQ341" s="288" t="s">
        <v>598</v>
      </c>
      <c r="GDR341" s="288" t="s">
        <v>598</v>
      </c>
      <c r="GDS341" s="288" t="s">
        <v>598</v>
      </c>
      <c r="GDT341" s="288" t="s">
        <v>598</v>
      </c>
      <c r="GDU341" s="288" t="s">
        <v>598</v>
      </c>
      <c r="GDV341" s="288" t="s">
        <v>598</v>
      </c>
      <c r="GDW341" s="288" t="s">
        <v>598</v>
      </c>
      <c r="GDX341" s="288" t="s">
        <v>598</v>
      </c>
      <c r="GDY341" s="288" t="s">
        <v>598</v>
      </c>
      <c r="GDZ341" s="288" t="s">
        <v>598</v>
      </c>
      <c r="GEA341" s="288" t="s">
        <v>598</v>
      </c>
      <c r="GEB341" s="288" t="s">
        <v>598</v>
      </c>
      <c r="GEC341" s="288" t="s">
        <v>598</v>
      </c>
      <c r="GED341" s="288" t="s">
        <v>598</v>
      </c>
      <c r="GEE341" s="288" t="s">
        <v>598</v>
      </c>
      <c r="GEF341" s="288" t="s">
        <v>598</v>
      </c>
      <c r="GEG341" s="288" t="s">
        <v>598</v>
      </c>
      <c r="GEH341" s="288" t="s">
        <v>598</v>
      </c>
      <c r="GEI341" s="288" t="s">
        <v>598</v>
      </c>
      <c r="GEJ341" s="288" t="s">
        <v>598</v>
      </c>
      <c r="GEK341" s="288" t="s">
        <v>598</v>
      </c>
      <c r="GEL341" s="288" t="s">
        <v>598</v>
      </c>
      <c r="GEM341" s="288" t="s">
        <v>598</v>
      </c>
      <c r="GEN341" s="288" t="s">
        <v>598</v>
      </c>
      <c r="GEO341" s="288" t="s">
        <v>598</v>
      </c>
      <c r="GEP341" s="288" t="s">
        <v>598</v>
      </c>
      <c r="GEQ341" s="288" t="s">
        <v>598</v>
      </c>
      <c r="GER341" s="288" t="s">
        <v>598</v>
      </c>
      <c r="GES341" s="288" t="s">
        <v>598</v>
      </c>
      <c r="GET341" s="288" t="s">
        <v>598</v>
      </c>
      <c r="GEU341" s="288" t="s">
        <v>598</v>
      </c>
      <c r="GEV341" s="288" t="s">
        <v>598</v>
      </c>
      <c r="GEW341" s="288" t="s">
        <v>598</v>
      </c>
      <c r="GEX341" s="288" t="s">
        <v>598</v>
      </c>
      <c r="GEY341" s="288" t="s">
        <v>598</v>
      </c>
      <c r="GEZ341" s="288" t="s">
        <v>598</v>
      </c>
      <c r="GFA341" s="288" t="s">
        <v>598</v>
      </c>
      <c r="GFB341" s="288" t="s">
        <v>598</v>
      </c>
      <c r="GFC341" s="288" t="s">
        <v>598</v>
      </c>
      <c r="GFD341" s="288" t="s">
        <v>598</v>
      </c>
      <c r="GFE341" s="288" t="s">
        <v>598</v>
      </c>
      <c r="GFF341" s="288" t="s">
        <v>598</v>
      </c>
      <c r="GFG341" s="288" t="s">
        <v>598</v>
      </c>
      <c r="GFH341" s="288" t="s">
        <v>598</v>
      </c>
      <c r="GFI341" s="288" t="s">
        <v>598</v>
      </c>
      <c r="GFJ341" s="288" t="s">
        <v>598</v>
      </c>
      <c r="GFK341" s="288" t="s">
        <v>598</v>
      </c>
      <c r="GFL341" s="288" t="s">
        <v>598</v>
      </c>
      <c r="GFM341" s="288" t="s">
        <v>598</v>
      </c>
      <c r="GFN341" s="288" t="s">
        <v>598</v>
      </c>
      <c r="GFO341" s="288" t="s">
        <v>598</v>
      </c>
      <c r="GFP341" s="288" t="s">
        <v>598</v>
      </c>
      <c r="GFQ341" s="288" t="s">
        <v>598</v>
      </c>
      <c r="GFR341" s="288" t="s">
        <v>598</v>
      </c>
      <c r="GFS341" s="288" t="s">
        <v>598</v>
      </c>
      <c r="GFT341" s="288" t="s">
        <v>598</v>
      </c>
      <c r="GFU341" s="288" t="s">
        <v>598</v>
      </c>
      <c r="GFV341" s="288" t="s">
        <v>598</v>
      </c>
      <c r="GFW341" s="288" t="s">
        <v>598</v>
      </c>
      <c r="GFX341" s="288" t="s">
        <v>598</v>
      </c>
      <c r="GFY341" s="288" t="s">
        <v>598</v>
      </c>
      <c r="GFZ341" s="288" t="s">
        <v>598</v>
      </c>
      <c r="GGA341" s="288" t="s">
        <v>598</v>
      </c>
      <c r="GGB341" s="288" t="s">
        <v>598</v>
      </c>
      <c r="GGC341" s="288" t="s">
        <v>598</v>
      </c>
      <c r="GGD341" s="288" t="s">
        <v>598</v>
      </c>
      <c r="GGE341" s="288" t="s">
        <v>598</v>
      </c>
      <c r="GGF341" s="288" t="s">
        <v>598</v>
      </c>
      <c r="GGG341" s="288" t="s">
        <v>598</v>
      </c>
      <c r="GGH341" s="288" t="s">
        <v>598</v>
      </c>
      <c r="GGI341" s="288" t="s">
        <v>598</v>
      </c>
      <c r="GGJ341" s="288" t="s">
        <v>598</v>
      </c>
      <c r="GGK341" s="288" t="s">
        <v>598</v>
      </c>
      <c r="GGL341" s="288" t="s">
        <v>598</v>
      </c>
      <c r="GGM341" s="288" t="s">
        <v>598</v>
      </c>
      <c r="GGN341" s="288" t="s">
        <v>598</v>
      </c>
      <c r="GGO341" s="288" t="s">
        <v>598</v>
      </c>
      <c r="GGP341" s="288" t="s">
        <v>598</v>
      </c>
      <c r="GGQ341" s="288" t="s">
        <v>598</v>
      </c>
      <c r="GGR341" s="288" t="s">
        <v>598</v>
      </c>
      <c r="GGS341" s="288" t="s">
        <v>598</v>
      </c>
      <c r="GGT341" s="288" t="s">
        <v>598</v>
      </c>
      <c r="GGU341" s="288" t="s">
        <v>598</v>
      </c>
      <c r="GGV341" s="288" t="s">
        <v>598</v>
      </c>
      <c r="GGW341" s="288" t="s">
        <v>598</v>
      </c>
      <c r="GGX341" s="288" t="s">
        <v>598</v>
      </c>
      <c r="GGY341" s="288" t="s">
        <v>598</v>
      </c>
      <c r="GGZ341" s="288" t="s">
        <v>598</v>
      </c>
      <c r="GHA341" s="288" t="s">
        <v>598</v>
      </c>
      <c r="GHB341" s="288" t="s">
        <v>598</v>
      </c>
      <c r="GHC341" s="288" t="s">
        <v>598</v>
      </c>
      <c r="GHD341" s="288" t="s">
        <v>598</v>
      </c>
      <c r="GHE341" s="288" t="s">
        <v>598</v>
      </c>
      <c r="GHF341" s="288" t="s">
        <v>598</v>
      </c>
      <c r="GHG341" s="288" t="s">
        <v>598</v>
      </c>
      <c r="GHH341" s="288" t="s">
        <v>598</v>
      </c>
      <c r="GHI341" s="288" t="s">
        <v>598</v>
      </c>
      <c r="GHJ341" s="288" t="s">
        <v>598</v>
      </c>
      <c r="GHK341" s="288" t="s">
        <v>598</v>
      </c>
      <c r="GHL341" s="288" t="s">
        <v>598</v>
      </c>
      <c r="GHM341" s="288" t="s">
        <v>598</v>
      </c>
      <c r="GHN341" s="288" t="s">
        <v>598</v>
      </c>
      <c r="GHO341" s="288" t="s">
        <v>598</v>
      </c>
      <c r="GHP341" s="288" t="s">
        <v>598</v>
      </c>
      <c r="GHQ341" s="288" t="s">
        <v>598</v>
      </c>
      <c r="GHR341" s="288" t="s">
        <v>598</v>
      </c>
      <c r="GHS341" s="288" t="s">
        <v>598</v>
      </c>
      <c r="GHT341" s="288" t="s">
        <v>598</v>
      </c>
      <c r="GHU341" s="288" t="s">
        <v>598</v>
      </c>
      <c r="GHV341" s="288" t="s">
        <v>598</v>
      </c>
      <c r="GHW341" s="288" t="s">
        <v>598</v>
      </c>
      <c r="GHX341" s="288" t="s">
        <v>598</v>
      </c>
      <c r="GHY341" s="288" t="s">
        <v>598</v>
      </c>
      <c r="GHZ341" s="288" t="s">
        <v>598</v>
      </c>
      <c r="GIA341" s="288" t="s">
        <v>598</v>
      </c>
      <c r="GIB341" s="288" t="s">
        <v>598</v>
      </c>
      <c r="GIC341" s="288" t="s">
        <v>598</v>
      </c>
      <c r="GID341" s="288" t="s">
        <v>598</v>
      </c>
      <c r="GIE341" s="288" t="s">
        <v>598</v>
      </c>
      <c r="GIF341" s="288" t="s">
        <v>598</v>
      </c>
      <c r="GIG341" s="288" t="s">
        <v>598</v>
      </c>
      <c r="GIH341" s="288" t="s">
        <v>598</v>
      </c>
      <c r="GII341" s="288" t="s">
        <v>598</v>
      </c>
      <c r="GIJ341" s="288" t="s">
        <v>598</v>
      </c>
      <c r="GIK341" s="288" t="s">
        <v>598</v>
      </c>
      <c r="GIL341" s="288" t="s">
        <v>598</v>
      </c>
      <c r="GIM341" s="288" t="s">
        <v>598</v>
      </c>
      <c r="GIN341" s="288" t="s">
        <v>598</v>
      </c>
      <c r="GIO341" s="288" t="s">
        <v>598</v>
      </c>
      <c r="GIP341" s="288" t="s">
        <v>598</v>
      </c>
      <c r="GIQ341" s="288" t="s">
        <v>598</v>
      </c>
      <c r="GIR341" s="288" t="s">
        <v>598</v>
      </c>
      <c r="GIS341" s="288" t="s">
        <v>598</v>
      </c>
      <c r="GIT341" s="288" t="s">
        <v>598</v>
      </c>
      <c r="GIU341" s="288" t="s">
        <v>598</v>
      </c>
      <c r="GIV341" s="288" t="s">
        <v>598</v>
      </c>
      <c r="GIW341" s="288" t="s">
        <v>598</v>
      </c>
      <c r="GIX341" s="288" t="s">
        <v>598</v>
      </c>
      <c r="GIY341" s="288" t="s">
        <v>598</v>
      </c>
      <c r="GIZ341" s="288" t="s">
        <v>598</v>
      </c>
      <c r="GJA341" s="288" t="s">
        <v>598</v>
      </c>
      <c r="GJB341" s="288" t="s">
        <v>598</v>
      </c>
      <c r="GJC341" s="288" t="s">
        <v>598</v>
      </c>
      <c r="GJD341" s="288" t="s">
        <v>598</v>
      </c>
      <c r="GJE341" s="288" t="s">
        <v>598</v>
      </c>
      <c r="GJF341" s="288" t="s">
        <v>598</v>
      </c>
      <c r="GJG341" s="288" t="s">
        <v>598</v>
      </c>
      <c r="GJH341" s="288" t="s">
        <v>598</v>
      </c>
      <c r="GJI341" s="288" t="s">
        <v>598</v>
      </c>
      <c r="GJJ341" s="288" t="s">
        <v>598</v>
      </c>
      <c r="GJK341" s="288" t="s">
        <v>598</v>
      </c>
      <c r="GJL341" s="288" t="s">
        <v>598</v>
      </c>
      <c r="GJM341" s="288" t="s">
        <v>598</v>
      </c>
      <c r="GJN341" s="288" t="s">
        <v>598</v>
      </c>
      <c r="GJO341" s="288" t="s">
        <v>598</v>
      </c>
      <c r="GJP341" s="288" t="s">
        <v>598</v>
      </c>
      <c r="GJQ341" s="288" t="s">
        <v>598</v>
      </c>
      <c r="GJR341" s="288" t="s">
        <v>598</v>
      </c>
      <c r="GJS341" s="288" t="s">
        <v>598</v>
      </c>
      <c r="GJT341" s="288" t="s">
        <v>598</v>
      </c>
      <c r="GJU341" s="288" t="s">
        <v>598</v>
      </c>
      <c r="GJV341" s="288" t="s">
        <v>598</v>
      </c>
      <c r="GJW341" s="288" t="s">
        <v>598</v>
      </c>
      <c r="GJX341" s="288" t="s">
        <v>598</v>
      </c>
      <c r="GJY341" s="288" t="s">
        <v>598</v>
      </c>
      <c r="GJZ341" s="288" t="s">
        <v>598</v>
      </c>
      <c r="GKA341" s="288" t="s">
        <v>598</v>
      </c>
      <c r="GKB341" s="288" t="s">
        <v>598</v>
      </c>
      <c r="GKC341" s="288" t="s">
        <v>598</v>
      </c>
      <c r="GKD341" s="288" t="s">
        <v>598</v>
      </c>
      <c r="GKE341" s="288" t="s">
        <v>598</v>
      </c>
      <c r="GKF341" s="288" t="s">
        <v>598</v>
      </c>
      <c r="GKG341" s="288" t="s">
        <v>598</v>
      </c>
      <c r="GKH341" s="288" t="s">
        <v>598</v>
      </c>
      <c r="GKI341" s="288" t="s">
        <v>598</v>
      </c>
      <c r="GKJ341" s="288" t="s">
        <v>598</v>
      </c>
      <c r="GKK341" s="288" t="s">
        <v>598</v>
      </c>
      <c r="GKL341" s="288" t="s">
        <v>598</v>
      </c>
      <c r="GKM341" s="288" t="s">
        <v>598</v>
      </c>
      <c r="GKN341" s="288" t="s">
        <v>598</v>
      </c>
      <c r="GKO341" s="288" t="s">
        <v>598</v>
      </c>
      <c r="GKP341" s="288" t="s">
        <v>598</v>
      </c>
      <c r="GKQ341" s="288" t="s">
        <v>598</v>
      </c>
      <c r="GKR341" s="288" t="s">
        <v>598</v>
      </c>
      <c r="GKS341" s="288" t="s">
        <v>598</v>
      </c>
      <c r="GKT341" s="288" t="s">
        <v>598</v>
      </c>
      <c r="GKU341" s="288" t="s">
        <v>598</v>
      </c>
      <c r="GKV341" s="288" t="s">
        <v>598</v>
      </c>
      <c r="GKW341" s="288" t="s">
        <v>598</v>
      </c>
      <c r="GKX341" s="288" t="s">
        <v>598</v>
      </c>
      <c r="GKY341" s="288" t="s">
        <v>598</v>
      </c>
      <c r="GKZ341" s="288" t="s">
        <v>598</v>
      </c>
      <c r="GLA341" s="288" t="s">
        <v>598</v>
      </c>
      <c r="GLB341" s="288" t="s">
        <v>598</v>
      </c>
      <c r="GLC341" s="288" t="s">
        <v>598</v>
      </c>
      <c r="GLD341" s="288" t="s">
        <v>598</v>
      </c>
      <c r="GLE341" s="288" t="s">
        <v>598</v>
      </c>
      <c r="GLF341" s="288" t="s">
        <v>598</v>
      </c>
      <c r="GLG341" s="288" t="s">
        <v>598</v>
      </c>
      <c r="GLH341" s="288" t="s">
        <v>598</v>
      </c>
      <c r="GLI341" s="288" t="s">
        <v>598</v>
      </c>
      <c r="GLJ341" s="288" t="s">
        <v>598</v>
      </c>
      <c r="GLK341" s="288" t="s">
        <v>598</v>
      </c>
      <c r="GLL341" s="288" t="s">
        <v>598</v>
      </c>
      <c r="GLM341" s="288" t="s">
        <v>598</v>
      </c>
      <c r="GLN341" s="288" t="s">
        <v>598</v>
      </c>
      <c r="GLO341" s="288" t="s">
        <v>598</v>
      </c>
      <c r="GLP341" s="288" t="s">
        <v>598</v>
      </c>
      <c r="GLQ341" s="288" t="s">
        <v>598</v>
      </c>
      <c r="GLR341" s="288" t="s">
        <v>598</v>
      </c>
      <c r="GLS341" s="288" t="s">
        <v>598</v>
      </c>
      <c r="GLT341" s="288" t="s">
        <v>598</v>
      </c>
      <c r="GLU341" s="288" t="s">
        <v>598</v>
      </c>
      <c r="GLV341" s="288" t="s">
        <v>598</v>
      </c>
      <c r="GLW341" s="288" t="s">
        <v>598</v>
      </c>
      <c r="GLX341" s="288" t="s">
        <v>598</v>
      </c>
      <c r="GLY341" s="288" t="s">
        <v>598</v>
      </c>
      <c r="GLZ341" s="288" t="s">
        <v>598</v>
      </c>
      <c r="GMA341" s="288" t="s">
        <v>598</v>
      </c>
      <c r="GMB341" s="288" t="s">
        <v>598</v>
      </c>
      <c r="GMC341" s="288" t="s">
        <v>598</v>
      </c>
      <c r="GMD341" s="288" t="s">
        <v>598</v>
      </c>
      <c r="GME341" s="288" t="s">
        <v>598</v>
      </c>
      <c r="GMF341" s="288" t="s">
        <v>598</v>
      </c>
      <c r="GMG341" s="288" t="s">
        <v>598</v>
      </c>
      <c r="GMH341" s="288" t="s">
        <v>598</v>
      </c>
      <c r="GMI341" s="288" t="s">
        <v>598</v>
      </c>
      <c r="GMJ341" s="288" t="s">
        <v>598</v>
      </c>
      <c r="GMK341" s="288" t="s">
        <v>598</v>
      </c>
      <c r="GML341" s="288" t="s">
        <v>598</v>
      </c>
      <c r="GMM341" s="288" t="s">
        <v>598</v>
      </c>
      <c r="GMN341" s="288" t="s">
        <v>598</v>
      </c>
      <c r="GMO341" s="288" t="s">
        <v>598</v>
      </c>
      <c r="GMP341" s="288" t="s">
        <v>598</v>
      </c>
      <c r="GMQ341" s="288" t="s">
        <v>598</v>
      </c>
      <c r="GMR341" s="288" t="s">
        <v>598</v>
      </c>
      <c r="GMS341" s="288" t="s">
        <v>598</v>
      </c>
      <c r="GMT341" s="288" t="s">
        <v>598</v>
      </c>
      <c r="GMU341" s="288" t="s">
        <v>598</v>
      </c>
      <c r="GMV341" s="288" t="s">
        <v>598</v>
      </c>
      <c r="GMW341" s="288" t="s">
        <v>598</v>
      </c>
      <c r="GMX341" s="288" t="s">
        <v>598</v>
      </c>
      <c r="GMY341" s="288" t="s">
        <v>598</v>
      </c>
      <c r="GMZ341" s="288" t="s">
        <v>598</v>
      </c>
      <c r="GNA341" s="288" t="s">
        <v>598</v>
      </c>
      <c r="GNB341" s="288" t="s">
        <v>598</v>
      </c>
      <c r="GNC341" s="288" t="s">
        <v>598</v>
      </c>
      <c r="GND341" s="288" t="s">
        <v>598</v>
      </c>
      <c r="GNE341" s="288" t="s">
        <v>598</v>
      </c>
      <c r="GNF341" s="288" t="s">
        <v>598</v>
      </c>
      <c r="GNG341" s="288" t="s">
        <v>598</v>
      </c>
      <c r="GNH341" s="288" t="s">
        <v>598</v>
      </c>
      <c r="GNI341" s="288" t="s">
        <v>598</v>
      </c>
      <c r="GNJ341" s="288" t="s">
        <v>598</v>
      </c>
      <c r="GNK341" s="288" t="s">
        <v>598</v>
      </c>
      <c r="GNL341" s="288" t="s">
        <v>598</v>
      </c>
      <c r="GNM341" s="288" t="s">
        <v>598</v>
      </c>
      <c r="GNN341" s="288" t="s">
        <v>598</v>
      </c>
      <c r="GNO341" s="288" t="s">
        <v>598</v>
      </c>
      <c r="GNP341" s="288" t="s">
        <v>598</v>
      </c>
      <c r="GNQ341" s="288" t="s">
        <v>598</v>
      </c>
      <c r="GNR341" s="288" t="s">
        <v>598</v>
      </c>
      <c r="GNS341" s="288" t="s">
        <v>598</v>
      </c>
      <c r="GNT341" s="288" t="s">
        <v>598</v>
      </c>
      <c r="GNU341" s="288" t="s">
        <v>598</v>
      </c>
      <c r="GNV341" s="288" t="s">
        <v>598</v>
      </c>
      <c r="GNW341" s="288" t="s">
        <v>598</v>
      </c>
      <c r="GNX341" s="288" t="s">
        <v>598</v>
      </c>
      <c r="GNY341" s="288" t="s">
        <v>598</v>
      </c>
      <c r="GNZ341" s="288" t="s">
        <v>598</v>
      </c>
      <c r="GOA341" s="288" t="s">
        <v>598</v>
      </c>
      <c r="GOB341" s="288" t="s">
        <v>598</v>
      </c>
      <c r="GOC341" s="288" t="s">
        <v>598</v>
      </c>
      <c r="GOD341" s="288" t="s">
        <v>598</v>
      </c>
      <c r="GOE341" s="288" t="s">
        <v>598</v>
      </c>
      <c r="GOF341" s="288" t="s">
        <v>598</v>
      </c>
      <c r="GOG341" s="288" t="s">
        <v>598</v>
      </c>
      <c r="GOH341" s="288" t="s">
        <v>598</v>
      </c>
      <c r="GOI341" s="288" t="s">
        <v>598</v>
      </c>
      <c r="GOJ341" s="288" t="s">
        <v>598</v>
      </c>
      <c r="GOK341" s="288" t="s">
        <v>598</v>
      </c>
      <c r="GOL341" s="288" t="s">
        <v>598</v>
      </c>
      <c r="GOM341" s="288" t="s">
        <v>598</v>
      </c>
      <c r="GON341" s="288" t="s">
        <v>598</v>
      </c>
      <c r="GOO341" s="288" t="s">
        <v>598</v>
      </c>
      <c r="GOP341" s="288" t="s">
        <v>598</v>
      </c>
      <c r="GOQ341" s="288" t="s">
        <v>598</v>
      </c>
      <c r="GOR341" s="288" t="s">
        <v>598</v>
      </c>
      <c r="GOS341" s="288" t="s">
        <v>598</v>
      </c>
      <c r="GOT341" s="288" t="s">
        <v>598</v>
      </c>
      <c r="GOU341" s="288" t="s">
        <v>598</v>
      </c>
      <c r="GOV341" s="288" t="s">
        <v>598</v>
      </c>
      <c r="GOW341" s="288" t="s">
        <v>598</v>
      </c>
      <c r="GOX341" s="288" t="s">
        <v>598</v>
      </c>
      <c r="GOY341" s="288" t="s">
        <v>598</v>
      </c>
      <c r="GOZ341" s="288" t="s">
        <v>598</v>
      </c>
      <c r="GPA341" s="288" t="s">
        <v>598</v>
      </c>
      <c r="GPB341" s="288" t="s">
        <v>598</v>
      </c>
      <c r="GPC341" s="288" t="s">
        <v>598</v>
      </c>
      <c r="GPD341" s="288" t="s">
        <v>598</v>
      </c>
      <c r="GPE341" s="288" t="s">
        <v>598</v>
      </c>
      <c r="GPF341" s="288" t="s">
        <v>598</v>
      </c>
      <c r="GPG341" s="288" t="s">
        <v>598</v>
      </c>
      <c r="GPH341" s="288" t="s">
        <v>598</v>
      </c>
      <c r="GPI341" s="288" t="s">
        <v>598</v>
      </c>
      <c r="GPJ341" s="288" t="s">
        <v>598</v>
      </c>
      <c r="GPK341" s="288" t="s">
        <v>598</v>
      </c>
      <c r="GPL341" s="288" t="s">
        <v>598</v>
      </c>
      <c r="GPM341" s="288" t="s">
        <v>598</v>
      </c>
      <c r="GPN341" s="288" t="s">
        <v>598</v>
      </c>
      <c r="GPO341" s="288" t="s">
        <v>598</v>
      </c>
      <c r="GPP341" s="288" t="s">
        <v>598</v>
      </c>
      <c r="GPQ341" s="288" t="s">
        <v>598</v>
      </c>
      <c r="GPR341" s="288" t="s">
        <v>598</v>
      </c>
      <c r="GPS341" s="288" t="s">
        <v>598</v>
      </c>
      <c r="GPT341" s="288" t="s">
        <v>598</v>
      </c>
      <c r="GPU341" s="288" t="s">
        <v>598</v>
      </c>
      <c r="GPV341" s="288" t="s">
        <v>598</v>
      </c>
      <c r="GPW341" s="288" t="s">
        <v>598</v>
      </c>
      <c r="GPX341" s="288" t="s">
        <v>598</v>
      </c>
      <c r="GPY341" s="288" t="s">
        <v>598</v>
      </c>
      <c r="GPZ341" s="288" t="s">
        <v>598</v>
      </c>
      <c r="GQA341" s="288" t="s">
        <v>598</v>
      </c>
      <c r="GQB341" s="288" t="s">
        <v>598</v>
      </c>
      <c r="GQC341" s="288" t="s">
        <v>598</v>
      </c>
      <c r="GQD341" s="288" t="s">
        <v>598</v>
      </c>
      <c r="GQE341" s="288" t="s">
        <v>598</v>
      </c>
      <c r="GQF341" s="288" t="s">
        <v>598</v>
      </c>
      <c r="GQG341" s="288" t="s">
        <v>598</v>
      </c>
      <c r="GQH341" s="288" t="s">
        <v>598</v>
      </c>
      <c r="GQI341" s="288" t="s">
        <v>598</v>
      </c>
      <c r="GQJ341" s="288" t="s">
        <v>598</v>
      </c>
      <c r="GQK341" s="288" t="s">
        <v>598</v>
      </c>
      <c r="GQL341" s="288" t="s">
        <v>598</v>
      </c>
      <c r="GQM341" s="288" t="s">
        <v>598</v>
      </c>
      <c r="GQN341" s="288" t="s">
        <v>598</v>
      </c>
      <c r="GQO341" s="288" t="s">
        <v>598</v>
      </c>
      <c r="GQP341" s="288" t="s">
        <v>598</v>
      </c>
      <c r="GQQ341" s="288" t="s">
        <v>598</v>
      </c>
      <c r="GQR341" s="288" t="s">
        <v>598</v>
      </c>
      <c r="GQS341" s="288" t="s">
        <v>598</v>
      </c>
      <c r="GQT341" s="288" t="s">
        <v>598</v>
      </c>
      <c r="GQU341" s="288" t="s">
        <v>598</v>
      </c>
      <c r="GQV341" s="288" t="s">
        <v>598</v>
      </c>
      <c r="GQW341" s="288" t="s">
        <v>598</v>
      </c>
      <c r="GQX341" s="288" t="s">
        <v>598</v>
      </c>
      <c r="GQY341" s="288" t="s">
        <v>598</v>
      </c>
      <c r="GQZ341" s="288" t="s">
        <v>598</v>
      </c>
      <c r="GRA341" s="288" t="s">
        <v>598</v>
      </c>
      <c r="GRB341" s="288" t="s">
        <v>598</v>
      </c>
      <c r="GRC341" s="288" t="s">
        <v>598</v>
      </c>
      <c r="GRD341" s="288" t="s">
        <v>598</v>
      </c>
      <c r="GRE341" s="288" t="s">
        <v>598</v>
      </c>
      <c r="GRF341" s="288" t="s">
        <v>598</v>
      </c>
      <c r="GRG341" s="288" t="s">
        <v>598</v>
      </c>
      <c r="GRH341" s="288" t="s">
        <v>598</v>
      </c>
      <c r="GRI341" s="288" t="s">
        <v>598</v>
      </c>
      <c r="GRJ341" s="288" t="s">
        <v>598</v>
      </c>
      <c r="GRK341" s="288" t="s">
        <v>598</v>
      </c>
      <c r="GRL341" s="288" t="s">
        <v>598</v>
      </c>
      <c r="GRM341" s="288" t="s">
        <v>598</v>
      </c>
      <c r="GRN341" s="288" t="s">
        <v>598</v>
      </c>
      <c r="GRO341" s="288" t="s">
        <v>598</v>
      </c>
      <c r="GRP341" s="288" t="s">
        <v>598</v>
      </c>
      <c r="GRQ341" s="288" t="s">
        <v>598</v>
      </c>
      <c r="GRR341" s="288" t="s">
        <v>598</v>
      </c>
      <c r="GRS341" s="288" t="s">
        <v>598</v>
      </c>
      <c r="GRT341" s="288" t="s">
        <v>598</v>
      </c>
      <c r="GRU341" s="288" t="s">
        <v>598</v>
      </c>
      <c r="GRV341" s="288" t="s">
        <v>598</v>
      </c>
      <c r="GRW341" s="288" t="s">
        <v>598</v>
      </c>
      <c r="GRX341" s="288" t="s">
        <v>598</v>
      </c>
      <c r="GRY341" s="288" t="s">
        <v>598</v>
      </c>
      <c r="GRZ341" s="288" t="s">
        <v>598</v>
      </c>
      <c r="GSA341" s="288" t="s">
        <v>598</v>
      </c>
      <c r="GSB341" s="288" t="s">
        <v>598</v>
      </c>
      <c r="GSC341" s="288" t="s">
        <v>598</v>
      </c>
      <c r="GSD341" s="288" t="s">
        <v>598</v>
      </c>
      <c r="GSE341" s="288" t="s">
        <v>598</v>
      </c>
      <c r="GSF341" s="288" t="s">
        <v>598</v>
      </c>
      <c r="GSG341" s="288" t="s">
        <v>598</v>
      </c>
      <c r="GSH341" s="288" t="s">
        <v>598</v>
      </c>
      <c r="GSI341" s="288" t="s">
        <v>598</v>
      </c>
      <c r="GSJ341" s="288" t="s">
        <v>598</v>
      </c>
      <c r="GSK341" s="288" t="s">
        <v>598</v>
      </c>
      <c r="GSL341" s="288" t="s">
        <v>598</v>
      </c>
      <c r="GSM341" s="288" t="s">
        <v>598</v>
      </c>
      <c r="GSN341" s="288" t="s">
        <v>598</v>
      </c>
      <c r="GSO341" s="288" t="s">
        <v>598</v>
      </c>
      <c r="GSP341" s="288" t="s">
        <v>598</v>
      </c>
      <c r="GSQ341" s="288" t="s">
        <v>598</v>
      </c>
      <c r="GSR341" s="288" t="s">
        <v>598</v>
      </c>
      <c r="GSS341" s="288" t="s">
        <v>598</v>
      </c>
      <c r="GST341" s="288" t="s">
        <v>598</v>
      </c>
      <c r="GSU341" s="288" t="s">
        <v>598</v>
      </c>
      <c r="GSV341" s="288" t="s">
        <v>598</v>
      </c>
      <c r="GSW341" s="288" t="s">
        <v>598</v>
      </c>
      <c r="GSX341" s="288" t="s">
        <v>598</v>
      </c>
      <c r="GSY341" s="288" t="s">
        <v>598</v>
      </c>
      <c r="GSZ341" s="288" t="s">
        <v>598</v>
      </c>
      <c r="GTA341" s="288" t="s">
        <v>598</v>
      </c>
      <c r="GTB341" s="288" t="s">
        <v>598</v>
      </c>
      <c r="GTC341" s="288" t="s">
        <v>598</v>
      </c>
      <c r="GTD341" s="288" t="s">
        <v>598</v>
      </c>
      <c r="GTE341" s="288" t="s">
        <v>598</v>
      </c>
      <c r="GTF341" s="288" t="s">
        <v>598</v>
      </c>
      <c r="GTG341" s="288" t="s">
        <v>598</v>
      </c>
      <c r="GTH341" s="288" t="s">
        <v>598</v>
      </c>
      <c r="GTI341" s="288" t="s">
        <v>598</v>
      </c>
      <c r="GTJ341" s="288" t="s">
        <v>598</v>
      </c>
      <c r="GTK341" s="288" t="s">
        <v>598</v>
      </c>
      <c r="GTL341" s="288" t="s">
        <v>598</v>
      </c>
      <c r="GTM341" s="288" t="s">
        <v>598</v>
      </c>
      <c r="GTN341" s="288" t="s">
        <v>598</v>
      </c>
      <c r="GTO341" s="288" t="s">
        <v>598</v>
      </c>
      <c r="GTP341" s="288" t="s">
        <v>598</v>
      </c>
      <c r="GTQ341" s="288" t="s">
        <v>598</v>
      </c>
      <c r="GTR341" s="288" t="s">
        <v>598</v>
      </c>
      <c r="GTS341" s="288" t="s">
        <v>598</v>
      </c>
      <c r="GTT341" s="288" t="s">
        <v>598</v>
      </c>
      <c r="GTU341" s="288" t="s">
        <v>598</v>
      </c>
      <c r="GTV341" s="288" t="s">
        <v>598</v>
      </c>
      <c r="GTW341" s="288" t="s">
        <v>598</v>
      </c>
      <c r="GTX341" s="288" t="s">
        <v>598</v>
      </c>
      <c r="GTY341" s="288" t="s">
        <v>598</v>
      </c>
      <c r="GTZ341" s="288" t="s">
        <v>598</v>
      </c>
      <c r="GUA341" s="288" t="s">
        <v>598</v>
      </c>
      <c r="GUB341" s="288" t="s">
        <v>598</v>
      </c>
      <c r="GUC341" s="288" t="s">
        <v>598</v>
      </c>
      <c r="GUD341" s="288" t="s">
        <v>598</v>
      </c>
      <c r="GUE341" s="288" t="s">
        <v>598</v>
      </c>
      <c r="GUF341" s="288" t="s">
        <v>598</v>
      </c>
      <c r="GUG341" s="288" t="s">
        <v>598</v>
      </c>
      <c r="GUH341" s="288" t="s">
        <v>598</v>
      </c>
      <c r="GUI341" s="288" t="s">
        <v>598</v>
      </c>
      <c r="GUJ341" s="288" t="s">
        <v>598</v>
      </c>
      <c r="GUK341" s="288" t="s">
        <v>598</v>
      </c>
      <c r="GUL341" s="288" t="s">
        <v>598</v>
      </c>
      <c r="GUM341" s="288" t="s">
        <v>598</v>
      </c>
      <c r="GUN341" s="288" t="s">
        <v>598</v>
      </c>
      <c r="GUO341" s="288" t="s">
        <v>598</v>
      </c>
      <c r="GUP341" s="288" t="s">
        <v>598</v>
      </c>
      <c r="GUQ341" s="288" t="s">
        <v>598</v>
      </c>
      <c r="GUR341" s="288" t="s">
        <v>598</v>
      </c>
      <c r="GUS341" s="288" t="s">
        <v>598</v>
      </c>
      <c r="GUT341" s="288" t="s">
        <v>598</v>
      </c>
      <c r="GUU341" s="288" t="s">
        <v>598</v>
      </c>
      <c r="GUV341" s="288" t="s">
        <v>598</v>
      </c>
      <c r="GUW341" s="288" t="s">
        <v>598</v>
      </c>
      <c r="GUX341" s="288" t="s">
        <v>598</v>
      </c>
      <c r="GUY341" s="288" t="s">
        <v>598</v>
      </c>
      <c r="GUZ341" s="288" t="s">
        <v>598</v>
      </c>
      <c r="GVA341" s="288" t="s">
        <v>598</v>
      </c>
      <c r="GVB341" s="288" t="s">
        <v>598</v>
      </c>
      <c r="GVC341" s="288" t="s">
        <v>598</v>
      </c>
      <c r="GVD341" s="288" t="s">
        <v>598</v>
      </c>
      <c r="GVE341" s="288" t="s">
        <v>598</v>
      </c>
      <c r="GVF341" s="288" t="s">
        <v>598</v>
      </c>
      <c r="GVG341" s="288" t="s">
        <v>598</v>
      </c>
      <c r="GVH341" s="288" t="s">
        <v>598</v>
      </c>
      <c r="GVI341" s="288" t="s">
        <v>598</v>
      </c>
      <c r="GVJ341" s="288" t="s">
        <v>598</v>
      </c>
      <c r="GVK341" s="288" t="s">
        <v>598</v>
      </c>
      <c r="GVL341" s="288" t="s">
        <v>598</v>
      </c>
      <c r="GVM341" s="288" t="s">
        <v>598</v>
      </c>
      <c r="GVN341" s="288" t="s">
        <v>598</v>
      </c>
      <c r="GVO341" s="288" t="s">
        <v>598</v>
      </c>
      <c r="GVP341" s="288" t="s">
        <v>598</v>
      </c>
      <c r="GVQ341" s="288" t="s">
        <v>598</v>
      </c>
      <c r="GVR341" s="288" t="s">
        <v>598</v>
      </c>
      <c r="GVS341" s="288" t="s">
        <v>598</v>
      </c>
      <c r="GVT341" s="288" t="s">
        <v>598</v>
      </c>
      <c r="GVU341" s="288" t="s">
        <v>598</v>
      </c>
      <c r="GVV341" s="288" t="s">
        <v>598</v>
      </c>
      <c r="GVW341" s="288" t="s">
        <v>598</v>
      </c>
      <c r="GVX341" s="288" t="s">
        <v>598</v>
      </c>
      <c r="GVY341" s="288" t="s">
        <v>598</v>
      </c>
      <c r="GVZ341" s="288" t="s">
        <v>598</v>
      </c>
      <c r="GWA341" s="288" t="s">
        <v>598</v>
      </c>
      <c r="GWB341" s="288" t="s">
        <v>598</v>
      </c>
      <c r="GWC341" s="288" t="s">
        <v>598</v>
      </c>
      <c r="GWD341" s="288" t="s">
        <v>598</v>
      </c>
      <c r="GWE341" s="288" t="s">
        <v>598</v>
      </c>
      <c r="GWF341" s="288" t="s">
        <v>598</v>
      </c>
      <c r="GWG341" s="288" t="s">
        <v>598</v>
      </c>
      <c r="GWH341" s="288" t="s">
        <v>598</v>
      </c>
      <c r="GWI341" s="288" t="s">
        <v>598</v>
      </c>
      <c r="GWJ341" s="288" t="s">
        <v>598</v>
      </c>
      <c r="GWK341" s="288" t="s">
        <v>598</v>
      </c>
      <c r="GWL341" s="288" t="s">
        <v>598</v>
      </c>
      <c r="GWM341" s="288" t="s">
        <v>598</v>
      </c>
      <c r="GWN341" s="288" t="s">
        <v>598</v>
      </c>
      <c r="GWO341" s="288" t="s">
        <v>598</v>
      </c>
      <c r="GWP341" s="288" t="s">
        <v>598</v>
      </c>
      <c r="GWQ341" s="288" t="s">
        <v>598</v>
      </c>
      <c r="GWR341" s="288" t="s">
        <v>598</v>
      </c>
      <c r="GWS341" s="288" t="s">
        <v>598</v>
      </c>
      <c r="GWT341" s="288" t="s">
        <v>598</v>
      </c>
      <c r="GWU341" s="288" t="s">
        <v>598</v>
      </c>
      <c r="GWV341" s="288" t="s">
        <v>598</v>
      </c>
      <c r="GWW341" s="288" t="s">
        <v>598</v>
      </c>
      <c r="GWX341" s="288" t="s">
        <v>598</v>
      </c>
      <c r="GWY341" s="288" t="s">
        <v>598</v>
      </c>
      <c r="GWZ341" s="288" t="s">
        <v>598</v>
      </c>
      <c r="GXA341" s="288" t="s">
        <v>598</v>
      </c>
      <c r="GXB341" s="288" t="s">
        <v>598</v>
      </c>
      <c r="GXC341" s="288" t="s">
        <v>598</v>
      </c>
      <c r="GXD341" s="288" t="s">
        <v>598</v>
      </c>
      <c r="GXE341" s="288" t="s">
        <v>598</v>
      </c>
      <c r="GXF341" s="288" t="s">
        <v>598</v>
      </c>
      <c r="GXG341" s="288" t="s">
        <v>598</v>
      </c>
      <c r="GXH341" s="288" t="s">
        <v>598</v>
      </c>
      <c r="GXI341" s="288" t="s">
        <v>598</v>
      </c>
      <c r="GXJ341" s="288" t="s">
        <v>598</v>
      </c>
      <c r="GXK341" s="288" t="s">
        <v>598</v>
      </c>
      <c r="GXL341" s="288" t="s">
        <v>598</v>
      </c>
      <c r="GXM341" s="288" t="s">
        <v>598</v>
      </c>
      <c r="GXN341" s="288" t="s">
        <v>598</v>
      </c>
      <c r="GXO341" s="288" t="s">
        <v>598</v>
      </c>
      <c r="GXP341" s="288" t="s">
        <v>598</v>
      </c>
      <c r="GXQ341" s="288" t="s">
        <v>598</v>
      </c>
      <c r="GXR341" s="288" t="s">
        <v>598</v>
      </c>
      <c r="GXS341" s="288" t="s">
        <v>598</v>
      </c>
      <c r="GXT341" s="288" t="s">
        <v>598</v>
      </c>
      <c r="GXU341" s="288" t="s">
        <v>598</v>
      </c>
      <c r="GXV341" s="288" t="s">
        <v>598</v>
      </c>
      <c r="GXW341" s="288" t="s">
        <v>598</v>
      </c>
      <c r="GXX341" s="288" t="s">
        <v>598</v>
      </c>
      <c r="GXY341" s="288" t="s">
        <v>598</v>
      </c>
      <c r="GXZ341" s="288" t="s">
        <v>598</v>
      </c>
      <c r="GYA341" s="288" t="s">
        <v>598</v>
      </c>
      <c r="GYB341" s="288" t="s">
        <v>598</v>
      </c>
      <c r="GYC341" s="288" t="s">
        <v>598</v>
      </c>
      <c r="GYD341" s="288" t="s">
        <v>598</v>
      </c>
      <c r="GYE341" s="288" t="s">
        <v>598</v>
      </c>
      <c r="GYF341" s="288" t="s">
        <v>598</v>
      </c>
      <c r="GYG341" s="288" t="s">
        <v>598</v>
      </c>
      <c r="GYH341" s="288" t="s">
        <v>598</v>
      </c>
      <c r="GYI341" s="288" t="s">
        <v>598</v>
      </c>
      <c r="GYJ341" s="288" t="s">
        <v>598</v>
      </c>
      <c r="GYK341" s="288" t="s">
        <v>598</v>
      </c>
      <c r="GYL341" s="288" t="s">
        <v>598</v>
      </c>
      <c r="GYM341" s="288" t="s">
        <v>598</v>
      </c>
      <c r="GYN341" s="288" t="s">
        <v>598</v>
      </c>
      <c r="GYO341" s="288" t="s">
        <v>598</v>
      </c>
      <c r="GYP341" s="288" t="s">
        <v>598</v>
      </c>
      <c r="GYQ341" s="288" t="s">
        <v>598</v>
      </c>
      <c r="GYR341" s="288" t="s">
        <v>598</v>
      </c>
      <c r="GYS341" s="288" t="s">
        <v>598</v>
      </c>
      <c r="GYT341" s="288" t="s">
        <v>598</v>
      </c>
      <c r="GYU341" s="288" t="s">
        <v>598</v>
      </c>
      <c r="GYV341" s="288" t="s">
        <v>598</v>
      </c>
      <c r="GYW341" s="288" t="s">
        <v>598</v>
      </c>
      <c r="GYX341" s="288" t="s">
        <v>598</v>
      </c>
      <c r="GYY341" s="288" t="s">
        <v>598</v>
      </c>
      <c r="GYZ341" s="288" t="s">
        <v>598</v>
      </c>
      <c r="GZA341" s="288" t="s">
        <v>598</v>
      </c>
      <c r="GZB341" s="288" t="s">
        <v>598</v>
      </c>
      <c r="GZC341" s="288" t="s">
        <v>598</v>
      </c>
      <c r="GZD341" s="288" t="s">
        <v>598</v>
      </c>
      <c r="GZE341" s="288" t="s">
        <v>598</v>
      </c>
      <c r="GZF341" s="288" t="s">
        <v>598</v>
      </c>
      <c r="GZG341" s="288" t="s">
        <v>598</v>
      </c>
      <c r="GZH341" s="288" t="s">
        <v>598</v>
      </c>
      <c r="GZI341" s="288" t="s">
        <v>598</v>
      </c>
      <c r="GZJ341" s="288" t="s">
        <v>598</v>
      </c>
      <c r="GZK341" s="288" t="s">
        <v>598</v>
      </c>
      <c r="GZL341" s="288" t="s">
        <v>598</v>
      </c>
      <c r="GZM341" s="288" t="s">
        <v>598</v>
      </c>
      <c r="GZN341" s="288" t="s">
        <v>598</v>
      </c>
      <c r="GZO341" s="288" t="s">
        <v>598</v>
      </c>
      <c r="GZP341" s="288" t="s">
        <v>598</v>
      </c>
      <c r="GZQ341" s="288" t="s">
        <v>598</v>
      </c>
      <c r="GZR341" s="288" t="s">
        <v>598</v>
      </c>
      <c r="GZS341" s="288" t="s">
        <v>598</v>
      </c>
      <c r="GZT341" s="288" t="s">
        <v>598</v>
      </c>
      <c r="GZU341" s="288" t="s">
        <v>598</v>
      </c>
      <c r="GZV341" s="288" t="s">
        <v>598</v>
      </c>
      <c r="GZW341" s="288" t="s">
        <v>598</v>
      </c>
      <c r="GZX341" s="288" t="s">
        <v>598</v>
      </c>
      <c r="GZY341" s="288" t="s">
        <v>598</v>
      </c>
      <c r="GZZ341" s="288" t="s">
        <v>598</v>
      </c>
      <c r="HAA341" s="288" t="s">
        <v>598</v>
      </c>
      <c r="HAB341" s="288" t="s">
        <v>598</v>
      </c>
      <c r="HAC341" s="288" t="s">
        <v>598</v>
      </c>
      <c r="HAD341" s="288" t="s">
        <v>598</v>
      </c>
      <c r="HAE341" s="288" t="s">
        <v>598</v>
      </c>
      <c r="HAF341" s="288" t="s">
        <v>598</v>
      </c>
      <c r="HAG341" s="288" t="s">
        <v>598</v>
      </c>
      <c r="HAH341" s="288" t="s">
        <v>598</v>
      </c>
      <c r="HAI341" s="288" t="s">
        <v>598</v>
      </c>
      <c r="HAJ341" s="288" t="s">
        <v>598</v>
      </c>
      <c r="HAK341" s="288" t="s">
        <v>598</v>
      </c>
      <c r="HAL341" s="288" t="s">
        <v>598</v>
      </c>
      <c r="HAM341" s="288" t="s">
        <v>598</v>
      </c>
      <c r="HAN341" s="288" t="s">
        <v>598</v>
      </c>
      <c r="HAO341" s="288" t="s">
        <v>598</v>
      </c>
      <c r="HAP341" s="288" t="s">
        <v>598</v>
      </c>
      <c r="HAQ341" s="288" t="s">
        <v>598</v>
      </c>
      <c r="HAR341" s="288" t="s">
        <v>598</v>
      </c>
      <c r="HAS341" s="288" t="s">
        <v>598</v>
      </c>
      <c r="HAT341" s="288" t="s">
        <v>598</v>
      </c>
      <c r="HAU341" s="288" t="s">
        <v>598</v>
      </c>
      <c r="HAV341" s="288" t="s">
        <v>598</v>
      </c>
      <c r="HAW341" s="288" t="s">
        <v>598</v>
      </c>
      <c r="HAX341" s="288" t="s">
        <v>598</v>
      </c>
      <c r="HAY341" s="288" t="s">
        <v>598</v>
      </c>
      <c r="HAZ341" s="288" t="s">
        <v>598</v>
      </c>
      <c r="HBA341" s="288" t="s">
        <v>598</v>
      </c>
      <c r="HBB341" s="288" t="s">
        <v>598</v>
      </c>
      <c r="HBC341" s="288" t="s">
        <v>598</v>
      </c>
      <c r="HBD341" s="288" t="s">
        <v>598</v>
      </c>
      <c r="HBE341" s="288" t="s">
        <v>598</v>
      </c>
      <c r="HBF341" s="288" t="s">
        <v>598</v>
      </c>
      <c r="HBG341" s="288" t="s">
        <v>598</v>
      </c>
      <c r="HBH341" s="288" t="s">
        <v>598</v>
      </c>
      <c r="HBI341" s="288" t="s">
        <v>598</v>
      </c>
      <c r="HBJ341" s="288" t="s">
        <v>598</v>
      </c>
      <c r="HBK341" s="288" t="s">
        <v>598</v>
      </c>
      <c r="HBL341" s="288" t="s">
        <v>598</v>
      </c>
      <c r="HBM341" s="288" t="s">
        <v>598</v>
      </c>
      <c r="HBN341" s="288" t="s">
        <v>598</v>
      </c>
      <c r="HBO341" s="288" t="s">
        <v>598</v>
      </c>
      <c r="HBP341" s="288" t="s">
        <v>598</v>
      </c>
      <c r="HBQ341" s="288" t="s">
        <v>598</v>
      </c>
      <c r="HBR341" s="288" t="s">
        <v>598</v>
      </c>
      <c r="HBS341" s="288" t="s">
        <v>598</v>
      </c>
      <c r="HBT341" s="288" t="s">
        <v>598</v>
      </c>
      <c r="HBU341" s="288" t="s">
        <v>598</v>
      </c>
      <c r="HBV341" s="288" t="s">
        <v>598</v>
      </c>
      <c r="HBW341" s="288" t="s">
        <v>598</v>
      </c>
      <c r="HBX341" s="288" t="s">
        <v>598</v>
      </c>
      <c r="HBY341" s="288" t="s">
        <v>598</v>
      </c>
      <c r="HBZ341" s="288" t="s">
        <v>598</v>
      </c>
      <c r="HCA341" s="288" t="s">
        <v>598</v>
      </c>
      <c r="HCB341" s="288" t="s">
        <v>598</v>
      </c>
      <c r="HCC341" s="288" t="s">
        <v>598</v>
      </c>
      <c r="HCD341" s="288" t="s">
        <v>598</v>
      </c>
      <c r="HCE341" s="288" t="s">
        <v>598</v>
      </c>
      <c r="HCF341" s="288" t="s">
        <v>598</v>
      </c>
      <c r="HCG341" s="288" t="s">
        <v>598</v>
      </c>
      <c r="HCH341" s="288" t="s">
        <v>598</v>
      </c>
      <c r="HCI341" s="288" t="s">
        <v>598</v>
      </c>
      <c r="HCJ341" s="288" t="s">
        <v>598</v>
      </c>
      <c r="HCK341" s="288" t="s">
        <v>598</v>
      </c>
      <c r="HCL341" s="288" t="s">
        <v>598</v>
      </c>
      <c r="HCM341" s="288" t="s">
        <v>598</v>
      </c>
      <c r="HCN341" s="288" t="s">
        <v>598</v>
      </c>
      <c r="HCO341" s="288" t="s">
        <v>598</v>
      </c>
      <c r="HCP341" s="288" t="s">
        <v>598</v>
      </c>
      <c r="HCQ341" s="288" t="s">
        <v>598</v>
      </c>
      <c r="HCR341" s="288" t="s">
        <v>598</v>
      </c>
      <c r="HCS341" s="288" t="s">
        <v>598</v>
      </c>
      <c r="HCT341" s="288" t="s">
        <v>598</v>
      </c>
      <c r="HCU341" s="288" t="s">
        <v>598</v>
      </c>
      <c r="HCV341" s="288" t="s">
        <v>598</v>
      </c>
      <c r="HCW341" s="288" t="s">
        <v>598</v>
      </c>
      <c r="HCX341" s="288" t="s">
        <v>598</v>
      </c>
      <c r="HCY341" s="288" t="s">
        <v>598</v>
      </c>
      <c r="HCZ341" s="288" t="s">
        <v>598</v>
      </c>
      <c r="HDA341" s="288" t="s">
        <v>598</v>
      </c>
      <c r="HDB341" s="288" t="s">
        <v>598</v>
      </c>
      <c r="HDC341" s="288" t="s">
        <v>598</v>
      </c>
      <c r="HDD341" s="288" t="s">
        <v>598</v>
      </c>
      <c r="HDE341" s="288" t="s">
        <v>598</v>
      </c>
      <c r="HDF341" s="288" t="s">
        <v>598</v>
      </c>
      <c r="HDG341" s="288" t="s">
        <v>598</v>
      </c>
      <c r="HDH341" s="288" t="s">
        <v>598</v>
      </c>
      <c r="HDI341" s="288" t="s">
        <v>598</v>
      </c>
      <c r="HDJ341" s="288" t="s">
        <v>598</v>
      </c>
      <c r="HDK341" s="288" t="s">
        <v>598</v>
      </c>
      <c r="HDL341" s="288" t="s">
        <v>598</v>
      </c>
      <c r="HDM341" s="288" t="s">
        <v>598</v>
      </c>
      <c r="HDN341" s="288" t="s">
        <v>598</v>
      </c>
      <c r="HDO341" s="288" t="s">
        <v>598</v>
      </c>
      <c r="HDP341" s="288" t="s">
        <v>598</v>
      </c>
      <c r="HDQ341" s="288" t="s">
        <v>598</v>
      </c>
      <c r="HDR341" s="288" t="s">
        <v>598</v>
      </c>
      <c r="HDS341" s="288" t="s">
        <v>598</v>
      </c>
      <c r="HDT341" s="288" t="s">
        <v>598</v>
      </c>
      <c r="HDU341" s="288" t="s">
        <v>598</v>
      </c>
      <c r="HDV341" s="288" t="s">
        <v>598</v>
      </c>
      <c r="HDW341" s="288" t="s">
        <v>598</v>
      </c>
      <c r="HDX341" s="288" t="s">
        <v>598</v>
      </c>
      <c r="HDY341" s="288" t="s">
        <v>598</v>
      </c>
      <c r="HDZ341" s="288" t="s">
        <v>598</v>
      </c>
      <c r="HEA341" s="288" t="s">
        <v>598</v>
      </c>
      <c r="HEB341" s="288" t="s">
        <v>598</v>
      </c>
      <c r="HEC341" s="288" t="s">
        <v>598</v>
      </c>
      <c r="HED341" s="288" t="s">
        <v>598</v>
      </c>
      <c r="HEE341" s="288" t="s">
        <v>598</v>
      </c>
      <c r="HEF341" s="288" t="s">
        <v>598</v>
      </c>
      <c r="HEG341" s="288" t="s">
        <v>598</v>
      </c>
      <c r="HEH341" s="288" t="s">
        <v>598</v>
      </c>
      <c r="HEI341" s="288" t="s">
        <v>598</v>
      </c>
      <c r="HEJ341" s="288" t="s">
        <v>598</v>
      </c>
      <c r="HEK341" s="288" t="s">
        <v>598</v>
      </c>
      <c r="HEL341" s="288" t="s">
        <v>598</v>
      </c>
      <c r="HEM341" s="288" t="s">
        <v>598</v>
      </c>
      <c r="HEN341" s="288" t="s">
        <v>598</v>
      </c>
      <c r="HEO341" s="288" t="s">
        <v>598</v>
      </c>
      <c r="HEP341" s="288" t="s">
        <v>598</v>
      </c>
      <c r="HEQ341" s="288" t="s">
        <v>598</v>
      </c>
      <c r="HER341" s="288" t="s">
        <v>598</v>
      </c>
      <c r="HES341" s="288" t="s">
        <v>598</v>
      </c>
      <c r="HET341" s="288" t="s">
        <v>598</v>
      </c>
      <c r="HEU341" s="288" t="s">
        <v>598</v>
      </c>
      <c r="HEV341" s="288" t="s">
        <v>598</v>
      </c>
      <c r="HEW341" s="288" t="s">
        <v>598</v>
      </c>
      <c r="HEX341" s="288" t="s">
        <v>598</v>
      </c>
      <c r="HEY341" s="288" t="s">
        <v>598</v>
      </c>
      <c r="HEZ341" s="288" t="s">
        <v>598</v>
      </c>
      <c r="HFA341" s="288" t="s">
        <v>598</v>
      </c>
      <c r="HFB341" s="288" t="s">
        <v>598</v>
      </c>
      <c r="HFC341" s="288" t="s">
        <v>598</v>
      </c>
      <c r="HFD341" s="288" t="s">
        <v>598</v>
      </c>
      <c r="HFE341" s="288" t="s">
        <v>598</v>
      </c>
      <c r="HFF341" s="288" t="s">
        <v>598</v>
      </c>
      <c r="HFG341" s="288" t="s">
        <v>598</v>
      </c>
      <c r="HFH341" s="288" t="s">
        <v>598</v>
      </c>
      <c r="HFI341" s="288" t="s">
        <v>598</v>
      </c>
      <c r="HFJ341" s="288" t="s">
        <v>598</v>
      </c>
      <c r="HFK341" s="288" t="s">
        <v>598</v>
      </c>
      <c r="HFL341" s="288" t="s">
        <v>598</v>
      </c>
      <c r="HFM341" s="288" t="s">
        <v>598</v>
      </c>
      <c r="HFN341" s="288" t="s">
        <v>598</v>
      </c>
      <c r="HFO341" s="288" t="s">
        <v>598</v>
      </c>
      <c r="HFP341" s="288" t="s">
        <v>598</v>
      </c>
      <c r="HFQ341" s="288" t="s">
        <v>598</v>
      </c>
      <c r="HFR341" s="288" t="s">
        <v>598</v>
      </c>
      <c r="HFS341" s="288" t="s">
        <v>598</v>
      </c>
      <c r="HFT341" s="288" t="s">
        <v>598</v>
      </c>
      <c r="HFU341" s="288" t="s">
        <v>598</v>
      </c>
      <c r="HFV341" s="288" t="s">
        <v>598</v>
      </c>
      <c r="HFW341" s="288" t="s">
        <v>598</v>
      </c>
      <c r="HFX341" s="288" t="s">
        <v>598</v>
      </c>
      <c r="HFY341" s="288" t="s">
        <v>598</v>
      </c>
      <c r="HFZ341" s="288" t="s">
        <v>598</v>
      </c>
      <c r="HGA341" s="288" t="s">
        <v>598</v>
      </c>
      <c r="HGB341" s="288" t="s">
        <v>598</v>
      </c>
      <c r="HGC341" s="288" t="s">
        <v>598</v>
      </c>
      <c r="HGD341" s="288" t="s">
        <v>598</v>
      </c>
      <c r="HGE341" s="288" t="s">
        <v>598</v>
      </c>
      <c r="HGF341" s="288" t="s">
        <v>598</v>
      </c>
      <c r="HGG341" s="288" t="s">
        <v>598</v>
      </c>
      <c r="HGH341" s="288" t="s">
        <v>598</v>
      </c>
      <c r="HGI341" s="288" t="s">
        <v>598</v>
      </c>
      <c r="HGJ341" s="288" t="s">
        <v>598</v>
      </c>
      <c r="HGK341" s="288" t="s">
        <v>598</v>
      </c>
      <c r="HGL341" s="288" t="s">
        <v>598</v>
      </c>
      <c r="HGM341" s="288" t="s">
        <v>598</v>
      </c>
      <c r="HGN341" s="288" t="s">
        <v>598</v>
      </c>
      <c r="HGO341" s="288" t="s">
        <v>598</v>
      </c>
      <c r="HGP341" s="288" t="s">
        <v>598</v>
      </c>
      <c r="HGQ341" s="288" t="s">
        <v>598</v>
      </c>
      <c r="HGR341" s="288" t="s">
        <v>598</v>
      </c>
      <c r="HGS341" s="288" t="s">
        <v>598</v>
      </c>
      <c r="HGT341" s="288" t="s">
        <v>598</v>
      </c>
      <c r="HGU341" s="288" t="s">
        <v>598</v>
      </c>
      <c r="HGV341" s="288" t="s">
        <v>598</v>
      </c>
      <c r="HGW341" s="288" t="s">
        <v>598</v>
      </c>
      <c r="HGX341" s="288" t="s">
        <v>598</v>
      </c>
      <c r="HGY341" s="288" t="s">
        <v>598</v>
      </c>
      <c r="HGZ341" s="288" t="s">
        <v>598</v>
      </c>
      <c r="HHA341" s="288" t="s">
        <v>598</v>
      </c>
      <c r="HHB341" s="288" t="s">
        <v>598</v>
      </c>
      <c r="HHC341" s="288" t="s">
        <v>598</v>
      </c>
      <c r="HHD341" s="288" t="s">
        <v>598</v>
      </c>
      <c r="HHE341" s="288" t="s">
        <v>598</v>
      </c>
      <c r="HHF341" s="288" t="s">
        <v>598</v>
      </c>
      <c r="HHG341" s="288" t="s">
        <v>598</v>
      </c>
      <c r="HHH341" s="288" t="s">
        <v>598</v>
      </c>
      <c r="HHI341" s="288" t="s">
        <v>598</v>
      </c>
      <c r="HHJ341" s="288" t="s">
        <v>598</v>
      </c>
      <c r="HHK341" s="288" t="s">
        <v>598</v>
      </c>
      <c r="HHL341" s="288" t="s">
        <v>598</v>
      </c>
      <c r="HHM341" s="288" t="s">
        <v>598</v>
      </c>
      <c r="HHN341" s="288" t="s">
        <v>598</v>
      </c>
      <c r="HHO341" s="288" t="s">
        <v>598</v>
      </c>
      <c r="HHP341" s="288" t="s">
        <v>598</v>
      </c>
      <c r="HHQ341" s="288" t="s">
        <v>598</v>
      </c>
      <c r="HHR341" s="288" t="s">
        <v>598</v>
      </c>
      <c r="HHS341" s="288" t="s">
        <v>598</v>
      </c>
      <c r="HHT341" s="288" t="s">
        <v>598</v>
      </c>
      <c r="HHU341" s="288" t="s">
        <v>598</v>
      </c>
      <c r="HHV341" s="288" t="s">
        <v>598</v>
      </c>
      <c r="HHW341" s="288" t="s">
        <v>598</v>
      </c>
      <c r="HHX341" s="288" t="s">
        <v>598</v>
      </c>
      <c r="HHY341" s="288" t="s">
        <v>598</v>
      </c>
      <c r="HHZ341" s="288" t="s">
        <v>598</v>
      </c>
      <c r="HIA341" s="288" t="s">
        <v>598</v>
      </c>
      <c r="HIB341" s="288" t="s">
        <v>598</v>
      </c>
      <c r="HIC341" s="288" t="s">
        <v>598</v>
      </c>
      <c r="HID341" s="288" t="s">
        <v>598</v>
      </c>
      <c r="HIE341" s="288" t="s">
        <v>598</v>
      </c>
      <c r="HIF341" s="288" t="s">
        <v>598</v>
      </c>
      <c r="HIG341" s="288" t="s">
        <v>598</v>
      </c>
      <c r="HIH341" s="288" t="s">
        <v>598</v>
      </c>
      <c r="HII341" s="288" t="s">
        <v>598</v>
      </c>
      <c r="HIJ341" s="288" t="s">
        <v>598</v>
      </c>
      <c r="HIK341" s="288" t="s">
        <v>598</v>
      </c>
      <c r="HIL341" s="288" t="s">
        <v>598</v>
      </c>
      <c r="HIM341" s="288" t="s">
        <v>598</v>
      </c>
      <c r="HIN341" s="288" t="s">
        <v>598</v>
      </c>
      <c r="HIO341" s="288" t="s">
        <v>598</v>
      </c>
      <c r="HIP341" s="288" t="s">
        <v>598</v>
      </c>
      <c r="HIQ341" s="288" t="s">
        <v>598</v>
      </c>
      <c r="HIR341" s="288" t="s">
        <v>598</v>
      </c>
      <c r="HIS341" s="288" t="s">
        <v>598</v>
      </c>
      <c r="HIT341" s="288" t="s">
        <v>598</v>
      </c>
      <c r="HIU341" s="288" t="s">
        <v>598</v>
      </c>
      <c r="HIV341" s="288" t="s">
        <v>598</v>
      </c>
      <c r="HIW341" s="288" t="s">
        <v>598</v>
      </c>
      <c r="HIX341" s="288" t="s">
        <v>598</v>
      </c>
      <c r="HIY341" s="288" t="s">
        <v>598</v>
      </c>
      <c r="HIZ341" s="288" t="s">
        <v>598</v>
      </c>
      <c r="HJA341" s="288" t="s">
        <v>598</v>
      </c>
      <c r="HJB341" s="288" t="s">
        <v>598</v>
      </c>
      <c r="HJC341" s="288" t="s">
        <v>598</v>
      </c>
      <c r="HJD341" s="288" t="s">
        <v>598</v>
      </c>
      <c r="HJE341" s="288" t="s">
        <v>598</v>
      </c>
      <c r="HJF341" s="288" t="s">
        <v>598</v>
      </c>
      <c r="HJG341" s="288" t="s">
        <v>598</v>
      </c>
      <c r="HJH341" s="288" t="s">
        <v>598</v>
      </c>
      <c r="HJI341" s="288" t="s">
        <v>598</v>
      </c>
      <c r="HJJ341" s="288" t="s">
        <v>598</v>
      </c>
      <c r="HJK341" s="288" t="s">
        <v>598</v>
      </c>
      <c r="HJL341" s="288" t="s">
        <v>598</v>
      </c>
      <c r="HJM341" s="288" t="s">
        <v>598</v>
      </c>
      <c r="HJN341" s="288" t="s">
        <v>598</v>
      </c>
      <c r="HJO341" s="288" t="s">
        <v>598</v>
      </c>
      <c r="HJP341" s="288" t="s">
        <v>598</v>
      </c>
      <c r="HJQ341" s="288" t="s">
        <v>598</v>
      </c>
      <c r="HJR341" s="288" t="s">
        <v>598</v>
      </c>
      <c r="HJS341" s="288" t="s">
        <v>598</v>
      </c>
      <c r="HJT341" s="288" t="s">
        <v>598</v>
      </c>
      <c r="HJU341" s="288" t="s">
        <v>598</v>
      </c>
      <c r="HJV341" s="288" t="s">
        <v>598</v>
      </c>
      <c r="HJW341" s="288" t="s">
        <v>598</v>
      </c>
      <c r="HJX341" s="288" t="s">
        <v>598</v>
      </c>
      <c r="HJY341" s="288" t="s">
        <v>598</v>
      </c>
      <c r="HJZ341" s="288" t="s">
        <v>598</v>
      </c>
      <c r="HKA341" s="288" t="s">
        <v>598</v>
      </c>
      <c r="HKB341" s="288" t="s">
        <v>598</v>
      </c>
      <c r="HKC341" s="288" t="s">
        <v>598</v>
      </c>
      <c r="HKD341" s="288" t="s">
        <v>598</v>
      </c>
      <c r="HKE341" s="288" t="s">
        <v>598</v>
      </c>
      <c r="HKF341" s="288" t="s">
        <v>598</v>
      </c>
      <c r="HKG341" s="288" t="s">
        <v>598</v>
      </c>
      <c r="HKH341" s="288" t="s">
        <v>598</v>
      </c>
      <c r="HKI341" s="288" t="s">
        <v>598</v>
      </c>
      <c r="HKJ341" s="288" t="s">
        <v>598</v>
      </c>
      <c r="HKK341" s="288" t="s">
        <v>598</v>
      </c>
      <c r="HKL341" s="288" t="s">
        <v>598</v>
      </c>
      <c r="HKM341" s="288" t="s">
        <v>598</v>
      </c>
      <c r="HKN341" s="288" t="s">
        <v>598</v>
      </c>
      <c r="HKO341" s="288" t="s">
        <v>598</v>
      </c>
      <c r="HKP341" s="288" t="s">
        <v>598</v>
      </c>
      <c r="HKQ341" s="288" t="s">
        <v>598</v>
      </c>
      <c r="HKR341" s="288" t="s">
        <v>598</v>
      </c>
      <c r="HKS341" s="288" t="s">
        <v>598</v>
      </c>
      <c r="HKT341" s="288" t="s">
        <v>598</v>
      </c>
      <c r="HKU341" s="288" t="s">
        <v>598</v>
      </c>
      <c r="HKV341" s="288" t="s">
        <v>598</v>
      </c>
      <c r="HKW341" s="288" t="s">
        <v>598</v>
      </c>
      <c r="HKX341" s="288" t="s">
        <v>598</v>
      </c>
      <c r="HKY341" s="288" t="s">
        <v>598</v>
      </c>
      <c r="HKZ341" s="288" t="s">
        <v>598</v>
      </c>
      <c r="HLA341" s="288" t="s">
        <v>598</v>
      </c>
      <c r="HLB341" s="288" t="s">
        <v>598</v>
      </c>
      <c r="HLC341" s="288" t="s">
        <v>598</v>
      </c>
      <c r="HLD341" s="288" t="s">
        <v>598</v>
      </c>
      <c r="HLE341" s="288" t="s">
        <v>598</v>
      </c>
      <c r="HLF341" s="288" t="s">
        <v>598</v>
      </c>
      <c r="HLG341" s="288" t="s">
        <v>598</v>
      </c>
      <c r="HLH341" s="288" t="s">
        <v>598</v>
      </c>
      <c r="HLI341" s="288" t="s">
        <v>598</v>
      </c>
      <c r="HLJ341" s="288" t="s">
        <v>598</v>
      </c>
      <c r="HLK341" s="288" t="s">
        <v>598</v>
      </c>
      <c r="HLL341" s="288" t="s">
        <v>598</v>
      </c>
      <c r="HLM341" s="288" t="s">
        <v>598</v>
      </c>
      <c r="HLN341" s="288" t="s">
        <v>598</v>
      </c>
      <c r="HLO341" s="288" t="s">
        <v>598</v>
      </c>
      <c r="HLP341" s="288" t="s">
        <v>598</v>
      </c>
      <c r="HLQ341" s="288" t="s">
        <v>598</v>
      </c>
      <c r="HLR341" s="288" t="s">
        <v>598</v>
      </c>
      <c r="HLS341" s="288" t="s">
        <v>598</v>
      </c>
      <c r="HLT341" s="288" t="s">
        <v>598</v>
      </c>
      <c r="HLU341" s="288" t="s">
        <v>598</v>
      </c>
      <c r="HLV341" s="288" t="s">
        <v>598</v>
      </c>
      <c r="HLW341" s="288" t="s">
        <v>598</v>
      </c>
      <c r="HLX341" s="288" t="s">
        <v>598</v>
      </c>
      <c r="HLY341" s="288" t="s">
        <v>598</v>
      </c>
      <c r="HLZ341" s="288" t="s">
        <v>598</v>
      </c>
      <c r="HMA341" s="288" t="s">
        <v>598</v>
      </c>
      <c r="HMB341" s="288" t="s">
        <v>598</v>
      </c>
      <c r="HMC341" s="288" t="s">
        <v>598</v>
      </c>
      <c r="HMD341" s="288" t="s">
        <v>598</v>
      </c>
      <c r="HME341" s="288" t="s">
        <v>598</v>
      </c>
      <c r="HMF341" s="288" t="s">
        <v>598</v>
      </c>
      <c r="HMG341" s="288" t="s">
        <v>598</v>
      </c>
      <c r="HMH341" s="288" t="s">
        <v>598</v>
      </c>
      <c r="HMI341" s="288" t="s">
        <v>598</v>
      </c>
      <c r="HMJ341" s="288" t="s">
        <v>598</v>
      </c>
      <c r="HMK341" s="288" t="s">
        <v>598</v>
      </c>
      <c r="HML341" s="288" t="s">
        <v>598</v>
      </c>
      <c r="HMM341" s="288" t="s">
        <v>598</v>
      </c>
      <c r="HMN341" s="288" t="s">
        <v>598</v>
      </c>
      <c r="HMO341" s="288" t="s">
        <v>598</v>
      </c>
      <c r="HMP341" s="288" t="s">
        <v>598</v>
      </c>
      <c r="HMQ341" s="288" t="s">
        <v>598</v>
      </c>
      <c r="HMR341" s="288" t="s">
        <v>598</v>
      </c>
      <c r="HMS341" s="288" t="s">
        <v>598</v>
      </c>
      <c r="HMT341" s="288" t="s">
        <v>598</v>
      </c>
      <c r="HMU341" s="288" t="s">
        <v>598</v>
      </c>
      <c r="HMV341" s="288" t="s">
        <v>598</v>
      </c>
      <c r="HMW341" s="288" t="s">
        <v>598</v>
      </c>
      <c r="HMX341" s="288" t="s">
        <v>598</v>
      </c>
      <c r="HMY341" s="288" t="s">
        <v>598</v>
      </c>
      <c r="HMZ341" s="288" t="s">
        <v>598</v>
      </c>
      <c r="HNA341" s="288" t="s">
        <v>598</v>
      </c>
      <c r="HNB341" s="288" t="s">
        <v>598</v>
      </c>
      <c r="HNC341" s="288" t="s">
        <v>598</v>
      </c>
      <c r="HND341" s="288" t="s">
        <v>598</v>
      </c>
      <c r="HNE341" s="288" t="s">
        <v>598</v>
      </c>
      <c r="HNF341" s="288" t="s">
        <v>598</v>
      </c>
      <c r="HNG341" s="288" t="s">
        <v>598</v>
      </c>
      <c r="HNH341" s="288" t="s">
        <v>598</v>
      </c>
      <c r="HNI341" s="288" t="s">
        <v>598</v>
      </c>
      <c r="HNJ341" s="288" t="s">
        <v>598</v>
      </c>
      <c r="HNK341" s="288" t="s">
        <v>598</v>
      </c>
      <c r="HNL341" s="288" t="s">
        <v>598</v>
      </c>
      <c r="HNM341" s="288" t="s">
        <v>598</v>
      </c>
      <c r="HNN341" s="288" t="s">
        <v>598</v>
      </c>
      <c r="HNO341" s="288" t="s">
        <v>598</v>
      </c>
      <c r="HNP341" s="288" t="s">
        <v>598</v>
      </c>
      <c r="HNQ341" s="288" t="s">
        <v>598</v>
      </c>
      <c r="HNR341" s="288" t="s">
        <v>598</v>
      </c>
      <c r="HNS341" s="288" t="s">
        <v>598</v>
      </c>
      <c r="HNT341" s="288" t="s">
        <v>598</v>
      </c>
      <c r="HNU341" s="288" t="s">
        <v>598</v>
      </c>
      <c r="HNV341" s="288" t="s">
        <v>598</v>
      </c>
      <c r="HNW341" s="288" t="s">
        <v>598</v>
      </c>
      <c r="HNX341" s="288" t="s">
        <v>598</v>
      </c>
      <c r="HNY341" s="288" t="s">
        <v>598</v>
      </c>
      <c r="HNZ341" s="288" t="s">
        <v>598</v>
      </c>
      <c r="HOA341" s="288" t="s">
        <v>598</v>
      </c>
      <c r="HOB341" s="288" t="s">
        <v>598</v>
      </c>
      <c r="HOC341" s="288" t="s">
        <v>598</v>
      </c>
      <c r="HOD341" s="288" t="s">
        <v>598</v>
      </c>
      <c r="HOE341" s="288" t="s">
        <v>598</v>
      </c>
      <c r="HOF341" s="288" t="s">
        <v>598</v>
      </c>
      <c r="HOG341" s="288" t="s">
        <v>598</v>
      </c>
      <c r="HOH341" s="288" t="s">
        <v>598</v>
      </c>
      <c r="HOI341" s="288" t="s">
        <v>598</v>
      </c>
      <c r="HOJ341" s="288" t="s">
        <v>598</v>
      </c>
      <c r="HOK341" s="288" t="s">
        <v>598</v>
      </c>
      <c r="HOL341" s="288" t="s">
        <v>598</v>
      </c>
      <c r="HOM341" s="288" t="s">
        <v>598</v>
      </c>
      <c r="HON341" s="288" t="s">
        <v>598</v>
      </c>
      <c r="HOO341" s="288" t="s">
        <v>598</v>
      </c>
      <c r="HOP341" s="288" t="s">
        <v>598</v>
      </c>
      <c r="HOQ341" s="288" t="s">
        <v>598</v>
      </c>
      <c r="HOR341" s="288" t="s">
        <v>598</v>
      </c>
      <c r="HOS341" s="288" t="s">
        <v>598</v>
      </c>
      <c r="HOT341" s="288" t="s">
        <v>598</v>
      </c>
      <c r="HOU341" s="288" t="s">
        <v>598</v>
      </c>
      <c r="HOV341" s="288" t="s">
        <v>598</v>
      </c>
      <c r="HOW341" s="288" t="s">
        <v>598</v>
      </c>
      <c r="HOX341" s="288" t="s">
        <v>598</v>
      </c>
      <c r="HOY341" s="288" t="s">
        <v>598</v>
      </c>
      <c r="HOZ341" s="288" t="s">
        <v>598</v>
      </c>
      <c r="HPA341" s="288" t="s">
        <v>598</v>
      </c>
      <c r="HPB341" s="288" t="s">
        <v>598</v>
      </c>
      <c r="HPC341" s="288" t="s">
        <v>598</v>
      </c>
      <c r="HPD341" s="288" t="s">
        <v>598</v>
      </c>
      <c r="HPE341" s="288" t="s">
        <v>598</v>
      </c>
      <c r="HPF341" s="288" t="s">
        <v>598</v>
      </c>
      <c r="HPG341" s="288" t="s">
        <v>598</v>
      </c>
      <c r="HPH341" s="288" t="s">
        <v>598</v>
      </c>
      <c r="HPI341" s="288" t="s">
        <v>598</v>
      </c>
      <c r="HPJ341" s="288" t="s">
        <v>598</v>
      </c>
      <c r="HPK341" s="288" t="s">
        <v>598</v>
      </c>
      <c r="HPL341" s="288" t="s">
        <v>598</v>
      </c>
      <c r="HPM341" s="288" t="s">
        <v>598</v>
      </c>
      <c r="HPN341" s="288" t="s">
        <v>598</v>
      </c>
      <c r="HPO341" s="288" t="s">
        <v>598</v>
      </c>
      <c r="HPP341" s="288" t="s">
        <v>598</v>
      </c>
      <c r="HPQ341" s="288" t="s">
        <v>598</v>
      </c>
      <c r="HPR341" s="288" t="s">
        <v>598</v>
      </c>
      <c r="HPS341" s="288" t="s">
        <v>598</v>
      </c>
      <c r="HPT341" s="288" t="s">
        <v>598</v>
      </c>
      <c r="HPU341" s="288" t="s">
        <v>598</v>
      </c>
      <c r="HPV341" s="288" t="s">
        <v>598</v>
      </c>
      <c r="HPW341" s="288" t="s">
        <v>598</v>
      </c>
      <c r="HPX341" s="288" t="s">
        <v>598</v>
      </c>
      <c r="HPY341" s="288" t="s">
        <v>598</v>
      </c>
      <c r="HPZ341" s="288" t="s">
        <v>598</v>
      </c>
      <c r="HQA341" s="288" t="s">
        <v>598</v>
      </c>
      <c r="HQB341" s="288" t="s">
        <v>598</v>
      </c>
      <c r="HQC341" s="288" t="s">
        <v>598</v>
      </c>
      <c r="HQD341" s="288" t="s">
        <v>598</v>
      </c>
      <c r="HQE341" s="288" t="s">
        <v>598</v>
      </c>
      <c r="HQF341" s="288" t="s">
        <v>598</v>
      </c>
      <c r="HQG341" s="288" t="s">
        <v>598</v>
      </c>
      <c r="HQH341" s="288" t="s">
        <v>598</v>
      </c>
      <c r="HQI341" s="288" t="s">
        <v>598</v>
      </c>
      <c r="HQJ341" s="288" t="s">
        <v>598</v>
      </c>
      <c r="HQK341" s="288" t="s">
        <v>598</v>
      </c>
      <c r="HQL341" s="288" t="s">
        <v>598</v>
      </c>
      <c r="HQM341" s="288" t="s">
        <v>598</v>
      </c>
      <c r="HQN341" s="288" t="s">
        <v>598</v>
      </c>
      <c r="HQO341" s="288" t="s">
        <v>598</v>
      </c>
      <c r="HQP341" s="288" t="s">
        <v>598</v>
      </c>
      <c r="HQQ341" s="288" t="s">
        <v>598</v>
      </c>
      <c r="HQR341" s="288" t="s">
        <v>598</v>
      </c>
      <c r="HQS341" s="288" t="s">
        <v>598</v>
      </c>
      <c r="HQT341" s="288" t="s">
        <v>598</v>
      </c>
      <c r="HQU341" s="288" t="s">
        <v>598</v>
      </c>
      <c r="HQV341" s="288" t="s">
        <v>598</v>
      </c>
      <c r="HQW341" s="288" t="s">
        <v>598</v>
      </c>
      <c r="HQX341" s="288" t="s">
        <v>598</v>
      </c>
      <c r="HQY341" s="288" t="s">
        <v>598</v>
      </c>
      <c r="HQZ341" s="288" t="s">
        <v>598</v>
      </c>
      <c r="HRA341" s="288" t="s">
        <v>598</v>
      </c>
      <c r="HRB341" s="288" t="s">
        <v>598</v>
      </c>
      <c r="HRC341" s="288" t="s">
        <v>598</v>
      </c>
      <c r="HRD341" s="288" t="s">
        <v>598</v>
      </c>
      <c r="HRE341" s="288" t="s">
        <v>598</v>
      </c>
      <c r="HRF341" s="288" t="s">
        <v>598</v>
      </c>
      <c r="HRG341" s="288" t="s">
        <v>598</v>
      </c>
      <c r="HRH341" s="288" t="s">
        <v>598</v>
      </c>
      <c r="HRI341" s="288" t="s">
        <v>598</v>
      </c>
      <c r="HRJ341" s="288" t="s">
        <v>598</v>
      </c>
      <c r="HRK341" s="288" t="s">
        <v>598</v>
      </c>
      <c r="HRL341" s="288" t="s">
        <v>598</v>
      </c>
      <c r="HRM341" s="288" t="s">
        <v>598</v>
      </c>
      <c r="HRN341" s="288" t="s">
        <v>598</v>
      </c>
      <c r="HRO341" s="288" t="s">
        <v>598</v>
      </c>
      <c r="HRP341" s="288" t="s">
        <v>598</v>
      </c>
      <c r="HRQ341" s="288" t="s">
        <v>598</v>
      </c>
      <c r="HRR341" s="288" t="s">
        <v>598</v>
      </c>
      <c r="HRS341" s="288" t="s">
        <v>598</v>
      </c>
      <c r="HRT341" s="288" t="s">
        <v>598</v>
      </c>
      <c r="HRU341" s="288" t="s">
        <v>598</v>
      </c>
      <c r="HRV341" s="288" t="s">
        <v>598</v>
      </c>
      <c r="HRW341" s="288" t="s">
        <v>598</v>
      </c>
      <c r="HRX341" s="288" t="s">
        <v>598</v>
      </c>
      <c r="HRY341" s="288" t="s">
        <v>598</v>
      </c>
      <c r="HRZ341" s="288" t="s">
        <v>598</v>
      </c>
      <c r="HSA341" s="288" t="s">
        <v>598</v>
      </c>
      <c r="HSB341" s="288" t="s">
        <v>598</v>
      </c>
      <c r="HSC341" s="288" t="s">
        <v>598</v>
      </c>
      <c r="HSD341" s="288" t="s">
        <v>598</v>
      </c>
      <c r="HSE341" s="288" t="s">
        <v>598</v>
      </c>
      <c r="HSF341" s="288" t="s">
        <v>598</v>
      </c>
      <c r="HSG341" s="288" t="s">
        <v>598</v>
      </c>
      <c r="HSH341" s="288" t="s">
        <v>598</v>
      </c>
      <c r="HSI341" s="288" t="s">
        <v>598</v>
      </c>
      <c r="HSJ341" s="288" t="s">
        <v>598</v>
      </c>
      <c r="HSK341" s="288" t="s">
        <v>598</v>
      </c>
      <c r="HSL341" s="288" t="s">
        <v>598</v>
      </c>
      <c r="HSM341" s="288" t="s">
        <v>598</v>
      </c>
      <c r="HSN341" s="288" t="s">
        <v>598</v>
      </c>
      <c r="HSO341" s="288" t="s">
        <v>598</v>
      </c>
      <c r="HSP341" s="288" t="s">
        <v>598</v>
      </c>
      <c r="HSQ341" s="288" t="s">
        <v>598</v>
      </c>
      <c r="HSR341" s="288" t="s">
        <v>598</v>
      </c>
      <c r="HSS341" s="288" t="s">
        <v>598</v>
      </c>
      <c r="HST341" s="288" t="s">
        <v>598</v>
      </c>
      <c r="HSU341" s="288" t="s">
        <v>598</v>
      </c>
      <c r="HSV341" s="288" t="s">
        <v>598</v>
      </c>
      <c r="HSW341" s="288" t="s">
        <v>598</v>
      </c>
      <c r="HSX341" s="288" t="s">
        <v>598</v>
      </c>
      <c r="HSY341" s="288" t="s">
        <v>598</v>
      </c>
      <c r="HSZ341" s="288" t="s">
        <v>598</v>
      </c>
      <c r="HTA341" s="288" t="s">
        <v>598</v>
      </c>
      <c r="HTB341" s="288" t="s">
        <v>598</v>
      </c>
      <c r="HTC341" s="288" t="s">
        <v>598</v>
      </c>
      <c r="HTD341" s="288" t="s">
        <v>598</v>
      </c>
      <c r="HTE341" s="288" t="s">
        <v>598</v>
      </c>
      <c r="HTF341" s="288" t="s">
        <v>598</v>
      </c>
      <c r="HTG341" s="288" t="s">
        <v>598</v>
      </c>
      <c r="HTH341" s="288" t="s">
        <v>598</v>
      </c>
      <c r="HTI341" s="288" t="s">
        <v>598</v>
      </c>
      <c r="HTJ341" s="288" t="s">
        <v>598</v>
      </c>
      <c r="HTK341" s="288" t="s">
        <v>598</v>
      </c>
      <c r="HTL341" s="288" t="s">
        <v>598</v>
      </c>
      <c r="HTM341" s="288" t="s">
        <v>598</v>
      </c>
      <c r="HTN341" s="288" t="s">
        <v>598</v>
      </c>
      <c r="HTO341" s="288" t="s">
        <v>598</v>
      </c>
      <c r="HTP341" s="288" t="s">
        <v>598</v>
      </c>
      <c r="HTQ341" s="288" t="s">
        <v>598</v>
      </c>
      <c r="HTR341" s="288" t="s">
        <v>598</v>
      </c>
      <c r="HTS341" s="288" t="s">
        <v>598</v>
      </c>
      <c r="HTT341" s="288" t="s">
        <v>598</v>
      </c>
      <c r="HTU341" s="288" t="s">
        <v>598</v>
      </c>
      <c r="HTV341" s="288" t="s">
        <v>598</v>
      </c>
      <c r="HTW341" s="288" t="s">
        <v>598</v>
      </c>
      <c r="HTX341" s="288" t="s">
        <v>598</v>
      </c>
      <c r="HTY341" s="288" t="s">
        <v>598</v>
      </c>
      <c r="HTZ341" s="288" t="s">
        <v>598</v>
      </c>
      <c r="HUA341" s="288" t="s">
        <v>598</v>
      </c>
      <c r="HUB341" s="288" t="s">
        <v>598</v>
      </c>
      <c r="HUC341" s="288" t="s">
        <v>598</v>
      </c>
      <c r="HUD341" s="288" t="s">
        <v>598</v>
      </c>
      <c r="HUE341" s="288" t="s">
        <v>598</v>
      </c>
      <c r="HUF341" s="288" t="s">
        <v>598</v>
      </c>
      <c r="HUG341" s="288" t="s">
        <v>598</v>
      </c>
      <c r="HUH341" s="288" t="s">
        <v>598</v>
      </c>
      <c r="HUI341" s="288" t="s">
        <v>598</v>
      </c>
      <c r="HUJ341" s="288" t="s">
        <v>598</v>
      </c>
      <c r="HUK341" s="288" t="s">
        <v>598</v>
      </c>
      <c r="HUL341" s="288" t="s">
        <v>598</v>
      </c>
      <c r="HUM341" s="288" t="s">
        <v>598</v>
      </c>
      <c r="HUN341" s="288" t="s">
        <v>598</v>
      </c>
      <c r="HUO341" s="288" t="s">
        <v>598</v>
      </c>
      <c r="HUP341" s="288" t="s">
        <v>598</v>
      </c>
      <c r="HUQ341" s="288" t="s">
        <v>598</v>
      </c>
      <c r="HUR341" s="288" t="s">
        <v>598</v>
      </c>
      <c r="HUS341" s="288" t="s">
        <v>598</v>
      </c>
      <c r="HUT341" s="288" t="s">
        <v>598</v>
      </c>
      <c r="HUU341" s="288" t="s">
        <v>598</v>
      </c>
      <c r="HUV341" s="288" t="s">
        <v>598</v>
      </c>
      <c r="HUW341" s="288" t="s">
        <v>598</v>
      </c>
      <c r="HUX341" s="288" t="s">
        <v>598</v>
      </c>
      <c r="HUY341" s="288" t="s">
        <v>598</v>
      </c>
      <c r="HUZ341" s="288" t="s">
        <v>598</v>
      </c>
      <c r="HVA341" s="288" t="s">
        <v>598</v>
      </c>
      <c r="HVB341" s="288" t="s">
        <v>598</v>
      </c>
      <c r="HVC341" s="288" t="s">
        <v>598</v>
      </c>
      <c r="HVD341" s="288" t="s">
        <v>598</v>
      </c>
      <c r="HVE341" s="288" t="s">
        <v>598</v>
      </c>
      <c r="HVF341" s="288" t="s">
        <v>598</v>
      </c>
      <c r="HVG341" s="288" t="s">
        <v>598</v>
      </c>
      <c r="HVH341" s="288" t="s">
        <v>598</v>
      </c>
      <c r="HVI341" s="288" t="s">
        <v>598</v>
      </c>
      <c r="HVJ341" s="288" t="s">
        <v>598</v>
      </c>
      <c r="HVK341" s="288" t="s">
        <v>598</v>
      </c>
      <c r="HVL341" s="288" t="s">
        <v>598</v>
      </c>
      <c r="HVM341" s="288" t="s">
        <v>598</v>
      </c>
      <c r="HVN341" s="288" t="s">
        <v>598</v>
      </c>
      <c r="HVO341" s="288" t="s">
        <v>598</v>
      </c>
      <c r="HVP341" s="288" t="s">
        <v>598</v>
      </c>
      <c r="HVQ341" s="288" t="s">
        <v>598</v>
      </c>
      <c r="HVR341" s="288" t="s">
        <v>598</v>
      </c>
      <c r="HVS341" s="288" t="s">
        <v>598</v>
      </c>
      <c r="HVT341" s="288" t="s">
        <v>598</v>
      </c>
      <c r="HVU341" s="288" t="s">
        <v>598</v>
      </c>
      <c r="HVV341" s="288" t="s">
        <v>598</v>
      </c>
      <c r="HVW341" s="288" t="s">
        <v>598</v>
      </c>
      <c r="HVX341" s="288" t="s">
        <v>598</v>
      </c>
      <c r="HVY341" s="288" t="s">
        <v>598</v>
      </c>
      <c r="HVZ341" s="288" t="s">
        <v>598</v>
      </c>
      <c r="HWA341" s="288" t="s">
        <v>598</v>
      </c>
      <c r="HWB341" s="288" t="s">
        <v>598</v>
      </c>
      <c r="HWC341" s="288" t="s">
        <v>598</v>
      </c>
      <c r="HWD341" s="288" t="s">
        <v>598</v>
      </c>
      <c r="HWE341" s="288" t="s">
        <v>598</v>
      </c>
      <c r="HWF341" s="288" t="s">
        <v>598</v>
      </c>
      <c r="HWG341" s="288" t="s">
        <v>598</v>
      </c>
      <c r="HWH341" s="288" t="s">
        <v>598</v>
      </c>
      <c r="HWI341" s="288" t="s">
        <v>598</v>
      </c>
      <c r="HWJ341" s="288" t="s">
        <v>598</v>
      </c>
      <c r="HWK341" s="288" t="s">
        <v>598</v>
      </c>
      <c r="HWL341" s="288" t="s">
        <v>598</v>
      </c>
      <c r="HWM341" s="288" t="s">
        <v>598</v>
      </c>
      <c r="HWN341" s="288" t="s">
        <v>598</v>
      </c>
      <c r="HWO341" s="288" t="s">
        <v>598</v>
      </c>
      <c r="HWP341" s="288" t="s">
        <v>598</v>
      </c>
      <c r="HWQ341" s="288" t="s">
        <v>598</v>
      </c>
      <c r="HWR341" s="288" t="s">
        <v>598</v>
      </c>
      <c r="HWS341" s="288" t="s">
        <v>598</v>
      </c>
      <c r="HWT341" s="288" t="s">
        <v>598</v>
      </c>
      <c r="HWU341" s="288" t="s">
        <v>598</v>
      </c>
      <c r="HWV341" s="288" t="s">
        <v>598</v>
      </c>
      <c r="HWW341" s="288" t="s">
        <v>598</v>
      </c>
      <c r="HWX341" s="288" t="s">
        <v>598</v>
      </c>
      <c r="HWY341" s="288" t="s">
        <v>598</v>
      </c>
      <c r="HWZ341" s="288" t="s">
        <v>598</v>
      </c>
      <c r="HXA341" s="288" t="s">
        <v>598</v>
      </c>
      <c r="HXB341" s="288" t="s">
        <v>598</v>
      </c>
      <c r="HXC341" s="288" t="s">
        <v>598</v>
      </c>
      <c r="HXD341" s="288" t="s">
        <v>598</v>
      </c>
      <c r="HXE341" s="288" t="s">
        <v>598</v>
      </c>
      <c r="HXF341" s="288" t="s">
        <v>598</v>
      </c>
      <c r="HXG341" s="288" t="s">
        <v>598</v>
      </c>
      <c r="HXH341" s="288" t="s">
        <v>598</v>
      </c>
      <c r="HXI341" s="288" t="s">
        <v>598</v>
      </c>
      <c r="HXJ341" s="288" t="s">
        <v>598</v>
      </c>
      <c r="HXK341" s="288" t="s">
        <v>598</v>
      </c>
      <c r="HXL341" s="288" t="s">
        <v>598</v>
      </c>
      <c r="HXM341" s="288" t="s">
        <v>598</v>
      </c>
      <c r="HXN341" s="288" t="s">
        <v>598</v>
      </c>
      <c r="HXO341" s="288" t="s">
        <v>598</v>
      </c>
      <c r="HXP341" s="288" t="s">
        <v>598</v>
      </c>
      <c r="HXQ341" s="288" t="s">
        <v>598</v>
      </c>
      <c r="HXR341" s="288" t="s">
        <v>598</v>
      </c>
      <c r="HXS341" s="288" t="s">
        <v>598</v>
      </c>
      <c r="HXT341" s="288" t="s">
        <v>598</v>
      </c>
      <c r="HXU341" s="288" t="s">
        <v>598</v>
      </c>
      <c r="HXV341" s="288" t="s">
        <v>598</v>
      </c>
      <c r="HXW341" s="288" t="s">
        <v>598</v>
      </c>
      <c r="HXX341" s="288" t="s">
        <v>598</v>
      </c>
      <c r="HXY341" s="288" t="s">
        <v>598</v>
      </c>
      <c r="HXZ341" s="288" t="s">
        <v>598</v>
      </c>
      <c r="HYA341" s="288" t="s">
        <v>598</v>
      </c>
      <c r="HYB341" s="288" t="s">
        <v>598</v>
      </c>
      <c r="HYC341" s="288" t="s">
        <v>598</v>
      </c>
      <c r="HYD341" s="288" t="s">
        <v>598</v>
      </c>
      <c r="HYE341" s="288" t="s">
        <v>598</v>
      </c>
      <c r="HYF341" s="288" t="s">
        <v>598</v>
      </c>
      <c r="HYG341" s="288" t="s">
        <v>598</v>
      </c>
      <c r="HYH341" s="288" t="s">
        <v>598</v>
      </c>
      <c r="HYI341" s="288" t="s">
        <v>598</v>
      </c>
      <c r="HYJ341" s="288" t="s">
        <v>598</v>
      </c>
      <c r="HYK341" s="288" t="s">
        <v>598</v>
      </c>
      <c r="HYL341" s="288" t="s">
        <v>598</v>
      </c>
      <c r="HYM341" s="288" t="s">
        <v>598</v>
      </c>
      <c r="HYN341" s="288" t="s">
        <v>598</v>
      </c>
      <c r="HYO341" s="288" t="s">
        <v>598</v>
      </c>
      <c r="HYP341" s="288" t="s">
        <v>598</v>
      </c>
      <c r="HYQ341" s="288" t="s">
        <v>598</v>
      </c>
      <c r="HYR341" s="288" t="s">
        <v>598</v>
      </c>
      <c r="HYS341" s="288" t="s">
        <v>598</v>
      </c>
      <c r="HYT341" s="288" t="s">
        <v>598</v>
      </c>
      <c r="HYU341" s="288" t="s">
        <v>598</v>
      </c>
      <c r="HYV341" s="288" t="s">
        <v>598</v>
      </c>
      <c r="HYW341" s="288" t="s">
        <v>598</v>
      </c>
      <c r="HYX341" s="288" t="s">
        <v>598</v>
      </c>
      <c r="HYY341" s="288" t="s">
        <v>598</v>
      </c>
      <c r="HYZ341" s="288" t="s">
        <v>598</v>
      </c>
      <c r="HZA341" s="288" t="s">
        <v>598</v>
      </c>
      <c r="HZB341" s="288" t="s">
        <v>598</v>
      </c>
      <c r="HZC341" s="288" t="s">
        <v>598</v>
      </c>
      <c r="HZD341" s="288" t="s">
        <v>598</v>
      </c>
      <c r="HZE341" s="288" t="s">
        <v>598</v>
      </c>
      <c r="HZF341" s="288" t="s">
        <v>598</v>
      </c>
      <c r="HZG341" s="288" t="s">
        <v>598</v>
      </c>
      <c r="HZH341" s="288" t="s">
        <v>598</v>
      </c>
      <c r="HZI341" s="288" t="s">
        <v>598</v>
      </c>
      <c r="HZJ341" s="288" t="s">
        <v>598</v>
      </c>
      <c r="HZK341" s="288" t="s">
        <v>598</v>
      </c>
      <c r="HZL341" s="288" t="s">
        <v>598</v>
      </c>
      <c r="HZM341" s="288" t="s">
        <v>598</v>
      </c>
      <c r="HZN341" s="288" t="s">
        <v>598</v>
      </c>
      <c r="HZO341" s="288" t="s">
        <v>598</v>
      </c>
      <c r="HZP341" s="288" t="s">
        <v>598</v>
      </c>
      <c r="HZQ341" s="288" t="s">
        <v>598</v>
      </c>
      <c r="HZR341" s="288" t="s">
        <v>598</v>
      </c>
      <c r="HZS341" s="288" t="s">
        <v>598</v>
      </c>
      <c r="HZT341" s="288" t="s">
        <v>598</v>
      </c>
      <c r="HZU341" s="288" t="s">
        <v>598</v>
      </c>
      <c r="HZV341" s="288" t="s">
        <v>598</v>
      </c>
      <c r="HZW341" s="288" t="s">
        <v>598</v>
      </c>
      <c r="HZX341" s="288" t="s">
        <v>598</v>
      </c>
      <c r="HZY341" s="288" t="s">
        <v>598</v>
      </c>
      <c r="HZZ341" s="288" t="s">
        <v>598</v>
      </c>
      <c r="IAA341" s="288" t="s">
        <v>598</v>
      </c>
      <c r="IAB341" s="288" t="s">
        <v>598</v>
      </c>
      <c r="IAC341" s="288" t="s">
        <v>598</v>
      </c>
      <c r="IAD341" s="288" t="s">
        <v>598</v>
      </c>
      <c r="IAE341" s="288" t="s">
        <v>598</v>
      </c>
      <c r="IAF341" s="288" t="s">
        <v>598</v>
      </c>
      <c r="IAG341" s="288" t="s">
        <v>598</v>
      </c>
      <c r="IAH341" s="288" t="s">
        <v>598</v>
      </c>
      <c r="IAI341" s="288" t="s">
        <v>598</v>
      </c>
      <c r="IAJ341" s="288" t="s">
        <v>598</v>
      </c>
      <c r="IAK341" s="288" t="s">
        <v>598</v>
      </c>
      <c r="IAL341" s="288" t="s">
        <v>598</v>
      </c>
      <c r="IAM341" s="288" t="s">
        <v>598</v>
      </c>
      <c r="IAN341" s="288" t="s">
        <v>598</v>
      </c>
      <c r="IAO341" s="288" t="s">
        <v>598</v>
      </c>
      <c r="IAP341" s="288" t="s">
        <v>598</v>
      </c>
      <c r="IAQ341" s="288" t="s">
        <v>598</v>
      </c>
      <c r="IAR341" s="288" t="s">
        <v>598</v>
      </c>
      <c r="IAS341" s="288" t="s">
        <v>598</v>
      </c>
      <c r="IAT341" s="288" t="s">
        <v>598</v>
      </c>
      <c r="IAU341" s="288" t="s">
        <v>598</v>
      </c>
      <c r="IAV341" s="288" t="s">
        <v>598</v>
      </c>
      <c r="IAW341" s="288" t="s">
        <v>598</v>
      </c>
      <c r="IAX341" s="288" t="s">
        <v>598</v>
      </c>
      <c r="IAY341" s="288" t="s">
        <v>598</v>
      </c>
      <c r="IAZ341" s="288" t="s">
        <v>598</v>
      </c>
      <c r="IBA341" s="288" t="s">
        <v>598</v>
      </c>
      <c r="IBB341" s="288" t="s">
        <v>598</v>
      </c>
      <c r="IBC341" s="288" t="s">
        <v>598</v>
      </c>
      <c r="IBD341" s="288" t="s">
        <v>598</v>
      </c>
      <c r="IBE341" s="288" t="s">
        <v>598</v>
      </c>
      <c r="IBF341" s="288" t="s">
        <v>598</v>
      </c>
      <c r="IBG341" s="288" t="s">
        <v>598</v>
      </c>
      <c r="IBH341" s="288" t="s">
        <v>598</v>
      </c>
      <c r="IBI341" s="288" t="s">
        <v>598</v>
      </c>
      <c r="IBJ341" s="288" t="s">
        <v>598</v>
      </c>
      <c r="IBK341" s="288" t="s">
        <v>598</v>
      </c>
      <c r="IBL341" s="288" t="s">
        <v>598</v>
      </c>
      <c r="IBM341" s="288" t="s">
        <v>598</v>
      </c>
      <c r="IBN341" s="288" t="s">
        <v>598</v>
      </c>
      <c r="IBO341" s="288" t="s">
        <v>598</v>
      </c>
      <c r="IBP341" s="288" t="s">
        <v>598</v>
      </c>
      <c r="IBQ341" s="288" t="s">
        <v>598</v>
      </c>
      <c r="IBR341" s="288" t="s">
        <v>598</v>
      </c>
      <c r="IBS341" s="288" t="s">
        <v>598</v>
      </c>
      <c r="IBT341" s="288" t="s">
        <v>598</v>
      </c>
      <c r="IBU341" s="288" t="s">
        <v>598</v>
      </c>
      <c r="IBV341" s="288" t="s">
        <v>598</v>
      </c>
      <c r="IBW341" s="288" t="s">
        <v>598</v>
      </c>
      <c r="IBX341" s="288" t="s">
        <v>598</v>
      </c>
      <c r="IBY341" s="288" t="s">
        <v>598</v>
      </c>
      <c r="IBZ341" s="288" t="s">
        <v>598</v>
      </c>
      <c r="ICA341" s="288" t="s">
        <v>598</v>
      </c>
      <c r="ICB341" s="288" t="s">
        <v>598</v>
      </c>
      <c r="ICC341" s="288" t="s">
        <v>598</v>
      </c>
      <c r="ICD341" s="288" t="s">
        <v>598</v>
      </c>
      <c r="ICE341" s="288" t="s">
        <v>598</v>
      </c>
      <c r="ICF341" s="288" t="s">
        <v>598</v>
      </c>
      <c r="ICG341" s="288" t="s">
        <v>598</v>
      </c>
      <c r="ICH341" s="288" t="s">
        <v>598</v>
      </c>
      <c r="ICI341" s="288" t="s">
        <v>598</v>
      </c>
      <c r="ICJ341" s="288" t="s">
        <v>598</v>
      </c>
      <c r="ICK341" s="288" t="s">
        <v>598</v>
      </c>
      <c r="ICL341" s="288" t="s">
        <v>598</v>
      </c>
      <c r="ICM341" s="288" t="s">
        <v>598</v>
      </c>
      <c r="ICN341" s="288" t="s">
        <v>598</v>
      </c>
      <c r="ICO341" s="288" t="s">
        <v>598</v>
      </c>
      <c r="ICP341" s="288" t="s">
        <v>598</v>
      </c>
      <c r="ICQ341" s="288" t="s">
        <v>598</v>
      </c>
      <c r="ICR341" s="288" t="s">
        <v>598</v>
      </c>
      <c r="ICS341" s="288" t="s">
        <v>598</v>
      </c>
      <c r="ICT341" s="288" t="s">
        <v>598</v>
      </c>
      <c r="ICU341" s="288" t="s">
        <v>598</v>
      </c>
      <c r="ICV341" s="288" t="s">
        <v>598</v>
      </c>
      <c r="ICW341" s="288" t="s">
        <v>598</v>
      </c>
      <c r="ICX341" s="288" t="s">
        <v>598</v>
      </c>
      <c r="ICY341" s="288" t="s">
        <v>598</v>
      </c>
      <c r="ICZ341" s="288" t="s">
        <v>598</v>
      </c>
      <c r="IDA341" s="288" t="s">
        <v>598</v>
      </c>
      <c r="IDB341" s="288" t="s">
        <v>598</v>
      </c>
      <c r="IDC341" s="288" t="s">
        <v>598</v>
      </c>
      <c r="IDD341" s="288" t="s">
        <v>598</v>
      </c>
      <c r="IDE341" s="288" t="s">
        <v>598</v>
      </c>
      <c r="IDF341" s="288" t="s">
        <v>598</v>
      </c>
      <c r="IDG341" s="288" t="s">
        <v>598</v>
      </c>
      <c r="IDH341" s="288" t="s">
        <v>598</v>
      </c>
      <c r="IDI341" s="288" t="s">
        <v>598</v>
      </c>
      <c r="IDJ341" s="288" t="s">
        <v>598</v>
      </c>
      <c r="IDK341" s="288" t="s">
        <v>598</v>
      </c>
      <c r="IDL341" s="288" t="s">
        <v>598</v>
      </c>
      <c r="IDM341" s="288" t="s">
        <v>598</v>
      </c>
      <c r="IDN341" s="288" t="s">
        <v>598</v>
      </c>
      <c r="IDO341" s="288" t="s">
        <v>598</v>
      </c>
      <c r="IDP341" s="288" t="s">
        <v>598</v>
      </c>
      <c r="IDQ341" s="288" t="s">
        <v>598</v>
      </c>
      <c r="IDR341" s="288" t="s">
        <v>598</v>
      </c>
      <c r="IDS341" s="288" t="s">
        <v>598</v>
      </c>
      <c r="IDT341" s="288" t="s">
        <v>598</v>
      </c>
      <c r="IDU341" s="288" t="s">
        <v>598</v>
      </c>
      <c r="IDV341" s="288" t="s">
        <v>598</v>
      </c>
      <c r="IDW341" s="288" t="s">
        <v>598</v>
      </c>
      <c r="IDX341" s="288" t="s">
        <v>598</v>
      </c>
      <c r="IDY341" s="288" t="s">
        <v>598</v>
      </c>
      <c r="IDZ341" s="288" t="s">
        <v>598</v>
      </c>
      <c r="IEA341" s="288" t="s">
        <v>598</v>
      </c>
      <c r="IEB341" s="288" t="s">
        <v>598</v>
      </c>
      <c r="IEC341" s="288" t="s">
        <v>598</v>
      </c>
      <c r="IED341" s="288" t="s">
        <v>598</v>
      </c>
      <c r="IEE341" s="288" t="s">
        <v>598</v>
      </c>
      <c r="IEF341" s="288" t="s">
        <v>598</v>
      </c>
      <c r="IEG341" s="288" t="s">
        <v>598</v>
      </c>
      <c r="IEH341" s="288" t="s">
        <v>598</v>
      </c>
      <c r="IEI341" s="288" t="s">
        <v>598</v>
      </c>
      <c r="IEJ341" s="288" t="s">
        <v>598</v>
      </c>
      <c r="IEK341" s="288" t="s">
        <v>598</v>
      </c>
      <c r="IEL341" s="288" t="s">
        <v>598</v>
      </c>
      <c r="IEM341" s="288" t="s">
        <v>598</v>
      </c>
      <c r="IEN341" s="288" t="s">
        <v>598</v>
      </c>
      <c r="IEO341" s="288" t="s">
        <v>598</v>
      </c>
      <c r="IEP341" s="288" t="s">
        <v>598</v>
      </c>
      <c r="IEQ341" s="288" t="s">
        <v>598</v>
      </c>
      <c r="IER341" s="288" t="s">
        <v>598</v>
      </c>
      <c r="IES341" s="288" t="s">
        <v>598</v>
      </c>
      <c r="IET341" s="288" t="s">
        <v>598</v>
      </c>
      <c r="IEU341" s="288" t="s">
        <v>598</v>
      </c>
      <c r="IEV341" s="288" t="s">
        <v>598</v>
      </c>
      <c r="IEW341" s="288" t="s">
        <v>598</v>
      </c>
      <c r="IEX341" s="288" t="s">
        <v>598</v>
      </c>
      <c r="IEY341" s="288" t="s">
        <v>598</v>
      </c>
      <c r="IEZ341" s="288" t="s">
        <v>598</v>
      </c>
      <c r="IFA341" s="288" t="s">
        <v>598</v>
      </c>
      <c r="IFB341" s="288" t="s">
        <v>598</v>
      </c>
      <c r="IFC341" s="288" t="s">
        <v>598</v>
      </c>
      <c r="IFD341" s="288" t="s">
        <v>598</v>
      </c>
      <c r="IFE341" s="288" t="s">
        <v>598</v>
      </c>
      <c r="IFF341" s="288" t="s">
        <v>598</v>
      </c>
      <c r="IFG341" s="288" t="s">
        <v>598</v>
      </c>
      <c r="IFH341" s="288" t="s">
        <v>598</v>
      </c>
      <c r="IFI341" s="288" t="s">
        <v>598</v>
      </c>
      <c r="IFJ341" s="288" t="s">
        <v>598</v>
      </c>
      <c r="IFK341" s="288" t="s">
        <v>598</v>
      </c>
      <c r="IFL341" s="288" t="s">
        <v>598</v>
      </c>
      <c r="IFM341" s="288" t="s">
        <v>598</v>
      </c>
      <c r="IFN341" s="288" t="s">
        <v>598</v>
      </c>
      <c r="IFO341" s="288" t="s">
        <v>598</v>
      </c>
      <c r="IFP341" s="288" t="s">
        <v>598</v>
      </c>
      <c r="IFQ341" s="288" t="s">
        <v>598</v>
      </c>
      <c r="IFR341" s="288" t="s">
        <v>598</v>
      </c>
      <c r="IFS341" s="288" t="s">
        <v>598</v>
      </c>
      <c r="IFT341" s="288" t="s">
        <v>598</v>
      </c>
      <c r="IFU341" s="288" t="s">
        <v>598</v>
      </c>
      <c r="IFV341" s="288" t="s">
        <v>598</v>
      </c>
      <c r="IFW341" s="288" t="s">
        <v>598</v>
      </c>
      <c r="IFX341" s="288" t="s">
        <v>598</v>
      </c>
      <c r="IFY341" s="288" t="s">
        <v>598</v>
      </c>
      <c r="IFZ341" s="288" t="s">
        <v>598</v>
      </c>
      <c r="IGA341" s="288" t="s">
        <v>598</v>
      </c>
      <c r="IGB341" s="288" t="s">
        <v>598</v>
      </c>
      <c r="IGC341" s="288" t="s">
        <v>598</v>
      </c>
      <c r="IGD341" s="288" t="s">
        <v>598</v>
      </c>
      <c r="IGE341" s="288" t="s">
        <v>598</v>
      </c>
      <c r="IGF341" s="288" t="s">
        <v>598</v>
      </c>
      <c r="IGG341" s="288" t="s">
        <v>598</v>
      </c>
      <c r="IGH341" s="288" t="s">
        <v>598</v>
      </c>
      <c r="IGI341" s="288" t="s">
        <v>598</v>
      </c>
      <c r="IGJ341" s="288" t="s">
        <v>598</v>
      </c>
      <c r="IGK341" s="288" t="s">
        <v>598</v>
      </c>
      <c r="IGL341" s="288" t="s">
        <v>598</v>
      </c>
      <c r="IGM341" s="288" t="s">
        <v>598</v>
      </c>
      <c r="IGN341" s="288" t="s">
        <v>598</v>
      </c>
      <c r="IGO341" s="288" t="s">
        <v>598</v>
      </c>
      <c r="IGP341" s="288" t="s">
        <v>598</v>
      </c>
      <c r="IGQ341" s="288" t="s">
        <v>598</v>
      </c>
      <c r="IGR341" s="288" t="s">
        <v>598</v>
      </c>
      <c r="IGS341" s="288" t="s">
        <v>598</v>
      </c>
      <c r="IGT341" s="288" t="s">
        <v>598</v>
      </c>
      <c r="IGU341" s="288" t="s">
        <v>598</v>
      </c>
      <c r="IGV341" s="288" t="s">
        <v>598</v>
      </c>
      <c r="IGW341" s="288" t="s">
        <v>598</v>
      </c>
      <c r="IGX341" s="288" t="s">
        <v>598</v>
      </c>
      <c r="IGY341" s="288" t="s">
        <v>598</v>
      </c>
      <c r="IGZ341" s="288" t="s">
        <v>598</v>
      </c>
      <c r="IHA341" s="288" t="s">
        <v>598</v>
      </c>
      <c r="IHB341" s="288" t="s">
        <v>598</v>
      </c>
      <c r="IHC341" s="288" t="s">
        <v>598</v>
      </c>
      <c r="IHD341" s="288" t="s">
        <v>598</v>
      </c>
      <c r="IHE341" s="288" t="s">
        <v>598</v>
      </c>
      <c r="IHF341" s="288" t="s">
        <v>598</v>
      </c>
      <c r="IHG341" s="288" t="s">
        <v>598</v>
      </c>
      <c r="IHH341" s="288" t="s">
        <v>598</v>
      </c>
      <c r="IHI341" s="288" t="s">
        <v>598</v>
      </c>
      <c r="IHJ341" s="288" t="s">
        <v>598</v>
      </c>
      <c r="IHK341" s="288" t="s">
        <v>598</v>
      </c>
      <c r="IHL341" s="288" t="s">
        <v>598</v>
      </c>
      <c r="IHM341" s="288" t="s">
        <v>598</v>
      </c>
      <c r="IHN341" s="288" t="s">
        <v>598</v>
      </c>
      <c r="IHO341" s="288" t="s">
        <v>598</v>
      </c>
      <c r="IHP341" s="288" t="s">
        <v>598</v>
      </c>
      <c r="IHQ341" s="288" t="s">
        <v>598</v>
      </c>
      <c r="IHR341" s="288" t="s">
        <v>598</v>
      </c>
      <c r="IHS341" s="288" t="s">
        <v>598</v>
      </c>
      <c r="IHT341" s="288" t="s">
        <v>598</v>
      </c>
      <c r="IHU341" s="288" t="s">
        <v>598</v>
      </c>
      <c r="IHV341" s="288" t="s">
        <v>598</v>
      </c>
      <c r="IHW341" s="288" t="s">
        <v>598</v>
      </c>
      <c r="IHX341" s="288" t="s">
        <v>598</v>
      </c>
      <c r="IHY341" s="288" t="s">
        <v>598</v>
      </c>
      <c r="IHZ341" s="288" t="s">
        <v>598</v>
      </c>
      <c r="IIA341" s="288" t="s">
        <v>598</v>
      </c>
      <c r="IIB341" s="288" t="s">
        <v>598</v>
      </c>
      <c r="IIC341" s="288" t="s">
        <v>598</v>
      </c>
      <c r="IID341" s="288" t="s">
        <v>598</v>
      </c>
      <c r="IIE341" s="288" t="s">
        <v>598</v>
      </c>
      <c r="IIF341" s="288" t="s">
        <v>598</v>
      </c>
      <c r="IIG341" s="288" t="s">
        <v>598</v>
      </c>
      <c r="IIH341" s="288" t="s">
        <v>598</v>
      </c>
      <c r="III341" s="288" t="s">
        <v>598</v>
      </c>
      <c r="IIJ341" s="288" t="s">
        <v>598</v>
      </c>
      <c r="IIK341" s="288" t="s">
        <v>598</v>
      </c>
      <c r="IIL341" s="288" t="s">
        <v>598</v>
      </c>
      <c r="IIM341" s="288" t="s">
        <v>598</v>
      </c>
      <c r="IIN341" s="288" t="s">
        <v>598</v>
      </c>
      <c r="IIO341" s="288" t="s">
        <v>598</v>
      </c>
      <c r="IIP341" s="288" t="s">
        <v>598</v>
      </c>
      <c r="IIQ341" s="288" t="s">
        <v>598</v>
      </c>
      <c r="IIR341" s="288" t="s">
        <v>598</v>
      </c>
      <c r="IIS341" s="288" t="s">
        <v>598</v>
      </c>
      <c r="IIT341" s="288" t="s">
        <v>598</v>
      </c>
      <c r="IIU341" s="288" t="s">
        <v>598</v>
      </c>
      <c r="IIV341" s="288" t="s">
        <v>598</v>
      </c>
      <c r="IIW341" s="288" t="s">
        <v>598</v>
      </c>
      <c r="IIX341" s="288" t="s">
        <v>598</v>
      </c>
      <c r="IIY341" s="288" t="s">
        <v>598</v>
      </c>
      <c r="IIZ341" s="288" t="s">
        <v>598</v>
      </c>
      <c r="IJA341" s="288" t="s">
        <v>598</v>
      </c>
      <c r="IJB341" s="288" t="s">
        <v>598</v>
      </c>
      <c r="IJC341" s="288" t="s">
        <v>598</v>
      </c>
      <c r="IJD341" s="288" t="s">
        <v>598</v>
      </c>
      <c r="IJE341" s="288" t="s">
        <v>598</v>
      </c>
      <c r="IJF341" s="288" t="s">
        <v>598</v>
      </c>
      <c r="IJG341" s="288" t="s">
        <v>598</v>
      </c>
      <c r="IJH341" s="288" t="s">
        <v>598</v>
      </c>
      <c r="IJI341" s="288" t="s">
        <v>598</v>
      </c>
      <c r="IJJ341" s="288" t="s">
        <v>598</v>
      </c>
      <c r="IJK341" s="288" t="s">
        <v>598</v>
      </c>
      <c r="IJL341" s="288" t="s">
        <v>598</v>
      </c>
      <c r="IJM341" s="288" t="s">
        <v>598</v>
      </c>
      <c r="IJN341" s="288" t="s">
        <v>598</v>
      </c>
      <c r="IJO341" s="288" t="s">
        <v>598</v>
      </c>
      <c r="IJP341" s="288" t="s">
        <v>598</v>
      </c>
      <c r="IJQ341" s="288" t="s">
        <v>598</v>
      </c>
      <c r="IJR341" s="288" t="s">
        <v>598</v>
      </c>
      <c r="IJS341" s="288" t="s">
        <v>598</v>
      </c>
      <c r="IJT341" s="288" t="s">
        <v>598</v>
      </c>
      <c r="IJU341" s="288" t="s">
        <v>598</v>
      </c>
      <c r="IJV341" s="288" t="s">
        <v>598</v>
      </c>
      <c r="IJW341" s="288" t="s">
        <v>598</v>
      </c>
      <c r="IJX341" s="288" t="s">
        <v>598</v>
      </c>
      <c r="IJY341" s="288" t="s">
        <v>598</v>
      </c>
      <c r="IJZ341" s="288" t="s">
        <v>598</v>
      </c>
      <c r="IKA341" s="288" t="s">
        <v>598</v>
      </c>
      <c r="IKB341" s="288" t="s">
        <v>598</v>
      </c>
      <c r="IKC341" s="288" t="s">
        <v>598</v>
      </c>
      <c r="IKD341" s="288" t="s">
        <v>598</v>
      </c>
      <c r="IKE341" s="288" t="s">
        <v>598</v>
      </c>
      <c r="IKF341" s="288" t="s">
        <v>598</v>
      </c>
      <c r="IKG341" s="288" t="s">
        <v>598</v>
      </c>
      <c r="IKH341" s="288" t="s">
        <v>598</v>
      </c>
      <c r="IKI341" s="288" t="s">
        <v>598</v>
      </c>
      <c r="IKJ341" s="288" t="s">
        <v>598</v>
      </c>
      <c r="IKK341" s="288" t="s">
        <v>598</v>
      </c>
      <c r="IKL341" s="288" t="s">
        <v>598</v>
      </c>
      <c r="IKM341" s="288" t="s">
        <v>598</v>
      </c>
      <c r="IKN341" s="288" t="s">
        <v>598</v>
      </c>
      <c r="IKO341" s="288" t="s">
        <v>598</v>
      </c>
      <c r="IKP341" s="288" t="s">
        <v>598</v>
      </c>
      <c r="IKQ341" s="288" t="s">
        <v>598</v>
      </c>
      <c r="IKR341" s="288" t="s">
        <v>598</v>
      </c>
      <c r="IKS341" s="288" t="s">
        <v>598</v>
      </c>
      <c r="IKT341" s="288" t="s">
        <v>598</v>
      </c>
      <c r="IKU341" s="288" t="s">
        <v>598</v>
      </c>
      <c r="IKV341" s="288" t="s">
        <v>598</v>
      </c>
      <c r="IKW341" s="288" t="s">
        <v>598</v>
      </c>
      <c r="IKX341" s="288" t="s">
        <v>598</v>
      </c>
      <c r="IKY341" s="288" t="s">
        <v>598</v>
      </c>
      <c r="IKZ341" s="288" t="s">
        <v>598</v>
      </c>
      <c r="ILA341" s="288" t="s">
        <v>598</v>
      </c>
      <c r="ILB341" s="288" t="s">
        <v>598</v>
      </c>
      <c r="ILC341" s="288" t="s">
        <v>598</v>
      </c>
      <c r="ILD341" s="288" t="s">
        <v>598</v>
      </c>
      <c r="ILE341" s="288" t="s">
        <v>598</v>
      </c>
      <c r="ILF341" s="288" t="s">
        <v>598</v>
      </c>
      <c r="ILG341" s="288" t="s">
        <v>598</v>
      </c>
      <c r="ILH341" s="288" t="s">
        <v>598</v>
      </c>
      <c r="ILI341" s="288" t="s">
        <v>598</v>
      </c>
      <c r="ILJ341" s="288" t="s">
        <v>598</v>
      </c>
      <c r="ILK341" s="288" t="s">
        <v>598</v>
      </c>
      <c r="ILL341" s="288" t="s">
        <v>598</v>
      </c>
      <c r="ILM341" s="288" t="s">
        <v>598</v>
      </c>
      <c r="ILN341" s="288" t="s">
        <v>598</v>
      </c>
      <c r="ILO341" s="288" t="s">
        <v>598</v>
      </c>
      <c r="ILP341" s="288" t="s">
        <v>598</v>
      </c>
      <c r="ILQ341" s="288" t="s">
        <v>598</v>
      </c>
      <c r="ILR341" s="288" t="s">
        <v>598</v>
      </c>
      <c r="ILS341" s="288" t="s">
        <v>598</v>
      </c>
      <c r="ILT341" s="288" t="s">
        <v>598</v>
      </c>
      <c r="ILU341" s="288" t="s">
        <v>598</v>
      </c>
      <c r="ILV341" s="288" t="s">
        <v>598</v>
      </c>
      <c r="ILW341" s="288" t="s">
        <v>598</v>
      </c>
      <c r="ILX341" s="288" t="s">
        <v>598</v>
      </c>
      <c r="ILY341" s="288" t="s">
        <v>598</v>
      </c>
      <c r="ILZ341" s="288" t="s">
        <v>598</v>
      </c>
      <c r="IMA341" s="288" t="s">
        <v>598</v>
      </c>
      <c r="IMB341" s="288" t="s">
        <v>598</v>
      </c>
      <c r="IMC341" s="288" t="s">
        <v>598</v>
      </c>
      <c r="IMD341" s="288" t="s">
        <v>598</v>
      </c>
      <c r="IME341" s="288" t="s">
        <v>598</v>
      </c>
      <c r="IMF341" s="288" t="s">
        <v>598</v>
      </c>
      <c r="IMG341" s="288" t="s">
        <v>598</v>
      </c>
      <c r="IMH341" s="288" t="s">
        <v>598</v>
      </c>
      <c r="IMI341" s="288" t="s">
        <v>598</v>
      </c>
      <c r="IMJ341" s="288" t="s">
        <v>598</v>
      </c>
      <c r="IMK341" s="288" t="s">
        <v>598</v>
      </c>
      <c r="IML341" s="288" t="s">
        <v>598</v>
      </c>
      <c r="IMM341" s="288" t="s">
        <v>598</v>
      </c>
      <c r="IMN341" s="288" t="s">
        <v>598</v>
      </c>
      <c r="IMO341" s="288" t="s">
        <v>598</v>
      </c>
      <c r="IMP341" s="288" t="s">
        <v>598</v>
      </c>
      <c r="IMQ341" s="288" t="s">
        <v>598</v>
      </c>
      <c r="IMR341" s="288" t="s">
        <v>598</v>
      </c>
      <c r="IMS341" s="288" t="s">
        <v>598</v>
      </c>
      <c r="IMT341" s="288" t="s">
        <v>598</v>
      </c>
      <c r="IMU341" s="288" t="s">
        <v>598</v>
      </c>
      <c r="IMV341" s="288" t="s">
        <v>598</v>
      </c>
      <c r="IMW341" s="288" t="s">
        <v>598</v>
      </c>
      <c r="IMX341" s="288" t="s">
        <v>598</v>
      </c>
      <c r="IMY341" s="288" t="s">
        <v>598</v>
      </c>
      <c r="IMZ341" s="288" t="s">
        <v>598</v>
      </c>
      <c r="INA341" s="288" t="s">
        <v>598</v>
      </c>
      <c r="INB341" s="288" t="s">
        <v>598</v>
      </c>
      <c r="INC341" s="288" t="s">
        <v>598</v>
      </c>
      <c r="IND341" s="288" t="s">
        <v>598</v>
      </c>
      <c r="INE341" s="288" t="s">
        <v>598</v>
      </c>
      <c r="INF341" s="288" t="s">
        <v>598</v>
      </c>
      <c r="ING341" s="288" t="s">
        <v>598</v>
      </c>
      <c r="INH341" s="288" t="s">
        <v>598</v>
      </c>
      <c r="INI341" s="288" t="s">
        <v>598</v>
      </c>
      <c r="INJ341" s="288" t="s">
        <v>598</v>
      </c>
      <c r="INK341" s="288" t="s">
        <v>598</v>
      </c>
      <c r="INL341" s="288" t="s">
        <v>598</v>
      </c>
      <c r="INM341" s="288" t="s">
        <v>598</v>
      </c>
      <c r="INN341" s="288" t="s">
        <v>598</v>
      </c>
      <c r="INO341" s="288" t="s">
        <v>598</v>
      </c>
      <c r="INP341" s="288" t="s">
        <v>598</v>
      </c>
      <c r="INQ341" s="288" t="s">
        <v>598</v>
      </c>
      <c r="INR341" s="288" t="s">
        <v>598</v>
      </c>
      <c r="INS341" s="288" t="s">
        <v>598</v>
      </c>
      <c r="INT341" s="288" t="s">
        <v>598</v>
      </c>
      <c r="INU341" s="288" t="s">
        <v>598</v>
      </c>
      <c r="INV341" s="288" t="s">
        <v>598</v>
      </c>
      <c r="INW341" s="288" t="s">
        <v>598</v>
      </c>
      <c r="INX341" s="288" t="s">
        <v>598</v>
      </c>
      <c r="INY341" s="288" t="s">
        <v>598</v>
      </c>
      <c r="INZ341" s="288" t="s">
        <v>598</v>
      </c>
      <c r="IOA341" s="288" t="s">
        <v>598</v>
      </c>
      <c r="IOB341" s="288" t="s">
        <v>598</v>
      </c>
      <c r="IOC341" s="288" t="s">
        <v>598</v>
      </c>
      <c r="IOD341" s="288" t="s">
        <v>598</v>
      </c>
      <c r="IOE341" s="288" t="s">
        <v>598</v>
      </c>
      <c r="IOF341" s="288" t="s">
        <v>598</v>
      </c>
      <c r="IOG341" s="288" t="s">
        <v>598</v>
      </c>
      <c r="IOH341" s="288" t="s">
        <v>598</v>
      </c>
      <c r="IOI341" s="288" t="s">
        <v>598</v>
      </c>
      <c r="IOJ341" s="288" t="s">
        <v>598</v>
      </c>
      <c r="IOK341" s="288" t="s">
        <v>598</v>
      </c>
      <c r="IOL341" s="288" t="s">
        <v>598</v>
      </c>
      <c r="IOM341" s="288" t="s">
        <v>598</v>
      </c>
      <c r="ION341" s="288" t="s">
        <v>598</v>
      </c>
      <c r="IOO341" s="288" t="s">
        <v>598</v>
      </c>
      <c r="IOP341" s="288" t="s">
        <v>598</v>
      </c>
      <c r="IOQ341" s="288" t="s">
        <v>598</v>
      </c>
      <c r="IOR341" s="288" t="s">
        <v>598</v>
      </c>
      <c r="IOS341" s="288" t="s">
        <v>598</v>
      </c>
      <c r="IOT341" s="288" t="s">
        <v>598</v>
      </c>
      <c r="IOU341" s="288" t="s">
        <v>598</v>
      </c>
      <c r="IOV341" s="288" t="s">
        <v>598</v>
      </c>
      <c r="IOW341" s="288" t="s">
        <v>598</v>
      </c>
      <c r="IOX341" s="288" t="s">
        <v>598</v>
      </c>
      <c r="IOY341" s="288" t="s">
        <v>598</v>
      </c>
      <c r="IOZ341" s="288" t="s">
        <v>598</v>
      </c>
      <c r="IPA341" s="288" t="s">
        <v>598</v>
      </c>
      <c r="IPB341" s="288" t="s">
        <v>598</v>
      </c>
      <c r="IPC341" s="288" t="s">
        <v>598</v>
      </c>
      <c r="IPD341" s="288" t="s">
        <v>598</v>
      </c>
      <c r="IPE341" s="288" t="s">
        <v>598</v>
      </c>
      <c r="IPF341" s="288" t="s">
        <v>598</v>
      </c>
      <c r="IPG341" s="288" t="s">
        <v>598</v>
      </c>
      <c r="IPH341" s="288" t="s">
        <v>598</v>
      </c>
      <c r="IPI341" s="288" t="s">
        <v>598</v>
      </c>
      <c r="IPJ341" s="288" t="s">
        <v>598</v>
      </c>
      <c r="IPK341" s="288" t="s">
        <v>598</v>
      </c>
      <c r="IPL341" s="288" t="s">
        <v>598</v>
      </c>
      <c r="IPM341" s="288" t="s">
        <v>598</v>
      </c>
      <c r="IPN341" s="288" t="s">
        <v>598</v>
      </c>
      <c r="IPO341" s="288" t="s">
        <v>598</v>
      </c>
      <c r="IPP341" s="288" t="s">
        <v>598</v>
      </c>
      <c r="IPQ341" s="288" t="s">
        <v>598</v>
      </c>
      <c r="IPR341" s="288" t="s">
        <v>598</v>
      </c>
      <c r="IPS341" s="288" t="s">
        <v>598</v>
      </c>
      <c r="IPT341" s="288" t="s">
        <v>598</v>
      </c>
      <c r="IPU341" s="288" t="s">
        <v>598</v>
      </c>
      <c r="IPV341" s="288" t="s">
        <v>598</v>
      </c>
      <c r="IPW341" s="288" t="s">
        <v>598</v>
      </c>
      <c r="IPX341" s="288" t="s">
        <v>598</v>
      </c>
      <c r="IPY341" s="288" t="s">
        <v>598</v>
      </c>
      <c r="IPZ341" s="288" t="s">
        <v>598</v>
      </c>
      <c r="IQA341" s="288" t="s">
        <v>598</v>
      </c>
      <c r="IQB341" s="288" t="s">
        <v>598</v>
      </c>
      <c r="IQC341" s="288" t="s">
        <v>598</v>
      </c>
      <c r="IQD341" s="288" t="s">
        <v>598</v>
      </c>
      <c r="IQE341" s="288" t="s">
        <v>598</v>
      </c>
      <c r="IQF341" s="288" t="s">
        <v>598</v>
      </c>
      <c r="IQG341" s="288" t="s">
        <v>598</v>
      </c>
      <c r="IQH341" s="288" t="s">
        <v>598</v>
      </c>
      <c r="IQI341" s="288" t="s">
        <v>598</v>
      </c>
      <c r="IQJ341" s="288" t="s">
        <v>598</v>
      </c>
      <c r="IQK341" s="288" t="s">
        <v>598</v>
      </c>
      <c r="IQL341" s="288" t="s">
        <v>598</v>
      </c>
      <c r="IQM341" s="288" t="s">
        <v>598</v>
      </c>
      <c r="IQN341" s="288" t="s">
        <v>598</v>
      </c>
      <c r="IQO341" s="288" t="s">
        <v>598</v>
      </c>
      <c r="IQP341" s="288" t="s">
        <v>598</v>
      </c>
      <c r="IQQ341" s="288" t="s">
        <v>598</v>
      </c>
      <c r="IQR341" s="288" t="s">
        <v>598</v>
      </c>
      <c r="IQS341" s="288" t="s">
        <v>598</v>
      </c>
      <c r="IQT341" s="288" t="s">
        <v>598</v>
      </c>
      <c r="IQU341" s="288" t="s">
        <v>598</v>
      </c>
      <c r="IQV341" s="288" t="s">
        <v>598</v>
      </c>
      <c r="IQW341" s="288" t="s">
        <v>598</v>
      </c>
      <c r="IQX341" s="288" t="s">
        <v>598</v>
      </c>
      <c r="IQY341" s="288" t="s">
        <v>598</v>
      </c>
      <c r="IQZ341" s="288" t="s">
        <v>598</v>
      </c>
      <c r="IRA341" s="288" t="s">
        <v>598</v>
      </c>
      <c r="IRB341" s="288" t="s">
        <v>598</v>
      </c>
      <c r="IRC341" s="288" t="s">
        <v>598</v>
      </c>
      <c r="IRD341" s="288" t="s">
        <v>598</v>
      </c>
      <c r="IRE341" s="288" t="s">
        <v>598</v>
      </c>
      <c r="IRF341" s="288" t="s">
        <v>598</v>
      </c>
      <c r="IRG341" s="288" t="s">
        <v>598</v>
      </c>
      <c r="IRH341" s="288" t="s">
        <v>598</v>
      </c>
      <c r="IRI341" s="288" t="s">
        <v>598</v>
      </c>
      <c r="IRJ341" s="288" t="s">
        <v>598</v>
      </c>
      <c r="IRK341" s="288" t="s">
        <v>598</v>
      </c>
      <c r="IRL341" s="288" t="s">
        <v>598</v>
      </c>
      <c r="IRM341" s="288" t="s">
        <v>598</v>
      </c>
      <c r="IRN341" s="288" t="s">
        <v>598</v>
      </c>
      <c r="IRO341" s="288" t="s">
        <v>598</v>
      </c>
      <c r="IRP341" s="288" t="s">
        <v>598</v>
      </c>
      <c r="IRQ341" s="288" t="s">
        <v>598</v>
      </c>
      <c r="IRR341" s="288" t="s">
        <v>598</v>
      </c>
      <c r="IRS341" s="288" t="s">
        <v>598</v>
      </c>
      <c r="IRT341" s="288" t="s">
        <v>598</v>
      </c>
      <c r="IRU341" s="288" t="s">
        <v>598</v>
      </c>
      <c r="IRV341" s="288" t="s">
        <v>598</v>
      </c>
      <c r="IRW341" s="288" t="s">
        <v>598</v>
      </c>
      <c r="IRX341" s="288" t="s">
        <v>598</v>
      </c>
      <c r="IRY341" s="288" t="s">
        <v>598</v>
      </c>
      <c r="IRZ341" s="288" t="s">
        <v>598</v>
      </c>
      <c r="ISA341" s="288" t="s">
        <v>598</v>
      </c>
      <c r="ISB341" s="288" t="s">
        <v>598</v>
      </c>
      <c r="ISC341" s="288" t="s">
        <v>598</v>
      </c>
      <c r="ISD341" s="288" t="s">
        <v>598</v>
      </c>
      <c r="ISE341" s="288" t="s">
        <v>598</v>
      </c>
      <c r="ISF341" s="288" t="s">
        <v>598</v>
      </c>
      <c r="ISG341" s="288" t="s">
        <v>598</v>
      </c>
      <c r="ISH341" s="288" t="s">
        <v>598</v>
      </c>
      <c r="ISI341" s="288" t="s">
        <v>598</v>
      </c>
      <c r="ISJ341" s="288" t="s">
        <v>598</v>
      </c>
      <c r="ISK341" s="288" t="s">
        <v>598</v>
      </c>
      <c r="ISL341" s="288" t="s">
        <v>598</v>
      </c>
      <c r="ISM341" s="288" t="s">
        <v>598</v>
      </c>
      <c r="ISN341" s="288" t="s">
        <v>598</v>
      </c>
      <c r="ISO341" s="288" t="s">
        <v>598</v>
      </c>
      <c r="ISP341" s="288" t="s">
        <v>598</v>
      </c>
      <c r="ISQ341" s="288" t="s">
        <v>598</v>
      </c>
      <c r="ISR341" s="288" t="s">
        <v>598</v>
      </c>
      <c r="ISS341" s="288" t="s">
        <v>598</v>
      </c>
      <c r="IST341" s="288" t="s">
        <v>598</v>
      </c>
      <c r="ISU341" s="288" t="s">
        <v>598</v>
      </c>
      <c r="ISV341" s="288" t="s">
        <v>598</v>
      </c>
      <c r="ISW341" s="288" t="s">
        <v>598</v>
      </c>
      <c r="ISX341" s="288" t="s">
        <v>598</v>
      </c>
      <c r="ISY341" s="288" t="s">
        <v>598</v>
      </c>
      <c r="ISZ341" s="288" t="s">
        <v>598</v>
      </c>
      <c r="ITA341" s="288" t="s">
        <v>598</v>
      </c>
      <c r="ITB341" s="288" t="s">
        <v>598</v>
      </c>
      <c r="ITC341" s="288" t="s">
        <v>598</v>
      </c>
      <c r="ITD341" s="288" t="s">
        <v>598</v>
      </c>
      <c r="ITE341" s="288" t="s">
        <v>598</v>
      </c>
      <c r="ITF341" s="288" t="s">
        <v>598</v>
      </c>
      <c r="ITG341" s="288" t="s">
        <v>598</v>
      </c>
      <c r="ITH341" s="288" t="s">
        <v>598</v>
      </c>
      <c r="ITI341" s="288" t="s">
        <v>598</v>
      </c>
      <c r="ITJ341" s="288" t="s">
        <v>598</v>
      </c>
      <c r="ITK341" s="288" t="s">
        <v>598</v>
      </c>
      <c r="ITL341" s="288" t="s">
        <v>598</v>
      </c>
      <c r="ITM341" s="288" t="s">
        <v>598</v>
      </c>
      <c r="ITN341" s="288" t="s">
        <v>598</v>
      </c>
      <c r="ITO341" s="288" t="s">
        <v>598</v>
      </c>
      <c r="ITP341" s="288" t="s">
        <v>598</v>
      </c>
      <c r="ITQ341" s="288" t="s">
        <v>598</v>
      </c>
      <c r="ITR341" s="288" t="s">
        <v>598</v>
      </c>
      <c r="ITS341" s="288" t="s">
        <v>598</v>
      </c>
      <c r="ITT341" s="288" t="s">
        <v>598</v>
      </c>
      <c r="ITU341" s="288" t="s">
        <v>598</v>
      </c>
      <c r="ITV341" s="288" t="s">
        <v>598</v>
      </c>
      <c r="ITW341" s="288" t="s">
        <v>598</v>
      </c>
      <c r="ITX341" s="288" t="s">
        <v>598</v>
      </c>
      <c r="ITY341" s="288" t="s">
        <v>598</v>
      </c>
      <c r="ITZ341" s="288" t="s">
        <v>598</v>
      </c>
      <c r="IUA341" s="288" t="s">
        <v>598</v>
      </c>
      <c r="IUB341" s="288" t="s">
        <v>598</v>
      </c>
      <c r="IUC341" s="288" t="s">
        <v>598</v>
      </c>
      <c r="IUD341" s="288" t="s">
        <v>598</v>
      </c>
      <c r="IUE341" s="288" t="s">
        <v>598</v>
      </c>
      <c r="IUF341" s="288" t="s">
        <v>598</v>
      </c>
      <c r="IUG341" s="288" t="s">
        <v>598</v>
      </c>
      <c r="IUH341" s="288" t="s">
        <v>598</v>
      </c>
      <c r="IUI341" s="288" t="s">
        <v>598</v>
      </c>
      <c r="IUJ341" s="288" t="s">
        <v>598</v>
      </c>
      <c r="IUK341" s="288" t="s">
        <v>598</v>
      </c>
      <c r="IUL341" s="288" t="s">
        <v>598</v>
      </c>
      <c r="IUM341" s="288" t="s">
        <v>598</v>
      </c>
      <c r="IUN341" s="288" t="s">
        <v>598</v>
      </c>
      <c r="IUO341" s="288" t="s">
        <v>598</v>
      </c>
      <c r="IUP341" s="288" t="s">
        <v>598</v>
      </c>
      <c r="IUQ341" s="288" t="s">
        <v>598</v>
      </c>
      <c r="IUR341" s="288" t="s">
        <v>598</v>
      </c>
      <c r="IUS341" s="288" t="s">
        <v>598</v>
      </c>
      <c r="IUT341" s="288" t="s">
        <v>598</v>
      </c>
      <c r="IUU341" s="288" t="s">
        <v>598</v>
      </c>
      <c r="IUV341" s="288" t="s">
        <v>598</v>
      </c>
      <c r="IUW341" s="288" t="s">
        <v>598</v>
      </c>
      <c r="IUX341" s="288" t="s">
        <v>598</v>
      </c>
      <c r="IUY341" s="288" t="s">
        <v>598</v>
      </c>
      <c r="IUZ341" s="288" t="s">
        <v>598</v>
      </c>
      <c r="IVA341" s="288" t="s">
        <v>598</v>
      </c>
      <c r="IVB341" s="288" t="s">
        <v>598</v>
      </c>
      <c r="IVC341" s="288" t="s">
        <v>598</v>
      </c>
      <c r="IVD341" s="288" t="s">
        <v>598</v>
      </c>
      <c r="IVE341" s="288" t="s">
        <v>598</v>
      </c>
      <c r="IVF341" s="288" t="s">
        <v>598</v>
      </c>
      <c r="IVG341" s="288" t="s">
        <v>598</v>
      </c>
      <c r="IVH341" s="288" t="s">
        <v>598</v>
      </c>
      <c r="IVI341" s="288" t="s">
        <v>598</v>
      </c>
      <c r="IVJ341" s="288" t="s">
        <v>598</v>
      </c>
      <c r="IVK341" s="288" t="s">
        <v>598</v>
      </c>
      <c r="IVL341" s="288" t="s">
        <v>598</v>
      </c>
      <c r="IVM341" s="288" t="s">
        <v>598</v>
      </c>
      <c r="IVN341" s="288" t="s">
        <v>598</v>
      </c>
      <c r="IVO341" s="288" t="s">
        <v>598</v>
      </c>
      <c r="IVP341" s="288" t="s">
        <v>598</v>
      </c>
      <c r="IVQ341" s="288" t="s">
        <v>598</v>
      </c>
      <c r="IVR341" s="288" t="s">
        <v>598</v>
      </c>
      <c r="IVS341" s="288" t="s">
        <v>598</v>
      </c>
      <c r="IVT341" s="288" t="s">
        <v>598</v>
      </c>
      <c r="IVU341" s="288" t="s">
        <v>598</v>
      </c>
      <c r="IVV341" s="288" t="s">
        <v>598</v>
      </c>
      <c r="IVW341" s="288" t="s">
        <v>598</v>
      </c>
      <c r="IVX341" s="288" t="s">
        <v>598</v>
      </c>
      <c r="IVY341" s="288" t="s">
        <v>598</v>
      </c>
      <c r="IVZ341" s="288" t="s">
        <v>598</v>
      </c>
      <c r="IWA341" s="288" t="s">
        <v>598</v>
      </c>
      <c r="IWB341" s="288" t="s">
        <v>598</v>
      </c>
      <c r="IWC341" s="288" t="s">
        <v>598</v>
      </c>
      <c r="IWD341" s="288" t="s">
        <v>598</v>
      </c>
      <c r="IWE341" s="288" t="s">
        <v>598</v>
      </c>
      <c r="IWF341" s="288" t="s">
        <v>598</v>
      </c>
      <c r="IWG341" s="288" t="s">
        <v>598</v>
      </c>
      <c r="IWH341" s="288" t="s">
        <v>598</v>
      </c>
      <c r="IWI341" s="288" t="s">
        <v>598</v>
      </c>
      <c r="IWJ341" s="288" t="s">
        <v>598</v>
      </c>
      <c r="IWK341" s="288" t="s">
        <v>598</v>
      </c>
      <c r="IWL341" s="288" t="s">
        <v>598</v>
      </c>
      <c r="IWM341" s="288" t="s">
        <v>598</v>
      </c>
      <c r="IWN341" s="288" t="s">
        <v>598</v>
      </c>
      <c r="IWO341" s="288" t="s">
        <v>598</v>
      </c>
      <c r="IWP341" s="288" t="s">
        <v>598</v>
      </c>
      <c r="IWQ341" s="288" t="s">
        <v>598</v>
      </c>
      <c r="IWR341" s="288" t="s">
        <v>598</v>
      </c>
      <c r="IWS341" s="288" t="s">
        <v>598</v>
      </c>
      <c r="IWT341" s="288" t="s">
        <v>598</v>
      </c>
      <c r="IWU341" s="288" t="s">
        <v>598</v>
      </c>
      <c r="IWV341" s="288" t="s">
        <v>598</v>
      </c>
      <c r="IWW341" s="288" t="s">
        <v>598</v>
      </c>
      <c r="IWX341" s="288" t="s">
        <v>598</v>
      </c>
      <c r="IWY341" s="288" t="s">
        <v>598</v>
      </c>
      <c r="IWZ341" s="288" t="s">
        <v>598</v>
      </c>
      <c r="IXA341" s="288" t="s">
        <v>598</v>
      </c>
      <c r="IXB341" s="288" t="s">
        <v>598</v>
      </c>
      <c r="IXC341" s="288" t="s">
        <v>598</v>
      </c>
      <c r="IXD341" s="288" t="s">
        <v>598</v>
      </c>
      <c r="IXE341" s="288" t="s">
        <v>598</v>
      </c>
      <c r="IXF341" s="288" t="s">
        <v>598</v>
      </c>
      <c r="IXG341" s="288" t="s">
        <v>598</v>
      </c>
      <c r="IXH341" s="288" t="s">
        <v>598</v>
      </c>
      <c r="IXI341" s="288" t="s">
        <v>598</v>
      </c>
      <c r="IXJ341" s="288" t="s">
        <v>598</v>
      </c>
      <c r="IXK341" s="288" t="s">
        <v>598</v>
      </c>
      <c r="IXL341" s="288" t="s">
        <v>598</v>
      </c>
      <c r="IXM341" s="288" t="s">
        <v>598</v>
      </c>
      <c r="IXN341" s="288" t="s">
        <v>598</v>
      </c>
      <c r="IXO341" s="288" t="s">
        <v>598</v>
      </c>
      <c r="IXP341" s="288" t="s">
        <v>598</v>
      </c>
      <c r="IXQ341" s="288" t="s">
        <v>598</v>
      </c>
      <c r="IXR341" s="288" t="s">
        <v>598</v>
      </c>
      <c r="IXS341" s="288" t="s">
        <v>598</v>
      </c>
      <c r="IXT341" s="288" t="s">
        <v>598</v>
      </c>
      <c r="IXU341" s="288" t="s">
        <v>598</v>
      </c>
      <c r="IXV341" s="288" t="s">
        <v>598</v>
      </c>
      <c r="IXW341" s="288" t="s">
        <v>598</v>
      </c>
      <c r="IXX341" s="288" t="s">
        <v>598</v>
      </c>
      <c r="IXY341" s="288" t="s">
        <v>598</v>
      </c>
      <c r="IXZ341" s="288" t="s">
        <v>598</v>
      </c>
      <c r="IYA341" s="288" t="s">
        <v>598</v>
      </c>
      <c r="IYB341" s="288" t="s">
        <v>598</v>
      </c>
      <c r="IYC341" s="288" t="s">
        <v>598</v>
      </c>
      <c r="IYD341" s="288" t="s">
        <v>598</v>
      </c>
      <c r="IYE341" s="288" t="s">
        <v>598</v>
      </c>
      <c r="IYF341" s="288" t="s">
        <v>598</v>
      </c>
      <c r="IYG341" s="288" t="s">
        <v>598</v>
      </c>
      <c r="IYH341" s="288" t="s">
        <v>598</v>
      </c>
      <c r="IYI341" s="288" t="s">
        <v>598</v>
      </c>
      <c r="IYJ341" s="288" t="s">
        <v>598</v>
      </c>
      <c r="IYK341" s="288" t="s">
        <v>598</v>
      </c>
      <c r="IYL341" s="288" t="s">
        <v>598</v>
      </c>
      <c r="IYM341" s="288" t="s">
        <v>598</v>
      </c>
      <c r="IYN341" s="288" t="s">
        <v>598</v>
      </c>
      <c r="IYO341" s="288" t="s">
        <v>598</v>
      </c>
      <c r="IYP341" s="288" t="s">
        <v>598</v>
      </c>
      <c r="IYQ341" s="288" t="s">
        <v>598</v>
      </c>
      <c r="IYR341" s="288" t="s">
        <v>598</v>
      </c>
      <c r="IYS341" s="288" t="s">
        <v>598</v>
      </c>
      <c r="IYT341" s="288" t="s">
        <v>598</v>
      </c>
      <c r="IYU341" s="288" t="s">
        <v>598</v>
      </c>
      <c r="IYV341" s="288" t="s">
        <v>598</v>
      </c>
      <c r="IYW341" s="288" t="s">
        <v>598</v>
      </c>
      <c r="IYX341" s="288" t="s">
        <v>598</v>
      </c>
      <c r="IYY341" s="288" t="s">
        <v>598</v>
      </c>
      <c r="IYZ341" s="288" t="s">
        <v>598</v>
      </c>
      <c r="IZA341" s="288" t="s">
        <v>598</v>
      </c>
      <c r="IZB341" s="288" t="s">
        <v>598</v>
      </c>
      <c r="IZC341" s="288" t="s">
        <v>598</v>
      </c>
      <c r="IZD341" s="288" t="s">
        <v>598</v>
      </c>
      <c r="IZE341" s="288" t="s">
        <v>598</v>
      </c>
      <c r="IZF341" s="288" t="s">
        <v>598</v>
      </c>
      <c r="IZG341" s="288" t="s">
        <v>598</v>
      </c>
      <c r="IZH341" s="288" t="s">
        <v>598</v>
      </c>
      <c r="IZI341" s="288" t="s">
        <v>598</v>
      </c>
      <c r="IZJ341" s="288" t="s">
        <v>598</v>
      </c>
      <c r="IZK341" s="288" t="s">
        <v>598</v>
      </c>
      <c r="IZL341" s="288" t="s">
        <v>598</v>
      </c>
      <c r="IZM341" s="288" t="s">
        <v>598</v>
      </c>
      <c r="IZN341" s="288" t="s">
        <v>598</v>
      </c>
      <c r="IZO341" s="288" t="s">
        <v>598</v>
      </c>
      <c r="IZP341" s="288" t="s">
        <v>598</v>
      </c>
      <c r="IZQ341" s="288" t="s">
        <v>598</v>
      </c>
      <c r="IZR341" s="288" t="s">
        <v>598</v>
      </c>
      <c r="IZS341" s="288" t="s">
        <v>598</v>
      </c>
      <c r="IZT341" s="288" t="s">
        <v>598</v>
      </c>
      <c r="IZU341" s="288" t="s">
        <v>598</v>
      </c>
      <c r="IZV341" s="288" t="s">
        <v>598</v>
      </c>
      <c r="IZW341" s="288" t="s">
        <v>598</v>
      </c>
      <c r="IZX341" s="288" t="s">
        <v>598</v>
      </c>
      <c r="IZY341" s="288" t="s">
        <v>598</v>
      </c>
      <c r="IZZ341" s="288" t="s">
        <v>598</v>
      </c>
      <c r="JAA341" s="288" t="s">
        <v>598</v>
      </c>
      <c r="JAB341" s="288" t="s">
        <v>598</v>
      </c>
      <c r="JAC341" s="288" t="s">
        <v>598</v>
      </c>
      <c r="JAD341" s="288" t="s">
        <v>598</v>
      </c>
      <c r="JAE341" s="288" t="s">
        <v>598</v>
      </c>
      <c r="JAF341" s="288" t="s">
        <v>598</v>
      </c>
      <c r="JAG341" s="288" t="s">
        <v>598</v>
      </c>
      <c r="JAH341" s="288" t="s">
        <v>598</v>
      </c>
      <c r="JAI341" s="288" t="s">
        <v>598</v>
      </c>
      <c r="JAJ341" s="288" t="s">
        <v>598</v>
      </c>
      <c r="JAK341" s="288" t="s">
        <v>598</v>
      </c>
      <c r="JAL341" s="288" t="s">
        <v>598</v>
      </c>
      <c r="JAM341" s="288" t="s">
        <v>598</v>
      </c>
      <c r="JAN341" s="288" t="s">
        <v>598</v>
      </c>
      <c r="JAO341" s="288" t="s">
        <v>598</v>
      </c>
      <c r="JAP341" s="288" t="s">
        <v>598</v>
      </c>
      <c r="JAQ341" s="288" t="s">
        <v>598</v>
      </c>
      <c r="JAR341" s="288" t="s">
        <v>598</v>
      </c>
      <c r="JAS341" s="288" t="s">
        <v>598</v>
      </c>
      <c r="JAT341" s="288" t="s">
        <v>598</v>
      </c>
      <c r="JAU341" s="288" t="s">
        <v>598</v>
      </c>
      <c r="JAV341" s="288" t="s">
        <v>598</v>
      </c>
      <c r="JAW341" s="288" t="s">
        <v>598</v>
      </c>
      <c r="JAX341" s="288" t="s">
        <v>598</v>
      </c>
      <c r="JAY341" s="288" t="s">
        <v>598</v>
      </c>
      <c r="JAZ341" s="288" t="s">
        <v>598</v>
      </c>
      <c r="JBA341" s="288" t="s">
        <v>598</v>
      </c>
      <c r="JBB341" s="288" t="s">
        <v>598</v>
      </c>
      <c r="JBC341" s="288" t="s">
        <v>598</v>
      </c>
      <c r="JBD341" s="288" t="s">
        <v>598</v>
      </c>
      <c r="JBE341" s="288" t="s">
        <v>598</v>
      </c>
      <c r="JBF341" s="288" t="s">
        <v>598</v>
      </c>
      <c r="JBG341" s="288" t="s">
        <v>598</v>
      </c>
      <c r="JBH341" s="288" t="s">
        <v>598</v>
      </c>
      <c r="JBI341" s="288" t="s">
        <v>598</v>
      </c>
      <c r="JBJ341" s="288" t="s">
        <v>598</v>
      </c>
      <c r="JBK341" s="288" t="s">
        <v>598</v>
      </c>
      <c r="JBL341" s="288" t="s">
        <v>598</v>
      </c>
      <c r="JBM341" s="288" t="s">
        <v>598</v>
      </c>
      <c r="JBN341" s="288" t="s">
        <v>598</v>
      </c>
      <c r="JBO341" s="288" t="s">
        <v>598</v>
      </c>
      <c r="JBP341" s="288" t="s">
        <v>598</v>
      </c>
      <c r="JBQ341" s="288" t="s">
        <v>598</v>
      </c>
      <c r="JBR341" s="288" t="s">
        <v>598</v>
      </c>
      <c r="JBS341" s="288" t="s">
        <v>598</v>
      </c>
      <c r="JBT341" s="288" t="s">
        <v>598</v>
      </c>
      <c r="JBU341" s="288" t="s">
        <v>598</v>
      </c>
      <c r="JBV341" s="288" t="s">
        <v>598</v>
      </c>
      <c r="JBW341" s="288" t="s">
        <v>598</v>
      </c>
      <c r="JBX341" s="288" t="s">
        <v>598</v>
      </c>
      <c r="JBY341" s="288" t="s">
        <v>598</v>
      </c>
      <c r="JBZ341" s="288" t="s">
        <v>598</v>
      </c>
      <c r="JCA341" s="288" t="s">
        <v>598</v>
      </c>
      <c r="JCB341" s="288" t="s">
        <v>598</v>
      </c>
      <c r="JCC341" s="288" t="s">
        <v>598</v>
      </c>
      <c r="JCD341" s="288" t="s">
        <v>598</v>
      </c>
      <c r="JCE341" s="288" t="s">
        <v>598</v>
      </c>
      <c r="JCF341" s="288" t="s">
        <v>598</v>
      </c>
      <c r="JCG341" s="288" t="s">
        <v>598</v>
      </c>
      <c r="JCH341" s="288" t="s">
        <v>598</v>
      </c>
      <c r="JCI341" s="288" t="s">
        <v>598</v>
      </c>
      <c r="JCJ341" s="288" t="s">
        <v>598</v>
      </c>
      <c r="JCK341" s="288" t="s">
        <v>598</v>
      </c>
      <c r="JCL341" s="288" t="s">
        <v>598</v>
      </c>
      <c r="JCM341" s="288" t="s">
        <v>598</v>
      </c>
      <c r="JCN341" s="288" t="s">
        <v>598</v>
      </c>
      <c r="JCO341" s="288" t="s">
        <v>598</v>
      </c>
      <c r="JCP341" s="288" t="s">
        <v>598</v>
      </c>
      <c r="JCQ341" s="288" t="s">
        <v>598</v>
      </c>
      <c r="JCR341" s="288" t="s">
        <v>598</v>
      </c>
      <c r="JCS341" s="288" t="s">
        <v>598</v>
      </c>
      <c r="JCT341" s="288" t="s">
        <v>598</v>
      </c>
      <c r="JCU341" s="288" t="s">
        <v>598</v>
      </c>
      <c r="JCV341" s="288" t="s">
        <v>598</v>
      </c>
      <c r="JCW341" s="288" t="s">
        <v>598</v>
      </c>
      <c r="JCX341" s="288" t="s">
        <v>598</v>
      </c>
      <c r="JCY341" s="288" t="s">
        <v>598</v>
      </c>
      <c r="JCZ341" s="288" t="s">
        <v>598</v>
      </c>
      <c r="JDA341" s="288" t="s">
        <v>598</v>
      </c>
      <c r="JDB341" s="288" t="s">
        <v>598</v>
      </c>
      <c r="JDC341" s="288" t="s">
        <v>598</v>
      </c>
      <c r="JDD341" s="288" t="s">
        <v>598</v>
      </c>
      <c r="JDE341" s="288" t="s">
        <v>598</v>
      </c>
      <c r="JDF341" s="288" t="s">
        <v>598</v>
      </c>
      <c r="JDG341" s="288" t="s">
        <v>598</v>
      </c>
      <c r="JDH341" s="288" t="s">
        <v>598</v>
      </c>
      <c r="JDI341" s="288" t="s">
        <v>598</v>
      </c>
      <c r="JDJ341" s="288" t="s">
        <v>598</v>
      </c>
      <c r="JDK341" s="288" t="s">
        <v>598</v>
      </c>
      <c r="JDL341" s="288" t="s">
        <v>598</v>
      </c>
      <c r="JDM341" s="288" t="s">
        <v>598</v>
      </c>
      <c r="JDN341" s="288" t="s">
        <v>598</v>
      </c>
      <c r="JDO341" s="288" t="s">
        <v>598</v>
      </c>
      <c r="JDP341" s="288" t="s">
        <v>598</v>
      </c>
      <c r="JDQ341" s="288" t="s">
        <v>598</v>
      </c>
      <c r="JDR341" s="288" t="s">
        <v>598</v>
      </c>
      <c r="JDS341" s="288" t="s">
        <v>598</v>
      </c>
      <c r="JDT341" s="288" t="s">
        <v>598</v>
      </c>
      <c r="JDU341" s="288" t="s">
        <v>598</v>
      </c>
      <c r="JDV341" s="288" t="s">
        <v>598</v>
      </c>
      <c r="JDW341" s="288" t="s">
        <v>598</v>
      </c>
      <c r="JDX341" s="288" t="s">
        <v>598</v>
      </c>
      <c r="JDY341" s="288" t="s">
        <v>598</v>
      </c>
      <c r="JDZ341" s="288" t="s">
        <v>598</v>
      </c>
      <c r="JEA341" s="288" t="s">
        <v>598</v>
      </c>
      <c r="JEB341" s="288" t="s">
        <v>598</v>
      </c>
      <c r="JEC341" s="288" t="s">
        <v>598</v>
      </c>
      <c r="JED341" s="288" t="s">
        <v>598</v>
      </c>
      <c r="JEE341" s="288" t="s">
        <v>598</v>
      </c>
      <c r="JEF341" s="288" t="s">
        <v>598</v>
      </c>
      <c r="JEG341" s="288" t="s">
        <v>598</v>
      </c>
      <c r="JEH341" s="288" t="s">
        <v>598</v>
      </c>
      <c r="JEI341" s="288" t="s">
        <v>598</v>
      </c>
      <c r="JEJ341" s="288" t="s">
        <v>598</v>
      </c>
      <c r="JEK341" s="288" t="s">
        <v>598</v>
      </c>
      <c r="JEL341" s="288" t="s">
        <v>598</v>
      </c>
      <c r="JEM341" s="288" t="s">
        <v>598</v>
      </c>
      <c r="JEN341" s="288" t="s">
        <v>598</v>
      </c>
      <c r="JEO341" s="288" t="s">
        <v>598</v>
      </c>
      <c r="JEP341" s="288" t="s">
        <v>598</v>
      </c>
      <c r="JEQ341" s="288" t="s">
        <v>598</v>
      </c>
      <c r="JER341" s="288" t="s">
        <v>598</v>
      </c>
      <c r="JES341" s="288" t="s">
        <v>598</v>
      </c>
      <c r="JET341" s="288" t="s">
        <v>598</v>
      </c>
      <c r="JEU341" s="288" t="s">
        <v>598</v>
      </c>
      <c r="JEV341" s="288" t="s">
        <v>598</v>
      </c>
      <c r="JEW341" s="288" t="s">
        <v>598</v>
      </c>
      <c r="JEX341" s="288" t="s">
        <v>598</v>
      </c>
      <c r="JEY341" s="288" t="s">
        <v>598</v>
      </c>
      <c r="JEZ341" s="288" t="s">
        <v>598</v>
      </c>
      <c r="JFA341" s="288" t="s">
        <v>598</v>
      </c>
      <c r="JFB341" s="288" t="s">
        <v>598</v>
      </c>
      <c r="JFC341" s="288" t="s">
        <v>598</v>
      </c>
      <c r="JFD341" s="288" t="s">
        <v>598</v>
      </c>
      <c r="JFE341" s="288" t="s">
        <v>598</v>
      </c>
      <c r="JFF341" s="288" t="s">
        <v>598</v>
      </c>
      <c r="JFG341" s="288" t="s">
        <v>598</v>
      </c>
      <c r="JFH341" s="288" t="s">
        <v>598</v>
      </c>
      <c r="JFI341" s="288" t="s">
        <v>598</v>
      </c>
      <c r="JFJ341" s="288" t="s">
        <v>598</v>
      </c>
      <c r="JFK341" s="288" t="s">
        <v>598</v>
      </c>
      <c r="JFL341" s="288" t="s">
        <v>598</v>
      </c>
      <c r="JFM341" s="288" t="s">
        <v>598</v>
      </c>
      <c r="JFN341" s="288" t="s">
        <v>598</v>
      </c>
      <c r="JFO341" s="288" t="s">
        <v>598</v>
      </c>
      <c r="JFP341" s="288" t="s">
        <v>598</v>
      </c>
      <c r="JFQ341" s="288" t="s">
        <v>598</v>
      </c>
      <c r="JFR341" s="288" t="s">
        <v>598</v>
      </c>
      <c r="JFS341" s="288" t="s">
        <v>598</v>
      </c>
      <c r="JFT341" s="288" t="s">
        <v>598</v>
      </c>
      <c r="JFU341" s="288" t="s">
        <v>598</v>
      </c>
      <c r="JFV341" s="288" t="s">
        <v>598</v>
      </c>
      <c r="JFW341" s="288" t="s">
        <v>598</v>
      </c>
      <c r="JFX341" s="288" t="s">
        <v>598</v>
      </c>
      <c r="JFY341" s="288" t="s">
        <v>598</v>
      </c>
      <c r="JFZ341" s="288" t="s">
        <v>598</v>
      </c>
      <c r="JGA341" s="288" t="s">
        <v>598</v>
      </c>
      <c r="JGB341" s="288" t="s">
        <v>598</v>
      </c>
      <c r="JGC341" s="288" t="s">
        <v>598</v>
      </c>
      <c r="JGD341" s="288" t="s">
        <v>598</v>
      </c>
      <c r="JGE341" s="288" t="s">
        <v>598</v>
      </c>
      <c r="JGF341" s="288" t="s">
        <v>598</v>
      </c>
      <c r="JGG341" s="288" t="s">
        <v>598</v>
      </c>
      <c r="JGH341" s="288" t="s">
        <v>598</v>
      </c>
      <c r="JGI341" s="288" t="s">
        <v>598</v>
      </c>
      <c r="JGJ341" s="288" t="s">
        <v>598</v>
      </c>
      <c r="JGK341" s="288" t="s">
        <v>598</v>
      </c>
      <c r="JGL341" s="288" t="s">
        <v>598</v>
      </c>
      <c r="JGM341" s="288" t="s">
        <v>598</v>
      </c>
      <c r="JGN341" s="288" t="s">
        <v>598</v>
      </c>
      <c r="JGO341" s="288" t="s">
        <v>598</v>
      </c>
      <c r="JGP341" s="288" t="s">
        <v>598</v>
      </c>
      <c r="JGQ341" s="288" t="s">
        <v>598</v>
      </c>
      <c r="JGR341" s="288" t="s">
        <v>598</v>
      </c>
      <c r="JGS341" s="288" t="s">
        <v>598</v>
      </c>
      <c r="JGT341" s="288" t="s">
        <v>598</v>
      </c>
      <c r="JGU341" s="288" t="s">
        <v>598</v>
      </c>
      <c r="JGV341" s="288" t="s">
        <v>598</v>
      </c>
      <c r="JGW341" s="288" t="s">
        <v>598</v>
      </c>
      <c r="JGX341" s="288" t="s">
        <v>598</v>
      </c>
      <c r="JGY341" s="288" t="s">
        <v>598</v>
      </c>
      <c r="JGZ341" s="288" t="s">
        <v>598</v>
      </c>
      <c r="JHA341" s="288" t="s">
        <v>598</v>
      </c>
      <c r="JHB341" s="288" t="s">
        <v>598</v>
      </c>
      <c r="JHC341" s="288" t="s">
        <v>598</v>
      </c>
      <c r="JHD341" s="288" t="s">
        <v>598</v>
      </c>
      <c r="JHE341" s="288" t="s">
        <v>598</v>
      </c>
      <c r="JHF341" s="288" t="s">
        <v>598</v>
      </c>
      <c r="JHG341" s="288" t="s">
        <v>598</v>
      </c>
      <c r="JHH341" s="288" t="s">
        <v>598</v>
      </c>
      <c r="JHI341" s="288" t="s">
        <v>598</v>
      </c>
      <c r="JHJ341" s="288" t="s">
        <v>598</v>
      </c>
      <c r="JHK341" s="288" t="s">
        <v>598</v>
      </c>
      <c r="JHL341" s="288" t="s">
        <v>598</v>
      </c>
      <c r="JHM341" s="288" t="s">
        <v>598</v>
      </c>
      <c r="JHN341" s="288" t="s">
        <v>598</v>
      </c>
      <c r="JHO341" s="288" t="s">
        <v>598</v>
      </c>
      <c r="JHP341" s="288" t="s">
        <v>598</v>
      </c>
      <c r="JHQ341" s="288" t="s">
        <v>598</v>
      </c>
      <c r="JHR341" s="288" t="s">
        <v>598</v>
      </c>
      <c r="JHS341" s="288" t="s">
        <v>598</v>
      </c>
      <c r="JHT341" s="288" t="s">
        <v>598</v>
      </c>
      <c r="JHU341" s="288" t="s">
        <v>598</v>
      </c>
      <c r="JHV341" s="288" t="s">
        <v>598</v>
      </c>
      <c r="JHW341" s="288" t="s">
        <v>598</v>
      </c>
      <c r="JHX341" s="288" t="s">
        <v>598</v>
      </c>
      <c r="JHY341" s="288" t="s">
        <v>598</v>
      </c>
      <c r="JHZ341" s="288" t="s">
        <v>598</v>
      </c>
      <c r="JIA341" s="288" t="s">
        <v>598</v>
      </c>
      <c r="JIB341" s="288" t="s">
        <v>598</v>
      </c>
      <c r="JIC341" s="288" t="s">
        <v>598</v>
      </c>
      <c r="JID341" s="288" t="s">
        <v>598</v>
      </c>
      <c r="JIE341" s="288" t="s">
        <v>598</v>
      </c>
      <c r="JIF341" s="288" t="s">
        <v>598</v>
      </c>
      <c r="JIG341" s="288" t="s">
        <v>598</v>
      </c>
      <c r="JIH341" s="288" t="s">
        <v>598</v>
      </c>
      <c r="JII341" s="288" t="s">
        <v>598</v>
      </c>
      <c r="JIJ341" s="288" t="s">
        <v>598</v>
      </c>
      <c r="JIK341" s="288" t="s">
        <v>598</v>
      </c>
      <c r="JIL341" s="288" t="s">
        <v>598</v>
      </c>
      <c r="JIM341" s="288" t="s">
        <v>598</v>
      </c>
      <c r="JIN341" s="288" t="s">
        <v>598</v>
      </c>
      <c r="JIO341" s="288" t="s">
        <v>598</v>
      </c>
      <c r="JIP341" s="288" t="s">
        <v>598</v>
      </c>
      <c r="JIQ341" s="288" t="s">
        <v>598</v>
      </c>
      <c r="JIR341" s="288" t="s">
        <v>598</v>
      </c>
      <c r="JIS341" s="288" t="s">
        <v>598</v>
      </c>
      <c r="JIT341" s="288" t="s">
        <v>598</v>
      </c>
      <c r="JIU341" s="288" t="s">
        <v>598</v>
      </c>
      <c r="JIV341" s="288" t="s">
        <v>598</v>
      </c>
      <c r="JIW341" s="288" t="s">
        <v>598</v>
      </c>
      <c r="JIX341" s="288" t="s">
        <v>598</v>
      </c>
      <c r="JIY341" s="288" t="s">
        <v>598</v>
      </c>
      <c r="JIZ341" s="288" t="s">
        <v>598</v>
      </c>
      <c r="JJA341" s="288" t="s">
        <v>598</v>
      </c>
      <c r="JJB341" s="288" t="s">
        <v>598</v>
      </c>
      <c r="JJC341" s="288" t="s">
        <v>598</v>
      </c>
      <c r="JJD341" s="288" t="s">
        <v>598</v>
      </c>
      <c r="JJE341" s="288" t="s">
        <v>598</v>
      </c>
      <c r="JJF341" s="288" t="s">
        <v>598</v>
      </c>
      <c r="JJG341" s="288" t="s">
        <v>598</v>
      </c>
      <c r="JJH341" s="288" t="s">
        <v>598</v>
      </c>
      <c r="JJI341" s="288" t="s">
        <v>598</v>
      </c>
      <c r="JJJ341" s="288" t="s">
        <v>598</v>
      </c>
      <c r="JJK341" s="288" t="s">
        <v>598</v>
      </c>
      <c r="JJL341" s="288" t="s">
        <v>598</v>
      </c>
      <c r="JJM341" s="288" t="s">
        <v>598</v>
      </c>
      <c r="JJN341" s="288" t="s">
        <v>598</v>
      </c>
      <c r="JJO341" s="288" t="s">
        <v>598</v>
      </c>
      <c r="JJP341" s="288" t="s">
        <v>598</v>
      </c>
      <c r="JJQ341" s="288" t="s">
        <v>598</v>
      </c>
      <c r="JJR341" s="288" t="s">
        <v>598</v>
      </c>
      <c r="JJS341" s="288" t="s">
        <v>598</v>
      </c>
      <c r="JJT341" s="288" t="s">
        <v>598</v>
      </c>
      <c r="JJU341" s="288" t="s">
        <v>598</v>
      </c>
      <c r="JJV341" s="288" t="s">
        <v>598</v>
      </c>
      <c r="JJW341" s="288" t="s">
        <v>598</v>
      </c>
      <c r="JJX341" s="288" t="s">
        <v>598</v>
      </c>
      <c r="JJY341" s="288" t="s">
        <v>598</v>
      </c>
      <c r="JJZ341" s="288" t="s">
        <v>598</v>
      </c>
      <c r="JKA341" s="288" t="s">
        <v>598</v>
      </c>
      <c r="JKB341" s="288" t="s">
        <v>598</v>
      </c>
      <c r="JKC341" s="288" t="s">
        <v>598</v>
      </c>
      <c r="JKD341" s="288" t="s">
        <v>598</v>
      </c>
      <c r="JKE341" s="288" t="s">
        <v>598</v>
      </c>
      <c r="JKF341" s="288" t="s">
        <v>598</v>
      </c>
      <c r="JKG341" s="288" t="s">
        <v>598</v>
      </c>
      <c r="JKH341" s="288" t="s">
        <v>598</v>
      </c>
      <c r="JKI341" s="288" t="s">
        <v>598</v>
      </c>
      <c r="JKJ341" s="288" t="s">
        <v>598</v>
      </c>
      <c r="JKK341" s="288" t="s">
        <v>598</v>
      </c>
      <c r="JKL341" s="288" t="s">
        <v>598</v>
      </c>
      <c r="JKM341" s="288" t="s">
        <v>598</v>
      </c>
      <c r="JKN341" s="288" t="s">
        <v>598</v>
      </c>
      <c r="JKO341" s="288" t="s">
        <v>598</v>
      </c>
      <c r="JKP341" s="288" t="s">
        <v>598</v>
      </c>
      <c r="JKQ341" s="288" t="s">
        <v>598</v>
      </c>
      <c r="JKR341" s="288" t="s">
        <v>598</v>
      </c>
      <c r="JKS341" s="288" t="s">
        <v>598</v>
      </c>
      <c r="JKT341" s="288" t="s">
        <v>598</v>
      </c>
      <c r="JKU341" s="288" t="s">
        <v>598</v>
      </c>
      <c r="JKV341" s="288" t="s">
        <v>598</v>
      </c>
      <c r="JKW341" s="288" t="s">
        <v>598</v>
      </c>
      <c r="JKX341" s="288" t="s">
        <v>598</v>
      </c>
      <c r="JKY341" s="288" t="s">
        <v>598</v>
      </c>
      <c r="JKZ341" s="288" t="s">
        <v>598</v>
      </c>
      <c r="JLA341" s="288" t="s">
        <v>598</v>
      </c>
      <c r="JLB341" s="288" t="s">
        <v>598</v>
      </c>
      <c r="JLC341" s="288" t="s">
        <v>598</v>
      </c>
      <c r="JLD341" s="288" t="s">
        <v>598</v>
      </c>
      <c r="JLE341" s="288" t="s">
        <v>598</v>
      </c>
      <c r="JLF341" s="288" t="s">
        <v>598</v>
      </c>
      <c r="JLG341" s="288" t="s">
        <v>598</v>
      </c>
      <c r="JLH341" s="288" t="s">
        <v>598</v>
      </c>
      <c r="JLI341" s="288" t="s">
        <v>598</v>
      </c>
      <c r="JLJ341" s="288" t="s">
        <v>598</v>
      </c>
      <c r="JLK341" s="288" t="s">
        <v>598</v>
      </c>
      <c r="JLL341" s="288" t="s">
        <v>598</v>
      </c>
      <c r="JLM341" s="288" t="s">
        <v>598</v>
      </c>
      <c r="JLN341" s="288" t="s">
        <v>598</v>
      </c>
      <c r="JLO341" s="288" t="s">
        <v>598</v>
      </c>
      <c r="JLP341" s="288" t="s">
        <v>598</v>
      </c>
      <c r="JLQ341" s="288" t="s">
        <v>598</v>
      </c>
      <c r="JLR341" s="288" t="s">
        <v>598</v>
      </c>
      <c r="JLS341" s="288" t="s">
        <v>598</v>
      </c>
      <c r="JLT341" s="288" t="s">
        <v>598</v>
      </c>
      <c r="JLU341" s="288" t="s">
        <v>598</v>
      </c>
      <c r="JLV341" s="288" t="s">
        <v>598</v>
      </c>
      <c r="JLW341" s="288" t="s">
        <v>598</v>
      </c>
      <c r="JLX341" s="288" t="s">
        <v>598</v>
      </c>
      <c r="JLY341" s="288" t="s">
        <v>598</v>
      </c>
      <c r="JLZ341" s="288" t="s">
        <v>598</v>
      </c>
      <c r="JMA341" s="288" t="s">
        <v>598</v>
      </c>
      <c r="JMB341" s="288" t="s">
        <v>598</v>
      </c>
      <c r="JMC341" s="288" t="s">
        <v>598</v>
      </c>
      <c r="JMD341" s="288" t="s">
        <v>598</v>
      </c>
      <c r="JME341" s="288" t="s">
        <v>598</v>
      </c>
      <c r="JMF341" s="288" t="s">
        <v>598</v>
      </c>
      <c r="JMG341" s="288" t="s">
        <v>598</v>
      </c>
      <c r="JMH341" s="288" t="s">
        <v>598</v>
      </c>
      <c r="JMI341" s="288" t="s">
        <v>598</v>
      </c>
      <c r="JMJ341" s="288" t="s">
        <v>598</v>
      </c>
      <c r="JMK341" s="288" t="s">
        <v>598</v>
      </c>
      <c r="JML341" s="288" t="s">
        <v>598</v>
      </c>
      <c r="JMM341" s="288" t="s">
        <v>598</v>
      </c>
      <c r="JMN341" s="288" t="s">
        <v>598</v>
      </c>
      <c r="JMO341" s="288" t="s">
        <v>598</v>
      </c>
      <c r="JMP341" s="288" t="s">
        <v>598</v>
      </c>
      <c r="JMQ341" s="288" t="s">
        <v>598</v>
      </c>
      <c r="JMR341" s="288" t="s">
        <v>598</v>
      </c>
      <c r="JMS341" s="288" t="s">
        <v>598</v>
      </c>
      <c r="JMT341" s="288" t="s">
        <v>598</v>
      </c>
      <c r="JMU341" s="288" t="s">
        <v>598</v>
      </c>
      <c r="JMV341" s="288" t="s">
        <v>598</v>
      </c>
      <c r="JMW341" s="288" t="s">
        <v>598</v>
      </c>
      <c r="JMX341" s="288" t="s">
        <v>598</v>
      </c>
      <c r="JMY341" s="288" t="s">
        <v>598</v>
      </c>
      <c r="JMZ341" s="288" t="s">
        <v>598</v>
      </c>
      <c r="JNA341" s="288" t="s">
        <v>598</v>
      </c>
      <c r="JNB341" s="288" t="s">
        <v>598</v>
      </c>
      <c r="JNC341" s="288" t="s">
        <v>598</v>
      </c>
      <c r="JND341" s="288" t="s">
        <v>598</v>
      </c>
      <c r="JNE341" s="288" t="s">
        <v>598</v>
      </c>
      <c r="JNF341" s="288" t="s">
        <v>598</v>
      </c>
      <c r="JNG341" s="288" t="s">
        <v>598</v>
      </c>
      <c r="JNH341" s="288" t="s">
        <v>598</v>
      </c>
      <c r="JNI341" s="288" t="s">
        <v>598</v>
      </c>
      <c r="JNJ341" s="288" t="s">
        <v>598</v>
      </c>
      <c r="JNK341" s="288" t="s">
        <v>598</v>
      </c>
      <c r="JNL341" s="288" t="s">
        <v>598</v>
      </c>
      <c r="JNM341" s="288" t="s">
        <v>598</v>
      </c>
      <c r="JNN341" s="288" t="s">
        <v>598</v>
      </c>
      <c r="JNO341" s="288" t="s">
        <v>598</v>
      </c>
      <c r="JNP341" s="288" t="s">
        <v>598</v>
      </c>
      <c r="JNQ341" s="288" t="s">
        <v>598</v>
      </c>
      <c r="JNR341" s="288" t="s">
        <v>598</v>
      </c>
      <c r="JNS341" s="288" t="s">
        <v>598</v>
      </c>
      <c r="JNT341" s="288" t="s">
        <v>598</v>
      </c>
      <c r="JNU341" s="288" t="s">
        <v>598</v>
      </c>
      <c r="JNV341" s="288" t="s">
        <v>598</v>
      </c>
      <c r="JNW341" s="288" t="s">
        <v>598</v>
      </c>
      <c r="JNX341" s="288" t="s">
        <v>598</v>
      </c>
      <c r="JNY341" s="288" t="s">
        <v>598</v>
      </c>
      <c r="JNZ341" s="288" t="s">
        <v>598</v>
      </c>
      <c r="JOA341" s="288" t="s">
        <v>598</v>
      </c>
      <c r="JOB341" s="288" t="s">
        <v>598</v>
      </c>
      <c r="JOC341" s="288" t="s">
        <v>598</v>
      </c>
      <c r="JOD341" s="288" t="s">
        <v>598</v>
      </c>
      <c r="JOE341" s="288" t="s">
        <v>598</v>
      </c>
      <c r="JOF341" s="288" t="s">
        <v>598</v>
      </c>
      <c r="JOG341" s="288" t="s">
        <v>598</v>
      </c>
      <c r="JOH341" s="288" t="s">
        <v>598</v>
      </c>
      <c r="JOI341" s="288" t="s">
        <v>598</v>
      </c>
      <c r="JOJ341" s="288" t="s">
        <v>598</v>
      </c>
      <c r="JOK341" s="288" t="s">
        <v>598</v>
      </c>
      <c r="JOL341" s="288" t="s">
        <v>598</v>
      </c>
      <c r="JOM341" s="288" t="s">
        <v>598</v>
      </c>
      <c r="JON341" s="288" t="s">
        <v>598</v>
      </c>
      <c r="JOO341" s="288" t="s">
        <v>598</v>
      </c>
      <c r="JOP341" s="288" t="s">
        <v>598</v>
      </c>
      <c r="JOQ341" s="288" t="s">
        <v>598</v>
      </c>
      <c r="JOR341" s="288" t="s">
        <v>598</v>
      </c>
      <c r="JOS341" s="288" t="s">
        <v>598</v>
      </c>
      <c r="JOT341" s="288" t="s">
        <v>598</v>
      </c>
      <c r="JOU341" s="288" t="s">
        <v>598</v>
      </c>
      <c r="JOV341" s="288" t="s">
        <v>598</v>
      </c>
      <c r="JOW341" s="288" t="s">
        <v>598</v>
      </c>
      <c r="JOX341" s="288" t="s">
        <v>598</v>
      </c>
      <c r="JOY341" s="288" t="s">
        <v>598</v>
      </c>
      <c r="JOZ341" s="288" t="s">
        <v>598</v>
      </c>
      <c r="JPA341" s="288" t="s">
        <v>598</v>
      </c>
      <c r="JPB341" s="288" t="s">
        <v>598</v>
      </c>
      <c r="JPC341" s="288" t="s">
        <v>598</v>
      </c>
      <c r="JPD341" s="288" t="s">
        <v>598</v>
      </c>
      <c r="JPE341" s="288" t="s">
        <v>598</v>
      </c>
      <c r="JPF341" s="288" t="s">
        <v>598</v>
      </c>
      <c r="JPG341" s="288" t="s">
        <v>598</v>
      </c>
      <c r="JPH341" s="288" t="s">
        <v>598</v>
      </c>
      <c r="JPI341" s="288" t="s">
        <v>598</v>
      </c>
      <c r="JPJ341" s="288" t="s">
        <v>598</v>
      </c>
      <c r="JPK341" s="288" t="s">
        <v>598</v>
      </c>
      <c r="JPL341" s="288" t="s">
        <v>598</v>
      </c>
      <c r="JPM341" s="288" t="s">
        <v>598</v>
      </c>
      <c r="JPN341" s="288" t="s">
        <v>598</v>
      </c>
      <c r="JPO341" s="288" t="s">
        <v>598</v>
      </c>
      <c r="JPP341" s="288" t="s">
        <v>598</v>
      </c>
      <c r="JPQ341" s="288" t="s">
        <v>598</v>
      </c>
      <c r="JPR341" s="288" t="s">
        <v>598</v>
      </c>
      <c r="JPS341" s="288" t="s">
        <v>598</v>
      </c>
      <c r="JPT341" s="288" t="s">
        <v>598</v>
      </c>
      <c r="JPU341" s="288" t="s">
        <v>598</v>
      </c>
      <c r="JPV341" s="288" t="s">
        <v>598</v>
      </c>
      <c r="JPW341" s="288" t="s">
        <v>598</v>
      </c>
      <c r="JPX341" s="288" t="s">
        <v>598</v>
      </c>
      <c r="JPY341" s="288" t="s">
        <v>598</v>
      </c>
      <c r="JPZ341" s="288" t="s">
        <v>598</v>
      </c>
      <c r="JQA341" s="288" t="s">
        <v>598</v>
      </c>
      <c r="JQB341" s="288" t="s">
        <v>598</v>
      </c>
      <c r="JQC341" s="288" t="s">
        <v>598</v>
      </c>
      <c r="JQD341" s="288" t="s">
        <v>598</v>
      </c>
      <c r="JQE341" s="288" t="s">
        <v>598</v>
      </c>
      <c r="JQF341" s="288" t="s">
        <v>598</v>
      </c>
      <c r="JQG341" s="288" t="s">
        <v>598</v>
      </c>
      <c r="JQH341" s="288" t="s">
        <v>598</v>
      </c>
      <c r="JQI341" s="288" t="s">
        <v>598</v>
      </c>
      <c r="JQJ341" s="288" t="s">
        <v>598</v>
      </c>
      <c r="JQK341" s="288" t="s">
        <v>598</v>
      </c>
      <c r="JQL341" s="288" t="s">
        <v>598</v>
      </c>
      <c r="JQM341" s="288" t="s">
        <v>598</v>
      </c>
      <c r="JQN341" s="288" t="s">
        <v>598</v>
      </c>
      <c r="JQO341" s="288" t="s">
        <v>598</v>
      </c>
      <c r="JQP341" s="288" t="s">
        <v>598</v>
      </c>
      <c r="JQQ341" s="288" t="s">
        <v>598</v>
      </c>
      <c r="JQR341" s="288" t="s">
        <v>598</v>
      </c>
      <c r="JQS341" s="288" t="s">
        <v>598</v>
      </c>
      <c r="JQT341" s="288" t="s">
        <v>598</v>
      </c>
      <c r="JQU341" s="288" t="s">
        <v>598</v>
      </c>
      <c r="JQV341" s="288" t="s">
        <v>598</v>
      </c>
      <c r="JQW341" s="288" t="s">
        <v>598</v>
      </c>
      <c r="JQX341" s="288" t="s">
        <v>598</v>
      </c>
      <c r="JQY341" s="288" t="s">
        <v>598</v>
      </c>
      <c r="JQZ341" s="288" t="s">
        <v>598</v>
      </c>
      <c r="JRA341" s="288" t="s">
        <v>598</v>
      </c>
      <c r="JRB341" s="288" t="s">
        <v>598</v>
      </c>
      <c r="JRC341" s="288" t="s">
        <v>598</v>
      </c>
      <c r="JRD341" s="288" t="s">
        <v>598</v>
      </c>
      <c r="JRE341" s="288" t="s">
        <v>598</v>
      </c>
      <c r="JRF341" s="288" t="s">
        <v>598</v>
      </c>
      <c r="JRG341" s="288" t="s">
        <v>598</v>
      </c>
      <c r="JRH341" s="288" t="s">
        <v>598</v>
      </c>
      <c r="JRI341" s="288" t="s">
        <v>598</v>
      </c>
      <c r="JRJ341" s="288" t="s">
        <v>598</v>
      </c>
      <c r="JRK341" s="288" t="s">
        <v>598</v>
      </c>
      <c r="JRL341" s="288" t="s">
        <v>598</v>
      </c>
      <c r="JRM341" s="288" t="s">
        <v>598</v>
      </c>
      <c r="JRN341" s="288" t="s">
        <v>598</v>
      </c>
      <c r="JRO341" s="288" t="s">
        <v>598</v>
      </c>
      <c r="JRP341" s="288" t="s">
        <v>598</v>
      </c>
      <c r="JRQ341" s="288" t="s">
        <v>598</v>
      </c>
      <c r="JRR341" s="288" t="s">
        <v>598</v>
      </c>
      <c r="JRS341" s="288" t="s">
        <v>598</v>
      </c>
      <c r="JRT341" s="288" t="s">
        <v>598</v>
      </c>
      <c r="JRU341" s="288" t="s">
        <v>598</v>
      </c>
      <c r="JRV341" s="288" t="s">
        <v>598</v>
      </c>
      <c r="JRW341" s="288" t="s">
        <v>598</v>
      </c>
      <c r="JRX341" s="288" t="s">
        <v>598</v>
      </c>
      <c r="JRY341" s="288" t="s">
        <v>598</v>
      </c>
      <c r="JRZ341" s="288" t="s">
        <v>598</v>
      </c>
      <c r="JSA341" s="288" t="s">
        <v>598</v>
      </c>
      <c r="JSB341" s="288" t="s">
        <v>598</v>
      </c>
      <c r="JSC341" s="288" t="s">
        <v>598</v>
      </c>
      <c r="JSD341" s="288" t="s">
        <v>598</v>
      </c>
      <c r="JSE341" s="288" t="s">
        <v>598</v>
      </c>
      <c r="JSF341" s="288" t="s">
        <v>598</v>
      </c>
      <c r="JSG341" s="288" t="s">
        <v>598</v>
      </c>
      <c r="JSH341" s="288" t="s">
        <v>598</v>
      </c>
      <c r="JSI341" s="288" t="s">
        <v>598</v>
      </c>
      <c r="JSJ341" s="288" t="s">
        <v>598</v>
      </c>
      <c r="JSK341" s="288" t="s">
        <v>598</v>
      </c>
      <c r="JSL341" s="288" t="s">
        <v>598</v>
      </c>
      <c r="JSM341" s="288" t="s">
        <v>598</v>
      </c>
      <c r="JSN341" s="288" t="s">
        <v>598</v>
      </c>
      <c r="JSO341" s="288" t="s">
        <v>598</v>
      </c>
      <c r="JSP341" s="288" t="s">
        <v>598</v>
      </c>
      <c r="JSQ341" s="288" t="s">
        <v>598</v>
      </c>
      <c r="JSR341" s="288" t="s">
        <v>598</v>
      </c>
      <c r="JSS341" s="288" t="s">
        <v>598</v>
      </c>
      <c r="JST341" s="288" t="s">
        <v>598</v>
      </c>
      <c r="JSU341" s="288" t="s">
        <v>598</v>
      </c>
      <c r="JSV341" s="288" t="s">
        <v>598</v>
      </c>
      <c r="JSW341" s="288" t="s">
        <v>598</v>
      </c>
      <c r="JSX341" s="288" t="s">
        <v>598</v>
      </c>
      <c r="JSY341" s="288" t="s">
        <v>598</v>
      </c>
      <c r="JSZ341" s="288" t="s">
        <v>598</v>
      </c>
      <c r="JTA341" s="288" t="s">
        <v>598</v>
      </c>
      <c r="JTB341" s="288" t="s">
        <v>598</v>
      </c>
      <c r="JTC341" s="288" t="s">
        <v>598</v>
      </c>
      <c r="JTD341" s="288" t="s">
        <v>598</v>
      </c>
      <c r="JTE341" s="288" t="s">
        <v>598</v>
      </c>
      <c r="JTF341" s="288" t="s">
        <v>598</v>
      </c>
      <c r="JTG341" s="288" t="s">
        <v>598</v>
      </c>
      <c r="JTH341" s="288" t="s">
        <v>598</v>
      </c>
      <c r="JTI341" s="288" t="s">
        <v>598</v>
      </c>
      <c r="JTJ341" s="288" t="s">
        <v>598</v>
      </c>
      <c r="JTK341" s="288" t="s">
        <v>598</v>
      </c>
      <c r="JTL341" s="288" t="s">
        <v>598</v>
      </c>
      <c r="JTM341" s="288" t="s">
        <v>598</v>
      </c>
      <c r="JTN341" s="288" t="s">
        <v>598</v>
      </c>
      <c r="JTO341" s="288" t="s">
        <v>598</v>
      </c>
      <c r="JTP341" s="288" t="s">
        <v>598</v>
      </c>
      <c r="JTQ341" s="288" t="s">
        <v>598</v>
      </c>
      <c r="JTR341" s="288" t="s">
        <v>598</v>
      </c>
      <c r="JTS341" s="288" t="s">
        <v>598</v>
      </c>
      <c r="JTT341" s="288" t="s">
        <v>598</v>
      </c>
      <c r="JTU341" s="288" t="s">
        <v>598</v>
      </c>
      <c r="JTV341" s="288" t="s">
        <v>598</v>
      </c>
      <c r="JTW341" s="288" t="s">
        <v>598</v>
      </c>
      <c r="JTX341" s="288" t="s">
        <v>598</v>
      </c>
      <c r="JTY341" s="288" t="s">
        <v>598</v>
      </c>
      <c r="JTZ341" s="288" t="s">
        <v>598</v>
      </c>
      <c r="JUA341" s="288" t="s">
        <v>598</v>
      </c>
      <c r="JUB341" s="288" t="s">
        <v>598</v>
      </c>
      <c r="JUC341" s="288" t="s">
        <v>598</v>
      </c>
      <c r="JUD341" s="288" t="s">
        <v>598</v>
      </c>
      <c r="JUE341" s="288" t="s">
        <v>598</v>
      </c>
      <c r="JUF341" s="288" t="s">
        <v>598</v>
      </c>
      <c r="JUG341" s="288" t="s">
        <v>598</v>
      </c>
      <c r="JUH341" s="288" t="s">
        <v>598</v>
      </c>
      <c r="JUI341" s="288" t="s">
        <v>598</v>
      </c>
      <c r="JUJ341" s="288" t="s">
        <v>598</v>
      </c>
      <c r="JUK341" s="288" t="s">
        <v>598</v>
      </c>
      <c r="JUL341" s="288" t="s">
        <v>598</v>
      </c>
      <c r="JUM341" s="288" t="s">
        <v>598</v>
      </c>
      <c r="JUN341" s="288" t="s">
        <v>598</v>
      </c>
      <c r="JUO341" s="288" t="s">
        <v>598</v>
      </c>
      <c r="JUP341" s="288" t="s">
        <v>598</v>
      </c>
      <c r="JUQ341" s="288" t="s">
        <v>598</v>
      </c>
      <c r="JUR341" s="288" t="s">
        <v>598</v>
      </c>
      <c r="JUS341" s="288" t="s">
        <v>598</v>
      </c>
      <c r="JUT341" s="288" t="s">
        <v>598</v>
      </c>
      <c r="JUU341" s="288" t="s">
        <v>598</v>
      </c>
      <c r="JUV341" s="288" t="s">
        <v>598</v>
      </c>
      <c r="JUW341" s="288" t="s">
        <v>598</v>
      </c>
      <c r="JUX341" s="288" t="s">
        <v>598</v>
      </c>
      <c r="JUY341" s="288" t="s">
        <v>598</v>
      </c>
      <c r="JUZ341" s="288" t="s">
        <v>598</v>
      </c>
      <c r="JVA341" s="288" t="s">
        <v>598</v>
      </c>
      <c r="JVB341" s="288" t="s">
        <v>598</v>
      </c>
      <c r="JVC341" s="288" t="s">
        <v>598</v>
      </c>
      <c r="JVD341" s="288" t="s">
        <v>598</v>
      </c>
      <c r="JVE341" s="288" t="s">
        <v>598</v>
      </c>
      <c r="JVF341" s="288" t="s">
        <v>598</v>
      </c>
      <c r="JVG341" s="288" t="s">
        <v>598</v>
      </c>
      <c r="JVH341" s="288" t="s">
        <v>598</v>
      </c>
      <c r="JVI341" s="288" t="s">
        <v>598</v>
      </c>
      <c r="JVJ341" s="288" t="s">
        <v>598</v>
      </c>
      <c r="JVK341" s="288" t="s">
        <v>598</v>
      </c>
      <c r="JVL341" s="288" t="s">
        <v>598</v>
      </c>
      <c r="JVM341" s="288" t="s">
        <v>598</v>
      </c>
      <c r="JVN341" s="288" t="s">
        <v>598</v>
      </c>
      <c r="JVO341" s="288" t="s">
        <v>598</v>
      </c>
      <c r="JVP341" s="288" t="s">
        <v>598</v>
      </c>
      <c r="JVQ341" s="288" t="s">
        <v>598</v>
      </c>
      <c r="JVR341" s="288" t="s">
        <v>598</v>
      </c>
      <c r="JVS341" s="288" t="s">
        <v>598</v>
      </c>
      <c r="JVT341" s="288" t="s">
        <v>598</v>
      </c>
      <c r="JVU341" s="288" t="s">
        <v>598</v>
      </c>
      <c r="JVV341" s="288" t="s">
        <v>598</v>
      </c>
      <c r="JVW341" s="288" t="s">
        <v>598</v>
      </c>
      <c r="JVX341" s="288" t="s">
        <v>598</v>
      </c>
      <c r="JVY341" s="288" t="s">
        <v>598</v>
      </c>
      <c r="JVZ341" s="288" t="s">
        <v>598</v>
      </c>
      <c r="JWA341" s="288" t="s">
        <v>598</v>
      </c>
      <c r="JWB341" s="288" t="s">
        <v>598</v>
      </c>
      <c r="JWC341" s="288" t="s">
        <v>598</v>
      </c>
      <c r="JWD341" s="288" t="s">
        <v>598</v>
      </c>
      <c r="JWE341" s="288" t="s">
        <v>598</v>
      </c>
      <c r="JWF341" s="288" t="s">
        <v>598</v>
      </c>
      <c r="JWG341" s="288" t="s">
        <v>598</v>
      </c>
      <c r="JWH341" s="288" t="s">
        <v>598</v>
      </c>
      <c r="JWI341" s="288" t="s">
        <v>598</v>
      </c>
      <c r="JWJ341" s="288" t="s">
        <v>598</v>
      </c>
      <c r="JWK341" s="288" t="s">
        <v>598</v>
      </c>
      <c r="JWL341" s="288" t="s">
        <v>598</v>
      </c>
      <c r="JWM341" s="288" t="s">
        <v>598</v>
      </c>
      <c r="JWN341" s="288" t="s">
        <v>598</v>
      </c>
      <c r="JWO341" s="288" t="s">
        <v>598</v>
      </c>
      <c r="JWP341" s="288" t="s">
        <v>598</v>
      </c>
      <c r="JWQ341" s="288" t="s">
        <v>598</v>
      </c>
      <c r="JWR341" s="288" t="s">
        <v>598</v>
      </c>
      <c r="JWS341" s="288" t="s">
        <v>598</v>
      </c>
      <c r="JWT341" s="288" t="s">
        <v>598</v>
      </c>
      <c r="JWU341" s="288" t="s">
        <v>598</v>
      </c>
      <c r="JWV341" s="288" t="s">
        <v>598</v>
      </c>
      <c r="JWW341" s="288" t="s">
        <v>598</v>
      </c>
      <c r="JWX341" s="288" t="s">
        <v>598</v>
      </c>
      <c r="JWY341" s="288" t="s">
        <v>598</v>
      </c>
      <c r="JWZ341" s="288" t="s">
        <v>598</v>
      </c>
      <c r="JXA341" s="288" t="s">
        <v>598</v>
      </c>
      <c r="JXB341" s="288" t="s">
        <v>598</v>
      </c>
      <c r="JXC341" s="288" t="s">
        <v>598</v>
      </c>
      <c r="JXD341" s="288" t="s">
        <v>598</v>
      </c>
      <c r="JXE341" s="288" t="s">
        <v>598</v>
      </c>
      <c r="JXF341" s="288" t="s">
        <v>598</v>
      </c>
      <c r="JXG341" s="288" t="s">
        <v>598</v>
      </c>
      <c r="JXH341" s="288" t="s">
        <v>598</v>
      </c>
      <c r="JXI341" s="288" t="s">
        <v>598</v>
      </c>
      <c r="JXJ341" s="288" t="s">
        <v>598</v>
      </c>
      <c r="JXK341" s="288" t="s">
        <v>598</v>
      </c>
      <c r="JXL341" s="288" t="s">
        <v>598</v>
      </c>
      <c r="JXM341" s="288" t="s">
        <v>598</v>
      </c>
      <c r="JXN341" s="288" t="s">
        <v>598</v>
      </c>
      <c r="JXO341" s="288" t="s">
        <v>598</v>
      </c>
      <c r="JXP341" s="288" t="s">
        <v>598</v>
      </c>
      <c r="JXQ341" s="288" t="s">
        <v>598</v>
      </c>
      <c r="JXR341" s="288" t="s">
        <v>598</v>
      </c>
      <c r="JXS341" s="288" t="s">
        <v>598</v>
      </c>
      <c r="JXT341" s="288" t="s">
        <v>598</v>
      </c>
      <c r="JXU341" s="288" t="s">
        <v>598</v>
      </c>
      <c r="JXV341" s="288" t="s">
        <v>598</v>
      </c>
      <c r="JXW341" s="288" t="s">
        <v>598</v>
      </c>
      <c r="JXX341" s="288" t="s">
        <v>598</v>
      </c>
      <c r="JXY341" s="288" t="s">
        <v>598</v>
      </c>
      <c r="JXZ341" s="288" t="s">
        <v>598</v>
      </c>
      <c r="JYA341" s="288" t="s">
        <v>598</v>
      </c>
      <c r="JYB341" s="288" t="s">
        <v>598</v>
      </c>
      <c r="JYC341" s="288" t="s">
        <v>598</v>
      </c>
      <c r="JYD341" s="288" t="s">
        <v>598</v>
      </c>
      <c r="JYE341" s="288" t="s">
        <v>598</v>
      </c>
      <c r="JYF341" s="288" t="s">
        <v>598</v>
      </c>
      <c r="JYG341" s="288" t="s">
        <v>598</v>
      </c>
      <c r="JYH341" s="288" t="s">
        <v>598</v>
      </c>
      <c r="JYI341" s="288" t="s">
        <v>598</v>
      </c>
      <c r="JYJ341" s="288" t="s">
        <v>598</v>
      </c>
      <c r="JYK341" s="288" t="s">
        <v>598</v>
      </c>
      <c r="JYL341" s="288" t="s">
        <v>598</v>
      </c>
      <c r="JYM341" s="288" t="s">
        <v>598</v>
      </c>
      <c r="JYN341" s="288" t="s">
        <v>598</v>
      </c>
      <c r="JYO341" s="288" t="s">
        <v>598</v>
      </c>
      <c r="JYP341" s="288" t="s">
        <v>598</v>
      </c>
      <c r="JYQ341" s="288" t="s">
        <v>598</v>
      </c>
      <c r="JYR341" s="288" t="s">
        <v>598</v>
      </c>
      <c r="JYS341" s="288" t="s">
        <v>598</v>
      </c>
      <c r="JYT341" s="288" t="s">
        <v>598</v>
      </c>
      <c r="JYU341" s="288" t="s">
        <v>598</v>
      </c>
      <c r="JYV341" s="288" t="s">
        <v>598</v>
      </c>
      <c r="JYW341" s="288" t="s">
        <v>598</v>
      </c>
      <c r="JYX341" s="288" t="s">
        <v>598</v>
      </c>
      <c r="JYY341" s="288" t="s">
        <v>598</v>
      </c>
      <c r="JYZ341" s="288" t="s">
        <v>598</v>
      </c>
      <c r="JZA341" s="288" t="s">
        <v>598</v>
      </c>
      <c r="JZB341" s="288" t="s">
        <v>598</v>
      </c>
      <c r="JZC341" s="288" t="s">
        <v>598</v>
      </c>
      <c r="JZD341" s="288" t="s">
        <v>598</v>
      </c>
      <c r="JZE341" s="288" t="s">
        <v>598</v>
      </c>
      <c r="JZF341" s="288" t="s">
        <v>598</v>
      </c>
      <c r="JZG341" s="288" t="s">
        <v>598</v>
      </c>
      <c r="JZH341" s="288" t="s">
        <v>598</v>
      </c>
      <c r="JZI341" s="288" t="s">
        <v>598</v>
      </c>
      <c r="JZJ341" s="288" t="s">
        <v>598</v>
      </c>
      <c r="JZK341" s="288" t="s">
        <v>598</v>
      </c>
      <c r="JZL341" s="288" t="s">
        <v>598</v>
      </c>
      <c r="JZM341" s="288" t="s">
        <v>598</v>
      </c>
      <c r="JZN341" s="288" t="s">
        <v>598</v>
      </c>
      <c r="JZO341" s="288" t="s">
        <v>598</v>
      </c>
      <c r="JZP341" s="288" t="s">
        <v>598</v>
      </c>
      <c r="JZQ341" s="288" t="s">
        <v>598</v>
      </c>
      <c r="JZR341" s="288" t="s">
        <v>598</v>
      </c>
      <c r="JZS341" s="288" t="s">
        <v>598</v>
      </c>
      <c r="JZT341" s="288" t="s">
        <v>598</v>
      </c>
      <c r="JZU341" s="288" t="s">
        <v>598</v>
      </c>
      <c r="JZV341" s="288" t="s">
        <v>598</v>
      </c>
      <c r="JZW341" s="288" t="s">
        <v>598</v>
      </c>
      <c r="JZX341" s="288" t="s">
        <v>598</v>
      </c>
      <c r="JZY341" s="288" t="s">
        <v>598</v>
      </c>
      <c r="JZZ341" s="288" t="s">
        <v>598</v>
      </c>
      <c r="KAA341" s="288" t="s">
        <v>598</v>
      </c>
      <c r="KAB341" s="288" t="s">
        <v>598</v>
      </c>
      <c r="KAC341" s="288" t="s">
        <v>598</v>
      </c>
      <c r="KAD341" s="288" t="s">
        <v>598</v>
      </c>
      <c r="KAE341" s="288" t="s">
        <v>598</v>
      </c>
      <c r="KAF341" s="288" t="s">
        <v>598</v>
      </c>
      <c r="KAG341" s="288" t="s">
        <v>598</v>
      </c>
      <c r="KAH341" s="288" t="s">
        <v>598</v>
      </c>
      <c r="KAI341" s="288" t="s">
        <v>598</v>
      </c>
      <c r="KAJ341" s="288" t="s">
        <v>598</v>
      </c>
      <c r="KAK341" s="288" t="s">
        <v>598</v>
      </c>
      <c r="KAL341" s="288" t="s">
        <v>598</v>
      </c>
      <c r="KAM341" s="288" t="s">
        <v>598</v>
      </c>
      <c r="KAN341" s="288" t="s">
        <v>598</v>
      </c>
      <c r="KAO341" s="288" t="s">
        <v>598</v>
      </c>
      <c r="KAP341" s="288" t="s">
        <v>598</v>
      </c>
      <c r="KAQ341" s="288" t="s">
        <v>598</v>
      </c>
      <c r="KAR341" s="288" t="s">
        <v>598</v>
      </c>
      <c r="KAS341" s="288" t="s">
        <v>598</v>
      </c>
      <c r="KAT341" s="288" t="s">
        <v>598</v>
      </c>
      <c r="KAU341" s="288" t="s">
        <v>598</v>
      </c>
      <c r="KAV341" s="288" t="s">
        <v>598</v>
      </c>
      <c r="KAW341" s="288" t="s">
        <v>598</v>
      </c>
      <c r="KAX341" s="288" t="s">
        <v>598</v>
      </c>
      <c r="KAY341" s="288" t="s">
        <v>598</v>
      </c>
      <c r="KAZ341" s="288" t="s">
        <v>598</v>
      </c>
      <c r="KBA341" s="288" t="s">
        <v>598</v>
      </c>
      <c r="KBB341" s="288" t="s">
        <v>598</v>
      </c>
      <c r="KBC341" s="288" t="s">
        <v>598</v>
      </c>
      <c r="KBD341" s="288" t="s">
        <v>598</v>
      </c>
      <c r="KBE341" s="288" t="s">
        <v>598</v>
      </c>
      <c r="KBF341" s="288" t="s">
        <v>598</v>
      </c>
      <c r="KBG341" s="288" t="s">
        <v>598</v>
      </c>
      <c r="KBH341" s="288" t="s">
        <v>598</v>
      </c>
      <c r="KBI341" s="288" t="s">
        <v>598</v>
      </c>
      <c r="KBJ341" s="288" t="s">
        <v>598</v>
      </c>
      <c r="KBK341" s="288" t="s">
        <v>598</v>
      </c>
      <c r="KBL341" s="288" t="s">
        <v>598</v>
      </c>
      <c r="KBM341" s="288" t="s">
        <v>598</v>
      </c>
      <c r="KBN341" s="288" t="s">
        <v>598</v>
      </c>
      <c r="KBO341" s="288" t="s">
        <v>598</v>
      </c>
      <c r="KBP341" s="288" t="s">
        <v>598</v>
      </c>
      <c r="KBQ341" s="288" t="s">
        <v>598</v>
      </c>
      <c r="KBR341" s="288" t="s">
        <v>598</v>
      </c>
      <c r="KBS341" s="288" t="s">
        <v>598</v>
      </c>
      <c r="KBT341" s="288" t="s">
        <v>598</v>
      </c>
      <c r="KBU341" s="288" t="s">
        <v>598</v>
      </c>
      <c r="KBV341" s="288" t="s">
        <v>598</v>
      </c>
      <c r="KBW341" s="288" t="s">
        <v>598</v>
      </c>
      <c r="KBX341" s="288" t="s">
        <v>598</v>
      </c>
      <c r="KBY341" s="288" t="s">
        <v>598</v>
      </c>
      <c r="KBZ341" s="288" t="s">
        <v>598</v>
      </c>
      <c r="KCA341" s="288" t="s">
        <v>598</v>
      </c>
      <c r="KCB341" s="288" t="s">
        <v>598</v>
      </c>
      <c r="KCC341" s="288" t="s">
        <v>598</v>
      </c>
      <c r="KCD341" s="288" t="s">
        <v>598</v>
      </c>
      <c r="KCE341" s="288" t="s">
        <v>598</v>
      </c>
      <c r="KCF341" s="288" t="s">
        <v>598</v>
      </c>
      <c r="KCG341" s="288" t="s">
        <v>598</v>
      </c>
      <c r="KCH341" s="288" t="s">
        <v>598</v>
      </c>
      <c r="KCI341" s="288" t="s">
        <v>598</v>
      </c>
      <c r="KCJ341" s="288" t="s">
        <v>598</v>
      </c>
      <c r="KCK341" s="288" t="s">
        <v>598</v>
      </c>
      <c r="KCL341" s="288" t="s">
        <v>598</v>
      </c>
      <c r="KCM341" s="288" t="s">
        <v>598</v>
      </c>
      <c r="KCN341" s="288" t="s">
        <v>598</v>
      </c>
      <c r="KCO341" s="288" t="s">
        <v>598</v>
      </c>
      <c r="KCP341" s="288" t="s">
        <v>598</v>
      </c>
      <c r="KCQ341" s="288" t="s">
        <v>598</v>
      </c>
      <c r="KCR341" s="288" t="s">
        <v>598</v>
      </c>
      <c r="KCS341" s="288" t="s">
        <v>598</v>
      </c>
      <c r="KCT341" s="288" t="s">
        <v>598</v>
      </c>
      <c r="KCU341" s="288" t="s">
        <v>598</v>
      </c>
      <c r="KCV341" s="288" t="s">
        <v>598</v>
      </c>
      <c r="KCW341" s="288" t="s">
        <v>598</v>
      </c>
      <c r="KCX341" s="288" t="s">
        <v>598</v>
      </c>
      <c r="KCY341" s="288" t="s">
        <v>598</v>
      </c>
      <c r="KCZ341" s="288" t="s">
        <v>598</v>
      </c>
      <c r="KDA341" s="288" t="s">
        <v>598</v>
      </c>
      <c r="KDB341" s="288" t="s">
        <v>598</v>
      </c>
      <c r="KDC341" s="288" t="s">
        <v>598</v>
      </c>
      <c r="KDD341" s="288" t="s">
        <v>598</v>
      </c>
      <c r="KDE341" s="288" t="s">
        <v>598</v>
      </c>
      <c r="KDF341" s="288" t="s">
        <v>598</v>
      </c>
      <c r="KDG341" s="288" t="s">
        <v>598</v>
      </c>
      <c r="KDH341" s="288" t="s">
        <v>598</v>
      </c>
      <c r="KDI341" s="288" t="s">
        <v>598</v>
      </c>
      <c r="KDJ341" s="288" t="s">
        <v>598</v>
      </c>
      <c r="KDK341" s="288" t="s">
        <v>598</v>
      </c>
      <c r="KDL341" s="288" t="s">
        <v>598</v>
      </c>
      <c r="KDM341" s="288" t="s">
        <v>598</v>
      </c>
      <c r="KDN341" s="288" t="s">
        <v>598</v>
      </c>
      <c r="KDO341" s="288" t="s">
        <v>598</v>
      </c>
      <c r="KDP341" s="288" t="s">
        <v>598</v>
      </c>
      <c r="KDQ341" s="288" t="s">
        <v>598</v>
      </c>
      <c r="KDR341" s="288" t="s">
        <v>598</v>
      </c>
      <c r="KDS341" s="288" t="s">
        <v>598</v>
      </c>
      <c r="KDT341" s="288" t="s">
        <v>598</v>
      </c>
      <c r="KDU341" s="288" t="s">
        <v>598</v>
      </c>
      <c r="KDV341" s="288" t="s">
        <v>598</v>
      </c>
      <c r="KDW341" s="288" t="s">
        <v>598</v>
      </c>
      <c r="KDX341" s="288" t="s">
        <v>598</v>
      </c>
      <c r="KDY341" s="288" t="s">
        <v>598</v>
      </c>
      <c r="KDZ341" s="288" t="s">
        <v>598</v>
      </c>
      <c r="KEA341" s="288" t="s">
        <v>598</v>
      </c>
      <c r="KEB341" s="288" t="s">
        <v>598</v>
      </c>
      <c r="KEC341" s="288" t="s">
        <v>598</v>
      </c>
      <c r="KED341" s="288" t="s">
        <v>598</v>
      </c>
      <c r="KEE341" s="288" t="s">
        <v>598</v>
      </c>
      <c r="KEF341" s="288" t="s">
        <v>598</v>
      </c>
      <c r="KEG341" s="288" t="s">
        <v>598</v>
      </c>
      <c r="KEH341" s="288" t="s">
        <v>598</v>
      </c>
      <c r="KEI341" s="288" t="s">
        <v>598</v>
      </c>
      <c r="KEJ341" s="288" t="s">
        <v>598</v>
      </c>
      <c r="KEK341" s="288" t="s">
        <v>598</v>
      </c>
      <c r="KEL341" s="288" t="s">
        <v>598</v>
      </c>
      <c r="KEM341" s="288" t="s">
        <v>598</v>
      </c>
      <c r="KEN341" s="288" t="s">
        <v>598</v>
      </c>
      <c r="KEO341" s="288" t="s">
        <v>598</v>
      </c>
      <c r="KEP341" s="288" t="s">
        <v>598</v>
      </c>
      <c r="KEQ341" s="288" t="s">
        <v>598</v>
      </c>
      <c r="KER341" s="288" t="s">
        <v>598</v>
      </c>
      <c r="KES341" s="288" t="s">
        <v>598</v>
      </c>
      <c r="KET341" s="288" t="s">
        <v>598</v>
      </c>
      <c r="KEU341" s="288" t="s">
        <v>598</v>
      </c>
      <c r="KEV341" s="288" t="s">
        <v>598</v>
      </c>
      <c r="KEW341" s="288" t="s">
        <v>598</v>
      </c>
      <c r="KEX341" s="288" t="s">
        <v>598</v>
      </c>
      <c r="KEY341" s="288" t="s">
        <v>598</v>
      </c>
      <c r="KEZ341" s="288" t="s">
        <v>598</v>
      </c>
      <c r="KFA341" s="288" t="s">
        <v>598</v>
      </c>
      <c r="KFB341" s="288" t="s">
        <v>598</v>
      </c>
      <c r="KFC341" s="288" t="s">
        <v>598</v>
      </c>
      <c r="KFD341" s="288" t="s">
        <v>598</v>
      </c>
      <c r="KFE341" s="288" t="s">
        <v>598</v>
      </c>
      <c r="KFF341" s="288" t="s">
        <v>598</v>
      </c>
      <c r="KFG341" s="288" t="s">
        <v>598</v>
      </c>
      <c r="KFH341" s="288" t="s">
        <v>598</v>
      </c>
      <c r="KFI341" s="288" t="s">
        <v>598</v>
      </c>
      <c r="KFJ341" s="288" t="s">
        <v>598</v>
      </c>
      <c r="KFK341" s="288" t="s">
        <v>598</v>
      </c>
      <c r="KFL341" s="288" t="s">
        <v>598</v>
      </c>
      <c r="KFM341" s="288" t="s">
        <v>598</v>
      </c>
      <c r="KFN341" s="288" t="s">
        <v>598</v>
      </c>
      <c r="KFO341" s="288" t="s">
        <v>598</v>
      </c>
      <c r="KFP341" s="288" t="s">
        <v>598</v>
      </c>
      <c r="KFQ341" s="288" t="s">
        <v>598</v>
      </c>
      <c r="KFR341" s="288" t="s">
        <v>598</v>
      </c>
      <c r="KFS341" s="288" t="s">
        <v>598</v>
      </c>
      <c r="KFT341" s="288" t="s">
        <v>598</v>
      </c>
      <c r="KFU341" s="288" t="s">
        <v>598</v>
      </c>
      <c r="KFV341" s="288" t="s">
        <v>598</v>
      </c>
      <c r="KFW341" s="288" t="s">
        <v>598</v>
      </c>
      <c r="KFX341" s="288" t="s">
        <v>598</v>
      </c>
      <c r="KFY341" s="288" t="s">
        <v>598</v>
      </c>
      <c r="KFZ341" s="288" t="s">
        <v>598</v>
      </c>
      <c r="KGA341" s="288" t="s">
        <v>598</v>
      </c>
      <c r="KGB341" s="288" t="s">
        <v>598</v>
      </c>
      <c r="KGC341" s="288" t="s">
        <v>598</v>
      </c>
      <c r="KGD341" s="288" t="s">
        <v>598</v>
      </c>
      <c r="KGE341" s="288" t="s">
        <v>598</v>
      </c>
      <c r="KGF341" s="288" t="s">
        <v>598</v>
      </c>
      <c r="KGG341" s="288" t="s">
        <v>598</v>
      </c>
      <c r="KGH341" s="288" t="s">
        <v>598</v>
      </c>
      <c r="KGI341" s="288" t="s">
        <v>598</v>
      </c>
      <c r="KGJ341" s="288" t="s">
        <v>598</v>
      </c>
      <c r="KGK341" s="288" t="s">
        <v>598</v>
      </c>
      <c r="KGL341" s="288" t="s">
        <v>598</v>
      </c>
      <c r="KGM341" s="288" t="s">
        <v>598</v>
      </c>
      <c r="KGN341" s="288" t="s">
        <v>598</v>
      </c>
      <c r="KGO341" s="288" t="s">
        <v>598</v>
      </c>
      <c r="KGP341" s="288" t="s">
        <v>598</v>
      </c>
      <c r="KGQ341" s="288" t="s">
        <v>598</v>
      </c>
      <c r="KGR341" s="288" t="s">
        <v>598</v>
      </c>
      <c r="KGS341" s="288" t="s">
        <v>598</v>
      </c>
      <c r="KGT341" s="288" t="s">
        <v>598</v>
      </c>
      <c r="KGU341" s="288" t="s">
        <v>598</v>
      </c>
      <c r="KGV341" s="288" t="s">
        <v>598</v>
      </c>
      <c r="KGW341" s="288" t="s">
        <v>598</v>
      </c>
      <c r="KGX341" s="288" t="s">
        <v>598</v>
      </c>
      <c r="KGY341" s="288" t="s">
        <v>598</v>
      </c>
      <c r="KGZ341" s="288" t="s">
        <v>598</v>
      </c>
      <c r="KHA341" s="288" t="s">
        <v>598</v>
      </c>
      <c r="KHB341" s="288" t="s">
        <v>598</v>
      </c>
      <c r="KHC341" s="288" t="s">
        <v>598</v>
      </c>
      <c r="KHD341" s="288" t="s">
        <v>598</v>
      </c>
      <c r="KHE341" s="288" t="s">
        <v>598</v>
      </c>
      <c r="KHF341" s="288" t="s">
        <v>598</v>
      </c>
      <c r="KHG341" s="288" t="s">
        <v>598</v>
      </c>
      <c r="KHH341" s="288" t="s">
        <v>598</v>
      </c>
      <c r="KHI341" s="288" t="s">
        <v>598</v>
      </c>
      <c r="KHJ341" s="288" t="s">
        <v>598</v>
      </c>
      <c r="KHK341" s="288" t="s">
        <v>598</v>
      </c>
      <c r="KHL341" s="288" t="s">
        <v>598</v>
      </c>
      <c r="KHM341" s="288" t="s">
        <v>598</v>
      </c>
      <c r="KHN341" s="288" t="s">
        <v>598</v>
      </c>
      <c r="KHO341" s="288" t="s">
        <v>598</v>
      </c>
      <c r="KHP341" s="288" t="s">
        <v>598</v>
      </c>
      <c r="KHQ341" s="288" t="s">
        <v>598</v>
      </c>
      <c r="KHR341" s="288" t="s">
        <v>598</v>
      </c>
      <c r="KHS341" s="288" t="s">
        <v>598</v>
      </c>
      <c r="KHT341" s="288" t="s">
        <v>598</v>
      </c>
      <c r="KHU341" s="288" t="s">
        <v>598</v>
      </c>
      <c r="KHV341" s="288" t="s">
        <v>598</v>
      </c>
      <c r="KHW341" s="288" t="s">
        <v>598</v>
      </c>
      <c r="KHX341" s="288" t="s">
        <v>598</v>
      </c>
      <c r="KHY341" s="288" t="s">
        <v>598</v>
      </c>
      <c r="KHZ341" s="288" t="s">
        <v>598</v>
      </c>
      <c r="KIA341" s="288" t="s">
        <v>598</v>
      </c>
      <c r="KIB341" s="288" t="s">
        <v>598</v>
      </c>
      <c r="KIC341" s="288" t="s">
        <v>598</v>
      </c>
      <c r="KID341" s="288" t="s">
        <v>598</v>
      </c>
      <c r="KIE341" s="288" t="s">
        <v>598</v>
      </c>
      <c r="KIF341" s="288" t="s">
        <v>598</v>
      </c>
      <c r="KIG341" s="288" t="s">
        <v>598</v>
      </c>
      <c r="KIH341" s="288" t="s">
        <v>598</v>
      </c>
      <c r="KII341" s="288" t="s">
        <v>598</v>
      </c>
      <c r="KIJ341" s="288" t="s">
        <v>598</v>
      </c>
      <c r="KIK341" s="288" t="s">
        <v>598</v>
      </c>
      <c r="KIL341" s="288" t="s">
        <v>598</v>
      </c>
      <c r="KIM341" s="288" t="s">
        <v>598</v>
      </c>
      <c r="KIN341" s="288" t="s">
        <v>598</v>
      </c>
      <c r="KIO341" s="288" t="s">
        <v>598</v>
      </c>
      <c r="KIP341" s="288" t="s">
        <v>598</v>
      </c>
      <c r="KIQ341" s="288" t="s">
        <v>598</v>
      </c>
      <c r="KIR341" s="288" t="s">
        <v>598</v>
      </c>
      <c r="KIS341" s="288" t="s">
        <v>598</v>
      </c>
      <c r="KIT341" s="288" t="s">
        <v>598</v>
      </c>
      <c r="KIU341" s="288" t="s">
        <v>598</v>
      </c>
      <c r="KIV341" s="288" t="s">
        <v>598</v>
      </c>
      <c r="KIW341" s="288" t="s">
        <v>598</v>
      </c>
      <c r="KIX341" s="288" t="s">
        <v>598</v>
      </c>
      <c r="KIY341" s="288" t="s">
        <v>598</v>
      </c>
      <c r="KIZ341" s="288" t="s">
        <v>598</v>
      </c>
      <c r="KJA341" s="288" t="s">
        <v>598</v>
      </c>
      <c r="KJB341" s="288" t="s">
        <v>598</v>
      </c>
      <c r="KJC341" s="288" t="s">
        <v>598</v>
      </c>
      <c r="KJD341" s="288" t="s">
        <v>598</v>
      </c>
      <c r="KJE341" s="288" t="s">
        <v>598</v>
      </c>
      <c r="KJF341" s="288" t="s">
        <v>598</v>
      </c>
      <c r="KJG341" s="288" t="s">
        <v>598</v>
      </c>
      <c r="KJH341" s="288" t="s">
        <v>598</v>
      </c>
      <c r="KJI341" s="288" t="s">
        <v>598</v>
      </c>
      <c r="KJJ341" s="288" t="s">
        <v>598</v>
      </c>
      <c r="KJK341" s="288" t="s">
        <v>598</v>
      </c>
      <c r="KJL341" s="288" t="s">
        <v>598</v>
      </c>
      <c r="KJM341" s="288" t="s">
        <v>598</v>
      </c>
      <c r="KJN341" s="288" t="s">
        <v>598</v>
      </c>
      <c r="KJO341" s="288" t="s">
        <v>598</v>
      </c>
      <c r="KJP341" s="288" t="s">
        <v>598</v>
      </c>
      <c r="KJQ341" s="288" t="s">
        <v>598</v>
      </c>
      <c r="KJR341" s="288" t="s">
        <v>598</v>
      </c>
      <c r="KJS341" s="288" t="s">
        <v>598</v>
      </c>
      <c r="KJT341" s="288" t="s">
        <v>598</v>
      </c>
      <c r="KJU341" s="288" t="s">
        <v>598</v>
      </c>
      <c r="KJV341" s="288" t="s">
        <v>598</v>
      </c>
      <c r="KJW341" s="288" t="s">
        <v>598</v>
      </c>
      <c r="KJX341" s="288" t="s">
        <v>598</v>
      </c>
      <c r="KJY341" s="288" t="s">
        <v>598</v>
      </c>
      <c r="KJZ341" s="288" t="s">
        <v>598</v>
      </c>
      <c r="KKA341" s="288" t="s">
        <v>598</v>
      </c>
      <c r="KKB341" s="288" t="s">
        <v>598</v>
      </c>
      <c r="KKC341" s="288" t="s">
        <v>598</v>
      </c>
      <c r="KKD341" s="288" t="s">
        <v>598</v>
      </c>
      <c r="KKE341" s="288" t="s">
        <v>598</v>
      </c>
      <c r="KKF341" s="288" t="s">
        <v>598</v>
      </c>
      <c r="KKG341" s="288" t="s">
        <v>598</v>
      </c>
      <c r="KKH341" s="288" t="s">
        <v>598</v>
      </c>
      <c r="KKI341" s="288" t="s">
        <v>598</v>
      </c>
      <c r="KKJ341" s="288" t="s">
        <v>598</v>
      </c>
      <c r="KKK341" s="288" t="s">
        <v>598</v>
      </c>
      <c r="KKL341" s="288" t="s">
        <v>598</v>
      </c>
      <c r="KKM341" s="288" t="s">
        <v>598</v>
      </c>
      <c r="KKN341" s="288" t="s">
        <v>598</v>
      </c>
      <c r="KKO341" s="288" t="s">
        <v>598</v>
      </c>
      <c r="KKP341" s="288" t="s">
        <v>598</v>
      </c>
      <c r="KKQ341" s="288" t="s">
        <v>598</v>
      </c>
      <c r="KKR341" s="288" t="s">
        <v>598</v>
      </c>
      <c r="KKS341" s="288" t="s">
        <v>598</v>
      </c>
      <c r="KKT341" s="288" t="s">
        <v>598</v>
      </c>
      <c r="KKU341" s="288" t="s">
        <v>598</v>
      </c>
      <c r="KKV341" s="288" t="s">
        <v>598</v>
      </c>
      <c r="KKW341" s="288" t="s">
        <v>598</v>
      </c>
      <c r="KKX341" s="288" t="s">
        <v>598</v>
      </c>
      <c r="KKY341" s="288" t="s">
        <v>598</v>
      </c>
      <c r="KKZ341" s="288" t="s">
        <v>598</v>
      </c>
      <c r="KLA341" s="288" t="s">
        <v>598</v>
      </c>
      <c r="KLB341" s="288" t="s">
        <v>598</v>
      </c>
      <c r="KLC341" s="288" t="s">
        <v>598</v>
      </c>
      <c r="KLD341" s="288" t="s">
        <v>598</v>
      </c>
      <c r="KLE341" s="288" t="s">
        <v>598</v>
      </c>
      <c r="KLF341" s="288" t="s">
        <v>598</v>
      </c>
      <c r="KLG341" s="288" t="s">
        <v>598</v>
      </c>
      <c r="KLH341" s="288" t="s">
        <v>598</v>
      </c>
      <c r="KLI341" s="288" t="s">
        <v>598</v>
      </c>
      <c r="KLJ341" s="288" t="s">
        <v>598</v>
      </c>
      <c r="KLK341" s="288" t="s">
        <v>598</v>
      </c>
      <c r="KLL341" s="288" t="s">
        <v>598</v>
      </c>
      <c r="KLM341" s="288" t="s">
        <v>598</v>
      </c>
      <c r="KLN341" s="288" t="s">
        <v>598</v>
      </c>
      <c r="KLO341" s="288" t="s">
        <v>598</v>
      </c>
      <c r="KLP341" s="288" t="s">
        <v>598</v>
      </c>
      <c r="KLQ341" s="288" t="s">
        <v>598</v>
      </c>
      <c r="KLR341" s="288" t="s">
        <v>598</v>
      </c>
      <c r="KLS341" s="288" t="s">
        <v>598</v>
      </c>
      <c r="KLT341" s="288" t="s">
        <v>598</v>
      </c>
      <c r="KLU341" s="288" t="s">
        <v>598</v>
      </c>
      <c r="KLV341" s="288" t="s">
        <v>598</v>
      </c>
      <c r="KLW341" s="288" t="s">
        <v>598</v>
      </c>
      <c r="KLX341" s="288" t="s">
        <v>598</v>
      </c>
      <c r="KLY341" s="288" t="s">
        <v>598</v>
      </c>
      <c r="KLZ341" s="288" t="s">
        <v>598</v>
      </c>
      <c r="KMA341" s="288" t="s">
        <v>598</v>
      </c>
      <c r="KMB341" s="288" t="s">
        <v>598</v>
      </c>
      <c r="KMC341" s="288" t="s">
        <v>598</v>
      </c>
      <c r="KMD341" s="288" t="s">
        <v>598</v>
      </c>
      <c r="KME341" s="288" t="s">
        <v>598</v>
      </c>
      <c r="KMF341" s="288" t="s">
        <v>598</v>
      </c>
      <c r="KMG341" s="288" t="s">
        <v>598</v>
      </c>
      <c r="KMH341" s="288" t="s">
        <v>598</v>
      </c>
      <c r="KMI341" s="288" t="s">
        <v>598</v>
      </c>
      <c r="KMJ341" s="288" t="s">
        <v>598</v>
      </c>
      <c r="KMK341" s="288" t="s">
        <v>598</v>
      </c>
      <c r="KML341" s="288" t="s">
        <v>598</v>
      </c>
      <c r="KMM341" s="288" t="s">
        <v>598</v>
      </c>
      <c r="KMN341" s="288" t="s">
        <v>598</v>
      </c>
      <c r="KMO341" s="288" t="s">
        <v>598</v>
      </c>
      <c r="KMP341" s="288" t="s">
        <v>598</v>
      </c>
      <c r="KMQ341" s="288" t="s">
        <v>598</v>
      </c>
      <c r="KMR341" s="288" t="s">
        <v>598</v>
      </c>
      <c r="KMS341" s="288" t="s">
        <v>598</v>
      </c>
      <c r="KMT341" s="288" t="s">
        <v>598</v>
      </c>
      <c r="KMU341" s="288" t="s">
        <v>598</v>
      </c>
      <c r="KMV341" s="288" t="s">
        <v>598</v>
      </c>
      <c r="KMW341" s="288" t="s">
        <v>598</v>
      </c>
      <c r="KMX341" s="288" t="s">
        <v>598</v>
      </c>
      <c r="KMY341" s="288" t="s">
        <v>598</v>
      </c>
      <c r="KMZ341" s="288" t="s">
        <v>598</v>
      </c>
      <c r="KNA341" s="288" t="s">
        <v>598</v>
      </c>
      <c r="KNB341" s="288" t="s">
        <v>598</v>
      </c>
      <c r="KNC341" s="288" t="s">
        <v>598</v>
      </c>
      <c r="KND341" s="288" t="s">
        <v>598</v>
      </c>
      <c r="KNE341" s="288" t="s">
        <v>598</v>
      </c>
      <c r="KNF341" s="288" t="s">
        <v>598</v>
      </c>
      <c r="KNG341" s="288" t="s">
        <v>598</v>
      </c>
      <c r="KNH341" s="288" t="s">
        <v>598</v>
      </c>
      <c r="KNI341" s="288" t="s">
        <v>598</v>
      </c>
      <c r="KNJ341" s="288" t="s">
        <v>598</v>
      </c>
      <c r="KNK341" s="288" t="s">
        <v>598</v>
      </c>
      <c r="KNL341" s="288" t="s">
        <v>598</v>
      </c>
      <c r="KNM341" s="288" t="s">
        <v>598</v>
      </c>
      <c r="KNN341" s="288" t="s">
        <v>598</v>
      </c>
      <c r="KNO341" s="288" t="s">
        <v>598</v>
      </c>
      <c r="KNP341" s="288" t="s">
        <v>598</v>
      </c>
      <c r="KNQ341" s="288" t="s">
        <v>598</v>
      </c>
      <c r="KNR341" s="288" t="s">
        <v>598</v>
      </c>
      <c r="KNS341" s="288" t="s">
        <v>598</v>
      </c>
      <c r="KNT341" s="288" t="s">
        <v>598</v>
      </c>
      <c r="KNU341" s="288" t="s">
        <v>598</v>
      </c>
      <c r="KNV341" s="288" t="s">
        <v>598</v>
      </c>
      <c r="KNW341" s="288" t="s">
        <v>598</v>
      </c>
      <c r="KNX341" s="288" t="s">
        <v>598</v>
      </c>
      <c r="KNY341" s="288" t="s">
        <v>598</v>
      </c>
      <c r="KNZ341" s="288" t="s">
        <v>598</v>
      </c>
      <c r="KOA341" s="288" t="s">
        <v>598</v>
      </c>
      <c r="KOB341" s="288" t="s">
        <v>598</v>
      </c>
      <c r="KOC341" s="288" t="s">
        <v>598</v>
      </c>
      <c r="KOD341" s="288" t="s">
        <v>598</v>
      </c>
      <c r="KOE341" s="288" t="s">
        <v>598</v>
      </c>
      <c r="KOF341" s="288" t="s">
        <v>598</v>
      </c>
      <c r="KOG341" s="288" t="s">
        <v>598</v>
      </c>
      <c r="KOH341" s="288" t="s">
        <v>598</v>
      </c>
      <c r="KOI341" s="288" t="s">
        <v>598</v>
      </c>
      <c r="KOJ341" s="288" t="s">
        <v>598</v>
      </c>
      <c r="KOK341" s="288" t="s">
        <v>598</v>
      </c>
      <c r="KOL341" s="288" t="s">
        <v>598</v>
      </c>
      <c r="KOM341" s="288" t="s">
        <v>598</v>
      </c>
      <c r="KON341" s="288" t="s">
        <v>598</v>
      </c>
      <c r="KOO341" s="288" t="s">
        <v>598</v>
      </c>
      <c r="KOP341" s="288" t="s">
        <v>598</v>
      </c>
      <c r="KOQ341" s="288" t="s">
        <v>598</v>
      </c>
      <c r="KOR341" s="288" t="s">
        <v>598</v>
      </c>
      <c r="KOS341" s="288" t="s">
        <v>598</v>
      </c>
      <c r="KOT341" s="288" t="s">
        <v>598</v>
      </c>
      <c r="KOU341" s="288" t="s">
        <v>598</v>
      </c>
      <c r="KOV341" s="288" t="s">
        <v>598</v>
      </c>
      <c r="KOW341" s="288" t="s">
        <v>598</v>
      </c>
      <c r="KOX341" s="288" t="s">
        <v>598</v>
      </c>
      <c r="KOY341" s="288" t="s">
        <v>598</v>
      </c>
      <c r="KOZ341" s="288" t="s">
        <v>598</v>
      </c>
      <c r="KPA341" s="288" t="s">
        <v>598</v>
      </c>
      <c r="KPB341" s="288" t="s">
        <v>598</v>
      </c>
      <c r="KPC341" s="288" t="s">
        <v>598</v>
      </c>
      <c r="KPD341" s="288" t="s">
        <v>598</v>
      </c>
      <c r="KPE341" s="288" t="s">
        <v>598</v>
      </c>
      <c r="KPF341" s="288" t="s">
        <v>598</v>
      </c>
      <c r="KPG341" s="288" t="s">
        <v>598</v>
      </c>
      <c r="KPH341" s="288" t="s">
        <v>598</v>
      </c>
      <c r="KPI341" s="288" t="s">
        <v>598</v>
      </c>
      <c r="KPJ341" s="288" t="s">
        <v>598</v>
      </c>
      <c r="KPK341" s="288" t="s">
        <v>598</v>
      </c>
      <c r="KPL341" s="288" t="s">
        <v>598</v>
      </c>
      <c r="KPM341" s="288" t="s">
        <v>598</v>
      </c>
      <c r="KPN341" s="288" t="s">
        <v>598</v>
      </c>
      <c r="KPO341" s="288" t="s">
        <v>598</v>
      </c>
      <c r="KPP341" s="288" t="s">
        <v>598</v>
      </c>
      <c r="KPQ341" s="288" t="s">
        <v>598</v>
      </c>
      <c r="KPR341" s="288" t="s">
        <v>598</v>
      </c>
      <c r="KPS341" s="288" t="s">
        <v>598</v>
      </c>
      <c r="KPT341" s="288" t="s">
        <v>598</v>
      </c>
      <c r="KPU341" s="288" t="s">
        <v>598</v>
      </c>
      <c r="KPV341" s="288" t="s">
        <v>598</v>
      </c>
      <c r="KPW341" s="288" t="s">
        <v>598</v>
      </c>
      <c r="KPX341" s="288" t="s">
        <v>598</v>
      </c>
      <c r="KPY341" s="288" t="s">
        <v>598</v>
      </c>
      <c r="KPZ341" s="288" t="s">
        <v>598</v>
      </c>
      <c r="KQA341" s="288" t="s">
        <v>598</v>
      </c>
      <c r="KQB341" s="288" t="s">
        <v>598</v>
      </c>
      <c r="KQC341" s="288" t="s">
        <v>598</v>
      </c>
      <c r="KQD341" s="288" t="s">
        <v>598</v>
      </c>
      <c r="KQE341" s="288" t="s">
        <v>598</v>
      </c>
      <c r="KQF341" s="288" t="s">
        <v>598</v>
      </c>
      <c r="KQG341" s="288" t="s">
        <v>598</v>
      </c>
      <c r="KQH341" s="288" t="s">
        <v>598</v>
      </c>
      <c r="KQI341" s="288" t="s">
        <v>598</v>
      </c>
      <c r="KQJ341" s="288" t="s">
        <v>598</v>
      </c>
      <c r="KQK341" s="288" t="s">
        <v>598</v>
      </c>
      <c r="KQL341" s="288" t="s">
        <v>598</v>
      </c>
      <c r="KQM341" s="288" t="s">
        <v>598</v>
      </c>
      <c r="KQN341" s="288" t="s">
        <v>598</v>
      </c>
      <c r="KQO341" s="288" t="s">
        <v>598</v>
      </c>
      <c r="KQP341" s="288" t="s">
        <v>598</v>
      </c>
      <c r="KQQ341" s="288" t="s">
        <v>598</v>
      </c>
      <c r="KQR341" s="288" t="s">
        <v>598</v>
      </c>
      <c r="KQS341" s="288" t="s">
        <v>598</v>
      </c>
      <c r="KQT341" s="288" t="s">
        <v>598</v>
      </c>
      <c r="KQU341" s="288" t="s">
        <v>598</v>
      </c>
      <c r="KQV341" s="288" t="s">
        <v>598</v>
      </c>
      <c r="KQW341" s="288" t="s">
        <v>598</v>
      </c>
      <c r="KQX341" s="288" t="s">
        <v>598</v>
      </c>
      <c r="KQY341" s="288" t="s">
        <v>598</v>
      </c>
      <c r="KQZ341" s="288" t="s">
        <v>598</v>
      </c>
      <c r="KRA341" s="288" t="s">
        <v>598</v>
      </c>
      <c r="KRB341" s="288" t="s">
        <v>598</v>
      </c>
      <c r="KRC341" s="288" t="s">
        <v>598</v>
      </c>
      <c r="KRD341" s="288" t="s">
        <v>598</v>
      </c>
      <c r="KRE341" s="288" t="s">
        <v>598</v>
      </c>
      <c r="KRF341" s="288" t="s">
        <v>598</v>
      </c>
      <c r="KRG341" s="288" t="s">
        <v>598</v>
      </c>
      <c r="KRH341" s="288" t="s">
        <v>598</v>
      </c>
      <c r="KRI341" s="288" t="s">
        <v>598</v>
      </c>
      <c r="KRJ341" s="288" t="s">
        <v>598</v>
      </c>
      <c r="KRK341" s="288" t="s">
        <v>598</v>
      </c>
      <c r="KRL341" s="288" t="s">
        <v>598</v>
      </c>
      <c r="KRM341" s="288" t="s">
        <v>598</v>
      </c>
      <c r="KRN341" s="288" t="s">
        <v>598</v>
      </c>
      <c r="KRO341" s="288" t="s">
        <v>598</v>
      </c>
      <c r="KRP341" s="288" t="s">
        <v>598</v>
      </c>
      <c r="KRQ341" s="288" t="s">
        <v>598</v>
      </c>
      <c r="KRR341" s="288" t="s">
        <v>598</v>
      </c>
      <c r="KRS341" s="288" t="s">
        <v>598</v>
      </c>
      <c r="KRT341" s="288" t="s">
        <v>598</v>
      </c>
      <c r="KRU341" s="288" t="s">
        <v>598</v>
      </c>
      <c r="KRV341" s="288" t="s">
        <v>598</v>
      </c>
      <c r="KRW341" s="288" t="s">
        <v>598</v>
      </c>
      <c r="KRX341" s="288" t="s">
        <v>598</v>
      </c>
      <c r="KRY341" s="288" t="s">
        <v>598</v>
      </c>
      <c r="KRZ341" s="288" t="s">
        <v>598</v>
      </c>
      <c r="KSA341" s="288" t="s">
        <v>598</v>
      </c>
      <c r="KSB341" s="288" t="s">
        <v>598</v>
      </c>
      <c r="KSC341" s="288" t="s">
        <v>598</v>
      </c>
      <c r="KSD341" s="288" t="s">
        <v>598</v>
      </c>
      <c r="KSE341" s="288" t="s">
        <v>598</v>
      </c>
      <c r="KSF341" s="288" t="s">
        <v>598</v>
      </c>
      <c r="KSG341" s="288" t="s">
        <v>598</v>
      </c>
      <c r="KSH341" s="288" t="s">
        <v>598</v>
      </c>
      <c r="KSI341" s="288" t="s">
        <v>598</v>
      </c>
      <c r="KSJ341" s="288" t="s">
        <v>598</v>
      </c>
      <c r="KSK341" s="288" t="s">
        <v>598</v>
      </c>
      <c r="KSL341" s="288" t="s">
        <v>598</v>
      </c>
      <c r="KSM341" s="288" t="s">
        <v>598</v>
      </c>
      <c r="KSN341" s="288" t="s">
        <v>598</v>
      </c>
      <c r="KSO341" s="288" t="s">
        <v>598</v>
      </c>
      <c r="KSP341" s="288" t="s">
        <v>598</v>
      </c>
      <c r="KSQ341" s="288" t="s">
        <v>598</v>
      </c>
      <c r="KSR341" s="288" t="s">
        <v>598</v>
      </c>
      <c r="KSS341" s="288" t="s">
        <v>598</v>
      </c>
      <c r="KST341" s="288" t="s">
        <v>598</v>
      </c>
      <c r="KSU341" s="288" t="s">
        <v>598</v>
      </c>
      <c r="KSV341" s="288" t="s">
        <v>598</v>
      </c>
      <c r="KSW341" s="288" t="s">
        <v>598</v>
      </c>
      <c r="KSX341" s="288" t="s">
        <v>598</v>
      </c>
      <c r="KSY341" s="288" t="s">
        <v>598</v>
      </c>
      <c r="KSZ341" s="288" t="s">
        <v>598</v>
      </c>
      <c r="KTA341" s="288" t="s">
        <v>598</v>
      </c>
      <c r="KTB341" s="288" t="s">
        <v>598</v>
      </c>
      <c r="KTC341" s="288" t="s">
        <v>598</v>
      </c>
      <c r="KTD341" s="288" t="s">
        <v>598</v>
      </c>
      <c r="KTE341" s="288" t="s">
        <v>598</v>
      </c>
      <c r="KTF341" s="288" t="s">
        <v>598</v>
      </c>
      <c r="KTG341" s="288" t="s">
        <v>598</v>
      </c>
      <c r="KTH341" s="288" t="s">
        <v>598</v>
      </c>
      <c r="KTI341" s="288" t="s">
        <v>598</v>
      </c>
      <c r="KTJ341" s="288" t="s">
        <v>598</v>
      </c>
      <c r="KTK341" s="288" t="s">
        <v>598</v>
      </c>
      <c r="KTL341" s="288" t="s">
        <v>598</v>
      </c>
      <c r="KTM341" s="288" t="s">
        <v>598</v>
      </c>
      <c r="KTN341" s="288" t="s">
        <v>598</v>
      </c>
      <c r="KTO341" s="288" t="s">
        <v>598</v>
      </c>
      <c r="KTP341" s="288" t="s">
        <v>598</v>
      </c>
      <c r="KTQ341" s="288" t="s">
        <v>598</v>
      </c>
      <c r="KTR341" s="288" t="s">
        <v>598</v>
      </c>
      <c r="KTS341" s="288" t="s">
        <v>598</v>
      </c>
      <c r="KTT341" s="288" t="s">
        <v>598</v>
      </c>
      <c r="KTU341" s="288" t="s">
        <v>598</v>
      </c>
      <c r="KTV341" s="288" t="s">
        <v>598</v>
      </c>
      <c r="KTW341" s="288" t="s">
        <v>598</v>
      </c>
      <c r="KTX341" s="288" t="s">
        <v>598</v>
      </c>
      <c r="KTY341" s="288" t="s">
        <v>598</v>
      </c>
      <c r="KTZ341" s="288" t="s">
        <v>598</v>
      </c>
      <c r="KUA341" s="288" t="s">
        <v>598</v>
      </c>
      <c r="KUB341" s="288" t="s">
        <v>598</v>
      </c>
      <c r="KUC341" s="288" t="s">
        <v>598</v>
      </c>
      <c r="KUD341" s="288" t="s">
        <v>598</v>
      </c>
      <c r="KUE341" s="288" t="s">
        <v>598</v>
      </c>
      <c r="KUF341" s="288" t="s">
        <v>598</v>
      </c>
      <c r="KUG341" s="288" t="s">
        <v>598</v>
      </c>
      <c r="KUH341" s="288" t="s">
        <v>598</v>
      </c>
      <c r="KUI341" s="288" t="s">
        <v>598</v>
      </c>
      <c r="KUJ341" s="288" t="s">
        <v>598</v>
      </c>
      <c r="KUK341" s="288" t="s">
        <v>598</v>
      </c>
      <c r="KUL341" s="288" t="s">
        <v>598</v>
      </c>
      <c r="KUM341" s="288" t="s">
        <v>598</v>
      </c>
      <c r="KUN341" s="288" t="s">
        <v>598</v>
      </c>
      <c r="KUO341" s="288" t="s">
        <v>598</v>
      </c>
      <c r="KUP341" s="288" t="s">
        <v>598</v>
      </c>
      <c r="KUQ341" s="288" t="s">
        <v>598</v>
      </c>
      <c r="KUR341" s="288" t="s">
        <v>598</v>
      </c>
      <c r="KUS341" s="288" t="s">
        <v>598</v>
      </c>
      <c r="KUT341" s="288" t="s">
        <v>598</v>
      </c>
      <c r="KUU341" s="288" t="s">
        <v>598</v>
      </c>
      <c r="KUV341" s="288" t="s">
        <v>598</v>
      </c>
      <c r="KUW341" s="288" t="s">
        <v>598</v>
      </c>
      <c r="KUX341" s="288" t="s">
        <v>598</v>
      </c>
      <c r="KUY341" s="288" t="s">
        <v>598</v>
      </c>
      <c r="KUZ341" s="288" t="s">
        <v>598</v>
      </c>
      <c r="KVA341" s="288" t="s">
        <v>598</v>
      </c>
      <c r="KVB341" s="288" t="s">
        <v>598</v>
      </c>
      <c r="KVC341" s="288" t="s">
        <v>598</v>
      </c>
      <c r="KVD341" s="288" t="s">
        <v>598</v>
      </c>
      <c r="KVE341" s="288" t="s">
        <v>598</v>
      </c>
      <c r="KVF341" s="288" t="s">
        <v>598</v>
      </c>
      <c r="KVG341" s="288" t="s">
        <v>598</v>
      </c>
      <c r="KVH341" s="288" t="s">
        <v>598</v>
      </c>
      <c r="KVI341" s="288" t="s">
        <v>598</v>
      </c>
      <c r="KVJ341" s="288" t="s">
        <v>598</v>
      </c>
      <c r="KVK341" s="288" t="s">
        <v>598</v>
      </c>
      <c r="KVL341" s="288" t="s">
        <v>598</v>
      </c>
      <c r="KVM341" s="288" t="s">
        <v>598</v>
      </c>
      <c r="KVN341" s="288" t="s">
        <v>598</v>
      </c>
      <c r="KVO341" s="288" t="s">
        <v>598</v>
      </c>
      <c r="KVP341" s="288" t="s">
        <v>598</v>
      </c>
      <c r="KVQ341" s="288" t="s">
        <v>598</v>
      </c>
      <c r="KVR341" s="288" t="s">
        <v>598</v>
      </c>
      <c r="KVS341" s="288" t="s">
        <v>598</v>
      </c>
      <c r="KVT341" s="288" t="s">
        <v>598</v>
      </c>
      <c r="KVU341" s="288" t="s">
        <v>598</v>
      </c>
      <c r="KVV341" s="288" t="s">
        <v>598</v>
      </c>
      <c r="KVW341" s="288" t="s">
        <v>598</v>
      </c>
      <c r="KVX341" s="288" t="s">
        <v>598</v>
      </c>
      <c r="KVY341" s="288" t="s">
        <v>598</v>
      </c>
      <c r="KVZ341" s="288" t="s">
        <v>598</v>
      </c>
      <c r="KWA341" s="288" t="s">
        <v>598</v>
      </c>
      <c r="KWB341" s="288" t="s">
        <v>598</v>
      </c>
      <c r="KWC341" s="288" t="s">
        <v>598</v>
      </c>
      <c r="KWD341" s="288" t="s">
        <v>598</v>
      </c>
      <c r="KWE341" s="288" t="s">
        <v>598</v>
      </c>
      <c r="KWF341" s="288" t="s">
        <v>598</v>
      </c>
      <c r="KWG341" s="288" t="s">
        <v>598</v>
      </c>
      <c r="KWH341" s="288" t="s">
        <v>598</v>
      </c>
      <c r="KWI341" s="288" t="s">
        <v>598</v>
      </c>
      <c r="KWJ341" s="288" t="s">
        <v>598</v>
      </c>
      <c r="KWK341" s="288" t="s">
        <v>598</v>
      </c>
      <c r="KWL341" s="288" t="s">
        <v>598</v>
      </c>
      <c r="KWM341" s="288" t="s">
        <v>598</v>
      </c>
      <c r="KWN341" s="288" t="s">
        <v>598</v>
      </c>
      <c r="KWO341" s="288" t="s">
        <v>598</v>
      </c>
      <c r="KWP341" s="288" t="s">
        <v>598</v>
      </c>
      <c r="KWQ341" s="288" t="s">
        <v>598</v>
      </c>
      <c r="KWR341" s="288" t="s">
        <v>598</v>
      </c>
      <c r="KWS341" s="288" t="s">
        <v>598</v>
      </c>
      <c r="KWT341" s="288" t="s">
        <v>598</v>
      </c>
      <c r="KWU341" s="288" t="s">
        <v>598</v>
      </c>
      <c r="KWV341" s="288" t="s">
        <v>598</v>
      </c>
      <c r="KWW341" s="288" t="s">
        <v>598</v>
      </c>
      <c r="KWX341" s="288" t="s">
        <v>598</v>
      </c>
      <c r="KWY341" s="288" t="s">
        <v>598</v>
      </c>
      <c r="KWZ341" s="288" t="s">
        <v>598</v>
      </c>
      <c r="KXA341" s="288" t="s">
        <v>598</v>
      </c>
      <c r="KXB341" s="288" t="s">
        <v>598</v>
      </c>
      <c r="KXC341" s="288" t="s">
        <v>598</v>
      </c>
      <c r="KXD341" s="288" t="s">
        <v>598</v>
      </c>
      <c r="KXE341" s="288" t="s">
        <v>598</v>
      </c>
      <c r="KXF341" s="288" t="s">
        <v>598</v>
      </c>
      <c r="KXG341" s="288" t="s">
        <v>598</v>
      </c>
      <c r="KXH341" s="288" t="s">
        <v>598</v>
      </c>
      <c r="KXI341" s="288" t="s">
        <v>598</v>
      </c>
      <c r="KXJ341" s="288" t="s">
        <v>598</v>
      </c>
      <c r="KXK341" s="288" t="s">
        <v>598</v>
      </c>
      <c r="KXL341" s="288" t="s">
        <v>598</v>
      </c>
      <c r="KXM341" s="288" t="s">
        <v>598</v>
      </c>
      <c r="KXN341" s="288" t="s">
        <v>598</v>
      </c>
      <c r="KXO341" s="288" t="s">
        <v>598</v>
      </c>
      <c r="KXP341" s="288" t="s">
        <v>598</v>
      </c>
      <c r="KXQ341" s="288" t="s">
        <v>598</v>
      </c>
      <c r="KXR341" s="288" t="s">
        <v>598</v>
      </c>
      <c r="KXS341" s="288" t="s">
        <v>598</v>
      </c>
      <c r="KXT341" s="288" t="s">
        <v>598</v>
      </c>
      <c r="KXU341" s="288" t="s">
        <v>598</v>
      </c>
      <c r="KXV341" s="288" t="s">
        <v>598</v>
      </c>
      <c r="KXW341" s="288" t="s">
        <v>598</v>
      </c>
      <c r="KXX341" s="288" t="s">
        <v>598</v>
      </c>
      <c r="KXY341" s="288" t="s">
        <v>598</v>
      </c>
      <c r="KXZ341" s="288" t="s">
        <v>598</v>
      </c>
      <c r="KYA341" s="288" t="s">
        <v>598</v>
      </c>
      <c r="KYB341" s="288" t="s">
        <v>598</v>
      </c>
      <c r="KYC341" s="288" t="s">
        <v>598</v>
      </c>
      <c r="KYD341" s="288" t="s">
        <v>598</v>
      </c>
      <c r="KYE341" s="288" t="s">
        <v>598</v>
      </c>
      <c r="KYF341" s="288" t="s">
        <v>598</v>
      </c>
      <c r="KYG341" s="288" t="s">
        <v>598</v>
      </c>
      <c r="KYH341" s="288" t="s">
        <v>598</v>
      </c>
      <c r="KYI341" s="288" t="s">
        <v>598</v>
      </c>
      <c r="KYJ341" s="288" t="s">
        <v>598</v>
      </c>
      <c r="KYK341" s="288" t="s">
        <v>598</v>
      </c>
      <c r="KYL341" s="288" t="s">
        <v>598</v>
      </c>
      <c r="KYM341" s="288" t="s">
        <v>598</v>
      </c>
      <c r="KYN341" s="288" t="s">
        <v>598</v>
      </c>
      <c r="KYO341" s="288" t="s">
        <v>598</v>
      </c>
      <c r="KYP341" s="288" t="s">
        <v>598</v>
      </c>
      <c r="KYQ341" s="288" t="s">
        <v>598</v>
      </c>
      <c r="KYR341" s="288" t="s">
        <v>598</v>
      </c>
      <c r="KYS341" s="288" t="s">
        <v>598</v>
      </c>
      <c r="KYT341" s="288" t="s">
        <v>598</v>
      </c>
      <c r="KYU341" s="288" t="s">
        <v>598</v>
      </c>
      <c r="KYV341" s="288" t="s">
        <v>598</v>
      </c>
      <c r="KYW341" s="288" t="s">
        <v>598</v>
      </c>
      <c r="KYX341" s="288" t="s">
        <v>598</v>
      </c>
      <c r="KYY341" s="288" t="s">
        <v>598</v>
      </c>
      <c r="KYZ341" s="288" t="s">
        <v>598</v>
      </c>
      <c r="KZA341" s="288" t="s">
        <v>598</v>
      </c>
      <c r="KZB341" s="288" t="s">
        <v>598</v>
      </c>
      <c r="KZC341" s="288" t="s">
        <v>598</v>
      </c>
      <c r="KZD341" s="288" t="s">
        <v>598</v>
      </c>
      <c r="KZE341" s="288" t="s">
        <v>598</v>
      </c>
      <c r="KZF341" s="288" t="s">
        <v>598</v>
      </c>
      <c r="KZG341" s="288" t="s">
        <v>598</v>
      </c>
      <c r="KZH341" s="288" t="s">
        <v>598</v>
      </c>
      <c r="KZI341" s="288" t="s">
        <v>598</v>
      </c>
      <c r="KZJ341" s="288" t="s">
        <v>598</v>
      </c>
      <c r="KZK341" s="288" t="s">
        <v>598</v>
      </c>
      <c r="KZL341" s="288" t="s">
        <v>598</v>
      </c>
      <c r="KZM341" s="288" t="s">
        <v>598</v>
      </c>
      <c r="KZN341" s="288" t="s">
        <v>598</v>
      </c>
      <c r="KZO341" s="288" t="s">
        <v>598</v>
      </c>
      <c r="KZP341" s="288" t="s">
        <v>598</v>
      </c>
      <c r="KZQ341" s="288" t="s">
        <v>598</v>
      </c>
      <c r="KZR341" s="288" t="s">
        <v>598</v>
      </c>
      <c r="KZS341" s="288" t="s">
        <v>598</v>
      </c>
      <c r="KZT341" s="288" t="s">
        <v>598</v>
      </c>
      <c r="KZU341" s="288" t="s">
        <v>598</v>
      </c>
      <c r="KZV341" s="288" t="s">
        <v>598</v>
      </c>
      <c r="KZW341" s="288" t="s">
        <v>598</v>
      </c>
      <c r="KZX341" s="288" t="s">
        <v>598</v>
      </c>
      <c r="KZY341" s="288" t="s">
        <v>598</v>
      </c>
      <c r="KZZ341" s="288" t="s">
        <v>598</v>
      </c>
      <c r="LAA341" s="288" t="s">
        <v>598</v>
      </c>
      <c r="LAB341" s="288" t="s">
        <v>598</v>
      </c>
      <c r="LAC341" s="288" t="s">
        <v>598</v>
      </c>
      <c r="LAD341" s="288" t="s">
        <v>598</v>
      </c>
      <c r="LAE341" s="288" t="s">
        <v>598</v>
      </c>
      <c r="LAF341" s="288" t="s">
        <v>598</v>
      </c>
      <c r="LAG341" s="288" t="s">
        <v>598</v>
      </c>
      <c r="LAH341" s="288" t="s">
        <v>598</v>
      </c>
      <c r="LAI341" s="288" t="s">
        <v>598</v>
      </c>
      <c r="LAJ341" s="288" t="s">
        <v>598</v>
      </c>
      <c r="LAK341" s="288" t="s">
        <v>598</v>
      </c>
      <c r="LAL341" s="288" t="s">
        <v>598</v>
      </c>
      <c r="LAM341" s="288" t="s">
        <v>598</v>
      </c>
      <c r="LAN341" s="288" t="s">
        <v>598</v>
      </c>
      <c r="LAO341" s="288" t="s">
        <v>598</v>
      </c>
      <c r="LAP341" s="288" t="s">
        <v>598</v>
      </c>
      <c r="LAQ341" s="288" t="s">
        <v>598</v>
      </c>
      <c r="LAR341" s="288" t="s">
        <v>598</v>
      </c>
      <c r="LAS341" s="288" t="s">
        <v>598</v>
      </c>
      <c r="LAT341" s="288" t="s">
        <v>598</v>
      </c>
      <c r="LAU341" s="288" t="s">
        <v>598</v>
      </c>
      <c r="LAV341" s="288" t="s">
        <v>598</v>
      </c>
      <c r="LAW341" s="288" t="s">
        <v>598</v>
      </c>
      <c r="LAX341" s="288" t="s">
        <v>598</v>
      </c>
      <c r="LAY341" s="288" t="s">
        <v>598</v>
      </c>
      <c r="LAZ341" s="288" t="s">
        <v>598</v>
      </c>
      <c r="LBA341" s="288" t="s">
        <v>598</v>
      </c>
      <c r="LBB341" s="288" t="s">
        <v>598</v>
      </c>
      <c r="LBC341" s="288" t="s">
        <v>598</v>
      </c>
      <c r="LBD341" s="288" t="s">
        <v>598</v>
      </c>
      <c r="LBE341" s="288" t="s">
        <v>598</v>
      </c>
      <c r="LBF341" s="288" t="s">
        <v>598</v>
      </c>
      <c r="LBG341" s="288" t="s">
        <v>598</v>
      </c>
      <c r="LBH341" s="288" t="s">
        <v>598</v>
      </c>
      <c r="LBI341" s="288" t="s">
        <v>598</v>
      </c>
      <c r="LBJ341" s="288" t="s">
        <v>598</v>
      </c>
      <c r="LBK341" s="288" t="s">
        <v>598</v>
      </c>
      <c r="LBL341" s="288" t="s">
        <v>598</v>
      </c>
      <c r="LBM341" s="288" t="s">
        <v>598</v>
      </c>
      <c r="LBN341" s="288" t="s">
        <v>598</v>
      </c>
      <c r="LBO341" s="288" t="s">
        <v>598</v>
      </c>
      <c r="LBP341" s="288" t="s">
        <v>598</v>
      </c>
      <c r="LBQ341" s="288" t="s">
        <v>598</v>
      </c>
      <c r="LBR341" s="288" t="s">
        <v>598</v>
      </c>
      <c r="LBS341" s="288" t="s">
        <v>598</v>
      </c>
      <c r="LBT341" s="288" t="s">
        <v>598</v>
      </c>
      <c r="LBU341" s="288" t="s">
        <v>598</v>
      </c>
      <c r="LBV341" s="288" t="s">
        <v>598</v>
      </c>
      <c r="LBW341" s="288" t="s">
        <v>598</v>
      </c>
      <c r="LBX341" s="288" t="s">
        <v>598</v>
      </c>
      <c r="LBY341" s="288" t="s">
        <v>598</v>
      </c>
      <c r="LBZ341" s="288" t="s">
        <v>598</v>
      </c>
      <c r="LCA341" s="288" t="s">
        <v>598</v>
      </c>
      <c r="LCB341" s="288" t="s">
        <v>598</v>
      </c>
      <c r="LCC341" s="288" t="s">
        <v>598</v>
      </c>
      <c r="LCD341" s="288" t="s">
        <v>598</v>
      </c>
      <c r="LCE341" s="288" t="s">
        <v>598</v>
      </c>
      <c r="LCF341" s="288" t="s">
        <v>598</v>
      </c>
      <c r="LCG341" s="288" t="s">
        <v>598</v>
      </c>
      <c r="LCH341" s="288" t="s">
        <v>598</v>
      </c>
      <c r="LCI341" s="288" t="s">
        <v>598</v>
      </c>
      <c r="LCJ341" s="288" t="s">
        <v>598</v>
      </c>
      <c r="LCK341" s="288" t="s">
        <v>598</v>
      </c>
      <c r="LCL341" s="288" t="s">
        <v>598</v>
      </c>
      <c r="LCM341" s="288" t="s">
        <v>598</v>
      </c>
      <c r="LCN341" s="288" t="s">
        <v>598</v>
      </c>
      <c r="LCO341" s="288" t="s">
        <v>598</v>
      </c>
      <c r="LCP341" s="288" t="s">
        <v>598</v>
      </c>
      <c r="LCQ341" s="288" t="s">
        <v>598</v>
      </c>
      <c r="LCR341" s="288" t="s">
        <v>598</v>
      </c>
      <c r="LCS341" s="288" t="s">
        <v>598</v>
      </c>
      <c r="LCT341" s="288" t="s">
        <v>598</v>
      </c>
      <c r="LCU341" s="288" t="s">
        <v>598</v>
      </c>
      <c r="LCV341" s="288" t="s">
        <v>598</v>
      </c>
      <c r="LCW341" s="288" t="s">
        <v>598</v>
      </c>
      <c r="LCX341" s="288" t="s">
        <v>598</v>
      </c>
      <c r="LCY341" s="288" t="s">
        <v>598</v>
      </c>
      <c r="LCZ341" s="288" t="s">
        <v>598</v>
      </c>
      <c r="LDA341" s="288" t="s">
        <v>598</v>
      </c>
      <c r="LDB341" s="288" t="s">
        <v>598</v>
      </c>
      <c r="LDC341" s="288" t="s">
        <v>598</v>
      </c>
      <c r="LDD341" s="288" t="s">
        <v>598</v>
      </c>
      <c r="LDE341" s="288" t="s">
        <v>598</v>
      </c>
      <c r="LDF341" s="288" t="s">
        <v>598</v>
      </c>
      <c r="LDG341" s="288" t="s">
        <v>598</v>
      </c>
      <c r="LDH341" s="288" t="s">
        <v>598</v>
      </c>
      <c r="LDI341" s="288" t="s">
        <v>598</v>
      </c>
      <c r="LDJ341" s="288" t="s">
        <v>598</v>
      </c>
      <c r="LDK341" s="288" t="s">
        <v>598</v>
      </c>
      <c r="LDL341" s="288" t="s">
        <v>598</v>
      </c>
      <c r="LDM341" s="288" t="s">
        <v>598</v>
      </c>
      <c r="LDN341" s="288" t="s">
        <v>598</v>
      </c>
      <c r="LDO341" s="288" t="s">
        <v>598</v>
      </c>
      <c r="LDP341" s="288" t="s">
        <v>598</v>
      </c>
      <c r="LDQ341" s="288" t="s">
        <v>598</v>
      </c>
      <c r="LDR341" s="288" t="s">
        <v>598</v>
      </c>
      <c r="LDS341" s="288" t="s">
        <v>598</v>
      </c>
      <c r="LDT341" s="288" t="s">
        <v>598</v>
      </c>
      <c r="LDU341" s="288" t="s">
        <v>598</v>
      </c>
      <c r="LDV341" s="288" t="s">
        <v>598</v>
      </c>
      <c r="LDW341" s="288" t="s">
        <v>598</v>
      </c>
      <c r="LDX341" s="288" t="s">
        <v>598</v>
      </c>
      <c r="LDY341" s="288" t="s">
        <v>598</v>
      </c>
      <c r="LDZ341" s="288" t="s">
        <v>598</v>
      </c>
      <c r="LEA341" s="288" t="s">
        <v>598</v>
      </c>
      <c r="LEB341" s="288" t="s">
        <v>598</v>
      </c>
      <c r="LEC341" s="288" t="s">
        <v>598</v>
      </c>
      <c r="LED341" s="288" t="s">
        <v>598</v>
      </c>
      <c r="LEE341" s="288" t="s">
        <v>598</v>
      </c>
      <c r="LEF341" s="288" t="s">
        <v>598</v>
      </c>
      <c r="LEG341" s="288" t="s">
        <v>598</v>
      </c>
      <c r="LEH341" s="288" t="s">
        <v>598</v>
      </c>
      <c r="LEI341" s="288" t="s">
        <v>598</v>
      </c>
      <c r="LEJ341" s="288" t="s">
        <v>598</v>
      </c>
      <c r="LEK341" s="288" t="s">
        <v>598</v>
      </c>
      <c r="LEL341" s="288" t="s">
        <v>598</v>
      </c>
      <c r="LEM341" s="288" t="s">
        <v>598</v>
      </c>
      <c r="LEN341" s="288" t="s">
        <v>598</v>
      </c>
      <c r="LEO341" s="288" t="s">
        <v>598</v>
      </c>
      <c r="LEP341" s="288" t="s">
        <v>598</v>
      </c>
      <c r="LEQ341" s="288" t="s">
        <v>598</v>
      </c>
      <c r="LER341" s="288" t="s">
        <v>598</v>
      </c>
      <c r="LES341" s="288" t="s">
        <v>598</v>
      </c>
      <c r="LET341" s="288" t="s">
        <v>598</v>
      </c>
      <c r="LEU341" s="288" t="s">
        <v>598</v>
      </c>
      <c r="LEV341" s="288" t="s">
        <v>598</v>
      </c>
      <c r="LEW341" s="288" t="s">
        <v>598</v>
      </c>
      <c r="LEX341" s="288" t="s">
        <v>598</v>
      </c>
      <c r="LEY341" s="288" t="s">
        <v>598</v>
      </c>
      <c r="LEZ341" s="288" t="s">
        <v>598</v>
      </c>
      <c r="LFA341" s="288" t="s">
        <v>598</v>
      </c>
      <c r="LFB341" s="288" t="s">
        <v>598</v>
      </c>
      <c r="LFC341" s="288" t="s">
        <v>598</v>
      </c>
      <c r="LFD341" s="288" t="s">
        <v>598</v>
      </c>
      <c r="LFE341" s="288" t="s">
        <v>598</v>
      </c>
      <c r="LFF341" s="288" t="s">
        <v>598</v>
      </c>
      <c r="LFG341" s="288" t="s">
        <v>598</v>
      </c>
      <c r="LFH341" s="288" t="s">
        <v>598</v>
      </c>
      <c r="LFI341" s="288" t="s">
        <v>598</v>
      </c>
      <c r="LFJ341" s="288" t="s">
        <v>598</v>
      </c>
      <c r="LFK341" s="288" t="s">
        <v>598</v>
      </c>
      <c r="LFL341" s="288" t="s">
        <v>598</v>
      </c>
      <c r="LFM341" s="288" t="s">
        <v>598</v>
      </c>
      <c r="LFN341" s="288" t="s">
        <v>598</v>
      </c>
      <c r="LFO341" s="288" t="s">
        <v>598</v>
      </c>
      <c r="LFP341" s="288" t="s">
        <v>598</v>
      </c>
      <c r="LFQ341" s="288" t="s">
        <v>598</v>
      </c>
      <c r="LFR341" s="288" t="s">
        <v>598</v>
      </c>
      <c r="LFS341" s="288" t="s">
        <v>598</v>
      </c>
      <c r="LFT341" s="288" t="s">
        <v>598</v>
      </c>
      <c r="LFU341" s="288" t="s">
        <v>598</v>
      </c>
      <c r="LFV341" s="288" t="s">
        <v>598</v>
      </c>
      <c r="LFW341" s="288" t="s">
        <v>598</v>
      </c>
      <c r="LFX341" s="288" t="s">
        <v>598</v>
      </c>
      <c r="LFY341" s="288" t="s">
        <v>598</v>
      </c>
      <c r="LFZ341" s="288" t="s">
        <v>598</v>
      </c>
      <c r="LGA341" s="288" t="s">
        <v>598</v>
      </c>
      <c r="LGB341" s="288" t="s">
        <v>598</v>
      </c>
      <c r="LGC341" s="288" t="s">
        <v>598</v>
      </c>
      <c r="LGD341" s="288" t="s">
        <v>598</v>
      </c>
      <c r="LGE341" s="288" t="s">
        <v>598</v>
      </c>
      <c r="LGF341" s="288" t="s">
        <v>598</v>
      </c>
      <c r="LGG341" s="288" t="s">
        <v>598</v>
      </c>
      <c r="LGH341" s="288" t="s">
        <v>598</v>
      </c>
      <c r="LGI341" s="288" t="s">
        <v>598</v>
      </c>
      <c r="LGJ341" s="288" t="s">
        <v>598</v>
      </c>
      <c r="LGK341" s="288" t="s">
        <v>598</v>
      </c>
      <c r="LGL341" s="288" t="s">
        <v>598</v>
      </c>
      <c r="LGM341" s="288" t="s">
        <v>598</v>
      </c>
      <c r="LGN341" s="288" t="s">
        <v>598</v>
      </c>
      <c r="LGO341" s="288" t="s">
        <v>598</v>
      </c>
      <c r="LGP341" s="288" t="s">
        <v>598</v>
      </c>
      <c r="LGQ341" s="288" t="s">
        <v>598</v>
      </c>
      <c r="LGR341" s="288" t="s">
        <v>598</v>
      </c>
      <c r="LGS341" s="288" t="s">
        <v>598</v>
      </c>
      <c r="LGT341" s="288" t="s">
        <v>598</v>
      </c>
      <c r="LGU341" s="288" t="s">
        <v>598</v>
      </c>
      <c r="LGV341" s="288" t="s">
        <v>598</v>
      </c>
      <c r="LGW341" s="288" t="s">
        <v>598</v>
      </c>
      <c r="LGX341" s="288" t="s">
        <v>598</v>
      </c>
      <c r="LGY341" s="288" t="s">
        <v>598</v>
      </c>
      <c r="LGZ341" s="288" t="s">
        <v>598</v>
      </c>
      <c r="LHA341" s="288" t="s">
        <v>598</v>
      </c>
      <c r="LHB341" s="288" t="s">
        <v>598</v>
      </c>
      <c r="LHC341" s="288" t="s">
        <v>598</v>
      </c>
      <c r="LHD341" s="288" t="s">
        <v>598</v>
      </c>
      <c r="LHE341" s="288" t="s">
        <v>598</v>
      </c>
      <c r="LHF341" s="288" t="s">
        <v>598</v>
      </c>
      <c r="LHG341" s="288" t="s">
        <v>598</v>
      </c>
      <c r="LHH341" s="288" t="s">
        <v>598</v>
      </c>
      <c r="LHI341" s="288" t="s">
        <v>598</v>
      </c>
      <c r="LHJ341" s="288" t="s">
        <v>598</v>
      </c>
      <c r="LHK341" s="288" t="s">
        <v>598</v>
      </c>
      <c r="LHL341" s="288" t="s">
        <v>598</v>
      </c>
      <c r="LHM341" s="288" t="s">
        <v>598</v>
      </c>
      <c r="LHN341" s="288" t="s">
        <v>598</v>
      </c>
      <c r="LHO341" s="288" t="s">
        <v>598</v>
      </c>
      <c r="LHP341" s="288" t="s">
        <v>598</v>
      </c>
      <c r="LHQ341" s="288" t="s">
        <v>598</v>
      </c>
      <c r="LHR341" s="288" t="s">
        <v>598</v>
      </c>
      <c r="LHS341" s="288" t="s">
        <v>598</v>
      </c>
      <c r="LHT341" s="288" t="s">
        <v>598</v>
      </c>
      <c r="LHU341" s="288" t="s">
        <v>598</v>
      </c>
      <c r="LHV341" s="288" t="s">
        <v>598</v>
      </c>
      <c r="LHW341" s="288" t="s">
        <v>598</v>
      </c>
      <c r="LHX341" s="288" t="s">
        <v>598</v>
      </c>
      <c r="LHY341" s="288" t="s">
        <v>598</v>
      </c>
      <c r="LHZ341" s="288" t="s">
        <v>598</v>
      </c>
      <c r="LIA341" s="288" t="s">
        <v>598</v>
      </c>
      <c r="LIB341" s="288" t="s">
        <v>598</v>
      </c>
      <c r="LIC341" s="288" t="s">
        <v>598</v>
      </c>
      <c r="LID341" s="288" t="s">
        <v>598</v>
      </c>
      <c r="LIE341" s="288" t="s">
        <v>598</v>
      </c>
      <c r="LIF341" s="288" t="s">
        <v>598</v>
      </c>
      <c r="LIG341" s="288" t="s">
        <v>598</v>
      </c>
      <c r="LIH341" s="288" t="s">
        <v>598</v>
      </c>
      <c r="LII341" s="288" t="s">
        <v>598</v>
      </c>
      <c r="LIJ341" s="288" t="s">
        <v>598</v>
      </c>
      <c r="LIK341" s="288" t="s">
        <v>598</v>
      </c>
      <c r="LIL341" s="288" t="s">
        <v>598</v>
      </c>
      <c r="LIM341" s="288" t="s">
        <v>598</v>
      </c>
      <c r="LIN341" s="288" t="s">
        <v>598</v>
      </c>
      <c r="LIO341" s="288" t="s">
        <v>598</v>
      </c>
      <c r="LIP341" s="288" t="s">
        <v>598</v>
      </c>
      <c r="LIQ341" s="288" t="s">
        <v>598</v>
      </c>
      <c r="LIR341" s="288" t="s">
        <v>598</v>
      </c>
      <c r="LIS341" s="288" t="s">
        <v>598</v>
      </c>
      <c r="LIT341" s="288" t="s">
        <v>598</v>
      </c>
      <c r="LIU341" s="288" t="s">
        <v>598</v>
      </c>
      <c r="LIV341" s="288" t="s">
        <v>598</v>
      </c>
      <c r="LIW341" s="288" t="s">
        <v>598</v>
      </c>
      <c r="LIX341" s="288" t="s">
        <v>598</v>
      </c>
      <c r="LIY341" s="288" t="s">
        <v>598</v>
      </c>
      <c r="LIZ341" s="288" t="s">
        <v>598</v>
      </c>
      <c r="LJA341" s="288" t="s">
        <v>598</v>
      </c>
      <c r="LJB341" s="288" t="s">
        <v>598</v>
      </c>
      <c r="LJC341" s="288" t="s">
        <v>598</v>
      </c>
      <c r="LJD341" s="288" t="s">
        <v>598</v>
      </c>
      <c r="LJE341" s="288" t="s">
        <v>598</v>
      </c>
      <c r="LJF341" s="288" t="s">
        <v>598</v>
      </c>
      <c r="LJG341" s="288" t="s">
        <v>598</v>
      </c>
      <c r="LJH341" s="288" t="s">
        <v>598</v>
      </c>
      <c r="LJI341" s="288" t="s">
        <v>598</v>
      </c>
      <c r="LJJ341" s="288" t="s">
        <v>598</v>
      </c>
      <c r="LJK341" s="288" t="s">
        <v>598</v>
      </c>
      <c r="LJL341" s="288" t="s">
        <v>598</v>
      </c>
      <c r="LJM341" s="288" t="s">
        <v>598</v>
      </c>
      <c r="LJN341" s="288" t="s">
        <v>598</v>
      </c>
      <c r="LJO341" s="288" t="s">
        <v>598</v>
      </c>
      <c r="LJP341" s="288" t="s">
        <v>598</v>
      </c>
      <c r="LJQ341" s="288" t="s">
        <v>598</v>
      </c>
      <c r="LJR341" s="288" t="s">
        <v>598</v>
      </c>
      <c r="LJS341" s="288" t="s">
        <v>598</v>
      </c>
      <c r="LJT341" s="288" t="s">
        <v>598</v>
      </c>
      <c r="LJU341" s="288" t="s">
        <v>598</v>
      </c>
      <c r="LJV341" s="288" t="s">
        <v>598</v>
      </c>
      <c r="LJW341" s="288" t="s">
        <v>598</v>
      </c>
      <c r="LJX341" s="288" t="s">
        <v>598</v>
      </c>
      <c r="LJY341" s="288" t="s">
        <v>598</v>
      </c>
      <c r="LJZ341" s="288" t="s">
        <v>598</v>
      </c>
      <c r="LKA341" s="288" t="s">
        <v>598</v>
      </c>
      <c r="LKB341" s="288" t="s">
        <v>598</v>
      </c>
      <c r="LKC341" s="288" t="s">
        <v>598</v>
      </c>
      <c r="LKD341" s="288" t="s">
        <v>598</v>
      </c>
      <c r="LKE341" s="288" t="s">
        <v>598</v>
      </c>
      <c r="LKF341" s="288" t="s">
        <v>598</v>
      </c>
      <c r="LKG341" s="288" t="s">
        <v>598</v>
      </c>
      <c r="LKH341" s="288" t="s">
        <v>598</v>
      </c>
      <c r="LKI341" s="288" t="s">
        <v>598</v>
      </c>
      <c r="LKJ341" s="288" t="s">
        <v>598</v>
      </c>
      <c r="LKK341" s="288" t="s">
        <v>598</v>
      </c>
      <c r="LKL341" s="288" t="s">
        <v>598</v>
      </c>
      <c r="LKM341" s="288" t="s">
        <v>598</v>
      </c>
      <c r="LKN341" s="288" t="s">
        <v>598</v>
      </c>
      <c r="LKO341" s="288" t="s">
        <v>598</v>
      </c>
      <c r="LKP341" s="288" t="s">
        <v>598</v>
      </c>
      <c r="LKQ341" s="288" t="s">
        <v>598</v>
      </c>
      <c r="LKR341" s="288" t="s">
        <v>598</v>
      </c>
      <c r="LKS341" s="288" t="s">
        <v>598</v>
      </c>
      <c r="LKT341" s="288" t="s">
        <v>598</v>
      </c>
      <c r="LKU341" s="288" t="s">
        <v>598</v>
      </c>
      <c r="LKV341" s="288" t="s">
        <v>598</v>
      </c>
      <c r="LKW341" s="288" t="s">
        <v>598</v>
      </c>
      <c r="LKX341" s="288" t="s">
        <v>598</v>
      </c>
      <c r="LKY341" s="288" t="s">
        <v>598</v>
      </c>
      <c r="LKZ341" s="288" t="s">
        <v>598</v>
      </c>
      <c r="LLA341" s="288" t="s">
        <v>598</v>
      </c>
      <c r="LLB341" s="288" t="s">
        <v>598</v>
      </c>
      <c r="LLC341" s="288" t="s">
        <v>598</v>
      </c>
      <c r="LLD341" s="288" t="s">
        <v>598</v>
      </c>
      <c r="LLE341" s="288" t="s">
        <v>598</v>
      </c>
      <c r="LLF341" s="288" t="s">
        <v>598</v>
      </c>
      <c r="LLG341" s="288" t="s">
        <v>598</v>
      </c>
      <c r="LLH341" s="288" t="s">
        <v>598</v>
      </c>
      <c r="LLI341" s="288" t="s">
        <v>598</v>
      </c>
      <c r="LLJ341" s="288" t="s">
        <v>598</v>
      </c>
      <c r="LLK341" s="288" t="s">
        <v>598</v>
      </c>
      <c r="LLL341" s="288" t="s">
        <v>598</v>
      </c>
      <c r="LLM341" s="288" t="s">
        <v>598</v>
      </c>
      <c r="LLN341" s="288" t="s">
        <v>598</v>
      </c>
      <c r="LLO341" s="288" t="s">
        <v>598</v>
      </c>
      <c r="LLP341" s="288" t="s">
        <v>598</v>
      </c>
      <c r="LLQ341" s="288" t="s">
        <v>598</v>
      </c>
      <c r="LLR341" s="288" t="s">
        <v>598</v>
      </c>
      <c r="LLS341" s="288" t="s">
        <v>598</v>
      </c>
      <c r="LLT341" s="288" t="s">
        <v>598</v>
      </c>
      <c r="LLU341" s="288" t="s">
        <v>598</v>
      </c>
      <c r="LLV341" s="288" t="s">
        <v>598</v>
      </c>
      <c r="LLW341" s="288" t="s">
        <v>598</v>
      </c>
      <c r="LLX341" s="288" t="s">
        <v>598</v>
      </c>
      <c r="LLY341" s="288" t="s">
        <v>598</v>
      </c>
      <c r="LLZ341" s="288" t="s">
        <v>598</v>
      </c>
      <c r="LMA341" s="288" t="s">
        <v>598</v>
      </c>
      <c r="LMB341" s="288" t="s">
        <v>598</v>
      </c>
      <c r="LMC341" s="288" t="s">
        <v>598</v>
      </c>
      <c r="LMD341" s="288" t="s">
        <v>598</v>
      </c>
      <c r="LME341" s="288" t="s">
        <v>598</v>
      </c>
      <c r="LMF341" s="288" t="s">
        <v>598</v>
      </c>
      <c r="LMG341" s="288" t="s">
        <v>598</v>
      </c>
      <c r="LMH341" s="288" t="s">
        <v>598</v>
      </c>
      <c r="LMI341" s="288" t="s">
        <v>598</v>
      </c>
      <c r="LMJ341" s="288" t="s">
        <v>598</v>
      </c>
      <c r="LMK341" s="288" t="s">
        <v>598</v>
      </c>
      <c r="LML341" s="288" t="s">
        <v>598</v>
      </c>
      <c r="LMM341" s="288" t="s">
        <v>598</v>
      </c>
      <c r="LMN341" s="288" t="s">
        <v>598</v>
      </c>
      <c r="LMO341" s="288" t="s">
        <v>598</v>
      </c>
      <c r="LMP341" s="288" t="s">
        <v>598</v>
      </c>
      <c r="LMQ341" s="288" t="s">
        <v>598</v>
      </c>
      <c r="LMR341" s="288" t="s">
        <v>598</v>
      </c>
      <c r="LMS341" s="288" t="s">
        <v>598</v>
      </c>
      <c r="LMT341" s="288" t="s">
        <v>598</v>
      </c>
      <c r="LMU341" s="288" t="s">
        <v>598</v>
      </c>
      <c r="LMV341" s="288" t="s">
        <v>598</v>
      </c>
      <c r="LMW341" s="288" t="s">
        <v>598</v>
      </c>
      <c r="LMX341" s="288" t="s">
        <v>598</v>
      </c>
      <c r="LMY341" s="288" t="s">
        <v>598</v>
      </c>
      <c r="LMZ341" s="288" t="s">
        <v>598</v>
      </c>
      <c r="LNA341" s="288" t="s">
        <v>598</v>
      </c>
      <c r="LNB341" s="288" t="s">
        <v>598</v>
      </c>
      <c r="LNC341" s="288" t="s">
        <v>598</v>
      </c>
      <c r="LND341" s="288" t="s">
        <v>598</v>
      </c>
      <c r="LNE341" s="288" t="s">
        <v>598</v>
      </c>
      <c r="LNF341" s="288" t="s">
        <v>598</v>
      </c>
      <c r="LNG341" s="288" t="s">
        <v>598</v>
      </c>
      <c r="LNH341" s="288" t="s">
        <v>598</v>
      </c>
      <c r="LNI341" s="288" t="s">
        <v>598</v>
      </c>
      <c r="LNJ341" s="288" t="s">
        <v>598</v>
      </c>
      <c r="LNK341" s="288" t="s">
        <v>598</v>
      </c>
      <c r="LNL341" s="288" t="s">
        <v>598</v>
      </c>
      <c r="LNM341" s="288" t="s">
        <v>598</v>
      </c>
      <c r="LNN341" s="288" t="s">
        <v>598</v>
      </c>
      <c r="LNO341" s="288" t="s">
        <v>598</v>
      </c>
      <c r="LNP341" s="288" t="s">
        <v>598</v>
      </c>
      <c r="LNQ341" s="288" t="s">
        <v>598</v>
      </c>
      <c r="LNR341" s="288" t="s">
        <v>598</v>
      </c>
      <c r="LNS341" s="288" t="s">
        <v>598</v>
      </c>
      <c r="LNT341" s="288" t="s">
        <v>598</v>
      </c>
      <c r="LNU341" s="288" t="s">
        <v>598</v>
      </c>
      <c r="LNV341" s="288" t="s">
        <v>598</v>
      </c>
      <c r="LNW341" s="288" t="s">
        <v>598</v>
      </c>
      <c r="LNX341" s="288" t="s">
        <v>598</v>
      </c>
      <c r="LNY341" s="288" t="s">
        <v>598</v>
      </c>
      <c r="LNZ341" s="288" t="s">
        <v>598</v>
      </c>
      <c r="LOA341" s="288" t="s">
        <v>598</v>
      </c>
      <c r="LOB341" s="288" t="s">
        <v>598</v>
      </c>
      <c r="LOC341" s="288" t="s">
        <v>598</v>
      </c>
      <c r="LOD341" s="288" t="s">
        <v>598</v>
      </c>
      <c r="LOE341" s="288" t="s">
        <v>598</v>
      </c>
      <c r="LOF341" s="288" t="s">
        <v>598</v>
      </c>
      <c r="LOG341" s="288" t="s">
        <v>598</v>
      </c>
      <c r="LOH341" s="288" t="s">
        <v>598</v>
      </c>
      <c r="LOI341" s="288" t="s">
        <v>598</v>
      </c>
      <c r="LOJ341" s="288" t="s">
        <v>598</v>
      </c>
      <c r="LOK341" s="288" t="s">
        <v>598</v>
      </c>
      <c r="LOL341" s="288" t="s">
        <v>598</v>
      </c>
      <c r="LOM341" s="288" t="s">
        <v>598</v>
      </c>
      <c r="LON341" s="288" t="s">
        <v>598</v>
      </c>
      <c r="LOO341" s="288" t="s">
        <v>598</v>
      </c>
      <c r="LOP341" s="288" t="s">
        <v>598</v>
      </c>
      <c r="LOQ341" s="288" t="s">
        <v>598</v>
      </c>
      <c r="LOR341" s="288" t="s">
        <v>598</v>
      </c>
      <c r="LOS341" s="288" t="s">
        <v>598</v>
      </c>
      <c r="LOT341" s="288" t="s">
        <v>598</v>
      </c>
      <c r="LOU341" s="288" t="s">
        <v>598</v>
      </c>
      <c r="LOV341" s="288" t="s">
        <v>598</v>
      </c>
      <c r="LOW341" s="288" t="s">
        <v>598</v>
      </c>
      <c r="LOX341" s="288" t="s">
        <v>598</v>
      </c>
      <c r="LOY341" s="288" t="s">
        <v>598</v>
      </c>
      <c r="LOZ341" s="288" t="s">
        <v>598</v>
      </c>
      <c r="LPA341" s="288" t="s">
        <v>598</v>
      </c>
      <c r="LPB341" s="288" t="s">
        <v>598</v>
      </c>
      <c r="LPC341" s="288" t="s">
        <v>598</v>
      </c>
      <c r="LPD341" s="288" t="s">
        <v>598</v>
      </c>
      <c r="LPE341" s="288" t="s">
        <v>598</v>
      </c>
      <c r="LPF341" s="288" t="s">
        <v>598</v>
      </c>
      <c r="LPG341" s="288" t="s">
        <v>598</v>
      </c>
      <c r="LPH341" s="288" t="s">
        <v>598</v>
      </c>
      <c r="LPI341" s="288" t="s">
        <v>598</v>
      </c>
      <c r="LPJ341" s="288" t="s">
        <v>598</v>
      </c>
      <c r="LPK341" s="288" t="s">
        <v>598</v>
      </c>
      <c r="LPL341" s="288" t="s">
        <v>598</v>
      </c>
      <c r="LPM341" s="288" t="s">
        <v>598</v>
      </c>
      <c r="LPN341" s="288" t="s">
        <v>598</v>
      </c>
      <c r="LPO341" s="288" t="s">
        <v>598</v>
      </c>
      <c r="LPP341" s="288" t="s">
        <v>598</v>
      </c>
      <c r="LPQ341" s="288" t="s">
        <v>598</v>
      </c>
      <c r="LPR341" s="288" t="s">
        <v>598</v>
      </c>
      <c r="LPS341" s="288" t="s">
        <v>598</v>
      </c>
      <c r="LPT341" s="288" t="s">
        <v>598</v>
      </c>
      <c r="LPU341" s="288" t="s">
        <v>598</v>
      </c>
      <c r="LPV341" s="288" t="s">
        <v>598</v>
      </c>
      <c r="LPW341" s="288" t="s">
        <v>598</v>
      </c>
      <c r="LPX341" s="288" t="s">
        <v>598</v>
      </c>
      <c r="LPY341" s="288" t="s">
        <v>598</v>
      </c>
      <c r="LPZ341" s="288" t="s">
        <v>598</v>
      </c>
      <c r="LQA341" s="288" t="s">
        <v>598</v>
      </c>
      <c r="LQB341" s="288" t="s">
        <v>598</v>
      </c>
      <c r="LQC341" s="288" t="s">
        <v>598</v>
      </c>
      <c r="LQD341" s="288" t="s">
        <v>598</v>
      </c>
      <c r="LQE341" s="288" t="s">
        <v>598</v>
      </c>
      <c r="LQF341" s="288" t="s">
        <v>598</v>
      </c>
      <c r="LQG341" s="288" t="s">
        <v>598</v>
      </c>
      <c r="LQH341" s="288" t="s">
        <v>598</v>
      </c>
      <c r="LQI341" s="288" t="s">
        <v>598</v>
      </c>
      <c r="LQJ341" s="288" t="s">
        <v>598</v>
      </c>
      <c r="LQK341" s="288" t="s">
        <v>598</v>
      </c>
      <c r="LQL341" s="288" t="s">
        <v>598</v>
      </c>
      <c r="LQM341" s="288" t="s">
        <v>598</v>
      </c>
      <c r="LQN341" s="288" t="s">
        <v>598</v>
      </c>
      <c r="LQO341" s="288" t="s">
        <v>598</v>
      </c>
      <c r="LQP341" s="288" t="s">
        <v>598</v>
      </c>
      <c r="LQQ341" s="288" t="s">
        <v>598</v>
      </c>
      <c r="LQR341" s="288" t="s">
        <v>598</v>
      </c>
      <c r="LQS341" s="288" t="s">
        <v>598</v>
      </c>
      <c r="LQT341" s="288" t="s">
        <v>598</v>
      </c>
      <c r="LQU341" s="288" t="s">
        <v>598</v>
      </c>
      <c r="LQV341" s="288" t="s">
        <v>598</v>
      </c>
      <c r="LQW341" s="288" t="s">
        <v>598</v>
      </c>
      <c r="LQX341" s="288" t="s">
        <v>598</v>
      </c>
      <c r="LQY341" s="288" t="s">
        <v>598</v>
      </c>
      <c r="LQZ341" s="288" t="s">
        <v>598</v>
      </c>
      <c r="LRA341" s="288" t="s">
        <v>598</v>
      </c>
      <c r="LRB341" s="288" t="s">
        <v>598</v>
      </c>
      <c r="LRC341" s="288" t="s">
        <v>598</v>
      </c>
      <c r="LRD341" s="288" t="s">
        <v>598</v>
      </c>
      <c r="LRE341" s="288" t="s">
        <v>598</v>
      </c>
      <c r="LRF341" s="288" t="s">
        <v>598</v>
      </c>
      <c r="LRG341" s="288" t="s">
        <v>598</v>
      </c>
      <c r="LRH341" s="288" t="s">
        <v>598</v>
      </c>
      <c r="LRI341" s="288" t="s">
        <v>598</v>
      </c>
      <c r="LRJ341" s="288" t="s">
        <v>598</v>
      </c>
      <c r="LRK341" s="288" t="s">
        <v>598</v>
      </c>
      <c r="LRL341" s="288" t="s">
        <v>598</v>
      </c>
      <c r="LRM341" s="288" t="s">
        <v>598</v>
      </c>
      <c r="LRN341" s="288" t="s">
        <v>598</v>
      </c>
      <c r="LRO341" s="288" t="s">
        <v>598</v>
      </c>
      <c r="LRP341" s="288" t="s">
        <v>598</v>
      </c>
      <c r="LRQ341" s="288" t="s">
        <v>598</v>
      </c>
      <c r="LRR341" s="288" t="s">
        <v>598</v>
      </c>
      <c r="LRS341" s="288" t="s">
        <v>598</v>
      </c>
      <c r="LRT341" s="288" t="s">
        <v>598</v>
      </c>
      <c r="LRU341" s="288" t="s">
        <v>598</v>
      </c>
      <c r="LRV341" s="288" t="s">
        <v>598</v>
      </c>
      <c r="LRW341" s="288" t="s">
        <v>598</v>
      </c>
      <c r="LRX341" s="288" t="s">
        <v>598</v>
      </c>
      <c r="LRY341" s="288" t="s">
        <v>598</v>
      </c>
      <c r="LRZ341" s="288" t="s">
        <v>598</v>
      </c>
      <c r="LSA341" s="288" t="s">
        <v>598</v>
      </c>
      <c r="LSB341" s="288" t="s">
        <v>598</v>
      </c>
      <c r="LSC341" s="288" t="s">
        <v>598</v>
      </c>
      <c r="LSD341" s="288" t="s">
        <v>598</v>
      </c>
      <c r="LSE341" s="288" t="s">
        <v>598</v>
      </c>
      <c r="LSF341" s="288" t="s">
        <v>598</v>
      </c>
      <c r="LSG341" s="288" t="s">
        <v>598</v>
      </c>
      <c r="LSH341" s="288" t="s">
        <v>598</v>
      </c>
      <c r="LSI341" s="288" t="s">
        <v>598</v>
      </c>
      <c r="LSJ341" s="288" t="s">
        <v>598</v>
      </c>
      <c r="LSK341" s="288" t="s">
        <v>598</v>
      </c>
      <c r="LSL341" s="288" t="s">
        <v>598</v>
      </c>
      <c r="LSM341" s="288" t="s">
        <v>598</v>
      </c>
      <c r="LSN341" s="288" t="s">
        <v>598</v>
      </c>
      <c r="LSO341" s="288" t="s">
        <v>598</v>
      </c>
      <c r="LSP341" s="288" t="s">
        <v>598</v>
      </c>
      <c r="LSQ341" s="288" t="s">
        <v>598</v>
      </c>
      <c r="LSR341" s="288" t="s">
        <v>598</v>
      </c>
      <c r="LSS341" s="288" t="s">
        <v>598</v>
      </c>
      <c r="LST341" s="288" t="s">
        <v>598</v>
      </c>
      <c r="LSU341" s="288" t="s">
        <v>598</v>
      </c>
      <c r="LSV341" s="288" t="s">
        <v>598</v>
      </c>
      <c r="LSW341" s="288" t="s">
        <v>598</v>
      </c>
      <c r="LSX341" s="288" t="s">
        <v>598</v>
      </c>
      <c r="LSY341" s="288" t="s">
        <v>598</v>
      </c>
      <c r="LSZ341" s="288" t="s">
        <v>598</v>
      </c>
      <c r="LTA341" s="288" t="s">
        <v>598</v>
      </c>
      <c r="LTB341" s="288" t="s">
        <v>598</v>
      </c>
      <c r="LTC341" s="288" t="s">
        <v>598</v>
      </c>
      <c r="LTD341" s="288" t="s">
        <v>598</v>
      </c>
      <c r="LTE341" s="288" t="s">
        <v>598</v>
      </c>
      <c r="LTF341" s="288" t="s">
        <v>598</v>
      </c>
      <c r="LTG341" s="288" t="s">
        <v>598</v>
      </c>
      <c r="LTH341" s="288" t="s">
        <v>598</v>
      </c>
      <c r="LTI341" s="288" t="s">
        <v>598</v>
      </c>
      <c r="LTJ341" s="288" t="s">
        <v>598</v>
      </c>
      <c r="LTK341" s="288" t="s">
        <v>598</v>
      </c>
      <c r="LTL341" s="288" t="s">
        <v>598</v>
      </c>
      <c r="LTM341" s="288" t="s">
        <v>598</v>
      </c>
      <c r="LTN341" s="288" t="s">
        <v>598</v>
      </c>
      <c r="LTO341" s="288" t="s">
        <v>598</v>
      </c>
      <c r="LTP341" s="288" t="s">
        <v>598</v>
      </c>
      <c r="LTQ341" s="288" t="s">
        <v>598</v>
      </c>
      <c r="LTR341" s="288" t="s">
        <v>598</v>
      </c>
      <c r="LTS341" s="288" t="s">
        <v>598</v>
      </c>
      <c r="LTT341" s="288" t="s">
        <v>598</v>
      </c>
      <c r="LTU341" s="288" t="s">
        <v>598</v>
      </c>
      <c r="LTV341" s="288" t="s">
        <v>598</v>
      </c>
      <c r="LTW341" s="288" t="s">
        <v>598</v>
      </c>
      <c r="LTX341" s="288" t="s">
        <v>598</v>
      </c>
      <c r="LTY341" s="288" t="s">
        <v>598</v>
      </c>
      <c r="LTZ341" s="288" t="s">
        <v>598</v>
      </c>
      <c r="LUA341" s="288" t="s">
        <v>598</v>
      </c>
      <c r="LUB341" s="288" t="s">
        <v>598</v>
      </c>
      <c r="LUC341" s="288" t="s">
        <v>598</v>
      </c>
      <c r="LUD341" s="288" t="s">
        <v>598</v>
      </c>
      <c r="LUE341" s="288" t="s">
        <v>598</v>
      </c>
      <c r="LUF341" s="288" t="s">
        <v>598</v>
      </c>
      <c r="LUG341" s="288" t="s">
        <v>598</v>
      </c>
      <c r="LUH341" s="288" t="s">
        <v>598</v>
      </c>
      <c r="LUI341" s="288" t="s">
        <v>598</v>
      </c>
      <c r="LUJ341" s="288" t="s">
        <v>598</v>
      </c>
      <c r="LUK341" s="288" t="s">
        <v>598</v>
      </c>
      <c r="LUL341" s="288" t="s">
        <v>598</v>
      </c>
      <c r="LUM341" s="288" t="s">
        <v>598</v>
      </c>
      <c r="LUN341" s="288" t="s">
        <v>598</v>
      </c>
      <c r="LUO341" s="288" t="s">
        <v>598</v>
      </c>
      <c r="LUP341" s="288" t="s">
        <v>598</v>
      </c>
      <c r="LUQ341" s="288" t="s">
        <v>598</v>
      </c>
      <c r="LUR341" s="288" t="s">
        <v>598</v>
      </c>
      <c r="LUS341" s="288" t="s">
        <v>598</v>
      </c>
      <c r="LUT341" s="288" t="s">
        <v>598</v>
      </c>
      <c r="LUU341" s="288" t="s">
        <v>598</v>
      </c>
      <c r="LUV341" s="288" t="s">
        <v>598</v>
      </c>
      <c r="LUW341" s="288" t="s">
        <v>598</v>
      </c>
      <c r="LUX341" s="288" t="s">
        <v>598</v>
      </c>
      <c r="LUY341" s="288" t="s">
        <v>598</v>
      </c>
      <c r="LUZ341" s="288" t="s">
        <v>598</v>
      </c>
      <c r="LVA341" s="288" t="s">
        <v>598</v>
      </c>
      <c r="LVB341" s="288" t="s">
        <v>598</v>
      </c>
      <c r="LVC341" s="288" t="s">
        <v>598</v>
      </c>
      <c r="LVD341" s="288" t="s">
        <v>598</v>
      </c>
      <c r="LVE341" s="288" t="s">
        <v>598</v>
      </c>
      <c r="LVF341" s="288" t="s">
        <v>598</v>
      </c>
      <c r="LVG341" s="288" t="s">
        <v>598</v>
      </c>
      <c r="LVH341" s="288" t="s">
        <v>598</v>
      </c>
      <c r="LVI341" s="288" t="s">
        <v>598</v>
      </c>
      <c r="LVJ341" s="288" t="s">
        <v>598</v>
      </c>
      <c r="LVK341" s="288" t="s">
        <v>598</v>
      </c>
      <c r="LVL341" s="288" t="s">
        <v>598</v>
      </c>
      <c r="LVM341" s="288" t="s">
        <v>598</v>
      </c>
      <c r="LVN341" s="288" t="s">
        <v>598</v>
      </c>
      <c r="LVO341" s="288" t="s">
        <v>598</v>
      </c>
      <c r="LVP341" s="288" t="s">
        <v>598</v>
      </c>
      <c r="LVQ341" s="288" t="s">
        <v>598</v>
      </c>
      <c r="LVR341" s="288" t="s">
        <v>598</v>
      </c>
      <c r="LVS341" s="288" t="s">
        <v>598</v>
      </c>
      <c r="LVT341" s="288" t="s">
        <v>598</v>
      </c>
      <c r="LVU341" s="288" t="s">
        <v>598</v>
      </c>
      <c r="LVV341" s="288" t="s">
        <v>598</v>
      </c>
      <c r="LVW341" s="288" t="s">
        <v>598</v>
      </c>
      <c r="LVX341" s="288" t="s">
        <v>598</v>
      </c>
      <c r="LVY341" s="288" t="s">
        <v>598</v>
      </c>
      <c r="LVZ341" s="288" t="s">
        <v>598</v>
      </c>
      <c r="LWA341" s="288" t="s">
        <v>598</v>
      </c>
      <c r="LWB341" s="288" t="s">
        <v>598</v>
      </c>
      <c r="LWC341" s="288" t="s">
        <v>598</v>
      </c>
      <c r="LWD341" s="288" t="s">
        <v>598</v>
      </c>
      <c r="LWE341" s="288" t="s">
        <v>598</v>
      </c>
      <c r="LWF341" s="288" t="s">
        <v>598</v>
      </c>
      <c r="LWG341" s="288" t="s">
        <v>598</v>
      </c>
      <c r="LWH341" s="288" t="s">
        <v>598</v>
      </c>
      <c r="LWI341" s="288" t="s">
        <v>598</v>
      </c>
      <c r="LWJ341" s="288" t="s">
        <v>598</v>
      </c>
      <c r="LWK341" s="288" t="s">
        <v>598</v>
      </c>
      <c r="LWL341" s="288" t="s">
        <v>598</v>
      </c>
      <c r="LWM341" s="288" t="s">
        <v>598</v>
      </c>
      <c r="LWN341" s="288" t="s">
        <v>598</v>
      </c>
      <c r="LWO341" s="288" t="s">
        <v>598</v>
      </c>
      <c r="LWP341" s="288" t="s">
        <v>598</v>
      </c>
      <c r="LWQ341" s="288" t="s">
        <v>598</v>
      </c>
      <c r="LWR341" s="288" t="s">
        <v>598</v>
      </c>
      <c r="LWS341" s="288" t="s">
        <v>598</v>
      </c>
      <c r="LWT341" s="288" t="s">
        <v>598</v>
      </c>
      <c r="LWU341" s="288" t="s">
        <v>598</v>
      </c>
      <c r="LWV341" s="288" t="s">
        <v>598</v>
      </c>
      <c r="LWW341" s="288" t="s">
        <v>598</v>
      </c>
      <c r="LWX341" s="288" t="s">
        <v>598</v>
      </c>
      <c r="LWY341" s="288" t="s">
        <v>598</v>
      </c>
      <c r="LWZ341" s="288" t="s">
        <v>598</v>
      </c>
      <c r="LXA341" s="288" t="s">
        <v>598</v>
      </c>
      <c r="LXB341" s="288" t="s">
        <v>598</v>
      </c>
      <c r="LXC341" s="288" t="s">
        <v>598</v>
      </c>
      <c r="LXD341" s="288" t="s">
        <v>598</v>
      </c>
      <c r="LXE341" s="288" t="s">
        <v>598</v>
      </c>
      <c r="LXF341" s="288" t="s">
        <v>598</v>
      </c>
      <c r="LXG341" s="288" t="s">
        <v>598</v>
      </c>
      <c r="LXH341" s="288" t="s">
        <v>598</v>
      </c>
      <c r="LXI341" s="288" t="s">
        <v>598</v>
      </c>
      <c r="LXJ341" s="288" t="s">
        <v>598</v>
      </c>
      <c r="LXK341" s="288" t="s">
        <v>598</v>
      </c>
      <c r="LXL341" s="288" t="s">
        <v>598</v>
      </c>
      <c r="LXM341" s="288" t="s">
        <v>598</v>
      </c>
      <c r="LXN341" s="288" t="s">
        <v>598</v>
      </c>
      <c r="LXO341" s="288" t="s">
        <v>598</v>
      </c>
      <c r="LXP341" s="288" t="s">
        <v>598</v>
      </c>
      <c r="LXQ341" s="288" t="s">
        <v>598</v>
      </c>
      <c r="LXR341" s="288" t="s">
        <v>598</v>
      </c>
      <c r="LXS341" s="288" t="s">
        <v>598</v>
      </c>
      <c r="LXT341" s="288" t="s">
        <v>598</v>
      </c>
      <c r="LXU341" s="288" t="s">
        <v>598</v>
      </c>
      <c r="LXV341" s="288" t="s">
        <v>598</v>
      </c>
      <c r="LXW341" s="288" t="s">
        <v>598</v>
      </c>
      <c r="LXX341" s="288" t="s">
        <v>598</v>
      </c>
      <c r="LXY341" s="288" t="s">
        <v>598</v>
      </c>
      <c r="LXZ341" s="288" t="s">
        <v>598</v>
      </c>
      <c r="LYA341" s="288" t="s">
        <v>598</v>
      </c>
      <c r="LYB341" s="288" t="s">
        <v>598</v>
      </c>
      <c r="LYC341" s="288" t="s">
        <v>598</v>
      </c>
      <c r="LYD341" s="288" t="s">
        <v>598</v>
      </c>
      <c r="LYE341" s="288" t="s">
        <v>598</v>
      </c>
      <c r="LYF341" s="288" t="s">
        <v>598</v>
      </c>
      <c r="LYG341" s="288" t="s">
        <v>598</v>
      </c>
      <c r="LYH341" s="288" t="s">
        <v>598</v>
      </c>
      <c r="LYI341" s="288" t="s">
        <v>598</v>
      </c>
      <c r="LYJ341" s="288" t="s">
        <v>598</v>
      </c>
      <c r="LYK341" s="288" t="s">
        <v>598</v>
      </c>
      <c r="LYL341" s="288" t="s">
        <v>598</v>
      </c>
      <c r="LYM341" s="288" t="s">
        <v>598</v>
      </c>
      <c r="LYN341" s="288" t="s">
        <v>598</v>
      </c>
      <c r="LYO341" s="288" t="s">
        <v>598</v>
      </c>
      <c r="LYP341" s="288" t="s">
        <v>598</v>
      </c>
      <c r="LYQ341" s="288" t="s">
        <v>598</v>
      </c>
      <c r="LYR341" s="288" t="s">
        <v>598</v>
      </c>
      <c r="LYS341" s="288" t="s">
        <v>598</v>
      </c>
      <c r="LYT341" s="288" t="s">
        <v>598</v>
      </c>
      <c r="LYU341" s="288" t="s">
        <v>598</v>
      </c>
      <c r="LYV341" s="288" t="s">
        <v>598</v>
      </c>
      <c r="LYW341" s="288" t="s">
        <v>598</v>
      </c>
      <c r="LYX341" s="288" t="s">
        <v>598</v>
      </c>
      <c r="LYY341" s="288" t="s">
        <v>598</v>
      </c>
      <c r="LYZ341" s="288" t="s">
        <v>598</v>
      </c>
      <c r="LZA341" s="288" t="s">
        <v>598</v>
      </c>
      <c r="LZB341" s="288" t="s">
        <v>598</v>
      </c>
      <c r="LZC341" s="288" t="s">
        <v>598</v>
      </c>
      <c r="LZD341" s="288" t="s">
        <v>598</v>
      </c>
      <c r="LZE341" s="288" t="s">
        <v>598</v>
      </c>
      <c r="LZF341" s="288" t="s">
        <v>598</v>
      </c>
      <c r="LZG341" s="288" t="s">
        <v>598</v>
      </c>
      <c r="LZH341" s="288" t="s">
        <v>598</v>
      </c>
      <c r="LZI341" s="288" t="s">
        <v>598</v>
      </c>
      <c r="LZJ341" s="288" t="s">
        <v>598</v>
      </c>
      <c r="LZK341" s="288" t="s">
        <v>598</v>
      </c>
      <c r="LZL341" s="288" t="s">
        <v>598</v>
      </c>
      <c r="LZM341" s="288" t="s">
        <v>598</v>
      </c>
      <c r="LZN341" s="288" t="s">
        <v>598</v>
      </c>
      <c r="LZO341" s="288" t="s">
        <v>598</v>
      </c>
      <c r="LZP341" s="288" t="s">
        <v>598</v>
      </c>
      <c r="LZQ341" s="288" t="s">
        <v>598</v>
      </c>
      <c r="LZR341" s="288" t="s">
        <v>598</v>
      </c>
      <c r="LZS341" s="288" t="s">
        <v>598</v>
      </c>
      <c r="LZT341" s="288" t="s">
        <v>598</v>
      </c>
      <c r="LZU341" s="288" t="s">
        <v>598</v>
      </c>
      <c r="LZV341" s="288" t="s">
        <v>598</v>
      </c>
      <c r="LZW341" s="288" t="s">
        <v>598</v>
      </c>
      <c r="LZX341" s="288" t="s">
        <v>598</v>
      </c>
      <c r="LZY341" s="288" t="s">
        <v>598</v>
      </c>
      <c r="LZZ341" s="288" t="s">
        <v>598</v>
      </c>
      <c r="MAA341" s="288" t="s">
        <v>598</v>
      </c>
      <c r="MAB341" s="288" t="s">
        <v>598</v>
      </c>
      <c r="MAC341" s="288" t="s">
        <v>598</v>
      </c>
      <c r="MAD341" s="288" t="s">
        <v>598</v>
      </c>
      <c r="MAE341" s="288" t="s">
        <v>598</v>
      </c>
      <c r="MAF341" s="288" t="s">
        <v>598</v>
      </c>
      <c r="MAG341" s="288" t="s">
        <v>598</v>
      </c>
      <c r="MAH341" s="288" t="s">
        <v>598</v>
      </c>
      <c r="MAI341" s="288" t="s">
        <v>598</v>
      </c>
      <c r="MAJ341" s="288" t="s">
        <v>598</v>
      </c>
      <c r="MAK341" s="288" t="s">
        <v>598</v>
      </c>
      <c r="MAL341" s="288" t="s">
        <v>598</v>
      </c>
      <c r="MAM341" s="288" t="s">
        <v>598</v>
      </c>
      <c r="MAN341" s="288" t="s">
        <v>598</v>
      </c>
      <c r="MAO341" s="288" t="s">
        <v>598</v>
      </c>
      <c r="MAP341" s="288" t="s">
        <v>598</v>
      </c>
      <c r="MAQ341" s="288" t="s">
        <v>598</v>
      </c>
      <c r="MAR341" s="288" t="s">
        <v>598</v>
      </c>
      <c r="MAS341" s="288" t="s">
        <v>598</v>
      </c>
      <c r="MAT341" s="288" t="s">
        <v>598</v>
      </c>
      <c r="MAU341" s="288" t="s">
        <v>598</v>
      </c>
      <c r="MAV341" s="288" t="s">
        <v>598</v>
      </c>
      <c r="MAW341" s="288" t="s">
        <v>598</v>
      </c>
      <c r="MAX341" s="288" t="s">
        <v>598</v>
      </c>
      <c r="MAY341" s="288" t="s">
        <v>598</v>
      </c>
      <c r="MAZ341" s="288" t="s">
        <v>598</v>
      </c>
      <c r="MBA341" s="288" t="s">
        <v>598</v>
      </c>
      <c r="MBB341" s="288" t="s">
        <v>598</v>
      </c>
      <c r="MBC341" s="288" t="s">
        <v>598</v>
      </c>
      <c r="MBD341" s="288" t="s">
        <v>598</v>
      </c>
      <c r="MBE341" s="288" t="s">
        <v>598</v>
      </c>
      <c r="MBF341" s="288" t="s">
        <v>598</v>
      </c>
      <c r="MBG341" s="288" t="s">
        <v>598</v>
      </c>
      <c r="MBH341" s="288" t="s">
        <v>598</v>
      </c>
      <c r="MBI341" s="288" t="s">
        <v>598</v>
      </c>
      <c r="MBJ341" s="288" t="s">
        <v>598</v>
      </c>
      <c r="MBK341" s="288" t="s">
        <v>598</v>
      </c>
      <c r="MBL341" s="288" t="s">
        <v>598</v>
      </c>
      <c r="MBM341" s="288" t="s">
        <v>598</v>
      </c>
      <c r="MBN341" s="288" t="s">
        <v>598</v>
      </c>
      <c r="MBO341" s="288" t="s">
        <v>598</v>
      </c>
      <c r="MBP341" s="288" t="s">
        <v>598</v>
      </c>
      <c r="MBQ341" s="288" t="s">
        <v>598</v>
      </c>
      <c r="MBR341" s="288" t="s">
        <v>598</v>
      </c>
      <c r="MBS341" s="288" t="s">
        <v>598</v>
      </c>
      <c r="MBT341" s="288" t="s">
        <v>598</v>
      </c>
      <c r="MBU341" s="288" t="s">
        <v>598</v>
      </c>
      <c r="MBV341" s="288" t="s">
        <v>598</v>
      </c>
      <c r="MBW341" s="288" t="s">
        <v>598</v>
      </c>
      <c r="MBX341" s="288" t="s">
        <v>598</v>
      </c>
      <c r="MBY341" s="288" t="s">
        <v>598</v>
      </c>
      <c r="MBZ341" s="288" t="s">
        <v>598</v>
      </c>
      <c r="MCA341" s="288" t="s">
        <v>598</v>
      </c>
      <c r="MCB341" s="288" t="s">
        <v>598</v>
      </c>
      <c r="MCC341" s="288" t="s">
        <v>598</v>
      </c>
      <c r="MCD341" s="288" t="s">
        <v>598</v>
      </c>
      <c r="MCE341" s="288" t="s">
        <v>598</v>
      </c>
      <c r="MCF341" s="288" t="s">
        <v>598</v>
      </c>
      <c r="MCG341" s="288" t="s">
        <v>598</v>
      </c>
      <c r="MCH341" s="288" t="s">
        <v>598</v>
      </c>
      <c r="MCI341" s="288" t="s">
        <v>598</v>
      </c>
      <c r="MCJ341" s="288" t="s">
        <v>598</v>
      </c>
      <c r="MCK341" s="288" t="s">
        <v>598</v>
      </c>
      <c r="MCL341" s="288" t="s">
        <v>598</v>
      </c>
      <c r="MCM341" s="288" t="s">
        <v>598</v>
      </c>
      <c r="MCN341" s="288" t="s">
        <v>598</v>
      </c>
      <c r="MCO341" s="288" t="s">
        <v>598</v>
      </c>
      <c r="MCP341" s="288" t="s">
        <v>598</v>
      </c>
      <c r="MCQ341" s="288" t="s">
        <v>598</v>
      </c>
      <c r="MCR341" s="288" t="s">
        <v>598</v>
      </c>
      <c r="MCS341" s="288" t="s">
        <v>598</v>
      </c>
      <c r="MCT341" s="288" t="s">
        <v>598</v>
      </c>
      <c r="MCU341" s="288" t="s">
        <v>598</v>
      </c>
      <c r="MCV341" s="288" t="s">
        <v>598</v>
      </c>
      <c r="MCW341" s="288" t="s">
        <v>598</v>
      </c>
      <c r="MCX341" s="288" t="s">
        <v>598</v>
      </c>
      <c r="MCY341" s="288" t="s">
        <v>598</v>
      </c>
      <c r="MCZ341" s="288" t="s">
        <v>598</v>
      </c>
      <c r="MDA341" s="288" t="s">
        <v>598</v>
      </c>
      <c r="MDB341" s="288" t="s">
        <v>598</v>
      </c>
      <c r="MDC341" s="288" t="s">
        <v>598</v>
      </c>
      <c r="MDD341" s="288" t="s">
        <v>598</v>
      </c>
      <c r="MDE341" s="288" t="s">
        <v>598</v>
      </c>
      <c r="MDF341" s="288" t="s">
        <v>598</v>
      </c>
      <c r="MDG341" s="288" t="s">
        <v>598</v>
      </c>
      <c r="MDH341" s="288" t="s">
        <v>598</v>
      </c>
      <c r="MDI341" s="288" t="s">
        <v>598</v>
      </c>
      <c r="MDJ341" s="288" t="s">
        <v>598</v>
      </c>
      <c r="MDK341" s="288" t="s">
        <v>598</v>
      </c>
      <c r="MDL341" s="288" t="s">
        <v>598</v>
      </c>
      <c r="MDM341" s="288" t="s">
        <v>598</v>
      </c>
      <c r="MDN341" s="288" t="s">
        <v>598</v>
      </c>
      <c r="MDO341" s="288" t="s">
        <v>598</v>
      </c>
      <c r="MDP341" s="288" t="s">
        <v>598</v>
      </c>
      <c r="MDQ341" s="288" t="s">
        <v>598</v>
      </c>
      <c r="MDR341" s="288" t="s">
        <v>598</v>
      </c>
      <c r="MDS341" s="288" t="s">
        <v>598</v>
      </c>
      <c r="MDT341" s="288" t="s">
        <v>598</v>
      </c>
      <c r="MDU341" s="288" t="s">
        <v>598</v>
      </c>
      <c r="MDV341" s="288" t="s">
        <v>598</v>
      </c>
      <c r="MDW341" s="288" t="s">
        <v>598</v>
      </c>
      <c r="MDX341" s="288" t="s">
        <v>598</v>
      </c>
      <c r="MDY341" s="288" t="s">
        <v>598</v>
      </c>
      <c r="MDZ341" s="288" t="s">
        <v>598</v>
      </c>
      <c r="MEA341" s="288" t="s">
        <v>598</v>
      </c>
      <c r="MEB341" s="288" t="s">
        <v>598</v>
      </c>
      <c r="MEC341" s="288" t="s">
        <v>598</v>
      </c>
      <c r="MED341" s="288" t="s">
        <v>598</v>
      </c>
      <c r="MEE341" s="288" t="s">
        <v>598</v>
      </c>
      <c r="MEF341" s="288" t="s">
        <v>598</v>
      </c>
      <c r="MEG341" s="288" t="s">
        <v>598</v>
      </c>
      <c r="MEH341" s="288" t="s">
        <v>598</v>
      </c>
      <c r="MEI341" s="288" t="s">
        <v>598</v>
      </c>
      <c r="MEJ341" s="288" t="s">
        <v>598</v>
      </c>
      <c r="MEK341" s="288" t="s">
        <v>598</v>
      </c>
      <c r="MEL341" s="288" t="s">
        <v>598</v>
      </c>
      <c r="MEM341" s="288" t="s">
        <v>598</v>
      </c>
      <c r="MEN341" s="288" t="s">
        <v>598</v>
      </c>
      <c r="MEO341" s="288" t="s">
        <v>598</v>
      </c>
      <c r="MEP341" s="288" t="s">
        <v>598</v>
      </c>
      <c r="MEQ341" s="288" t="s">
        <v>598</v>
      </c>
      <c r="MER341" s="288" t="s">
        <v>598</v>
      </c>
      <c r="MES341" s="288" t="s">
        <v>598</v>
      </c>
      <c r="MET341" s="288" t="s">
        <v>598</v>
      </c>
      <c r="MEU341" s="288" t="s">
        <v>598</v>
      </c>
      <c r="MEV341" s="288" t="s">
        <v>598</v>
      </c>
      <c r="MEW341" s="288" t="s">
        <v>598</v>
      </c>
      <c r="MEX341" s="288" t="s">
        <v>598</v>
      </c>
      <c r="MEY341" s="288" t="s">
        <v>598</v>
      </c>
      <c r="MEZ341" s="288" t="s">
        <v>598</v>
      </c>
      <c r="MFA341" s="288" t="s">
        <v>598</v>
      </c>
      <c r="MFB341" s="288" t="s">
        <v>598</v>
      </c>
      <c r="MFC341" s="288" t="s">
        <v>598</v>
      </c>
      <c r="MFD341" s="288" t="s">
        <v>598</v>
      </c>
      <c r="MFE341" s="288" t="s">
        <v>598</v>
      </c>
      <c r="MFF341" s="288" t="s">
        <v>598</v>
      </c>
      <c r="MFG341" s="288" t="s">
        <v>598</v>
      </c>
      <c r="MFH341" s="288" t="s">
        <v>598</v>
      </c>
      <c r="MFI341" s="288" t="s">
        <v>598</v>
      </c>
      <c r="MFJ341" s="288" t="s">
        <v>598</v>
      </c>
      <c r="MFK341" s="288" t="s">
        <v>598</v>
      </c>
      <c r="MFL341" s="288" t="s">
        <v>598</v>
      </c>
      <c r="MFM341" s="288" t="s">
        <v>598</v>
      </c>
      <c r="MFN341" s="288" t="s">
        <v>598</v>
      </c>
      <c r="MFO341" s="288" t="s">
        <v>598</v>
      </c>
      <c r="MFP341" s="288" t="s">
        <v>598</v>
      </c>
      <c r="MFQ341" s="288" t="s">
        <v>598</v>
      </c>
      <c r="MFR341" s="288" t="s">
        <v>598</v>
      </c>
      <c r="MFS341" s="288" t="s">
        <v>598</v>
      </c>
      <c r="MFT341" s="288" t="s">
        <v>598</v>
      </c>
      <c r="MFU341" s="288" t="s">
        <v>598</v>
      </c>
      <c r="MFV341" s="288" t="s">
        <v>598</v>
      </c>
      <c r="MFW341" s="288" t="s">
        <v>598</v>
      </c>
      <c r="MFX341" s="288" t="s">
        <v>598</v>
      </c>
      <c r="MFY341" s="288" t="s">
        <v>598</v>
      </c>
      <c r="MFZ341" s="288" t="s">
        <v>598</v>
      </c>
      <c r="MGA341" s="288" t="s">
        <v>598</v>
      </c>
      <c r="MGB341" s="288" t="s">
        <v>598</v>
      </c>
      <c r="MGC341" s="288" t="s">
        <v>598</v>
      </c>
      <c r="MGD341" s="288" t="s">
        <v>598</v>
      </c>
      <c r="MGE341" s="288" t="s">
        <v>598</v>
      </c>
      <c r="MGF341" s="288" t="s">
        <v>598</v>
      </c>
      <c r="MGG341" s="288" t="s">
        <v>598</v>
      </c>
      <c r="MGH341" s="288" t="s">
        <v>598</v>
      </c>
      <c r="MGI341" s="288" t="s">
        <v>598</v>
      </c>
      <c r="MGJ341" s="288" t="s">
        <v>598</v>
      </c>
      <c r="MGK341" s="288" t="s">
        <v>598</v>
      </c>
      <c r="MGL341" s="288" t="s">
        <v>598</v>
      </c>
      <c r="MGM341" s="288" t="s">
        <v>598</v>
      </c>
      <c r="MGN341" s="288" t="s">
        <v>598</v>
      </c>
      <c r="MGO341" s="288" t="s">
        <v>598</v>
      </c>
      <c r="MGP341" s="288" t="s">
        <v>598</v>
      </c>
      <c r="MGQ341" s="288" t="s">
        <v>598</v>
      </c>
      <c r="MGR341" s="288" t="s">
        <v>598</v>
      </c>
      <c r="MGS341" s="288" t="s">
        <v>598</v>
      </c>
      <c r="MGT341" s="288" t="s">
        <v>598</v>
      </c>
      <c r="MGU341" s="288" t="s">
        <v>598</v>
      </c>
      <c r="MGV341" s="288" t="s">
        <v>598</v>
      </c>
      <c r="MGW341" s="288" t="s">
        <v>598</v>
      </c>
      <c r="MGX341" s="288" t="s">
        <v>598</v>
      </c>
      <c r="MGY341" s="288" t="s">
        <v>598</v>
      </c>
      <c r="MGZ341" s="288" t="s">
        <v>598</v>
      </c>
      <c r="MHA341" s="288" t="s">
        <v>598</v>
      </c>
      <c r="MHB341" s="288" t="s">
        <v>598</v>
      </c>
      <c r="MHC341" s="288" t="s">
        <v>598</v>
      </c>
      <c r="MHD341" s="288" t="s">
        <v>598</v>
      </c>
      <c r="MHE341" s="288" t="s">
        <v>598</v>
      </c>
      <c r="MHF341" s="288" t="s">
        <v>598</v>
      </c>
      <c r="MHG341" s="288" t="s">
        <v>598</v>
      </c>
      <c r="MHH341" s="288" t="s">
        <v>598</v>
      </c>
      <c r="MHI341" s="288" t="s">
        <v>598</v>
      </c>
      <c r="MHJ341" s="288" t="s">
        <v>598</v>
      </c>
      <c r="MHK341" s="288" t="s">
        <v>598</v>
      </c>
      <c r="MHL341" s="288" t="s">
        <v>598</v>
      </c>
      <c r="MHM341" s="288" t="s">
        <v>598</v>
      </c>
      <c r="MHN341" s="288" t="s">
        <v>598</v>
      </c>
      <c r="MHO341" s="288" t="s">
        <v>598</v>
      </c>
      <c r="MHP341" s="288" t="s">
        <v>598</v>
      </c>
      <c r="MHQ341" s="288" t="s">
        <v>598</v>
      </c>
      <c r="MHR341" s="288" t="s">
        <v>598</v>
      </c>
      <c r="MHS341" s="288" t="s">
        <v>598</v>
      </c>
      <c r="MHT341" s="288" t="s">
        <v>598</v>
      </c>
      <c r="MHU341" s="288" t="s">
        <v>598</v>
      </c>
      <c r="MHV341" s="288" t="s">
        <v>598</v>
      </c>
      <c r="MHW341" s="288" t="s">
        <v>598</v>
      </c>
      <c r="MHX341" s="288" t="s">
        <v>598</v>
      </c>
      <c r="MHY341" s="288" t="s">
        <v>598</v>
      </c>
      <c r="MHZ341" s="288" t="s">
        <v>598</v>
      </c>
      <c r="MIA341" s="288" t="s">
        <v>598</v>
      </c>
      <c r="MIB341" s="288" t="s">
        <v>598</v>
      </c>
      <c r="MIC341" s="288" t="s">
        <v>598</v>
      </c>
      <c r="MID341" s="288" t="s">
        <v>598</v>
      </c>
      <c r="MIE341" s="288" t="s">
        <v>598</v>
      </c>
      <c r="MIF341" s="288" t="s">
        <v>598</v>
      </c>
      <c r="MIG341" s="288" t="s">
        <v>598</v>
      </c>
      <c r="MIH341" s="288" t="s">
        <v>598</v>
      </c>
      <c r="MII341" s="288" t="s">
        <v>598</v>
      </c>
      <c r="MIJ341" s="288" t="s">
        <v>598</v>
      </c>
      <c r="MIK341" s="288" t="s">
        <v>598</v>
      </c>
      <c r="MIL341" s="288" t="s">
        <v>598</v>
      </c>
      <c r="MIM341" s="288" t="s">
        <v>598</v>
      </c>
      <c r="MIN341" s="288" t="s">
        <v>598</v>
      </c>
      <c r="MIO341" s="288" t="s">
        <v>598</v>
      </c>
      <c r="MIP341" s="288" t="s">
        <v>598</v>
      </c>
      <c r="MIQ341" s="288" t="s">
        <v>598</v>
      </c>
      <c r="MIR341" s="288" t="s">
        <v>598</v>
      </c>
      <c r="MIS341" s="288" t="s">
        <v>598</v>
      </c>
      <c r="MIT341" s="288" t="s">
        <v>598</v>
      </c>
      <c r="MIU341" s="288" t="s">
        <v>598</v>
      </c>
      <c r="MIV341" s="288" t="s">
        <v>598</v>
      </c>
      <c r="MIW341" s="288" t="s">
        <v>598</v>
      </c>
      <c r="MIX341" s="288" t="s">
        <v>598</v>
      </c>
      <c r="MIY341" s="288" t="s">
        <v>598</v>
      </c>
      <c r="MIZ341" s="288" t="s">
        <v>598</v>
      </c>
      <c r="MJA341" s="288" t="s">
        <v>598</v>
      </c>
      <c r="MJB341" s="288" t="s">
        <v>598</v>
      </c>
      <c r="MJC341" s="288" t="s">
        <v>598</v>
      </c>
      <c r="MJD341" s="288" t="s">
        <v>598</v>
      </c>
      <c r="MJE341" s="288" t="s">
        <v>598</v>
      </c>
      <c r="MJF341" s="288" t="s">
        <v>598</v>
      </c>
      <c r="MJG341" s="288" t="s">
        <v>598</v>
      </c>
      <c r="MJH341" s="288" t="s">
        <v>598</v>
      </c>
      <c r="MJI341" s="288" t="s">
        <v>598</v>
      </c>
      <c r="MJJ341" s="288" t="s">
        <v>598</v>
      </c>
      <c r="MJK341" s="288" t="s">
        <v>598</v>
      </c>
      <c r="MJL341" s="288" t="s">
        <v>598</v>
      </c>
      <c r="MJM341" s="288" t="s">
        <v>598</v>
      </c>
      <c r="MJN341" s="288" t="s">
        <v>598</v>
      </c>
      <c r="MJO341" s="288" t="s">
        <v>598</v>
      </c>
      <c r="MJP341" s="288" t="s">
        <v>598</v>
      </c>
      <c r="MJQ341" s="288" t="s">
        <v>598</v>
      </c>
      <c r="MJR341" s="288" t="s">
        <v>598</v>
      </c>
      <c r="MJS341" s="288" t="s">
        <v>598</v>
      </c>
      <c r="MJT341" s="288" t="s">
        <v>598</v>
      </c>
      <c r="MJU341" s="288" t="s">
        <v>598</v>
      </c>
      <c r="MJV341" s="288" t="s">
        <v>598</v>
      </c>
      <c r="MJW341" s="288" t="s">
        <v>598</v>
      </c>
      <c r="MJX341" s="288" t="s">
        <v>598</v>
      </c>
      <c r="MJY341" s="288" t="s">
        <v>598</v>
      </c>
      <c r="MJZ341" s="288" t="s">
        <v>598</v>
      </c>
      <c r="MKA341" s="288" t="s">
        <v>598</v>
      </c>
      <c r="MKB341" s="288" t="s">
        <v>598</v>
      </c>
      <c r="MKC341" s="288" t="s">
        <v>598</v>
      </c>
      <c r="MKD341" s="288" t="s">
        <v>598</v>
      </c>
      <c r="MKE341" s="288" t="s">
        <v>598</v>
      </c>
      <c r="MKF341" s="288" t="s">
        <v>598</v>
      </c>
      <c r="MKG341" s="288" t="s">
        <v>598</v>
      </c>
      <c r="MKH341" s="288" t="s">
        <v>598</v>
      </c>
      <c r="MKI341" s="288" t="s">
        <v>598</v>
      </c>
      <c r="MKJ341" s="288" t="s">
        <v>598</v>
      </c>
      <c r="MKK341" s="288" t="s">
        <v>598</v>
      </c>
      <c r="MKL341" s="288" t="s">
        <v>598</v>
      </c>
      <c r="MKM341" s="288" t="s">
        <v>598</v>
      </c>
      <c r="MKN341" s="288" t="s">
        <v>598</v>
      </c>
      <c r="MKO341" s="288" t="s">
        <v>598</v>
      </c>
      <c r="MKP341" s="288" t="s">
        <v>598</v>
      </c>
      <c r="MKQ341" s="288" t="s">
        <v>598</v>
      </c>
      <c r="MKR341" s="288" t="s">
        <v>598</v>
      </c>
      <c r="MKS341" s="288" t="s">
        <v>598</v>
      </c>
      <c r="MKT341" s="288" t="s">
        <v>598</v>
      </c>
      <c r="MKU341" s="288" t="s">
        <v>598</v>
      </c>
      <c r="MKV341" s="288" t="s">
        <v>598</v>
      </c>
      <c r="MKW341" s="288" t="s">
        <v>598</v>
      </c>
      <c r="MKX341" s="288" t="s">
        <v>598</v>
      </c>
      <c r="MKY341" s="288" t="s">
        <v>598</v>
      </c>
      <c r="MKZ341" s="288" t="s">
        <v>598</v>
      </c>
      <c r="MLA341" s="288" t="s">
        <v>598</v>
      </c>
      <c r="MLB341" s="288" t="s">
        <v>598</v>
      </c>
      <c r="MLC341" s="288" t="s">
        <v>598</v>
      </c>
      <c r="MLD341" s="288" t="s">
        <v>598</v>
      </c>
      <c r="MLE341" s="288" t="s">
        <v>598</v>
      </c>
      <c r="MLF341" s="288" t="s">
        <v>598</v>
      </c>
      <c r="MLG341" s="288" t="s">
        <v>598</v>
      </c>
      <c r="MLH341" s="288" t="s">
        <v>598</v>
      </c>
      <c r="MLI341" s="288" t="s">
        <v>598</v>
      </c>
      <c r="MLJ341" s="288" t="s">
        <v>598</v>
      </c>
      <c r="MLK341" s="288" t="s">
        <v>598</v>
      </c>
      <c r="MLL341" s="288" t="s">
        <v>598</v>
      </c>
      <c r="MLM341" s="288" t="s">
        <v>598</v>
      </c>
      <c r="MLN341" s="288" t="s">
        <v>598</v>
      </c>
      <c r="MLO341" s="288" t="s">
        <v>598</v>
      </c>
      <c r="MLP341" s="288" t="s">
        <v>598</v>
      </c>
      <c r="MLQ341" s="288" t="s">
        <v>598</v>
      </c>
      <c r="MLR341" s="288" t="s">
        <v>598</v>
      </c>
      <c r="MLS341" s="288" t="s">
        <v>598</v>
      </c>
      <c r="MLT341" s="288" t="s">
        <v>598</v>
      </c>
      <c r="MLU341" s="288" t="s">
        <v>598</v>
      </c>
      <c r="MLV341" s="288" t="s">
        <v>598</v>
      </c>
      <c r="MLW341" s="288" t="s">
        <v>598</v>
      </c>
      <c r="MLX341" s="288" t="s">
        <v>598</v>
      </c>
      <c r="MLY341" s="288" t="s">
        <v>598</v>
      </c>
      <c r="MLZ341" s="288" t="s">
        <v>598</v>
      </c>
      <c r="MMA341" s="288" t="s">
        <v>598</v>
      </c>
      <c r="MMB341" s="288" t="s">
        <v>598</v>
      </c>
      <c r="MMC341" s="288" t="s">
        <v>598</v>
      </c>
      <c r="MMD341" s="288" t="s">
        <v>598</v>
      </c>
      <c r="MME341" s="288" t="s">
        <v>598</v>
      </c>
      <c r="MMF341" s="288" t="s">
        <v>598</v>
      </c>
      <c r="MMG341" s="288" t="s">
        <v>598</v>
      </c>
      <c r="MMH341" s="288" t="s">
        <v>598</v>
      </c>
      <c r="MMI341" s="288" t="s">
        <v>598</v>
      </c>
      <c r="MMJ341" s="288" t="s">
        <v>598</v>
      </c>
      <c r="MMK341" s="288" t="s">
        <v>598</v>
      </c>
      <c r="MML341" s="288" t="s">
        <v>598</v>
      </c>
      <c r="MMM341" s="288" t="s">
        <v>598</v>
      </c>
      <c r="MMN341" s="288" t="s">
        <v>598</v>
      </c>
      <c r="MMO341" s="288" t="s">
        <v>598</v>
      </c>
      <c r="MMP341" s="288" t="s">
        <v>598</v>
      </c>
      <c r="MMQ341" s="288" t="s">
        <v>598</v>
      </c>
      <c r="MMR341" s="288" t="s">
        <v>598</v>
      </c>
      <c r="MMS341" s="288" t="s">
        <v>598</v>
      </c>
      <c r="MMT341" s="288" t="s">
        <v>598</v>
      </c>
      <c r="MMU341" s="288" t="s">
        <v>598</v>
      </c>
      <c r="MMV341" s="288" t="s">
        <v>598</v>
      </c>
      <c r="MMW341" s="288" t="s">
        <v>598</v>
      </c>
      <c r="MMX341" s="288" t="s">
        <v>598</v>
      </c>
      <c r="MMY341" s="288" t="s">
        <v>598</v>
      </c>
      <c r="MMZ341" s="288" t="s">
        <v>598</v>
      </c>
      <c r="MNA341" s="288" t="s">
        <v>598</v>
      </c>
      <c r="MNB341" s="288" t="s">
        <v>598</v>
      </c>
      <c r="MNC341" s="288" t="s">
        <v>598</v>
      </c>
      <c r="MND341" s="288" t="s">
        <v>598</v>
      </c>
      <c r="MNE341" s="288" t="s">
        <v>598</v>
      </c>
      <c r="MNF341" s="288" t="s">
        <v>598</v>
      </c>
      <c r="MNG341" s="288" t="s">
        <v>598</v>
      </c>
      <c r="MNH341" s="288" t="s">
        <v>598</v>
      </c>
      <c r="MNI341" s="288" t="s">
        <v>598</v>
      </c>
      <c r="MNJ341" s="288" t="s">
        <v>598</v>
      </c>
      <c r="MNK341" s="288" t="s">
        <v>598</v>
      </c>
      <c r="MNL341" s="288" t="s">
        <v>598</v>
      </c>
      <c r="MNM341" s="288" t="s">
        <v>598</v>
      </c>
      <c r="MNN341" s="288" t="s">
        <v>598</v>
      </c>
      <c r="MNO341" s="288" t="s">
        <v>598</v>
      </c>
      <c r="MNP341" s="288" t="s">
        <v>598</v>
      </c>
      <c r="MNQ341" s="288" t="s">
        <v>598</v>
      </c>
      <c r="MNR341" s="288" t="s">
        <v>598</v>
      </c>
      <c r="MNS341" s="288" t="s">
        <v>598</v>
      </c>
      <c r="MNT341" s="288" t="s">
        <v>598</v>
      </c>
      <c r="MNU341" s="288" t="s">
        <v>598</v>
      </c>
      <c r="MNV341" s="288" t="s">
        <v>598</v>
      </c>
      <c r="MNW341" s="288" t="s">
        <v>598</v>
      </c>
      <c r="MNX341" s="288" t="s">
        <v>598</v>
      </c>
      <c r="MNY341" s="288" t="s">
        <v>598</v>
      </c>
      <c r="MNZ341" s="288" t="s">
        <v>598</v>
      </c>
      <c r="MOA341" s="288" t="s">
        <v>598</v>
      </c>
      <c r="MOB341" s="288" t="s">
        <v>598</v>
      </c>
      <c r="MOC341" s="288" t="s">
        <v>598</v>
      </c>
      <c r="MOD341" s="288" t="s">
        <v>598</v>
      </c>
      <c r="MOE341" s="288" t="s">
        <v>598</v>
      </c>
      <c r="MOF341" s="288" t="s">
        <v>598</v>
      </c>
      <c r="MOG341" s="288" t="s">
        <v>598</v>
      </c>
      <c r="MOH341" s="288" t="s">
        <v>598</v>
      </c>
      <c r="MOI341" s="288" t="s">
        <v>598</v>
      </c>
      <c r="MOJ341" s="288" t="s">
        <v>598</v>
      </c>
      <c r="MOK341" s="288" t="s">
        <v>598</v>
      </c>
      <c r="MOL341" s="288" t="s">
        <v>598</v>
      </c>
      <c r="MOM341" s="288" t="s">
        <v>598</v>
      </c>
      <c r="MON341" s="288" t="s">
        <v>598</v>
      </c>
      <c r="MOO341" s="288" t="s">
        <v>598</v>
      </c>
      <c r="MOP341" s="288" t="s">
        <v>598</v>
      </c>
      <c r="MOQ341" s="288" t="s">
        <v>598</v>
      </c>
      <c r="MOR341" s="288" t="s">
        <v>598</v>
      </c>
      <c r="MOS341" s="288" t="s">
        <v>598</v>
      </c>
      <c r="MOT341" s="288" t="s">
        <v>598</v>
      </c>
      <c r="MOU341" s="288" t="s">
        <v>598</v>
      </c>
      <c r="MOV341" s="288" t="s">
        <v>598</v>
      </c>
      <c r="MOW341" s="288" t="s">
        <v>598</v>
      </c>
      <c r="MOX341" s="288" t="s">
        <v>598</v>
      </c>
      <c r="MOY341" s="288" t="s">
        <v>598</v>
      </c>
      <c r="MOZ341" s="288" t="s">
        <v>598</v>
      </c>
      <c r="MPA341" s="288" t="s">
        <v>598</v>
      </c>
      <c r="MPB341" s="288" t="s">
        <v>598</v>
      </c>
      <c r="MPC341" s="288" t="s">
        <v>598</v>
      </c>
      <c r="MPD341" s="288" t="s">
        <v>598</v>
      </c>
      <c r="MPE341" s="288" t="s">
        <v>598</v>
      </c>
      <c r="MPF341" s="288" t="s">
        <v>598</v>
      </c>
      <c r="MPG341" s="288" t="s">
        <v>598</v>
      </c>
      <c r="MPH341" s="288" t="s">
        <v>598</v>
      </c>
      <c r="MPI341" s="288" t="s">
        <v>598</v>
      </c>
      <c r="MPJ341" s="288" t="s">
        <v>598</v>
      </c>
      <c r="MPK341" s="288" t="s">
        <v>598</v>
      </c>
      <c r="MPL341" s="288" t="s">
        <v>598</v>
      </c>
      <c r="MPM341" s="288" t="s">
        <v>598</v>
      </c>
      <c r="MPN341" s="288" t="s">
        <v>598</v>
      </c>
      <c r="MPO341" s="288" t="s">
        <v>598</v>
      </c>
      <c r="MPP341" s="288" t="s">
        <v>598</v>
      </c>
      <c r="MPQ341" s="288" t="s">
        <v>598</v>
      </c>
      <c r="MPR341" s="288" t="s">
        <v>598</v>
      </c>
      <c r="MPS341" s="288" t="s">
        <v>598</v>
      </c>
      <c r="MPT341" s="288" t="s">
        <v>598</v>
      </c>
      <c r="MPU341" s="288" t="s">
        <v>598</v>
      </c>
      <c r="MPV341" s="288" t="s">
        <v>598</v>
      </c>
      <c r="MPW341" s="288" t="s">
        <v>598</v>
      </c>
      <c r="MPX341" s="288" t="s">
        <v>598</v>
      </c>
      <c r="MPY341" s="288" t="s">
        <v>598</v>
      </c>
      <c r="MPZ341" s="288" t="s">
        <v>598</v>
      </c>
      <c r="MQA341" s="288" t="s">
        <v>598</v>
      </c>
      <c r="MQB341" s="288" t="s">
        <v>598</v>
      </c>
      <c r="MQC341" s="288" t="s">
        <v>598</v>
      </c>
      <c r="MQD341" s="288" t="s">
        <v>598</v>
      </c>
      <c r="MQE341" s="288" t="s">
        <v>598</v>
      </c>
      <c r="MQF341" s="288" t="s">
        <v>598</v>
      </c>
      <c r="MQG341" s="288" t="s">
        <v>598</v>
      </c>
      <c r="MQH341" s="288" t="s">
        <v>598</v>
      </c>
      <c r="MQI341" s="288" t="s">
        <v>598</v>
      </c>
      <c r="MQJ341" s="288" t="s">
        <v>598</v>
      </c>
      <c r="MQK341" s="288" t="s">
        <v>598</v>
      </c>
      <c r="MQL341" s="288" t="s">
        <v>598</v>
      </c>
      <c r="MQM341" s="288" t="s">
        <v>598</v>
      </c>
      <c r="MQN341" s="288" t="s">
        <v>598</v>
      </c>
      <c r="MQO341" s="288" t="s">
        <v>598</v>
      </c>
      <c r="MQP341" s="288" t="s">
        <v>598</v>
      </c>
      <c r="MQQ341" s="288" t="s">
        <v>598</v>
      </c>
      <c r="MQR341" s="288" t="s">
        <v>598</v>
      </c>
      <c r="MQS341" s="288" t="s">
        <v>598</v>
      </c>
      <c r="MQT341" s="288" t="s">
        <v>598</v>
      </c>
      <c r="MQU341" s="288" t="s">
        <v>598</v>
      </c>
      <c r="MQV341" s="288" t="s">
        <v>598</v>
      </c>
      <c r="MQW341" s="288" t="s">
        <v>598</v>
      </c>
      <c r="MQX341" s="288" t="s">
        <v>598</v>
      </c>
      <c r="MQY341" s="288" t="s">
        <v>598</v>
      </c>
      <c r="MQZ341" s="288" t="s">
        <v>598</v>
      </c>
      <c r="MRA341" s="288" t="s">
        <v>598</v>
      </c>
      <c r="MRB341" s="288" t="s">
        <v>598</v>
      </c>
      <c r="MRC341" s="288" t="s">
        <v>598</v>
      </c>
      <c r="MRD341" s="288" t="s">
        <v>598</v>
      </c>
      <c r="MRE341" s="288" t="s">
        <v>598</v>
      </c>
      <c r="MRF341" s="288" t="s">
        <v>598</v>
      </c>
      <c r="MRG341" s="288" t="s">
        <v>598</v>
      </c>
      <c r="MRH341" s="288" t="s">
        <v>598</v>
      </c>
      <c r="MRI341" s="288" t="s">
        <v>598</v>
      </c>
      <c r="MRJ341" s="288" t="s">
        <v>598</v>
      </c>
      <c r="MRK341" s="288" t="s">
        <v>598</v>
      </c>
      <c r="MRL341" s="288" t="s">
        <v>598</v>
      </c>
      <c r="MRM341" s="288" t="s">
        <v>598</v>
      </c>
      <c r="MRN341" s="288" t="s">
        <v>598</v>
      </c>
      <c r="MRO341" s="288" t="s">
        <v>598</v>
      </c>
      <c r="MRP341" s="288" t="s">
        <v>598</v>
      </c>
      <c r="MRQ341" s="288" t="s">
        <v>598</v>
      </c>
      <c r="MRR341" s="288" t="s">
        <v>598</v>
      </c>
      <c r="MRS341" s="288" t="s">
        <v>598</v>
      </c>
      <c r="MRT341" s="288" t="s">
        <v>598</v>
      </c>
      <c r="MRU341" s="288" t="s">
        <v>598</v>
      </c>
      <c r="MRV341" s="288" t="s">
        <v>598</v>
      </c>
      <c r="MRW341" s="288" t="s">
        <v>598</v>
      </c>
      <c r="MRX341" s="288" t="s">
        <v>598</v>
      </c>
      <c r="MRY341" s="288" t="s">
        <v>598</v>
      </c>
      <c r="MRZ341" s="288" t="s">
        <v>598</v>
      </c>
      <c r="MSA341" s="288" t="s">
        <v>598</v>
      </c>
      <c r="MSB341" s="288" t="s">
        <v>598</v>
      </c>
      <c r="MSC341" s="288" t="s">
        <v>598</v>
      </c>
      <c r="MSD341" s="288" t="s">
        <v>598</v>
      </c>
      <c r="MSE341" s="288" t="s">
        <v>598</v>
      </c>
      <c r="MSF341" s="288" t="s">
        <v>598</v>
      </c>
      <c r="MSG341" s="288" t="s">
        <v>598</v>
      </c>
      <c r="MSH341" s="288" t="s">
        <v>598</v>
      </c>
      <c r="MSI341" s="288" t="s">
        <v>598</v>
      </c>
      <c r="MSJ341" s="288" t="s">
        <v>598</v>
      </c>
      <c r="MSK341" s="288" t="s">
        <v>598</v>
      </c>
      <c r="MSL341" s="288" t="s">
        <v>598</v>
      </c>
      <c r="MSM341" s="288" t="s">
        <v>598</v>
      </c>
      <c r="MSN341" s="288" t="s">
        <v>598</v>
      </c>
      <c r="MSO341" s="288" t="s">
        <v>598</v>
      </c>
      <c r="MSP341" s="288" t="s">
        <v>598</v>
      </c>
      <c r="MSQ341" s="288" t="s">
        <v>598</v>
      </c>
      <c r="MSR341" s="288" t="s">
        <v>598</v>
      </c>
      <c r="MSS341" s="288" t="s">
        <v>598</v>
      </c>
      <c r="MST341" s="288" t="s">
        <v>598</v>
      </c>
      <c r="MSU341" s="288" t="s">
        <v>598</v>
      </c>
      <c r="MSV341" s="288" t="s">
        <v>598</v>
      </c>
      <c r="MSW341" s="288" t="s">
        <v>598</v>
      </c>
      <c r="MSX341" s="288" t="s">
        <v>598</v>
      </c>
      <c r="MSY341" s="288" t="s">
        <v>598</v>
      </c>
      <c r="MSZ341" s="288" t="s">
        <v>598</v>
      </c>
      <c r="MTA341" s="288" t="s">
        <v>598</v>
      </c>
      <c r="MTB341" s="288" t="s">
        <v>598</v>
      </c>
      <c r="MTC341" s="288" t="s">
        <v>598</v>
      </c>
      <c r="MTD341" s="288" t="s">
        <v>598</v>
      </c>
      <c r="MTE341" s="288" t="s">
        <v>598</v>
      </c>
      <c r="MTF341" s="288" t="s">
        <v>598</v>
      </c>
      <c r="MTG341" s="288" t="s">
        <v>598</v>
      </c>
      <c r="MTH341" s="288" t="s">
        <v>598</v>
      </c>
      <c r="MTI341" s="288" t="s">
        <v>598</v>
      </c>
      <c r="MTJ341" s="288" t="s">
        <v>598</v>
      </c>
      <c r="MTK341" s="288" t="s">
        <v>598</v>
      </c>
      <c r="MTL341" s="288" t="s">
        <v>598</v>
      </c>
      <c r="MTM341" s="288" t="s">
        <v>598</v>
      </c>
      <c r="MTN341" s="288" t="s">
        <v>598</v>
      </c>
      <c r="MTO341" s="288" t="s">
        <v>598</v>
      </c>
      <c r="MTP341" s="288" t="s">
        <v>598</v>
      </c>
      <c r="MTQ341" s="288" t="s">
        <v>598</v>
      </c>
      <c r="MTR341" s="288" t="s">
        <v>598</v>
      </c>
      <c r="MTS341" s="288" t="s">
        <v>598</v>
      </c>
      <c r="MTT341" s="288" t="s">
        <v>598</v>
      </c>
      <c r="MTU341" s="288" t="s">
        <v>598</v>
      </c>
      <c r="MTV341" s="288" t="s">
        <v>598</v>
      </c>
      <c r="MTW341" s="288" t="s">
        <v>598</v>
      </c>
      <c r="MTX341" s="288" t="s">
        <v>598</v>
      </c>
      <c r="MTY341" s="288" t="s">
        <v>598</v>
      </c>
      <c r="MTZ341" s="288" t="s">
        <v>598</v>
      </c>
      <c r="MUA341" s="288" t="s">
        <v>598</v>
      </c>
      <c r="MUB341" s="288" t="s">
        <v>598</v>
      </c>
      <c r="MUC341" s="288" t="s">
        <v>598</v>
      </c>
      <c r="MUD341" s="288" t="s">
        <v>598</v>
      </c>
      <c r="MUE341" s="288" t="s">
        <v>598</v>
      </c>
      <c r="MUF341" s="288" t="s">
        <v>598</v>
      </c>
      <c r="MUG341" s="288" t="s">
        <v>598</v>
      </c>
      <c r="MUH341" s="288" t="s">
        <v>598</v>
      </c>
      <c r="MUI341" s="288" t="s">
        <v>598</v>
      </c>
      <c r="MUJ341" s="288" t="s">
        <v>598</v>
      </c>
      <c r="MUK341" s="288" t="s">
        <v>598</v>
      </c>
      <c r="MUL341" s="288" t="s">
        <v>598</v>
      </c>
      <c r="MUM341" s="288" t="s">
        <v>598</v>
      </c>
      <c r="MUN341" s="288" t="s">
        <v>598</v>
      </c>
      <c r="MUO341" s="288" t="s">
        <v>598</v>
      </c>
      <c r="MUP341" s="288" t="s">
        <v>598</v>
      </c>
      <c r="MUQ341" s="288" t="s">
        <v>598</v>
      </c>
      <c r="MUR341" s="288" t="s">
        <v>598</v>
      </c>
      <c r="MUS341" s="288" t="s">
        <v>598</v>
      </c>
      <c r="MUT341" s="288" t="s">
        <v>598</v>
      </c>
      <c r="MUU341" s="288" t="s">
        <v>598</v>
      </c>
      <c r="MUV341" s="288" t="s">
        <v>598</v>
      </c>
      <c r="MUW341" s="288" t="s">
        <v>598</v>
      </c>
      <c r="MUX341" s="288" t="s">
        <v>598</v>
      </c>
      <c r="MUY341" s="288" t="s">
        <v>598</v>
      </c>
      <c r="MUZ341" s="288" t="s">
        <v>598</v>
      </c>
      <c r="MVA341" s="288" t="s">
        <v>598</v>
      </c>
      <c r="MVB341" s="288" t="s">
        <v>598</v>
      </c>
      <c r="MVC341" s="288" t="s">
        <v>598</v>
      </c>
      <c r="MVD341" s="288" t="s">
        <v>598</v>
      </c>
      <c r="MVE341" s="288" t="s">
        <v>598</v>
      </c>
      <c r="MVF341" s="288" t="s">
        <v>598</v>
      </c>
      <c r="MVG341" s="288" t="s">
        <v>598</v>
      </c>
      <c r="MVH341" s="288" t="s">
        <v>598</v>
      </c>
      <c r="MVI341" s="288" t="s">
        <v>598</v>
      </c>
      <c r="MVJ341" s="288" t="s">
        <v>598</v>
      </c>
      <c r="MVK341" s="288" t="s">
        <v>598</v>
      </c>
      <c r="MVL341" s="288" t="s">
        <v>598</v>
      </c>
      <c r="MVM341" s="288" t="s">
        <v>598</v>
      </c>
      <c r="MVN341" s="288" t="s">
        <v>598</v>
      </c>
      <c r="MVO341" s="288" t="s">
        <v>598</v>
      </c>
      <c r="MVP341" s="288" t="s">
        <v>598</v>
      </c>
      <c r="MVQ341" s="288" t="s">
        <v>598</v>
      </c>
      <c r="MVR341" s="288" t="s">
        <v>598</v>
      </c>
      <c r="MVS341" s="288" t="s">
        <v>598</v>
      </c>
      <c r="MVT341" s="288" t="s">
        <v>598</v>
      </c>
      <c r="MVU341" s="288" t="s">
        <v>598</v>
      </c>
      <c r="MVV341" s="288" t="s">
        <v>598</v>
      </c>
      <c r="MVW341" s="288" t="s">
        <v>598</v>
      </c>
      <c r="MVX341" s="288" t="s">
        <v>598</v>
      </c>
      <c r="MVY341" s="288" t="s">
        <v>598</v>
      </c>
      <c r="MVZ341" s="288" t="s">
        <v>598</v>
      </c>
      <c r="MWA341" s="288" t="s">
        <v>598</v>
      </c>
      <c r="MWB341" s="288" t="s">
        <v>598</v>
      </c>
      <c r="MWC341" s="288" t="s">
        <v>598</v>
      </c>
      <c r="MWD341" s="288" t="s">
        <v>598</v>
      </c>
      <c r="MWE341" s="288" t="s">
        <v>598</v>
      </c>
      <c r="MWF341" s="288" t="s">
        <v>598</v>
      </c>
      <c r="MWG341" s="288" t="s">
        <v>598</v>
      </c>
      <c r="MWH341" s="288" t="s">
        <v>598</v>
      </c>
      <c r="MWI341" s="288" t="s">
        <v>598</v>
      </c>
      <c r="MWJ341" s="288" t="s">
        <v>598</v>
      </c>
      <c r="MWK341" s="288" t="s">
        <v>598</v>
      </c>
      <c r="MWL341" s="288" t="s">
        <v>598</v>
      </c>
      <c r="MWM341" s="288" t="s">
        <v>598</v>
      </c>
      <c r="MWN341" s="288" t="s">
        <v>598</v>
      </c>
      <c r="MWO341" s="288" t="s">
        <v>598</v>
      </c>
      <c r="MWP341" s="288" t="s">
        <v>598</v>
      </c>
      <c r="MWQ341" s="288" t="s">
        <v>598</v>
      </c>
      <c r="MWR341" s="288" t="s">
        <v>598</v>
      </c>
      <c r="MWS341" s="288" t="s">
        <v>598</v>
      </c>
      <c r="MWT341" s="288" t="s">
        <v>598</v>
      </c>
      <c r="MWU341" s="288" t="s">
        <v>598</v>
      </c>
      <c r="MWV341" s="288" t="s">
        <v>598</v>
      </c>
      <c r="MWW341" s="288" t="s">
        <v>598</v>
      </c>
      <c r="MWX341" s="288" t="s">
        <v>598</v>
      </c>
      <c r="MWY341" s="288" t="s">
        <v>598</v>
      </c>
      <c r="MWZ341" s="288" t="s">
        <v>598</v>
      </c>
      <c r="MXA341" s="288" t="s">
        <v>598</v>
      </c>
      <c r="MXB341" s="288" t="s">
        <v>598</v>
      </c>
      <c r="MXC341" s="288" t="s">
        <v>598</v>
      </c>
      <c r="MXD341" s="288" t="s">
        <v>598</v>
      </c>
      <c r="MXE341" s="288" t="s">
        <v>598</v>
      </c>
      <c r="MXF341" s="288" t="s">
        <v>598</v>
      </c>
      <c r="MXG341" s="288" t="s">
        <v>598</v>
      </c>
      <c r="MXH341" s="288" t="s">
        <v>598</v>
      </c>
      <c r="MXI341" s="288" t="s">
        <v>598</v>
      </c>
      <c r="MXJ341" s="288" t="s">
        <v>598</v>
      </c>
      <c r="MXK341" s="288" t="s">
        <v>598</v>
      </c>
      <c r="MXL341" s="288" t="s">
        <v>598</v>
      </c>
      <c r="MXM341" s="288" t="s">
        <v>598</v>
      </c>
      <c r="MXN341" s="288" t="s">
        <v>598</v>
      </c>
      <c r="MXO341" s="288" t="s">
        <v>598</v>
      </c>
      <c r="MXP341" s="288" t="s">
        <v>598</v>
      </c>
      <c r="MXQ341" s="288" t="s">
        <v>598</v>
      </c>
      <c r="MXR341" s="288" t="s">
        <v>598</v>
      </c>
      <c r="MXS341" s="288" t="s">
        <v>598</v>
      </c>
      <c r="MXT341" s="288" t="s">
        <v>598</v>
      </c>
      <c r="MXU341" s="288" t="s">
        <v>598</v>
      </c>
      <c r="MXV341" s="288" t="s">
        <v>598</v>
      </c>
      <c r="MXW341" s="288" t="s">
        <v>598</v>
      </c>
      <c r="MXX341" s="288" t="s">
        <v>598</v>
      </c>
      <c r="MXY341" s="288" t="s">
        <v>598</v>
      </c>
      <c r="MXZ341" s="288" t="s">
        <v>598</v>
      </c>
      <c r="MYA341" s="288" t="s">
        <v>598</v>
      </c>
      <c r="MYB341" s="288" t="s">
        <v>598</v>
      </c>
      <c r="MYC341" s="288" t="s">
        <v>598</v>
      </c>
      <c r="MYD341" s="288" t="s">
        <v>598</v>
      </c>
      <c r="MYE341" s="288" t="s">
        <v>598</v>
      </c>
      <c r="MYF341" s="288" t="s">
        <v>598</v>
      </c>
      <c r="MYG341" s="288" t="s">
        <v>598</v>
      </c>
      <c r="MYH341" s="288" t="s">
        <v>598</v>
      </c>
      <c r="MYI341" s="288" t="s">
        <v>598</v>
      </c>
      <c r="MYJ341" s="288" t="s">
        <v>598</v>
      </c>
      <c r="MYK341" s="288" t="s">
        <v>598</v>
      </c>
      <c r="MYL341" s="288" t="s">
        <v>598</v>
      </c>
      <c r="MYM341" s="288" t="s">
        <v>598</v>
      </c>
      <c r="MYN341" s="288" t="s">
        <v>598</v>
      </c>
      <c r="MYO341" s="288" t="s">
        <v>598</v>
      </c>
      <c r="MYP341" s="288" t="s">
        <v>598</v>
      </c>
      <c r="MYQ341" s="288" t="s">
        <v>598</v>
      </c>
      <c r="MYR341" s="288" t="s">
        <v>598</v>
      </c>
      <c r="MYS341" s="288" t="s">
        <v>598</v>
      </c>
      <c r="MYT341" s="288" t="s">
        <v>598</v>
      </c>
      <c r="MYU341" s="288" t="s">
        <v>598</v>
      </c>
      <c r="MYV341" s="288" t="s">
        <v>598</v>
      </c>
      <c r="MYW341" s="288" t="s">
        <v>598</v>
      </c>
      <c r="MYX341" s="288" t="s">
        <v>598</v>
      </c>
      <c r="MYY341" s="288" t="s">
        <v>598</v>
      </c>
      <c r="MYZ341" s="288" t="s">
        <v>598</v>
      </c>
      <c r="MZA341" s="288" t="s">
        <v>598</v>
      </c>
      <c r="MZB341" s="288" t="s">
        <v>598</v>
      </c>
      <c r="MZC341" s="288" t="s">
        <v>598</v>
      </c>
      <c r="MZD341" s="288" t="s">
        <v>598</v>
      </c>
      <c r="MZE341" s="288" t="s">
        <v>598</v>
      </c>
      <c r="MZF341" s="288" t="s">
        <v>598</v>
      </c>
      <c r="MZG341" s="288" t="s">
        <v>598</v>
      </c>
      <c r="MZH341" s="288" t="s">
        <v>598</v>
      </c>
      <c r="MZI341" s="288" t="s">
        <v>598</v>
      </c>
      <c r="MZJ341" s="288" t="s">
        <v>598</v>
      </c>
      <c r="MZK341" s="288" t="s">
        <v>598</v>
      </c>
      <c r="MZL341" s="288" t="s">
        <v>598</v>
      </c>
      <c r="MZM341" s="288" t="s">
        <v>598</v>
      </c>
      <c r="MZN341" s="288" t="s">
        <v>598</v>
      </c>
      <c r="MZO341" s="288" t="s">
        <v>598</v>
      </c>
      <c r="MZP341" s="288" t="s">
        <v>598</v>
      </c>
      <c r="MZQ341" s="288" t="s">
        <v>598</v>
      </c>
      <c r="MZR341" s="288" t="s">
        <v>598</v>
      </c>
      <c r="MZS341" s="288" t="s">
        <v>598</v>
      </c>
      <c r="MZT341" s="288" t="s">
        <v>598</v>
      </c>
      <c r="MZU341" s="288" t="s">
        <v>598</v>
      </c>
      <c r="MZV341" s="288" t="s">
        <v>598</v>
      </c>
      <c r="MZW341" s="288" t="s">
        <v>598</v>
      </c>
      <c r="MZX341" s="288" t="s">
        <v>598</v>
      </c>
      <c r="MZY341" s="288" t="s">
        <v>598</v>
      </c>
      <c r="MZZ341" s="288" t="s">
        <v>598</v>
      </c>
      <c r="NAA341" s="288" t="s">
        <v>598</v>
      </c>
      <c r="NAB341" s="288" t="s">
        <v>598</v>
      </c>
      <c r="NAC341" s="288" t="s">
        <v>598</v>
      </c>
      <c r="NAD341" s="288" t="s">
        <v>598</v>
      </c>
      <c r="NAE341" s="288" t="s">
        <v>598</v>
      </c>
      <c r="NAF341" s="288" t="s">
        <v>598</v>
      </c>
      <c r="NAG341" s="288" t="s">
        <v>598</v>
      </c>
      <c r="NAH341" s="288" t="s">
        <v>598</v>
      </c>
      <c r="NAI341" s="288" t="s">
        <v>598</v>
      </c>
      <c r="NAJ341" s="288" t="s">
        <v>598</v>
      </c>
      <c r="NAK341" s="288" t="s">
        <v>598</v>
      </c>
      <c r="NAL341" s="288" t="s">
        <v>598</v>
      </c>
      <c r="NAM341" s="288" t="s">
        <v>598</v>
      </c>
      <c r="NAN341" s="288" t="s">
        <v>598</v>
      </c>
      <c r="NAO341" s="288" t="s">
        <v>598</v>
      </c>
      <c r="NAP341" s="288" t="s">
        <v>598</v>
      </c>
      <c r="NAQ341" s="288" t="s">
        <v>598</v>
      </c>
      <c r="NAR341" s="288" t="s">
        <v>598</v>
      </c>
      <c r="NAS341" s="288" t="s">
        <v>598</v>
      </c>
      <c r="NAT341" s="288" t="s">
        <v>598</v>
      </c>
      <c r="NAU341" s="288" t="s">
        <v>598</v>
      </c>
      <c r="NAV341" s="288" t="s">
        <v>598</v>
      </c>
      <c r="NAW341" s="288" t="s">
        <v>598</v>
      </c>
      <c r="NAX341" s="288" t="s">
        <v>598</v>
      </c>
      <c r="NAY341" s="288" t="s">
        <v>598</v>
      </c>
      <c r="NAZ341" s="288" t="s">
        <v>598</v>
      </c>
      <c r="NBA341" s="288" t="s">
        <v>598</v>
      </c>
      <c r="NBB341" s="288" t="s">
        <v>598</v>
      </c>
      <c r="NBC341" s="288" t="s">
        <v>598</v>
      </c>
      <c r="NBD341" s="288" t="s">
        <v>598</v>
      </c>
      <c r="NBE341" s="288" t="s">
        <v>598</v>
      </c>
      <c r="NBF341" s="288" t="s">
        <v>598</v>
      </c>
      <c r="NBG341" s="288" t="s">
        <v>598</v>
      </c>
      <c r="NBH341" s="288" t="s">
        <v>598</v>
      </c>
      <c r="NBI341" s="288" t="s">
        <v>598</v>
      </c>
      <c r="NBJ341" s="288" t="s">
        <v>598</v>
      </c>
      <c r="NBK341" s="288" t="s">
        <v>598</v>
      </c>
      <c r="NBL341" s="288" t="s">
        <v>598</v>
      </c>
      <c r="NBM341" s="288" t="s">
        <v>598</v>
      </c>
      <c r="NBN341" s="288" t="s">
        <v>598</v>
      </c>
      <c r="NBO341" s="288" t="s">
        <v>598</v>
      </c>
      <c r="NBP341" s="288" t="s">
        <v>598</v>
      </c>
      <c r="NBQ341" s="288" t="s">
        <v>598</v>
      </c>
      <c r="NBR341" s="288" t="s">
        <v>598</v>
      </c>
      <c r="NBS341" s="288" t="s">
        <v>598</v>
      </c>
      <c r="NBT341" s="288" t="s">
        <v>598</v>
      </c>
      <c r="NBU341" s="288" t="s">
        <v>598</v>
      </c>
      <c r="NBV341" s="288" t="s">
        <v>598</v>
      </c>
      <c r="NBW341" s="288" t="s">
        <v>598</v>
      </c>
      <c r="NBX341" s="288" t="s">
        <v>598</v>
      </c>
      <c r="NBY341" s="288" t="s">
        <v>598</v>
      </c>
      <c r="NBZ341" s="288" t="s">
        <v>598</v>
      </c>
      <c r="NCA341" s="288" t="s">
        <v>598</v>
      </c>
      <c r="NCB341" s="288" t="s">
        <v>598</v>
      </c>
      <c r="NCC341" s="288" t="s">
        <v>598</v>
      </c>
      <c r="NCD341" s="288" t="s">
        <v>598</v>
      </c>
      <c r="NCE341" s="288" t="s">
        <v>598</v>
      </c>
      <c r="NCF341" s="288" t="s">
        <v>598</v>
      </c>
      <c r="NCG341" s="288" t="s">
        <v>598</v>
      </c>
      <c r="NCH341" s="288" t="s">
        <v>598</v>
      </c>
      <c r="NCI341" s="288" t="s">
        <v>598</v>
      </c>
      <c r="NCJ341" s="288" t="s">
        <v>598</v>
      </c>
      <c r="NCK341" s="288" t="s">
        <v>598</v>
      </c>
      <c r="NCL341" s="288" t="s">
        <v>598</v>
      </c>
      <c r="NCM341" s="288" t="s">
        <v>598</v>
      </c>
      <c r="NCN341" s="288" t="s">
        <v>598</v>
      </c>
      <c r="NCO341" s="288" t="s">
        <v>598</v>
      </c>
      <c r="NCP341" s="288" t="s">
        <v>598</v>
      </c>
      <c r="NCQ341" s="288" t="s">
        <v>598</v>
      </c>
      <c r="NCR341" s="288" t="s">
        <v>598</v>
      </c>
      <c r="NCS341" s="288" t="s">
        <v>598</v>
      </c>
      <c r="NCT341" s="288" t="s">
        <v>598</v>
      </c>
      <c r="NCU341" s="288" t="s">
        <v>598</v>
      </c>
      <c r="NCV341" s="288" t="s">
        <v>598</v>
      </c>
      <c r="NCW341" s="288" t="s">
        <v>598</v>
      </c>
      <c r="NCX341" s="288" t="s">
        <v>598</v>
      </c>
      <c r="NCY341" s="288" t="s">
        <v>598</v>
      </c>
      <c r="NCZ341" s="288" t="s">
        <v>598</v>
      </c>
      <c r="NDA341" s="288" t="s">
        <v>598</v>
      </c>
      <c r="NDB341" s="288" t="s">
        <v>598</v>
      </c>
      <c r="NDC341" s="288" t="s">
        <v>598</v>
      </c>
      <c r="NDD341" s="288" t="s">
        <v>598</v>
      </c>
      <c r="NDE341" s="288" t="s">
        <v>598</v>
      </c>
      <c r="NDF341" s="288" t="s">
        <v>598</v>
      </c>
      <c r="NDG341" s="288" t="s">
        <v>598</v>
      </c>
      <c r="NDH341" s="288" t="s">
        <v>598</v>
      </c>
      <c r="NDI341" s="288" t="s">
        <v>598</v>
      </c>
      <c r="NDJ341" s="288" t="s">
        <v>598</v>
      </c>
      <c r="NDK341" s="288" t="s">
        <v>598</v>
      </c>
      <c r="NDL341" s="288" t="s">
        <v>598</v>
      </c>
      <c r="NDM341" s="288" t="s">
        <v>598</v>
      </c>
      <c r="NDN341" s="288" t="s">
        <v>598</v>
      </c>
      <c r="NDO341" s="288" t="s">
        <v>598</v>
      </c>
      <c r="NDP341" s="288" t="s">
        <v>598</v>
      </c>
      <c r="NDQ341" s="288" t="s">
        <v>598</v>
      </c>
      <c r="NDR341" s="288" t="s">
        <v>598</v>
      </c>
      <c r="NDS341" s="288" t="s">
        <v>598</v>
      </c>
      <c r="NDT341" s="288" t="s">
        <v>598</v>
      </c>
      <c r="NDU341" s="288" t="s">
        <v>598</v>
      </c>
      <c r="NDV341" s="288" t="s">
        <v>598</v>
      </c>
      <c r="NDW341" s="288" t="s">
        <v>598</v>
      </c>
      <c r="NDX341" s="288" t="s">
        <v>598</v>
      </c>
      <c r="NDY341" s="288" t="s">
        <v>598</v>
      </c>
      <c r="NDZ341" s="288" t="s">
        <v>598</v>
      </c>
      <c r="NEA341" s="288" t="s">
        <v>598</v>
      </c>
      <c r="NEB341" s="288" t="s">
        <v>598</v>
      </c>
      <c r="NEC341" s="288" t="s">
        <v>598</v>
      </c>
      <c r="NED341" s="288" t="s">
        <v>598</v>
      </c>
      <c r="NEE341" s="288" t="s">
        <v>598</v>
      </c>
      <c r="NEF341" s="288" t="s">
        <v>598</v>
      </c>
      <c r="NEG341" s="288" t="s">
        <v>598</v>
      </c>
      <c r="NEH341" s="288" t="s">
        <v>598</v>
      </c>
      <c r="NEI341" s="288" t="s">
        <v>598</v>
      </c>
      <c r="NEJ341" s="288" t="s">
        <v>598</v>
      </c>
      <c r="NEK341" s="288" t="s">
        <v>598</v>
      </c>
      <c r="NEL341" s="288" t="s">
        <v>598</v>
      </c>
      <c r="NEM341" s="288" t="s">
        <v>598</v>
      </c>
      <c r="NEN341" s="288" t="s">
        <v>598</v>
      </c>
      <c r="NEO341" s="288" t="s">
        <v>598</v>
      </c>
      <c r="NEP341" s="288" t="s">
        <v>598</v>
      </c>
      <c r="NEQ341" s="288" t="s">
        <v>598</v>
      </c>
      <c r="NER341" s="288" t="s">
        <v>598</v>
      </c>
      <c r="NES341" s="288" t="s">
        <v>598</v>
      </c>
      <c r="NET341" s="288" t="s">
        <v>598</v>
      </c>
      <c r="NEU341" s="288" t="s">
        <v>598</v>
      </c>
      <c r="NEV341" s="288" t="s">
        <v>598</v>
      </c>
      <c r="NEW341" s="288" t="s">
        <v>598</v>
      </c>
      <c r="NEX341" s="288" t="s">
        <v>598</v>
      </c>
      <c r="NEY341" s="288" t="s">
        <v>598</v>
      </c>
      <c r="NEZ341" s="288" t="s">
        <v>598</v>
      </c>
      <c r="NFA341" s="288" t="s">
        <v>598</v>
      </c>
      <c r="NFB341" s="288" t="s">
        <v>598</v>
      </c>
      <c r="NFC341" s="288" t="s">
        <v>598</v>
      </c>
      <c r="NFD341" s="288" t="s">
        <v>598</v>
      </c>
      <c r="NFE341" s="288" t="s">
        <v>598</v>
      </c>
      <c r="NFF341" s="288" t="s">
        <v>598</v>
      </c>
      <c r="NFG341" s="288" t="s">
        <v>598</v>
      </c>
      <c r="NFH341" s="288" t="s">
        <v>598</v>
      </c>
      <c r="NFI341" s="288" t="s">
        <v>598</v>
      </c>
      <c r="NFJ341" s="288" t="s">
        <v>598</v>
      </c>
      <c r="NFK341" s="288" t="s">
        <v>598</v>
      </c>
      <c r="NFL341" s="288" t="s">
        <v>598</v>
      </c>
      <c r="NFM341" s="288" t="s">
        <v>598</v>
      </c>
      <c r="NFN341" s="288" t="s">
        <v>598</v>
      </c>
      <c r="NFO341" s="288" t="s">
        <v>598</v>
      </c>
      <c r="NFP341" s="288" t="s">
        <v>598</v>
      </c>
      <c r="NFQ341" s="288" t="s">
        <v>598</v>
      </c>
      <c r="NFR341" s="288" t="s">
        <v>598</v>
      </c>
      <c r="NFS341" s="288" t="s">
        <v>598</v>
      </c>
      <c r="NFT341" s="288" t="s">
        <v>598</v>
      </c>
      <c r="NFU341" s="288" t="s">
        <v>598</v>
      </c>
      <c r="NFV341" s="288" t="s">
        <v>598</v>
      </c>
      <c r="NFW341" s="288" t="s">
        <v>598</v>
      </c>
      <c r="NFX341" s="288" t="s">
        <v>598</v>
      </c>
      <c r="NFY341" s="288" t="s">
        <v>598</v>
      </c>
      <c r="NFZ341" s="288" t="s">
        <v>598</v>
      </c>
      <c r="NGA341" s="288" t="s">
        <v>598</v>
      </c>
      <c r="NGB341" s="288" t="s">
        <v>598</v>
      </c>
      <c r="NGC341" s="288" t="s">
        <v>598</v>
      </c>
      <c r="NGD341" s="288" t="s">
        <v>598</v>
      </c>
      <c r="NGE341" s="288" t="s">
        <v>598</v>
      </c>
      <c r="NGF341" s="288" t="s">
        <v>598</v>
      </c>
      <c r="NGG341" s="288" t="s">
        <v>598</v>
      </c>
      <c r="NGH341" s="288" t="s">
        <v>598</v>
      </c>
      <c r="NGI341" s="288" t="s">
        <v>598</v>
      </c>
      <c r="NGJ341" s="288" t="s">
        <v>598</v>
      </c>
      <c r="NGK341" s="288" t="s">
        <v>598</v>
      </c>
      <c r="NGL341" s="288" t="s">
        <v>598</v>
      </c>
      <c r="NGM341" s="288" t="s">
        <v>598</v>
      </c>
      <c r="NGN341" s="288" t="s">
        <v>598</v>
      </c>
      <c r="NGO341" s="288" t="s">
        <v>598</v>
      </c>
      <c r="NGP341" s="288" t="s">
        <v>598</v>
      </c>
      <c r="NGQ341" s="288" t="s">
        <v>598</v>
      </c>
      <c r="NGR341" s="288" t="s">
        <v>598</v>
      </c>
      <c r="NGS341" s="288" t="s">
        <v>598</v>
      </c>
      <c r="NGT341" s="288" t="s">
        <v>598</v>
      </c>
      <c r="NGU341" s="288" t="s">
        <v>598</v>
      </c>
      <c r="NGV341" s="288" t="s">
        <v>598</v>
      </c>
      <c r="NGW341" s="288" t="s">
        <v>598</v>
      </c>
      <c r="NGX341" s="288" t="s">
        <v>598</v>
      </c>
      <c r="NGY341" s="288" t="s">
        <v>598</v>
      </c>
      <c r="NGZ341" s="288" t="s">
        <v>598</v>
      </c>
      <c r="NHA341" s="288" t="s">
        <v>598</v>
      </c>
      <c r="NHB341" s="288" t="s">
        <v>598</v>
      </c>
      <c r="NHC341" s="288" t="s">
        <v>598</v>
      </c>
      <c r="NHD341" s="288" t="s">
        <v>598</v>
      </c>
      <c r="NHE341" s="288" t="s">
        <v>598</v>
      </c>
      <c r="NHF341" s="288" t="s">
        <v>598</v>
      </c>
      <c r="NHG341" s="288" t="s">
        <v>598</v>
      </c>
      <c r="NHH341" s="288" t="s">
        <v>598</v>
      </c>
      <c r="NHI341" s="288" t="s">
        <v>598</v>
      </c>
      <c r="NHJ341" s="288" t="s">
        <v>598</v>
      </c>
      <c r="NHK341" s="288" t="s">
        <v>598</v>
      </c>
      <c r="NHL341" s="288" t="s">
        <v>598</v>
      </c>
      <c r="NHM341" s="288" t="s">
        <v>598</v>
      </c>
      <c r="NHN341" s="288" t="s">
        <v>598</v>
      </c>
      <c r="NHO341" s="288" t="s">
        <v>598</v>
      </c>
      <c r="NHP341" s="288" t="s">
        <v>598</v>
      </c>
      <c r="NHQ341" s="288" t="s">
        <v>598</v>
      </c>
      <c r="NHR341" s="288" t="s">
        <v>598</v>
      </c>
      <c r="NHS341" s="288" t="s">
        <v>598</v>
      </c>
      <c r="NHT341" s="288" t="s">
        <v>598</v>
      </c>
      <c r="NHU341" s="288" t="s">
        <v>598</v>
      </c>
      <c r="NHV341" s="288" t="s">
        <v>598</v>
      </c>
      <c r="NHW341" s="288" t="s">
        <v>598</v>
      </c>
      <c r="NHX341" s="288" t="s">
        <v>598</v>
      </c>
      <c r="NHY341" s="288" t="s">
        <v>598</v>
      </c>
      <c r="NHZ341" s="288" t="s">
        <v>598</v>
      </c>
      <c r="NIA341" s="288" t="s">
        <v>598</v>
      </c>
      <c r="NIB341" s="288" t="s">
        <v>598</v>
      </c>
      <c r="NIC341" s="288" t="s">
        <v>598</v>
      </c>
      <c r="NID341" s="288" t="s">
        <v>598</v>
      </c>
      <c r="NIE341" s="288" t="s">
        <v>598</v>
      </c>
      <c r="NIF341" s="288" t="s">
        <v>598</v>
      </c>
      <c r="NIG341" s="288" t="s">
        <v>598</v>
      </c>
      <c r="NIH341" s="288" t="s">
        <v>598</v>
      </c>
      <c r="NII341" s="288" t="s">
        <v>598</v>
      </c>
      <c r="NIJ341" s="288" t="s">
        <v>598</v>
      </c>
      <c r="NIK341" s="288" t="s">
        <v>598</v>
      </c>
      <c r="NIL341" s="288" t="s">
        <v>598</v>
      </c>
      <c r="NIM341" s="288" t="s">
        <v>598</v>
      </c>
      <c r="NIN341" s="288" t="s">
        <v>598</v>
      </c>
      <c r="NIO341" s="288" t="s">
        <v>598</v>
      </c>
      <c r="NIP341" s="288" t="s">
        <v>598</v>
      </c>
      <c r="NIQ341" s="288" t="s">
        <v>598</v>
      </c>
      <c r="NIR341" s="288" t="s">
        <v>598</v>
      </c>
      <c r="NIS341" s="288" t="s">
        <v>598</v>
      </c>
      <c r="NIT341" s="288" t="s">
        <v>598</v>
      </c>
      <c r="NIU341" s="288" t="s">
        <v>598</v>
      </c>
      <c r="NIV341" s="288" t="s">
        <v>598</v>
      </c>
      <c r="NIW341" s="288" t="s">
        <v>598</v>
      </c>
      <c r="NIX341" s="288" t="s">
        <v>598</v>
      </c>
      <c r="NIY341" s="288" t="s">
        <v>598</v>
      </c>
      <c r="NIZ341" s="288" t="s">
        <v>598</v>
      </c>
      <c r="NJA341" s="288" t="s">
        <v>598</v>
      </c>
      <c r="NJB341" s="288" t="s">
        <v>598</v>
      </c>
      <c r="NJC341" s="288" t="s">
        <v>598</v>
      </c>
      <c r="NJD341" s="288" t="s">
        <v>598</v>
      </c>
      <c r="NJE341" s="288" t="s">
        <v>598</v>
      </c>
      <c r="NJF341" s="288" t="s">
        <v>598</v>
      </c>
      <c r="NJG341" s="288" t="s">
        <v>598</v>
      </c>
      <c r="NJH341" s="288" t="s">
        <v>598</v>
      </c>
      <c r="NJI341" s="288" t="s">
        <v>598</v>
      </c>
      <c r="NJJ341" s="288" t="s">
        <v>598</v>
      </c>
      <c r="NJK341" s="288" t="s">
        <v>598</v>
      </c>
      <c r="NJL341" s="288" t="s">
        <v>598</v>
      </c>
      <c r="NJM341" s="288" t="s">
        <v>598</v>
      </c>
      <c r="NJN341" s="288" t="s">
        <v>598</v>
      </c>
      <c r="NJO341" s="288" t="s">
        <v>598</v>
      </c>
      <c r="NJP341" s="288" t="s">
        <v>598</v>
      </c>
      <c r="NJQ341" s="288" t="s">
        <v>598</v>
      </c>
      <c r="NJR341" s="288" t="s">
        <v>598</v>
      </c>
      <c r="NJS341" s="288" t="s">
        <v>598</v>
      </c>
      <c r="NJT341" s="288" t="s">
        <v>598</v>
      </c>
      <c r="NJU341" s="288" t="s">
        <v>598</v>
      </c>
      <c r="NJV341" s="288" t="s">
        <v>598</v>
      </c>
      <c r="NJW341" s="288" t="s">
        <v>598</v>
      </c>
      <c r="NJX341" s="288" t="s">
        <v>598</v>
      </c>
      <c r="NJY341" s="288" t="s">
        <v>598</v>
      </c>
      <c r="NJZ341" s="288" t="s">
        <v>598</v>
      </c>
      <c r="NKA341" s="288" t="s">
        <v>598</v>
      </c>
      <c r="NKB341" s="288" t="s">
        <v>598</v>
      </c>
      <c r="NKC341" s="288" t="s">
        <v>598</v>
      </c>
      <c r="NKD341" s="288" t="s">
        <v>598</v>
      </c>
      <c r="NKE341" s="288" t="s">
        <v>598</v>
      </c>
      <c r="NKF341" s="288" t="s">
        <v>598</v>
      </c>
      <c r="NKG341" s="288" t="s">
        <v>598</v>
      </c>
      <c r="NKH341" s="288" t="s">
        <v>598</v>
      </c>
      <c r="NKI341" s="288" t="s">
        <v>598</v>
      </c>
      <c r="NKJ341" s="288" t="s">
        <v>598</v>
      </c>
      <c r="NKK341" s="288" t="s">
        <v>598</v>
      </c>
      <c r="NKL341" s="288" t="s">
        <v>598</v>
      </c>
      <c r="NKM341" s="288" t="s">
        <v>598</v>
      </c>
      <c r="NKN341" s="288" t="s">
        <v>598</v>
      </c>
      <c r="NKO341" s="288" t="s">
        <v>598</v>
      </c>
      <c r="NKP341" s="288" t="s">
        <v>598</v>
      </c>
      <c r="NKQ341" s="288" t="s">
        <v>598</v>
      </c>
      <c r="NKR341" s="288" t="s">
        <v>598</v>
      </c>
      <c r="NKS341" s="288" t="s">
        <v>598</v>
      </c>
      <c r="NKT341" s="288" t="s">
        <v>598</v>
      </c>
      <c r="NKU341" s="288" t="s">
        <v>598</v>
      </c>
      <c r="NKV341" s="288" t="s">
        <v>598</v>
      </c>
      <c r="NKW341" s="288" t="s">
        <v>598</v>
      </c>
      <c r="NKX341" s="288" t="s">
        <v>598</v>
      </c>
      <c r="NKY341" s="288" t="s">
        <v>598</v>
      </c>
      <c r="NKZ341" s="288" t="s">
        <v>598</v>
      </c>
      <c r="NLA341" s="288" t="s">
        <v>598</v>
      </c>
      <c r="NLB341" s="288" t="s">
        <v>598</v>
      </c>
      <c r="NLC341" s="288" t="s">
        <v>598</v>
      </c>
      <c r="NLD341" s="288" t="s">
        <v>598</v>
      </c>
      <c r="NLE341" s="288" t="s">
        <v>598</v>
      </c>
      <c r="NLF341" s="288" t="s">
        <v>598</v>
      </c>
      <c r="NLG341" s="288" t="s">
        <v>598</v>
      </c>
      <c r="NLH341" s="288" t="s">
        <v>598</v>
      </c>
      <c r="NLI341" s="288" t="s">
        <v>598</v>
      </c>
      <c r="NLJ341" s="288" t="s">
        <v>598</v>
      </c>
      <c r="NLK341" s="288" t="s">
        <v>598</v>
      </c>
      <c r="NLL341" s="288" t="s">
        <v>598</v>
      </c>
      <c r="NLM341" s="288" t="s">
        <v>598</v>
      </c>
      <c r="NLN341" s="288" t="s">
        <v>598</v>
      </c>
      <c r="NLO341" s="288" t="s">
        <v>598</v>
      </c>
      <c r="NLP341" s="288" t="s">
        <v>598</v>
      </c>
      <c r="NLQ341" s="288" t="s">
        <v>598</v>
      </c>
      <c r="NLR341" s="288" t="s">
        <v>598</v>
      </c>
      <c r="NLS341" s="288" t="s">
        <v>598</v>
      </c>
      <c r="NLT341" s="288" t="s">
        <v>598</v>
      </c>
      <c r="NLU341" s="288" t="s">
        <v>598</v>
      </c>
      <c r="NLV341" s="288" t="s">
        <v>598</v>
      </c>
      <c r="NLW341" s="288" t="s">
        <v>598</v>
      </c>
      <c r="NLX341" s="288" t="s">
        <v>598</v>
      </c>
      <c r="NLY341" s="288" t="s">
        <v>598</v>
      </c>
      <c r="NLZ341" s="288" t="s">
        <v>598</v>
      </c>
      <c r="NMA341" s="288" t="s">
        <v>598</v>
      </c>
      <c r="NMB341" s="288" t="s">
        <v>598</v>
      </c>
      <c r="NMC341" s="288" t="s">
        <v>598</v>
      </c>
      <c r="NMD341" s="288" t="s">
        <v>598</v>
      </c>
      <c r="NME341" s="288" t="s">
        <v>598</v>
      </c>
      <c r="NMF341" s="288" t="s">
        <v>598</v>
      </c>
      <c r="NMG341" s="288" t="s">
        <v>598</v>
      </c>
      <c r="NMH341" s="288" t="s">
        <v>598</v>
      </c>
      <c r="NMI341" s="288" t="s">
        <v>598</v>
      </c>
      <c r="NMJ341" s="288" t="s">
        <v>598</v>
      </c>
      <c r="NMK341" s="288" t="s">
        <v>598</v>
      </c>
      <c r="NML341" s="288" t="s">
        <v>598</v>
      </c>
      <c r="NMM341" s="288" t="s">
        <v>598</v>
      </c>
      <c r="NMN341" s="288" t="s">
        <v>598</v>
      </c>
      <c r="NMO341" s="288" t="s">
        <v>598</v>
      </c>
      <c r="NMP341" s="288" t="s">
        <v>598</v>
      </c>
      <c r="NMQ341" s="288" t="s">
        <v>598</v>
      </c>
      <c r="NMR341" s="288" t="s">
        <v>598</v>
      </c>
      <c r="NMS341" s="288" t="s">
        <v>598</v>
      </c>
      <c r="NMT341" s="288" t="s">
        <v>598</v>
      </c>
      <c r="NMU341" s="288" t="s">
        <v>598</v>
      </c>
      <c r="NMV341" s="288" t="s">
        <v>598</v>
      </c>
      <c r="NMW341" s="288" t="s">
        <v>598</v>
      </c>
      <c r="NMX341" s="288" t="s">
        <v>598</v>
      </c>
      <c r="NMY341" s="288" t="s">
        <v>598</v>
      </c>
      <c r="NMZ341" s="288" t="s">
        <v>598</v>
      </c>
      <c r="NNA341" s="288" t="s">
        <v>598</v>
      </c>
      <c r="NNB341" s="288" t="s">
        <v>598</v>
      </c>
      <c r="NNC341" s="288" t="s">
        <v>598</v>
      </c>
      <c r="NND341" s="288" t="s">
        <v>598</v>
      </c>
      <c r="NNE341" s="288" t="s">
        <v>598</v>
      </c>
      <c r="NNF341" s="288" t="s">
        <v>598</v>
      </c>
      <c r="NNG341" s="288" t="s">
        <v>598</v>
      </c>
      <c r="NNH341" s="288" t="s">
        <v>598</v>
      </c>
      <c r="NNI341" s="288" t="s">
        <v>598</v>
      </c>
      <c r="NNJ341" s="288" t="s">
        <v>598</v>
      </c>
      <c r="NNK341" s="288" t="s">
        <v>598</v>
      </c>
      <c r="NNL341" s="288" t="s">
        <v>598</v>
      </c>
      <c r="NNM341" s="288" t="s">
        <v>598</v>
      </c>
      <c r="NNN341" s="288" t="s">
        <v>598</v>
      </c>
      <c r="NNO341" s="288" t="s">
        <v>598</v>
      </c>
      <c r="NNP341" s="288" t="s">
        <v>598</v>
      </c>
      <c r="NNQ341" s="288" t="s">
        <v>598</v>
      </c>
      <c r="NNR341" s="288" t="s">
        <v>598</v>
      </c>
      <c r="NNS341" s="288" t="s">
        <v>598</v>
      </c>
      <c r="NNT341" s="288" t="s">
        <v>598</v>
      </c>
      <c r="NNU341" s="288" t="s">
        <v>598</v>
      </c>
      <c r="NNV341" s="288" t="s">
        <v>598</v>
      </c>
      <c r="NNW341" s="288" t="s">
        <v>598</v>
      </c>
      <c r="NNX341" s="288" t="s">
        <v>598</v>
      </c>
      <c r="NNY341" s="288" t="s">
        <v>598</v>
      </c>
      <c r="NNZ341" s="288" t="s">
        <v>598</v>
      </c>
      <c r="NOA341" s="288" t="s">
        <v>598</v>
      </c>
      <c r="NOB341" s="288" t="s">
        <v>598</v>
      </c>
      <c r="NOC341" s="288" t="s">
        <v>598</v>
      </c>
      <c r="NOD341" s="288" t="s">
        <v>598</v>
      </c>
      <c r="NOE341" s="288" t="s">
        <v>598</v>
      </c>
      <c r="NOF341" s="288" t="s">
        <v>598</v>
      </c>
      <c r="NOG341" s="288" t="s">
        <v>598</v>
      </c>
      <c r="NOH341" s="288" t="s">
        <v>598</v>
      </c>
      <c r="NOI341" s="288" t="s">
        <v>598</v>
      </c>
      <c r="NOJ341" s="288" t="s">
        <v>598</v>
      </c>
      <c r="NOK341" s="288" t="s">
        <v>598</v>
      </c>
      <c r="NOL341" s="288" t="s">
        <v>598</v>
      </c>
      <c r="NOM341" s="288" t="s">
        <v>598</v>
      </c>
      <c r="NON341" s="288" t="s">
        <v>598</v>
      </c>
      <c r="NOO341" s="288" t="s">
        <v>598</v>
      </c>
      <c r="NOP341" s="288" t="s">
        <v>598</v>
      </c>
      <c r="NOQ341" s="288" t="s">
        <v>598</v>
      </c>
      <c r="NOR341" s="288" t="s">
        <v>598</v>
      </c>
      <c r="NOS341" s="288" t="s">
        <v>598</v>
      </c>
      <c r="NOT341" s="288" t="s">
        <v>598</v>
      </c>
      <c r="NOU341" s="288" t="s">
        <v>598</v>
      </c>
      <c r="NOV341" s="288" t="s">
        <v>598</v>
      </c>
      <c r="NOW341" s="288" t="s">
        <v>598</v>
      </c>
      <c r="NOX341" s="288" t="s">
        <v>598</v>
      </c>
      <c r="NOY341" s="288" t="s">
        <v>598</v>
      </c>
      <c r="NOZ341" s="288" t="s">
        <v>598</v>
      </c>
      <c r="NPA341" s="288" t="s">
        <v>598</v>
      </c>
      <c r="NPB341" s="288" t="s">
        <v>598</v>
      </c>
      <c r="NPC341" s="288" t="s">
        <v>598</v>
      </c>
      <c r="NPD341" s="288" t="s">
        <v>598</v>
      </c>
      <c r="NPE341" s="288" t="s">
        <v>598</v>
      </c>
      <c r="NPF341" s="288" t="s">
        <v>598</v>
      </c>
      <c r="NPG341" s="288" t="s">
        <v>598</v>
      </c>
      <c r="NPH341" s="288" t="s">
        <v>598</v>
      </c>
      <c r="NPI341" s="288" t="s">
        <v>598</v>
      </c>
      <c r="NPJ341" s="288" t="s">
        <v>598</v>
      </c>
      <c r="NPK341" s="288" t="s">
        <v>598</v>
      </c>
      <c r="NPL341" s="288" t="s">
        <v>598</v>
      </c>
      <c r="NPM341" s="288" t="s">
        <v>598</v>
      </c>
      <c r="NPN341" s="288" t="s">
        <v>598</v>
      </c>
      <c r="NPO341" s="288" t="s">
        <v>598</v>
      </c>
      <c r="NPP341" s="288" t="s">
        <v>598</v>
      </c>
      <c r="NPQ341" s="288" t="s">
        <v>598</v>
      </c>
      <c r="NPR341" s="288" t="s">
        <v>598</v>
      </c>
      <c r="NPS341" s="288" t="s">
        <v>598</v>
      </c>
      <c r="NPT341" s="288" t="s">
        <v>598</v>
      </c>
      <c r="NPU341" s="288" t="s">
        <v>598</v>
      </c>
      <c r="NPV341" s="288" t="s">
        <v>598</v>
      </c>
      <c r="NPW341" s="288" t="s">
        <v>598</v>
      </c>
      <c r="NPX341" s="288" t="s">
        <v>598</v>
      </c>
      <c r="NPY341" s="288" t="s">
        <v>598</v>
      </c>
      <c r="NPZ341" s="288" t="s">
        <v>598</v>
      </c>
      <c r="NQA341" s="288" t="s">
        <v>598</v>
      </c>
      <c r="NQB341" s="288" t="s">
        <v>598</v>
      </c>
      <c r="NQC341" s="288" t="s">
        <v>598</v>
      </c>
      <c r="NQD341" s="288" t="s">
        <v>598</v>
      </c>
      <c r="NQE341" s="288" t="s">
        <v>598</v>
      </c>
      <c r="NQF341" s="288" t="s">
        <v>598</v>
      </c>
      <c r="NQG341" s="288" t="s">
        <v>598</v>
      </c>
      <c r="NQH341" s="288" t="s">
        <v>598</v>
      </c>
      <c r="NQI341" s="288" t="s">
        <v>598</v>
      </c>
      <c r="NQJ341" s="288" t="s">
        <v>598</v>
      </c>
      <c r="NQK341" s="288" t="s">
        <v>598</v>
      </c>
      <c r="NQL341" s="288" t="s">
        <v>598</v>
      </c>
      <c r="NQM341" s="288" t="s">
        <v>598</v>
      </c>
      <c r="NQN341" s="288" t="s">
        <v>598</v>
      </c>
      <c r="NQO341" s="288" t="s">
        <v>598</v>
      </c>
      <c r="NQP341" s="288" t="s">
        <v>598</v>
      </c>
      <c r="NQQ341" s="288" t="s">
        <v>598</v>
      </c>
      <c r="NQR341" s="288" t="s">
        <v>598</v>
      </c>
      <c r="NQS341" s="288" t="s">
        <v>598</v>
      </c>
      <c r="NQT341" s="288" t="s">
        <v>598</v>
      </c>
      <c r="NQU341" s="288" t="s">
        <v>598</v>
      </c>
      <c r="NQV341" s="288" t="s">
        <v>598</v>
      </c>
      <c r="NQW341" s="288" t="s">
        <v>598</v>
      </c>
      <c r="NQX341" s="288" t="s">
        <v>598</v>
      </c>
      <c r="NQY341" s="288" t="s">
        <v>598</v>
      </c>
      <c r="NQZ341" s="288" t="s">
        <v>598</v>
      </c>
      <c r="NRA341" s="288" t="s">
        <v>598</v>
      </c>
      <c r="NRB341" s="288" t="s">
        <v>598</v>
      </c>
      <c r="NRC341" s="288" t="s">
        <v>598</v>
      </c>
      <c r="NRD341" s="288" t="s">
        <v>598</v>
      </c>
      <c r="NRE341" s="288" t="s">
        <v>598</v>
      </c>
      <c r="NRF341" s="288" t="s">
        <v>598</v>
      </c>
      <c r="NRG341" s="288" t="s">
        <v>598</v>
      </c>
      <c r="NRH341" s="288" t="s">
        <v>598</v>
      </c>
      <c r="NRI341" s="288" t="s">
        <v>598</v>
      </c>
      <c r="NRJ341" s="288" t="s">
        <v>598</v>
      </c>
      <c r="NRK341" s="288" t="s">
        <v>598</v>
      </c>
      <c r="NRL341" s="288" t="s">
        <v>598</v>
      </c>
      <c r="NRM341" s="288" t="s">
        <v>598</v>
      </c>
      <c r="NRN341" s="288" t="s">
        <v>598</v>
      </c>
      <c r="NRO341" s="288" t="s">
        <v>598</v>
      </c>
      <c r="NRP341" s="288" t="s">
        <v>598</v>
      </c>
      <c r="NRQ341" s="288" t="s">
        <v>598</v>
      </c>
      <c r="NRR341" s="288" t="s">
        <v>598</v>
      </c>
      <c r="NRS341" s="288" t="s">
        <v>598</v>
      </c>
      <c r="NRT341" s="288" t="s">
        <v>598</v>
      </c>
      <c r="NRU341" s="288" t="s">
        <v>598</v>
      </c>
      <c r="NRV341" s="288" t="s">
        <v>598</v>
      </c>
      <c r="NRW341" s="288" t="s">
        <v>598</v>
      </c>
      <c r="NRX341" s="288" t="s">
        <v>598</v>
      </c>
      <c r="NRY341" s="288" t="s">
        <v>598</v>
      </c>
      <c r="NRZ341" s="288" t="s">
        <v>598</v>
      </c>
      <c r="NSA341" s="288" t="s">
        <v>598</v>
      </c>
      <c r="NSB341" s="288" t="s">
        <v>598</v>
      </c>
      <c r="NSC341" s="288" t="s">
        <v>598</v>
      </c>
      <c r="NSD341" s="288" t="s">
        <v>598</v>
      </c>
      <c r="NSE341" s="288" t="s">
        <v>598</v>
      </c>
      <c r="NSF341" s="288" t="s">
        <v>598</v>
      </c>
      <c r="NSG341" s="288" t="s">
        <v>598</v>
      </c>
      <c r="NSH341" s="288" t="s">
        <v>598</v>
      </c>
      <c r="NSI341" s="288" t="s">
        <v>598</v>
      </c>
      <c r="NSJ341" s="288" t="s">
        <v>598</v>
      </c>
      <c r="NSK341" s="288" t="s">
        <v>598</v>
      </c>
      <c r="NSL341" s="288" t="s">
        <v>598</v>
      </c>
      <c r="NSM341" s="288" t="s">
        <v>598</v>
      </c>
      <c r="NSN341" s="288" t="s">
        <v>598</v>
      </c>
      <c r="NSO341" s="288" t="s">
        <v>598</v>
      </c>
      <c r="NSP341" s="288" t="s">
        <v>598</v>
      </c>
      <c r="NSQ341" s="288" t="s">
        <v>598</v>
      </c>
      <c r="NSR341" s="288" t="s">
        <v>598</v>
      </c>
      <c r="NSS341" s="288" t="s">
        <v>598</v>
      </c>
      <c r="NST341" s="288" t="s">
        <v>598</v>
      </c>
      <c r="NSU341" s="288" t="s">
        <v>598</v>
      </c>
      <c r="NSV341" s="288" t="s">
        <v>598</v>
      </c>
      <c r="NSW341" s="288" t="s">
        <v>598</v>
      </c>
      <c r="NSX341" s="288" t="s">
        <v>598</v>
      </c>
      <c r="NSY341" s="288" t="s">
        <v>598</v>
      </c>
      <c r="NSZ341" s="288" t="s">
        <v>598</v>
      </c>
      <c r="NTA341" s="288" t="s">
        <v>598</v>
      </c>
      <c r="NTB341" s="288" t="s">
        <v>598</v>
      </c>
      <c r="NTC341" s="288" t="s">
        <v>598</v>
      </c>
      <c r="NTD341" s="288" t="s">
        <v>598</v>
      </c>
      <c r="NTE341" s="288" t="s">
        <v>598</v>
      </c>
      <c r="NTF341" s="288" t="s">
        <v>598</v>
      </c>
      <c r="NTG341" s="288" t="s">
        <v>598</v>
      </c>
      <c r="NTH341" s="288" t="s">
        <v>598</v>
      </c>
      <c r="NTI341" s="288" t="s">
        <v>598</v>
      </c>
      <c r="NTJ341" s="288" t="s">
        <v>598</v>
      </c>
      <c r="NTK341" s="288" t="s">
        <v>598</v>
      </c>
      <c r="NTL341" s="288" t="s">
        <v>598</v>
      </c>
      <c r="NTM341" s="288" t="s">
        <v>598</v>
      </c>
      <c r="NTN341" s="288" t="s">
        <v>598</v>
      </c>
      <c r="NTO341" s="288" t="s">
        <v>598</v>
      </c>
      <c r="NTP341" s="288" t="s">
        <v>598</v>
      </c>
      <c r="NTQ341" s="288" t="s">
        <v>598</v>
      </c>
      <c r="NTR341" s="288" t="s">
        <v>598</v>
      </c>
      <c r="NTS341" s="288" t="s">
        <v>598</v>
      </c>
      <c r="NTT341" s="288" t="s">
        <v>598</v>
      </c>
      <c r="NTU341" s="288" t="s">
        <v>598</v>
      </c>
      <c r="NTV341" s="288" t="s">
        <v>598</v>
      </c>
      <c r="NTW341" s="288" t="s">
        <v>598</v>
      </c>
      <c r="NTX341" s="288" t="s">
        <v>598</v>
      </c>
      <c r="NTY341" s="288" t="s">
        <v>598</v>
      </c>
      <c r="NTZ341" s="288" t="s">
        <v>598</v>
      </c>
      <c r="NUA341" s="288" t="s">
        <v>598</v>
      </c>
      <c r="NUB341" s="288" t="s">
        <v>598</v>
      </c>
      <c r="NUC341" s="288" t="s">
        <v>598</v>
      </c>
      <c r="NUD341" s="288" t="s">
        <v>598</v>
      </c>
      <c r="NUE341" s="288" t="s">
        <v>598</v>
      </c>
      <c r="NUF341" s="288" t="s">
        <v>598</v>
      </c>
      <c r="NUG341" s="288" t="s">
        <v>598</v>
      </c>
      <c r="NUH341" s="288" t="s">
        <v>598</v>
      </c>
      <c r="NUI341" s="288" t="s">
        <v>598</v>
      </c>
      <c r="NUJ341" s="288" t="s">
        <v>598</v>
      </c>
      <c r="NUK341" s="288" t="s">
        <v>598</v>
      </c>
      <c r="NUL341" s="288" t="s">
        <v>598</v>
      </c>
      <c r="NUM341" s="288" t="s">
        <v>598</v>
      </c>
      <c r="NUN341" s="288" t="s">
        <v>598</v>
      </c>
      <c r="NUO341" s="288" t="s">
        <v>598</v>
      </c>
      <c r="NUP341" s="288" t="s">
        <v>598</v>
      </c>
      <c r="NUQ341" s="288" t="s">
        <v>598</v>
      </c>
      <c r="NUR341" s="288" t="s">
        <v>598</v>
      </c>
      <c r="NUS341" s="288" t="s">
        <v>598</v>
      </c>
      <c r="NUT341" s="288" t="s">
        <v>598</v>
      </c>
      <c r="NUU341" s="288" t="s">
        <v>598</v>
      </c>
      <c r="NUV341" s="288" t="s">
        <v>598</v>
      </c>
      <c r="NUW341" s="288" t="s">
        <v>598</v>
      </c>
      <c r="NUX341" s="288" t="s">
        <v>598</v>
      </c>
      <c r="NUY341" s="288" t="s">
        <v>598</v>
      </c>
      <c r="NUZ341" s="288" t="s">
        <v>598</v>
      </c>
      <c r="NVA341" s="288" t="s">
        <v>598</v>
      </c>
      <c r="NVB341" s="288" t="s">
        <v>598</v>
      </c>
      <c r="NVC341" s="288" t="s">
        <v>598</v>
      </c>
      <c r="NVD341" s="288" t="s">
        <v>598</v>
      </c>
      <c r="NVE341" s="288" t="s">
        <v>598</v>
      </c>
      <c r="NVF341" s="288" t="s">
        <v>598</v>
      </c>
      <c r="NVG341" s="288" t="s">
        <v>598</v>
      </c>
      <c r="NVH341" s="288" t="s">
        <v>598</v>
      </c>
      <c r="NVI341" s="288" t="s">
        <v>598</v>
      </c>
      <c r="NVJ341" s="288" t="s">
        <v>598</v>
      </c>
      <c r="NVK341" s="288" t="s">
        <v>598</v>
      </c>
      <c r="NVL341" s="288" t="s">
        <v>598</v>
      </c>
      <c r="NVM341" s="288" t="s">
        <v>598</v>
      </c>
      <c r="NVN341" s="288" t="s">
        <v>598</v>
      </c>
      <c r="NVO341" s="288" t="s">
        <v>598</v>
      </c>
      <c r="NVP341" s="288" t="s">
        <v>598</v>
      </c>
      <c r="NVQ341" s="288" t="s">
        <v>598</v>
      </c>
      <c r="NVR341" s="288" t="s">
        <v>598</v>
      </c>
      <c r="NVS341" s="288" t="s">
        <v>598</v>
      </c>
      <c r="NVT341" s="288" t="s">
        <v>598</v>
      </c>
      <c r="NVU341" s="288" t="s">
        <v>598</v>
      </c>
      <c r="NVV341" s="288" t="s">
        <v>598</v>
      </c>
      <c r="NVW341" s="288" t="s">
        <v>598</v>
      </c>
      <c r="NVX341" s="288" t="s">
        <v>598</v>
      </c>
      <c r="NVY341" s="288" t="s">
        <v>598</v>
      </c>
      <c r="NVZ341" s="288" t="s">
        <v>598</v>
      </c>
      <c r="NWA341" s="288" t="s">
        <v>598</v>
      </c>
      <c r="NWB341" s="288" t="s">
        <v>598</v>
      </c>
      <c r="NWC341" s="288" t="s">
        <v>598</v>
      </c>
      <c r="NWD341" s="288" t="s">
        <v>598</v>
      </c>
      <c r="NWE341" s="288" t="s">
        <v>598</v>
      </c>
      <c r="NWF341" s="288" t="s">
        <v>598</v>
      </c>
      <c r="NWG341" s="288" t="s">
        <v>598</v>
      </c>
      <c r="NWH341" s="288" t="s">
        <v>598</v>
      </c>
      <c r="NWI341" s="288" t="s">
        <v>598</v>
      </c>
      <c r="NWJ341" s="288" t="s">
        <v>598</v>
      </c>
      <c r="NWK341" s="288" t="s">
        <v>598</v>
      </c>
      <c r="NWL341" s="288" t="s">
        <v>598</v>
      </c>
      <c r="NWM341" s="288" t="s">
        <v>598</v>
      </c>
      <c r="NWN341" s="288" t="s">
        <v>598</v>
      </c>
      <c r="NWO341" s="288" t="s">
        <v>598</v>
      </c>
      <c r="NWP341" s="288" t="s">
        <v>598</v>
      </c>
      <c r="NWQ341" s="288" t="s">
        <v>598</v>
      </c>
      <c r="NWR341" s="288" t="s">
        <v>598</v>
      </c>
      <c r="NWS341" s="288" t="s">
        <v>598</v>
      </c>
      <c r="NWT341" s="288" t="s">
        <v>598</v>
      </c>
      <c r="NWU341" s="288" t="s">
        <v>598</v>
      </c>
      <c r="NWV341" s="288" t="s">
        <v>598</v>
      </c>
      <c r="NWW341" s="288" t="s">
        <v>598</v>
      </c>
      <c r="NWX341" s="288" t="s">
        <v>598</v>
      </c>
      <c r="NWY341" s="288" t="s">
        <v>598</v>
      </c>
      <c r="NWZ341" s="288" t="s">
        <v>598</v>
      </c>
      <c r="NXA341" s="288" t="s">
        <v>598</v>
      </c>
      <c r="NXB341" s="288" t="s">
        <v>598</v>
      </c>
      <c r="NXC341" s="288" t="s">
        <v>598</v>
      </c>
      <c r="NXD341" s="288" t="s">
        <v>598</v>
      </c>
      <c r="NXE341" s="288" t="s">
        <v>598</v>
      </c>
      <c r="NXF341" s="288" t="s">
        <v>598</v>
      </c>
      <c r="NXG341" s="288" t="s">
        <v>598</v>
      </c>
      <c r="NXH341" s="288" t="s">
        <v>598</v>
      </c>
      <c r="NXI341" s="288" t="s">
        <v>598</v>
      </c>
      <c r="NXJ341" s="288" t="s">
        <v>598</v>
      </c>
      <c r="NXK341" s="288" t="s">
        <v>598</v>
      </c>
      <c r="NXL341" s="288" t="s">
        <v>598</v>
      </c>
      <c r="NXM341" s="288" t="s">
        <v>598</v>
      </c>
      <c r="NXN341" s="288" t="s">
        <v>598</v>
      </c>
      <c r="NXO341" s="288" t="s">
        <v>598</v>
      </c>
      <c r="NXP341" s="288" t="s">
        <v>598</v>
      </c>
      <c r="NXQ341" s="288" t="s">
        <v>598</v>
      </c>
      <c r="NXR341" s="288" t="s">
        <v>598</v>
      </c>
      <c r="NXS341" s="288" t="s">
        <v>598</v>
      </c>
      <c r="NXT341" s="288" t="s">
        <v>598</v>
      </c>
      <c r="NXU341" s="288" t="s">
        <v>598</v>
      </c>
      <c r="NXV341" s="288" t="s">
        <v>598</v>
      </c>
      <c r="NXW341" s="288" t="s">
        <v>598</v>
      </c>
      <c r="NXX341" s="288" t="s">
        <v>598</v>
      </c>
      <c r="NXY341" s="288" t="s">
        <v>598</v>
      </c>
      <c r="NXZ341" s="288" t="s">
        <v>598</v>
      </c>
      <c r="NYA341" s="288" t="s">
        <v>598</v>
      </c>
      <c r="NYB341" s="288" t="s">
        <v>598</v>
      </c>
      <c r="NYC341" s="288" t="s">
        <v>598</v>
      </c>
      <c r="NYD341" s="288" t="s">
        <v>598</v>
      </c>
      <c r="NYE341" s="288" t="s">
        <v>598</v>
      </c>
      <c r="NYF341" s="288" t="s">
        <v>598</v>
      </c>
      <c r="NYG341" s="288" t="s">
        <v>598</v>
      </c>
      <c r="NYH341" s="288" t="s">
        <v>598</v>
      </c>
      <c r="NYI341" s="288" t="s">
        <v>598</v>
      </c>
      <c r="NYJ341" s="288" t="s">
        <v>598</v>
      </c>
      <c r="NYK341" s="288" t="s">
        <v>598</v>
      </c>
      <c r="NYL341" s="288" t="s">
        <v>598</v>
      </c>
      <c r="NYM341" s="288" t="s">
        <v>598</v>
      </c>
      <c r="NYN341" s="288" t="s">
        <v>598</v>
      </c>
      <c r="NYO341" s="288" t="s">
        <v>598</v>
      </c>
      <c r="NYP341" s="288" t="s">
        <v>598</v>
      </c>
      <c r="NYQ341" s="288" t="s">
        <v>598</v>
      </c>
      <c r="NYR341" s="288" t="s">
        <v>598</v>
      </c>
      <c r="NYS341" s="288" t="s">
        <v>598</v>
      </c>
      <c r="NYT341" s="288" t="s">
        <v>598</v>
      </c>
      <c r="NYU341" s="288" t="s">
        <v>598</v>
      </c>
      <c r="NYV341" s="288" t="s">
        <v>598</v>
      </c>
      <c r="NYW341" s="288" t="s">
        <v>598</v>
      </c>
      <c r="NYX341" s="288" t="s">
        <v>598</v>
      </c>
      <c r="NYY341" s="288" t="s">
        <v>598</v>
      </c>
      <c r="NYZ341" s="288" t="s">
        <v>598</v>
      </c>
      <c r="NZA341" s="288" t="s">
        <v>598</v>
      </c>
      <c r="NZB341" s="288" t="s">
        <v>598</v>
      </c>
      <c r="NZC341" s="288" t="s">
        <v>598</v>
      </c>
      <c r="NZD341" s="288" t="s">
        <v>598</v>
      </c>
      <c r="NZE341" s="288" t="s">
        <v>598</v>
      </c>
      <c r="NZF341" s="288" t="s">
        <v>598</v>
      </c>
      <c r="NZG341" s="288" t="s">
        <v>598</v>
      </c>
      <c r="NZH341" s="288" t="s">
        <v>598</v>
      </c>
      <c r="NZI341" s="288" t="s">
        <v>598</v>
      </c>
      <c r="NZJ341" s="288" t="s">
        <v>598</v>
      </c>
      <c r="NZK341" s="288" t="s">
        <v>598</v>
      </c>
      <c r="NZL341" s="288" t="s">
        <v>598</v>
      </c>
      <c r="NZM341" s="288" t="s">
        <v>598</v>
      </c>
      <c r="NZN341" s="288" t="s">
        <v>598</v>
      </c>
      <c r="NZO341" s="288" t="s">
        <v>598</v>
      </c>
      <c r="NZP341" s="288" t="s">
        <v>598</v>
      </c>
      <c r="NZQ341" s="288" t="s">
        <v>598</v>
      </c>
      <c r="NZR341" s="288" t="s">
        <v>598</v>
      </c>
      <c r="NZS341" s="288" t="s">
        <v>598</v>
      </c>
      <c r="NZT341" s="288" t="s">
        <v>598</v>
      </c>
      <c r="NZU341" s="288" t="s">
        <v>598</v>
      </c>
      <c r="NZV341" s="288" t="s">
        <v>598</v>
      </c>
      <c r="NZW341" s="288" t="s">
        <v>598</v>
      </c>
      <c r="NZX341" s="288" t="s">
        <v>598</v>
      </c>
      <c r="NZY341" s="288" t="s">
        <v>598</v>
      </c>
      <c r="NZZ341" s="288" t="s">
        <v>598</v>
      </c>
      <c r="OAA341" s="288" t="s">
        <v>598</v>
      </c>
      <c r="OAB341" s="288" t="s">
        <v>598</v>
      </c>
      <c r="OAC341" s="288" t="s">
        <v>598</v>
      </c>
      <c r="OAD341" s="288" t="s">
        <v>598</v>
      </c>
      <c r="OAE341" s="288" t="s">
        <v>598</v>
      </c>
      <c r="OAF341" s="288" t="s">
        <v>598</v>
      </c>
      <c r="OAG341" s="288" t="s">
        <v>598</v>
      </c>
      <c r="OAH341" s="288" t="s">
        <v>598</v>
      </c>
      <c r="OAI341" s="288" t="s">
        <v>598</v>
      </c>
      <c r="OAJ341" s="288" t="s">
        <v>598</v>
      </c>
      <c r="OAK341" s="288" t="s">
        <v>598</v>
      </c>
      <c r="OAL341" s="288" t="s">
        <v>598</v>
      </c>
      <c r="OAM341" s="288" t="s">
        <v>598</v>
      </c>
      <c r="OAN341" s="288" t="s">
        <v>598</v>
      </c>
      <c r="OAO341" s="288" t="s">
        <v>598</v>
      </c>
      <c r="OAP341" s="288" t="s">
        <v>598</v>
      </c>
      <c r="OAQ341" s="288" t="s">
        <v>598</v>
      </c>
      <c r="OAR341" s="288" t="s">
        <v>598</v>
      </c>
      <c r="OAS341" s="288" t="s">
        <v>598</v>
      </c>
      <c r="OAT341" s="288" t="s">
        <v>598</v>
      </c>
      <c r="OAU341" s="288" t="s">
        <v>598</v>
      </c>
      <c r="OAV341" s="288" t="s">
        <v>598</v>
      </c>
      <c r="OAW341" s="288" t="s">
        <v>598</v>
      </c>
      <c r="OAX341" s="288" t="s">
        <v>598</v>
      </c>
      <c r="OAY341" s="288" t="s">
        <v>598</v>
      </c>
      <c r="OAZ341" s="288" t="s">
        <v>598</v>
      </c>
      <c r="OBA341" s="288" t="s">
        <v>598</v>
      </c>
      <c r="OBB341" s="288" t="s">
        <v>598</v>
      </c>
      <c r="OBC341" s="288" t="s">
        <v>598</v>
      </c>
      <c r="OBD341" s="288" t="s">
        <v>598</v>
      </c>
      <c r="OBE341" s="288" t="s">
        <v>598</v>
      </c>
      <c r="OBF341" s="288" t="s">
        <v>598</v>
      </c>
      <c r="OBG341" s="288" t="s">
        <v>598</v>
      </c>
      <c r="OBH341" s="288" t="s">
        <v>598</v>
      </c>
      <c r="OBI341" s="288" t="s">
        <v>598</v>
      </c>
      <c r="OBJ341" s="288" t="s">
        <v>598</v>
      </c>
      <c r="OBK341" s="288" t="s">
        <v>598</v>
      </c>
      <c r="OBL341" s="288" t="s">
        <v>598</v>
      </c>
      <c r="OBM341" s="288" t="s">
        <v>598</v>
      </c>
      <c r="OBN341" s="288" t="s">
        <v>598</v>
      </c>
      <c r="OBO341" s="288" t="s">
        <v>598</v>
      </c>
      <c r="OBP341" s="288" t="s">
        <v>598</v>
      </c>
      <c r="OBQ341" s="288" t="s">
        <v>598</v>
      </c>
      <c r="OBR341" s="288" t="s">
        <v>598</v>
      </c>
      <c r="OBS341" s="288" t="s">
        <v>598</v>
      </c>
      <c r="OBT341" s="288" t="s">
        <v>598</v>
      </c>
      <c r="OBU341" s="288" t="s">
        <v>598</v>
      </c>
      <c r="OBV341" s="288" t="s">
        <v>598</v>
      </c>
      <c r="OBW341" s="288" t="s">
        <v>598</v>
      </c>
      <c r="OBX341" s="288" t="s">
        <v>598</v>
      </c>
      <c r="OBY341" s="288" t="s">
        <v>598</v>
      </c>
      <c r="OBZ341" s="288" t="s">
        <v>598</v>
      </c>
      <c r="OCA341" s="288" t="s">
        <v>598</v>
      </c>
      <c r="OCB341" s="288" t="s">
        <v>598</v>
      </c>
      <c r="OCC341" s="288" t="s">
        <v>598</v>
      </c>
      <c r="OCD341" s="288" t="s">
        <v>598</v>
      </c>
      <c r="OCE341" s="288" t="s">
        <v>598</v>
      </c>
      <c r="OCF341" s="288" t="s">
        <v>598</v>
      </c>
      <c r="OCG341" s="288" t="s">
        <v>598</v>
      </c>
      <c r="OCH341" s="288" t="s">
        <v>598</v>
      </c>
      <c r="OCI341" s="288" t="s">
        <v>598</v>
      </c>
      <c r="OCJ341" s="288" t="s">
        <v>598</v>
      </c>
      <c r="OCK341" s="288" t="s">
        <v>598</v>
      </c>
      <c r="OCL341" s="288" t="s">
        <v>598</v>
      </c>
      <c r="OCM341" s="288" t="s">
        <v>598</v>
      </c>
      <c r="OCN341" s="288" t="s">
        <v>598</v>
      </c>
      <c r="OCO341" s="288" t="s">
        <v>598</v>
      </c>
      <c r="OCP341" s="288" t="s">
        <v>598</v>
      </c>
      <c r="OCQ341" s="288" t="s">
        <v>598</v>
      </c>
      <c r="OCR341" s="288" t="s">
        <v>598</v>
      </c>
      <c r="OCS341" s="288" t="s">
        <v>598</v>
      </c>
      <c r="OCT341" s="288" t="s">
        <v>598</v>
      </c>
      <c r="OCU341" s="288" t="s">
        <v>598</v>
      </c>
      <c r="OCV341" s="288" t="s">
        <v>598</v>
      </c>
      <c r="OCW341" s="288" t="s">
        <v>598</v>
      </c>
      <c r="OCX341" s="288" t="s">
        <v>598</v>
      </c>
      <c r="OCY341" s="288" t="s">
        <v>598</v>
      </c>
      <c r="OCZ341" s="288" t="s">
        <v>598</v>
      </c>
      <c r="ODA341" s="288" t="s">
        <v>598</v>
      </c>
      <c r="ODB341" s="288" t="s">
        <v>598</v>
      </c>
      <c r="ODC341" s="288" t="s">
        <v>598</v>
      </c>
      <c r="ODD341" s="288" t="s">
        <v>598</v>
      </c>
      <c r="ODE341" s="288" t="s">
        <v>598</v>
      </c>
      <c r="ODF341" s="288" t="s">
        <v>598</v>
      </c>
      <c r="ODG341" s="288" t="s">
        <v>598</v>
      </c>
      <c r="ODH341" s="288" t="s">
        <v>598</v>
      </c>
      <c r="ODI341" s="288" t="s">
        <v>598</v>
      </c>
      <c r="ODJ341" s="288" t="s">
        <v>598</v>
      </c>
      <c r="ODK341" s="288" t="s">
        <v>598</v>
      </c>
      <c r="ODL341" s="288" t="s">
        <v>598</v>
      </c>
      <c r="ODM341" s="288" t="s">
        <v>598</v>
      </c>
      <c r="ODN341" s="288" t="s">
        <v>598</v>
      </c>
      <c r="ODO341" s="288" t="s">
        <v>598</v>
      </c>
      <c r="ODP341" s="288" t="s">
        <v>598</v>
      </c>
      <c r="ODQ341" s="288" t="s">
        <v>598</v>
      </c>
      <c r="ODR341" s="288" t="s">
        <v>598</v>
      </c>
      <c r="ODS341" s="288" t="s">
        <v>598</v>
      </c>
      <c r="ODT341" s="288" t="s">
        <v>598</v>
      </c>
      <c r="ODU341" s="288" t="s">
        <v>598</v>
      </c>
      <c r="ODV341" s="288" t="s">
        <v>598</v>
      </c>
      <c r="ODW341" s="288" t="s">
        <v>598</v>
      </c>
      <c r="ODX341" s="288" t="s">
        <v>598</v>
      </c>
      <c r="ODY341" s="288" t="s">
        <v>598</v>
      </c>
      <c r="ODZ341" s="288" t="s">
        <v>598</v>
      </c>
      <c r="OEA341" s="288" t="s">
        <v>598</v>
      </c>
      <c r="OEB341" s="288" t="s">
        <v>598</v>
      </c>
      <c r="OEC341" s="288" t="s">
        <v>598</v>
      </c>
      <c r="OED341" s="288" t="s">
        <v>598</v>
      </c>
      <c r="OEE341" s="288" t="s">
        <v>598</v>
      </c>
      <c r="OEF341" s="288" t="s">
        <v>598</v>
      </c>
      <c r="OEG341" s="288" t="s">
        <v>598</v>
      </c>
      <c r="OEH341" s="288" t="s">
        <v>598</v>
      </c>
      <c r="OEI341" s="288" t="s">
        <v>598</v>
      </c>
      <c r="OEJ341" s="288" t="s">
        <v>598</v>
      </c>
      <c r="OEK341" s="288" t="s">
        <v>598</v>
      </c>
      <c r="OEL341" s="288" t="s">
        <v>598</v>
      </c>
      <c r="OEM341" s="288" t="s">
        <v>598</v>
      </c>
      <c r="OEN341" s="288" t="s">
        <v>598</v>
      </c>
      <c r="OEO341" s="288" t="s">
        <v>598</v>
      </c>
      <c r="OEP341" s="288" t="s">
        <v>598</v>
      </c>
      <c r="OEQ341" s="288" t="s">
        <v>598</v>
      </c>
      <c r="OER341" s="288" t="s">
        <v>598</v>
      </c>
      <c r="OES341" s="288" t="s">
        <v>598</v>
      </c>
      <c r="OET341" s="288" t="s">
        <v>598</v>
      </c>
      <c r="OEU341" s="288" t="s">
        <v>598</v>
      </c>
      <c r="OEV341" s="288" t="s">
        <v>598</v>
      </c>
      <c r="OEW341" s="288" t="s">
        <v>598</v>
      </c>
      <c r="OEX341" s="288" t="s">
        <v>598</v>
      </c>
      <c r="OEY341" s="288" t="s">
        <v>598</v>
      </c>
      <c r="OEZ341" s="288" t="s">
        <v>598</v>
      </c>
      <c r="OFA341" s="288" t="s">
        <v>598</v>
      </c>
      <c r="OFB341" s="288" t="s">
        <v>598</v>
      </c>
      <c r="OFC341" s="288" t="s">
        <v>598</v>
      </c>
      <c r="OFD341" s="288" t="s">
        <v>598</v>
      </c>
      <c r="OFE341" s="288" t="s">
        <v>598</v>
      </c>
      <c r="OFF341" s="288" t="s">
        <v>598</v>
      </c>
      <c r="OFG341" s="288" t="s">
        <v>598</v>
      </c>
      <c r="OFH341" s="288" t="s">
        <v>598</v>
      </c>
      <c r="OFI341" s="288" t="s">
        <v>598</v>
      </c>
      <c r="OFJ341" s="288" t="s">
        <v>598</v>
      </c>
      <c r="OFK341" s="288" t="s">
        <v>598</v>
      </c>
      <c r="OFL341" s="288" t="s">
        <v>598</v>
      </c>
      <c r="OFM341" s="288" t="s">
        <v>598</v>
      </c>
      <c r="OFN341" s="288" t="s">
        <v>598</v>
      </c>
      <c r="OFO341" s="288" t="s">
        <v>598</v>
      </c>
      <c r="OFP341" s="288" t="s">
        <v>598</v>
      </c>
      <c r="OFQ341" s="288" t="s">
        <v>598</v>
      </c>
      <c r="OFR341" s="288" t="s">
        <v>598</v>
      </c>
      <c r="OFS341" s="288" t="s">
        <v>598</v>
      </c>
      <c r="OFT341" s="288" t="s">
        <v>598</v>
      </c>
      <c r="OFU341" s="288" t="s">
        <v>598</v>
      </c>
      <c r="OFV341" s="288" t="s">
        <v>598</v>
      </c>
      <c r="OFW341" s="288" t="s">
        <v>598</v>
      </c>
      <c r="OFX341" s="288" t="s">
        <v>598</v>
      </c>
      <c r="OFY341" s="288" t="s">
        <v>598</v>
      </c>
      <c r="OFZ341" s="288" t="s">
        <v>598</v>
      </c>
      <c r="OGA341" s="288" t="s">
        <v>598</v>
      </c>
      <c r="OGB341" s="288" t="s">
        <v>598</v>
      </c>
      <c r="OGC341" s="288" t="s">
        <v>598</v>
      </c>
      <c r="OGD341" s="288" t="s">
        <v>598</v>
      </c>
      <c r="OGE341" s="288" t="s">
        <v>598</v>
      </c>
      <c r="OGF341" s="288" t="s">
        <v>598</v>
      </c>
      <c r="OGG341" s="288" t="s">
        <v>598</v>
      </c>
      <c r="OGH341" s="288" t="s">
        <v>598</v>
      </c>
      <c r="OGI341" s="288" t="s">
        <v>598</v>
      </c>
      <c r="OGJ341" s="288" t="s">
        <v>598</v>
      </c>
      <c r="OGK341" s="288" t="s">
        <v>598</v>
      </c>
      <c r="OGL341" s="288" t="s">
        <v>598</v>
      </c>
      <c r="OGM341" s="288" t="s">
        <v>598</v>
      </c>
      <c r="OGN341" s="288" t="s">
        <v>598</v>
      </c>
      <c r="OGO341" s="288" t="s">
        <v>598</v>
      </c>
      <c r="OGP341" s="288" t="s">
        <v>598</v>
      </c>
      <c r="OGQ341" s="288" t="s">
        <v>598</v>
      </c>
      <c r="OGR341" s="288" t="s">
        <v>598</v>
      </c>
      <c r="OGS341" s="288" t="s">
        <v>598</v>
      </c>
      <c r="OGT341" s="288" t="s">
        <v>598</v>
      </c>
      <c r="OGU341" s="288" t="s">
        <v>598</v>
      </c>
      <c r="OGV341" s="288" t="s">
        <v>598</v>
      </c>
      <c r="OGW341" s="288" t="s">
        <v>598</v>
      </c>
      <c r="OGX341" s="288" t="s">
        <v>598</v>
      </c>
      <c r="OGY341" s="288" t="s">
        <v>598</v>
      </c>
      <c r="OGZ341" s="288" t="s">
        <v>598</v>
      </c>
      <c r="OHA341" s="288" t="s">
        <v>598</v>
      </c>
      <c r="OHB341" s="288" t="s">
        <v>598</v>
      </c>
      <c r="OHC341" s="288" t="s">
        <v>598</v>
      </c>
      <c r="OHD341" s="288" t="s">
        <v>598</v>
      </c>
      <c r="OHE341" s="288" t="s">
        <v>598</v>
      </c>
      <c r="OHF341" s="288" t="s">
        <v>598</v>
      </c>
      <c r="OHG341" s="288" t="s">
        <v>598</v>
      </c>
      <c r="OHH341" s="288" t="s">
        <v>598</v>
      </c>
      <c r="OHI341" s="288" t="s">
        <v>598</v>
      </c>
      <c r="OHJ341" s="288" t="s">
        <v>598</v>
      </c>
      <c r="OHK341" s="288" t="s">
        <v>598</v>
      </c>
      <c r="OHL341" s="288" t="s">
        <v>598</v>
      </c>
      <c r="OHM341" s="288" t="s">
        <v>598</v>
      </c>
      <c r="OHN341" s="288" t="s">
        <v>598</v>
      </c>
      <c r="OHO341" s="288" t="s">
        <v>598</v>
      </c>
      <c r="OHP341" s="288" t="s">
        <v>598</v>
      </c>
      <c r="OHQ341" s="288" t="s">
        <v>598</v>
      </c>
      <c r="OHR341" s="288" t="s">
        <v>598</v>
      </c>
      <c r="OHS341" s="288" t="s">
        <v>598</v>
      </c>
      <c r="OHT341" s="288" t="s">
        <v>598</v>
      </c>
      <c r="OHU341" s="288" t="s">
        <v>598</v>
      </c>
      <c r="OHV341" s="288" t="s">
        <v>598</v>
      </c>
      <c r="OHW341" s="288" t="s">
        <v>598</v>
      </c>
      <c r="OHX341" s="288" t="s">
        <v>598</v>
      </c>
      <c r="OHY341" s="288" t="s">
        <v>598</v>
      </c>
      <c r="OHZ341" s="288" t="s">
        <v>598</v>
      </c>
      <c r="OIA341" s="288" t="s">
        <v>598</v>
      </c>
      <c r="OIB341" s="288" t="s">
        <v>598</v>
      </c>
      <c r="OIC341" s="288" t="s">
        <v>598</v>
      </c>
      <c r="OID341" s="288" t="s">
        <v>598</v>
      </c>
      <c r="OIE341" s="288" t="s">
        <v>598</v>
      </c>
      <c r="OIF341" s="288" t="s">
        <v>598</v>
      </c>
      <c r="OIG341" s="288" t="s">
        <v>598</v>
      </c>
      <c r="OIH341" s="288" t="s">
        <v>598</v>
      </c>
      <c r="OII341" s="288" t="s">
        <v>598</v>
      </c>
      <c r="OIJ341" s="288" t="s">
        <v>598</v>
      </c>
      <c r="OIK341" s="288" t="s">
        <v>598</v>
      </c>
      <c r="OIL341" s="288" t="s">
        <v>598</v>
      </c>
      <c r="OIM341" s="288" t="s">
        <v>598</v>
      </c>
      <c r="OIN341" s="288" t="s">
        <v>598</v>
      </c>
      <c r="OIO341" s="288" t="s">
        <v>598</v>
      </c>
      <c r="OIP341" s="288" t="s">
        <v>598</v>
      </c>
      <c r="OIQ341" s="288" t="s">
        <v>598</v>
      </c>
      <c r="OIR341" s="288" t="s">
        <v>598</v>
      </c>
      <c r="OIS341" s="288" t="s">
        <v>598</v>
      </c>
      <c r="OIT341" s="288" t="s">
        <v>598</v>
      </c>
      <c r="OIU341" s="288" t="s">
        <v>598</v>
      </c>
      <c r="OIV341" s="288" t="s">
        <v>598</v>
      </c>
      <c r="OIW341" s="288" t="s">
        <v>598</v>
      </c>
      <c r="OIX341" s="288" t="s">
        <v>598</v>
      </c>
      <c r="OIY341" s="288" t="s">
        <v>598</v>
      </c>
      <c r="OIZ341" s="288" t="s">
        <v>598</v>
      </c>
      <c r="OJA341" s="288" t="s">
        <v>598</v>
      </c>
      <c r="OJB341" s="288" t="s">
        <v>598</v>
      </c>
      <c r="OJC341" s="288" t="s">
        <v>598</v>
      </c>
      <c r="OJD341" s="288" t="s">
        <v>598</v>
      </c>
      <c r="OJE341" s="288" t="s">
        <v>598</v>
      </c>
      <c r="OJF341" s="288" t="s">
        <v>598</v>
      </c>
      <c r="OJG341" s="288" t="s">
        <v>598</v>
      </c>
      <c r="OJH341" s="288" t="s">
        <v>598</v>
      </c>
      <c r="OJI341" s="288" t="s">
        <v>598</v>
      </c>
      <c r="OJJ341" s="288" t="s">
        <v>598</v>
      </c>
      <c r="OJK341" s="288" t="s">
        <v>598</v>
      </c>
      <c r="OJL341" s="288" t="s">
        <v>598</v>
      </c>
      <c r="OJM341" s="288" t="s">
        <v>598</v>
      </c>
      <c r="OJN341" s="288" t="s">
        <v>598</v>
      </c>
      <c r="OJO341" s="288" t="s">
        <v>598</v>
      </c>
      <c r="OJP341" s="288" t="s">
        <v>598</v>
      </c>
      <c r="OJQ341" s="288" t="s">
        <v>598</v>
      </c>
      <c r="OJR341" s="288" t="s">
        <v>598</v>
      </c>
      <c r="OJS341" s="288" t="s">
        <v>598</v>
      </c>
      <c r="OJT341" s="288" t="s">
        <v>598</v>
      </c>
      <c r="OJU341" s="288" t="s">
        <v>598</v>
      </c>
      <c r="OJV341" s="288" t="s">
        <v>598</v>
      </c>
      <c r="OJW341" s="288" t="s">
        <v>598</v>
      </c>
      <c r="OJX341" s="288" t="s">
        <v>598</v>
      </c>
      <c r="OJY341" s="288" t="s">
        <v>598</v>
      </c>
      <c r="OJZ341" s="288" t="s">
        <v>598</v>
      </c>
      <c r="OKA341" s="288" t="s">
        <v>598</v>
      </c>
      <c r="OKB341" s="288" t="s">
        <v>598</v>
      </c>
      <c r="OKC341" s="288" t="s">
        <v>598</v>
      </c>
      <c r="OKD341" s="288" t="s">
        <v>598</v>
      </c>
      <c r="OKE341" s="288" t="s">
        <v>598</v>
      </c>
      <c r="OKF341" s="288" t="s">
        <v>598</v>
      </c>
      <c r="OKG341" s="288" t="s">
        <v>598</v>
      </c>
      <c r="OKH341" s="288" t="s">
        <v>598</v>
      </c>
      <c r="OKI341" s="288" t="s">
        <v>598</v>
      </c>
      <c r="OKJ341" s="288" t="s">
        <v>598</v>
      </c>
      <c r="OKK341" s="288" t="s">
        <v>598</v>
      </c>
      <c r="OKL341" s="288" t="s">
        <v>598</v>
      </c>
      <c r="OKM341" s="288" t="s">
        <v>598</v>
      </c>
      <c r="OKN341" s="288" t="s">
        <v>598</v>
      </c>
      <c r="OKO341" s="288" t="s">
        <v>598</v>
      </c>
      <c r="OKP341" s="288" t="s">
        <v>598</v>
      </c>
      <c r="OKQ341" s="288" t="s">
        <v>598</v>
      </c>
      <c r="OKR341" s="288" t="s">
        <v>598</v>
      </c>
      <c r="OKS341" s="288" t="s">
        <v>598</v>
      </c>
      <c r="OKT341" s="288" t="s">
        <v>598</v>
      </c>
      <c r="OKU341" s="288" t="s">
        <v>598</v>
      </c>
      <c r="OKV341" s="288" t="s">
        <v>598</v>
      </c>
      <c r="OKW341" s="288" t="s">
        <v>598</v>
      </c>
      <c r="OKX341" s="288" t="s">
        <v>598</v>
      </c>
      <c r="OKY341" s="288" t="s">
        <v>598</v>
      </c>
      <c r="OKZ341" s="288" t="s">
        <v>598</v>
      </c>
      <c r="OLA341" s="288" t="s">
        <v>598</v>
      </c>
      <c r="OLB341" s="288" t="s">
        <v>598</v>
      </c>
      <c r="OLC341" s="288" t="s">
        <v>598</v>
      </c>
      <c r="OLD341" s="288" t="s">
        <v>598</v>
      </c>
      <c r="OLE341" s="288" t="s">
        <v>598</v>
      </c>
      <c r="OLF341" s="288" t="s">
        <v>598</v>
      </c>
      <c r="OLG341" s="288" t="s">
        <v>598</v>
      </c>
      <c r="OLH341" s="288" t="s">
        <v>598</v>
      </c>
      <c r="OLI341" s="288" t="s">
        <v>598</v>
      </c>
      <c r="OLJ341" s="288" t="s">
        <v>598</v>
      </c>
      <c r="OLK341" s="288" t="s">
        <v>598</v>
      </c>
      <c r="OLL341" s="288" t="s">
        <v>598</v>
      </c>
      <c r="OLM341" s="288" t="s">
        <v>598</v>
      </c>
      <c r="OLN341" s="288" t="s">
        <v>598</v>
      </c>
      <c r="OLO341" s="288" t="s">
        <v>598</v>
      </c>
      <c r="OLP341" s="288" t="s">
        <v>598</v>
      </c>
      <c r="OLQ341" s="288" t="s">
        <v>598</v>
      </c>
      <c r="OLR341" s="288" t="s">
        <v>598</v>
      </c>
      <c r="OLS341" s="288" t="s">
        <v>598</v>
      </c>
      <c r="OLT341" s="288" t="s">
        <v>598</v>
      </c>
      <c r="OLU341" s="288" t="s">
        <v>598</v>
      </c>
      <c r="OLV341" s="288" t="s">
        <v>598</v>
      </c>
      <c r="OLW341" s="288" t="s">
        <v>598</v>
      </c>
      <c r="OLX341" s="288" t="s">
        <v>598</v>
      </c>
      <c r="OLY341" s="288" t="s">
        <v>598</v>
      </c>
      <c r="OLZ341" s="288" t="s">
        <v>598</v>
      </c>
      <c r="OMA341" s="288" t="s">
        <v>598</v>
      </c>
      <c r="OMB341" s="288" t="s">
        <v>598</v>
      </c>
      <c r="OMC341" s="288" t="s">
        <v>598</v>
      </c>
      <c r="OMD341" s="288" t="s">
        <v>598</v>
      </c>
      <c r="OME341" s="288" t="s">
        <v>598</v>
      </c>
      <c r="OMF341" s="288" t="s">
        <v>598</v>
      </c>
      <c r="OMG341" s="288" t="s">
        <v>598</v>
      </c>
      <c r="OMH341" s="288" t="s">
        <v>598</v>
      </c>
      <c r="OMI341" s="288" t="s">
        <v>598</v>
      </c>
      <c r="OMJ341" s="288" t="s">
        <v>598</v>
      </c>
      <c r="OMK341" s="288" t="s">
        <v>598</v>
      </c>
      <c r="OML341" s="288" t="s">
        <v>598</v>
      </c>
      <c r="OMM341" s="288" t="s">
        <v>598</v>
      </c>
      <c r="OMN341" s="288" t="s">
        <v>598</v>
      </c>
      <c r="OMO341" s="288" t="s">
        <v>598</v>
      </c>
      <c r="OMP341" s="288" t="s">
        <v>598</v>
      </c>
      <c r="OMQ341" s="288" t="s">
        <v>598</v>
      </c>
      <c r="OMR341" s="288" t="s">
        <v>598</v>
      </c>
      <c r="OMS341" s="288" t="s">
        <v>598</v>
      </c>
      <c r="OMT341" s="288" t="s">
        <v>598</v>
      </c>
      <c r="OMU341" s="288" t="s">
        <v>598</v>
      </c>
      <c r="OMV341" s="288" t="s">
        <v>598</v>
      </c>
      <c r="OMW341" s="288" t="s">
        <v>598</v>
      </c>
      <c r="OMX341" s="288" t="s">
        <v>598</v>
      </c>
      <c r="OMY341" s="288" t="s">
        <v>598</v>
      </c>
      <c r="OMZ341" s="288" t="s">
        <v>598</v>
      </c>
      <c r="ONA341" s="288" t="s">
        <v>598</v>
      </c>
      <c r="ONB341" s="288" t="s">
        <v>598</v>
      </c>
      <c r="ONC341" s="288" t="s">
        <v>598</v>
      </c>
      <c r="OND341" s="288" t="s">
        <v>598</v>
      </c>
      <c r="ONE341" s="288" t="s">
        <v>598</v>
      </c>
      <c r="ONF341" s="288" t="s">
        <v>598</v>
      </c>
      <c r="ONG341" s="288" t="s">
        <v>598</v>
      </c>
      <c r="ONH341" s="288" t="s">
        <v>598</v>
      </c>
      <c r="ONI341" s="288" t="s">
        <v>598</v>
      </c>
      <c r="ONJ341" s="288" t="s">
        <v>598</v>
      </c>
      <c r="ONK341" s="288" t="s">
        <v>598</v>
      </c>
      <c r="ONL341" s="288" t="s">
        <v>598</v>
      </c>
      <c r="ONM341" s="288" t="s">
        <v>598</v>
      </c>
      <c r="ONN341" s="288" t="s">
        <v>598</v>
      </c>
      <c r="ONO341" s="288" t="s">
        <v>598</v>
      </c>
      <c r="ONP341" s="288" t="s">
        <v>598</v>
      </c>
      <c r="ONQ341" s="288" t="s">
        <v>598</v>
      </c>
      <c r="ONR341" s="288" t="s">
        <v>598</v>
      </c>
      <c r="ONS341" s="288" t="s">
        <v>598</v>
      </c>
      <c r="ONT341" s="288" t="s">
        <v>598</v>
      </c>
      <c r="ONU341" s="288" t="s">
        <v>598</v>
      </c>
      <c r="ONV341" s="288" t="s">
        <v>598</v>
      </c>
      <c r="ONW341" s="288" t="s">
        <v>598</v>
      </c>
      <c r="ONX341" s="288" t="s">
        <v>598</v>
      </c>
      <c r="ONY341" s="288" t="s">
        <v>598</v>
      </c>
      <c r="ONZ341" s="288" t="s">
        <v>598</v>
      </c>
      <c r="OOA341" s="288" t="s">
        <v>598</v>
      </c>
      <c r="OOB341" s="288" t="s">
        <v>598</v>
      </c>
      <c r="OOC341" s="288" t="s">
        <v>598</v>
      </c>
      <c r="OOD341" s="288" t="s">
        <v>598</v>
      </c>
      <c r="OOE341" s="288" t="s">
        <v>598</v>
      </c>
      <c r="OOF341" s="288" t="s">
        <v>598</v>
      </c>
      <c r="OOG341" s="288" t="s">
        <v>598</v>
      </c>
      <c r="OOH341" s="288" t="s">
        <v>598</v>
      </c>
      <c r="OOI341" s="288" t="s">
        <v>598</v>
      </c>
      <c r="OOJ341" s="288" t="s">
        <v>598</v>
      </c>
      <c r="OOK341" s="288" t="s">
        <v>598</v>
      </c>
      <c r="OOL341" s="288" t="s">
        <v>598</v>
      </c>
      <c r="OOM341" s="288" t="s">
        <v>598</v>
      </c>
      <c r="OON341" s="288" t="s">
        <v>598</v>
      </c>
      <c r="OOO341" s="288" t="s">
        <v>598</v>
      </c>
      <c r="OOP341" s="288" t="s">
        <v>598</v>
      </c>
      <c r="OOQ341" s="288" t="s">
        <v>598</v>
      </c>
      <c r="OOR341" s="288" t="s">
        <v>598</v>
      </c>
      <c r="OOS341" s="288" t="s">
        <v>598</v>
      </c>
      <c r="OOT341" s="288" t="s">
        <v>598</v>
      </c>
      <c r="OOU341" s="288" t="s">
        <v>598</v>
      </c>
      <c r="OOV341" s="288" t="s">
        <v>598</v>
      </c>
      <c r="OOW341" s="288" t="s">
        <v>598</v>
      </c>
      <c r="OOX341" s="288" t="s">
        <v>598</v>
      </c>
      <c r="OOY341" s="288" t="s">
        <v>598</v>
      </c>
      <c r="OOZ341" s="288" t="s">
        <v>598</v>
      </c>
      <c r="OPA341" s="288" t="s">
        <v>598</v>
      </c>
      <c r="OPB341" s="288" t="s">
        <v>598</v>
      </c>
      <c r="OPC341" s="288" t="s">
        <v>598</v>
      </c>
      <c r="OPD341" s="288" t="s">
        <v>598</v>
      </c>
      <c r="OPE341" s="288" t="s">
        <v>598</v>
      </c>
      <c r="OPF341" s="288" t="s">
        <v>598</v>
      </c>
      <c r="OPG341" s="288" t="s">
        <v>598</v>
      </c>
      <c r="OPH341" s="288" t="s">
        <v>598</v>
      </c>
      <c r="OPI341" s="288" t="s">
        <v>598</v>
      </c>
      <c r="OPJ341" s="288" t="s">
        <v>598</v>
      </c>
      <c r="OPK341" s="288" t="s">
        <v>598</v>
      </c>
      <c r="OPL341" s="288" t="s">
        <v>598</v>
      </c>
      <c r="OPM341" s="288" t="s">
        <v>598</v>
      </c>
      <c r="OPN341" s="288" t="s">
        <v>598</v>
      </c>
      <c r="OPO341" s="288" t="s">
        <v>598</v>
      </c>
      <c r="OPP341" s="288" t="s">
        <v>598</v>
      </c>
      <c r="OPQ341" s="288" t="s">
        <v>598</v>
      </c>
      <c r="OPR341" s="288" t="s">
        <v>598</v>
      </c>
      <c r="OPS341" s="288" t="s">
        <v>598</v>
      </c>
      <c r="OPT341" s="288" t="s">
        <v>598</v>
      </c>
      <c r="OPU341" s="288" t="s">
        <v>598</v>
      </c>
      <c r="OPV341" s="288" t="s">
        <v>598</v>
      </c>
      <c r="OPW341" s="288" t="s">
        <v>598</v>
      </c>
      <c r="OPX341" s="288" t="s">
        <v>598</v>
      </c>
      <c r="OPY341" s="288" t="s">
        <v>598</v>
      </c>
      <c r="OPZ341" s="288" t="s">
        <v>598</v>
      </c>
      <c r="OQA341" s="288" t="s">
        <v>598</v>
      </c>
      <c r="OQB341" s="288" t="s">
        <v>598</v>
      </c>
      <c r="OQC341" s="288" t="s">
        <v>598</v>
      </c>
      <c r="OQD341" s="288" t="s">
        <v>598</v>
      </c>
      <c r="OQE341" s="288" t="s">
        <v>598</v>
      </c>
      <c r="OQF341" s="288" t="s">
        <v>598</v>
      </c>
      <c r="OQG341" s="288" t="s">
        <v>598</v>
      </c>
      <c r="OQH341" s="288" t="s">
        <v>598</v>
      </c>
      <c r="OQI341" s="288" t="s">
        <v>598</v>
      </c>
      <c r="OQJ341" s="288" t="s">
        <v>598</v>
      </c>
      <c r="OQK341" s="288" t="s">
        <v>598</v>
      </c>
      <c r="OQL341" s="288" t="s">
        <v>598</v>
      </c>
      <c r="OQM341" s="288" t="s">
        <v>598</v>
      </c>
      <c r="OQN341" s="288" t="s">
        <v>598</v>
      </c>
      <c r="OQO341" s="288" t="s">
        <v>598</v>
      </c>
      <c r="OQP341" s="288" t="s">
        <v>598</v>
      </c>
      <c r="OQQ341" s="288" t="s">
        <v>598</v>
      </c>
      <c r="OQR341" s="288" t="s">
        <v>598</v>
      </c>
      <c r="OQS341" s="288" t="s">
        <v>598</v>
      </c>
      <c r="OQT341" s="288" t="s">
        <v>598</v>
      </c>
      <c r="OQU341" s="288" t="s">
        <v>598</v>
      </c>
      <c r="OQV341" s="288" t="s">
        <v>598</v>
      </c>
      <c r="OQW341" s="288" t="s">
        <v>598</v>
      </c>
      <c r="OQX341" s="288" t="s">
        <v>598</v>
      </c>
      <c r="OQY341" s="288" t="s">
        <v>598</v>
      </c>
      <c r="OQZ341" s="288" t="s">
        <v>598</v>
      </c>
      <c r="ORA341" s="288" t="s">
        <v>598</v>
      </c>
      <c r="ORB341" s="288" t="s">
        <v>598</v>
      </c>
      <c r="ORC341" s="288" t="s">
        <v>598</v>
      </c>
      <c r="ORD341" s="288" t="s">
        <v>598</v>
      </c>
      <c r="ORE341" s="288" t="s">
        <v>598</v>
      </c>
      <c r="ORF341" s="288" t="s">
        <v>598</v>
      </c>
      <c r="ORG341" s="288" t="s">
        <v>598</v>
      </c>
      <c r="ORH341" s="288" t="s">
        <v>598</v>
      </c>
      <c r="ORI341" s="288" t="s">
        <v>598</v>
      </c>
      <c r="ORJ341" s="288" t="s">
        <v>598</v>
      </c>
      <c r="ORK341" s="288" t="s">
        <v>598</v>
      </c>
      <c r="ORL341" s="288" t="s">
        <v>598</v>
      </c>
      <c r="ORM341" s="288" t="s">
        <v>598</v>
      </c>
      <c r="ORN341" s="288" t="s">
        <v>598</v>
      </c>
      <c r="ORO341" s="288" t="s">
        <v>598</v>
      </c>
      <c r="ORP341" s="288" t="s">
        <v>598</v>
      </c>
      <c r="ORQ341" s="288" t="s">
        <v>598</v>
      </c>
      <c r="ORR341" s="288" t="s">
        <v>598</v>
      </c>
      <c r="ORS341" s="288" t="s">
        <v>598</v>
      </c>
      <c r="ORT341" s="288" t="s">
        <v>598</v>
      </c>
      <c r="ORU341" s="288" t="s">
        <v>598</v>
      </c>
      <c r="ORV341" s="288" t="s">
        <v>598</v>
      </c>
      <c r="ORW341" s="288" t="s">
        <v>598</v>
      </c>
      <c r="ORX341" s="288" t="s">
        <v>598</v>
      </c>
      <c r="ORY341" s="288" t="s">
        <v>598</v>
      </c>
      <c r="ORZ341" s="288" t="s">
        <v>598</v>
      </c>
      <c r="OSA341" s="288" t="s">
        <v>598</v>
      </c>
      <c r="OSB341" s="288" t="s">
        <v>598</v>
      </c>
      <c r="OSC341" s="288" t="s">
        <v>598</v>
      </c>
      <c r="OSD341" s="288" t="s">
        <v>598</v>
      </c>
      <c r="OSE341" s="288" t="s">
        <v>598</v>
      </c>
      <c r="OSF341" s="288" t="s">
        <v>598</v>
      </c>
      <c r="OSG341" s="288" t="s">
        <v>598</v>
      </c>
      <c r="OSH341" s="288" t="s">
        <v>598</v>
      </c>
      <c r="OSI341" s="288" t="s">
        <v>598</v>
      </c>
      <c r="OSJ341" s="288" t="s">
        <v>598</v>
      </c>
      <c r="OSK341" s="288" t="s">
        <v>598</v>
      </c>
      <c r="OSL341" s="288" t="s">
        <v>598</v>
      </c>
      <c r="OSM341" s="288" t="s">
        <v>598</v>
      </c>
      <c r="OSN341" s="288" t="s">
        <v>598</v>
      </c>
      <c r="OSO341" s="288" t="s">
        <v>598</v>
      </c>
      <c r="OSP341" s="288" t="s">
        <v>598</v>
      </c>
      <c r="OSQ341" s="288" t="s">
        <v>598</v>
      </c>
      <c r="OSR341" s="288" t="s">
        <v>598</v>
      </c>
      <c r="OSS341" s="288" t="s">
        <v>598</v>
      </c>
      <c r="OST341" s="288" t="s">
        <v>598</v>
      </c>
      <c r="OSU341" s="288" t="s">
        <v>598</v>
      </c>
      <c r="OSV341" s="288" t="s">
        <v>598</v>
      </c>
      <c r="OSW341" s="288" t="s">
        <v>598</v>
      </c>
      <c r="OSX341" s="288" t="s">
        <v>598</v>
      </c>
      <c r="OSY341" s="288" t="s">
        <v>598</v>
      </c>
      <c r="OSZ341" s="288" t="s">
        <v>598</v>
      </c>
      <c r="OTA341" s="288" t="s">
        <v>598</v>
      </c>
      <c r="OTB341" s="288" t="s">
        <v>598</v>
      </c>
      <c r="OTC341" s="288" t="s">
        <v>598</v>
      </c>
      <c r="OTD341" s="288" t="s">
        <v>598</v>
      </c>
      <c r="OTE341" s="288" t="s">
        <v>598</v>
      </c>
      <c r="OTF341" s="288" t="s">
        <v>598</v>
      </c>
      <c r="OTG341" s="288" t="s">
        <v>598</v>
      </c>
      <c r="OTH341" s="288" t="s">
        <v>598</v>
      </c>
      <c r="OTI341" s="288" t="s">
        <v>598</v>
      </c>
      <c r="OTJ341" s="288" t="s">
        <v>598</v>
      </c>
      <c r="OTK341" s="288" t="s">
        <v>598</v>
      </c>
      <c r="OTL341" s="288" t="s">
        <v>598</v>
      </c>
      <c r="OTM341" s="288" t="s">
        <v>598</v>
      </c>
      <c r="OTN341" s="288" t="s">
        <v>598</v>
      </c>
      <c r="OTO341" s="288" t="s">
        <v>598</v>
      </c>
      <c r="OTP341" s="288" t="s">
        <v>598</v>
      </c>
      <c r="OTQ341" s="288" t="s">
        <v>598</v>
      </c>
      <c r="OTR341" s="288" t="s">
        <v>598</v>
      </c>
      <c r="OTS341" s="288" t="s">
        <v>598</v>
      </c>
      <c r="OTT341" s="288" t="s">
        <v>598</v>
      </c>
      <c r="OTU341" s="288" t="s">
        <v>598</v>
      </c>
      <c r="OTV341" s="288" t="s">
        <v>598</v>
      </c>
      <c r="OTW341" s="288" t="s">
        <v>598</v>
      </c>
      <c r="OTX341" s="288" t="s">
        <v>598</v>
      </c>
      <c r="OTY341" s="288" t="s">
        <v>598</v>
      </c>
      <c r="OTZ341" s="288" t="s">
        <v>598</v>
      </c>
      <c r="OUA341" s="288" t="s">
        <v>598</v>
      </c>
      <c r="OUB341" s="288" t="s">
        <v>598</v>
      </c>
      <c r="OUC341" s="288" t="s">
        <v>598</v>
      </c>
      <c r="OUD341" s="288" t="s">
        <v>598</v>
      </c>
      <c r="OUE341" s="288" t="s">
        <v>598</v>
      </c>
      <c r="OUF341" s="288" t="s">
        <v>598</v>
      </c>
      <c r="OUG341" s="288" t="s">
        <v>598</v>
      </c>
      <c r="OUH341" s="288" t="s">
        <v>598</v>
      </c>
      <c r="OUI341" s="288" t="s">
        <v>598</v>
      </c>
      <c r="OUJ341" s="288" t="s">
        <v>598</v>
      </c>
      <c r="OUK341" s="288" t="s">
        <v>598</v>
      </c>
      <c r="OUL341" s="288" t="s">
        <v>598</v>
      </c>
      <c r="OUM341" s="288" t="s">
        <v>598</v>
      </c>
      <c r="OUN341" s="288" t="s">
        <v>598</v>
      </c>
      <c r="OUO341" s="288" t="s">
        <v>598</v>
      </c>
      <c r="OUP341" s="288" t="s">
        <v>598</v>
      </c>
      <c r="OUQ341" s="288" t="s">
        <v>598</v>
      </c>
      <c r="OUR341" s="288" t="s">
        <v>598</v>
      </c>
      <c r="OUS341" s="288" t="s">
        <v>598</v>
      </c>
      <c r="OUT341" s="288" t="s">
        <v>598</v>
      </c>
      <c r="OUU341" s="288" t="s">
        <v>598</v>
      </c>
      <c r="OUV341" s="288" t="s">
        <v>598</v>
      </c>
      <c r="OUW341" s="288" t="s">
        <v>598</v>
      </c>
      <c r="OUX341" s="288" t="s">
        <v>598</v>
      </c>
      <c r="OUY341" s="288" t="s">
        <v>598</v>
      </c>
      <c r="OUZ341" s="288" t="s">
        <v>598</v>
      </c>
      <c r="OVA341" s="288" t="s">
        <v>598</v>
      </c>
      <c r="OVB341" s="288" t="s">
        <v>598</v>
      </c>
      <c r="OVC341" s="288" t="s">
        <v>598</v>
      </c>
      <c r="OVD341" s="288" t="s">
        <v>598</v>
      </c>
      <c r="OVE341" s="288" t="s">
        <v>598</v>
      </c>
      <c r="OVF341" s="288" t="s">
        <v>598</v>
      </c>
      <c r="OVG341" s="288" t="s">
        <v>598</v>
      </c>
      <c r="OVH341" s="288" t="s">
        <v>598</v>
      </c>
      <c r="OVI341" s="288" t="s">
        <v>598</v>
      </c>
      <c r="OVJ341" s="288" t="s">
        <v>598</v>
      </c>
      <c r="OVK341" s="288" t="s">
        <v>598</v>
      </c>
      <c r="OVL341" s="288" t="s">
        <v>598</v>
      </c>
      <c r="OVM341" s="288" t="s">
        <v>598</v>
      </c>
      <c r="OVN341" s="288" t="s">
        <v>598</v>
      </c>
      <c r="OVO341" s="288" t="s">
        <v>598</v>
      </c>
      <c r="OVP341" s="288" t="s">
        <v>598</v>
      </c>
      <c r="OVQ341" s="288" t="s">
        <v>598</v>
      </c>
      <c r="OVR341" s="288" t="s">
        <v>598</v>
      </c>
      <c r="OVS341" s="288" t="s">
        <v>598</v>
      </c>
      <c r="OVT341" s="288" t="s">
        <v>598</v>
      </c>
      <c r="OVU341" s="288" t="s">
        <v>598</v>
      </c>
      <c r="OVV341" s="288" t="s">
        <v>598</v>
      </c>
      <c r="OVW341" s="288" t="s">
        <v>598</v>
      </c>
      <c r="OVX341" s="288" t="s">
        <v>598</v>
      </c>
      <c r="OVY341" s="288" t="s">
        <v>598</v>
      </c>
      <c r="OVZ341" s="288" t="s">
        <v>598</v>
      </c>
      <c r="OWA341" s="288" t="s">
        <v>598</v>
      </c>
      <c r="OWB341" s="288" t="s">
        <v>598</v>
      </c>
      <c r="OWC341" s="288" t="s">
        <v>598</v>
      </c>
      <c r="OWD341" s="288" t="s">
        <v>598</v>
      </c>
      <c r="OWE341" s="288" t="s">
        <v>598</v>
      </c>
      <c r="OWF341" s="288" t="s">
        <v>598</v>
      </c>
      <c r="OWG341" s="288" t="s">
        <v>598</v>
      </c>
      <c r="OWH341" s="288" t="s">
        <v>598</v>
      </c>
      <c r="OWI341" s="288" t="s">
        <v>598</v>
      </c>
      <c r="OWJ341" s="288" t="s">
        <v>598</v>
      </c>
      <c r="OWK341" s="288" t="s">
        <v>598</v>
      </c>
      <c r="OWL341" s="288" t="s">
        <v>598</v>
      </c>
      <c r="OWM341" s="288" t="s">
        <v>598</v>
      </c>
      <c r="OWN341" s="288" t="s">
        <v>598</v>
      </c>
      <c r="OWO341" s="288" t="s">
        <v>598</v>
      </c>
      <c r="OWP341" s="288" t="s">
        <v>598</v>
      </c>
      <c r="OWQ341" s="288" t="s">
        <v>598</v>
      </c>
      <c r="OWR341" s="288" t="s">
        <v>598</v>
      </c>
      <c r="OWS341" s="288" t="s">
        <v>598</v>
      </c>
      <c r="OWT341" s="288" t="s">
        <v>598</v>
      </c>
      <c r="OWU341" s="288" t="s">
        <v>598</v>
      </c>
      <c r="OWV341" s="288" t="s">
        <v>598</v>
      </c>
      <c r="OWW341" s="288" t="s">
        <v>598</v>
      </c>
      <c r="OWX341" s="288" t="s">
        <v>598</v>
      </c>
      <c r="OWY341" s="288" t="s">
        <v>598</v>
      </c>
      <c r="OWZ341" s="288" t="s">
        <v>598</v>
      </c>
      <c r="OXA341" s="288" t="s">
        <v>598</v>
      </c>
      <c r="OXB341" s="288" t="s">
        <v>598</v>
      </c>
      <c r="OXC341" s="288" t="s">
        <v>598</v>
      </c>
      <c r="OXD341" s="288" t="s">
        <v>598</v>
      </c>
      <c r="OXE341" s="288" t="s">
        <v>598</v>
      </c>
      <c r="OXF341" s="288" t="s">
        <v>598</v>
      </c>
      <c r="OXG341" s="288" t="s">
        <v>598</v>
      </c>
      <c r="OXH341" s="288" t="s">
        <v>598</v>
      </c>
      <c r="OXI341" s="288" t="s">
        <v>598</v>
      </c>
      <c r="OXJ341" s="288" t="s">
        <v>598</v>
      </c>
      <c r="OXK341" s="288" t="s">
        <v>598</v>
      </c>
      <c r="OXL341" s="288" t="s">
        <v>598</v>
      </c>
      <c r="OXM341" s="288" t="s">
        <v>598</v>
      </c>
      <c r="OXN341" s="288" t="s">
        <v>598</v>
      </c>
      <c r="OXO341" s="288" t="s">
        <v>598</v>
      </c>
      <c r="OXP341" s="288" t="s">
        <v>598</v>
      </c>
      <c r="OXQ341" s="288" t="s">
        <v>598</v>
      </c>
      <c r="OXR341" s="288" t="s">
        <v>598</v>
      </c>
      <c r="OXS341" s="288" t="s">
        <v>598</v>
      </c>
      <c r="OXT341" s="288" t="s">
        <v>598</v>
      </c>
      <c r="OXU341" s="288" t="s">
        <v>598</v>
      </c>
      <c r="OXV341" s="288" t="s">
        <v>598</v>
      </c>
      <c r="OXW341" s="288" t="s">
        <v>598</v>
      </c>
      <c r="OXX341" s="288" t="s">
        <v>598</v>
      </c>
      <c r="OXY341" s="288" t="s">
        <v>598</v>
      </c>
      <c r="OXZ341" s="288" t="s">
        <v>598</v>
      </c>
      <c r="OYA341" s="288" t="s">
        <v>598</v>
      </c>
      <c r="OYB341" s="288" t="s">
        <v>598</v>
      </c>
      <c r="OYC341" s="288" t="s">
        <v>598</v>
      </c>
      <c r="OYD341" s="288" t="s">
        <v>598</v>
      </c>
      <c r="OYE341" s="288" t="s">
        <v>598</v>
      </c>
      <c r="OYF341" s="288" t="s">
        <v>598</v>
      </c>
      <c r="OYG341" s="288" t="s">
        <v>598</v>
      </c>
      <c r="OYH341" s="288" t="s">
        <v>598</v>
      </c>
      <c r="OYI341" s="288" t="s">
        <v>598</v>
      </c>
      <c r="OYJ341" s="288" t="s">
        <v>598</v>
      </c>
      <c r="OYK341" s="288" t="s">
        <v>598</v>
      </c>
      <c r="OYL341" s="288" t="s">
        <v>598</v>
      </c>
      <c r="OYM341" s="288" t="s">
        <v>598</v>
      </c>
      <c r="OYN341" s="288" t="s">
        <v>598</v>
      </c>
      <c r="OYO341" s="288" t="s">
        <v>598</v>
      </c>
      <c r="OYP341" s="288" t="s">
        <v>598</v>
      </c>
      <c r="OYQ341" s="288" t="s">
        <v>598</v>
      </c>
      <c r="OYR341" s="288" t="s">
        <v>598</v>
      </c>
      <c r="OYS341" s="288" t="s">
        <v>598</v>
      </c>
      <c r="OYT341" s="288" t="s">
        <v>598</v>
      </c>
      <c r="OYU341" s="288" t="s">
        <v>598</v>
      </c>
      <c r="OYV341" s="288" t="s">
        <v>598</v>
      </c>
      <c r="OYW341" s="288" t="s">
        <v>598</v>
      </c>
      <c r="OYX341" s="288" t="s">
        <v>598</v>
      </c>
      <c r="OYY341" s="288" t="s">
        <v>598</v>
      </c>
      <c r="OYZ341" s="288" t="s">
        <v>598</v>
      </c>
      <c r="OZA341" s="288" t="s">
        <v>598</v>
      </c>
      <c r="OZB341" s="288" t="s">
        <v>598</v>
      </c>
      <c r="OZC341" s="288" t="s">
        <v>598</v>
      </c>
      <c r="OZD341" s="288" t="s">
        <v>598</v>
      </c>
      <c r="OZE341" s="288" t="s">
        <v>598</v>
      </c>
      <c r="OZF341" s="288" t="s">
        <v>598</v>
      </c>
      <c r="OZG341" s="288" t="s">
        <v>598</v>
      </c>
      <c r="OZH341" s="288" t="s">
        <v>598</v>
      </c>
      <c r="OZI341" s="288" t="s">
        <v>598</v>
      </c>
      <c r="OZJ341" s="288" t="s">
        <v>598</v>
      </c>
      <c r="OZK341" s="288" t="s">
        <v>598</v>
      </c>
      <c r="OZL341" s="288" t="s">
        <v>598</v>
      </c>
      <c r="OZM341" s="288" t="s">
        <v>598</v>
      </c>
      <c r="OZN341" s="288" t="s">
        <v>598</v>
      </c>
      <c r="OZO341" s="288" t="s">
        <v>598</v>
      </c>
      <c r="OZP341" s="288" t="s">
        <v>598</v>
      </c>
      <c r="OZQ341" s="288" t="s">
        <v>598</v>
      </c>
      <c r="OZR341" s="288" t="s">
        <v>598</v>
      </c>
      <c r="OZS341" s="288" t="s">
        <v>598</v>
      </c>
      <c r="OZT341" s="288" t="s">
        <v>598</v>
      </c>
      <c r="OZU341" s="288" t="s">
        <v>598</v>
      </c>
      <c r="OZV341" s="288" t="s">
        <v>598</v>
      </c>
      <c r="OZW341" s="288" t="s">
        <v>598</v>
      </c>
      <c r="OZX341" s="288" t="s">
        <v>598</v>
      </c>
      <c r="OZY341" s="288" t="s">
        <v>598</v>
      </c>
      <c r="OZZ341" s="288" t="s">
        <v>598</v>
      </c>
      <c r="PAA341" s="288" t="s">
        <v>598</v>
      </c>
      <c r="PAB341" s="288" t="s">
        <v>598</v>
      </c>
      <c r="PAC341" s="288" t="s">
        <v>598</v>
      </c>
      <c r="PAD341" s="288" t="s">
        <v>598</v>
      </c>
      <c r="PAE341" s="288" t="s">
        <v>598</v>
      </c>
      <c r="PAF341" s="288" t="s">
        <v>598</v>
      </c>
      <c r="PAG341" s="288" t="s">
        <v>598</v>
      </c>
      <c r="PAH341" s="288" t="s">
        <v>598</v>
      </c>
      <c r="PAI341" s="288" t="s">
        <v>598</v>
      </c>
      <c r="PAJ341" s="288" t="s">
        <v>598</v>
      </c>
      <c r="PAK341" s="288" t="s">
        <v>598</v>
      </c>
      <c r="PAL341" s="288" t="s">
        <v>598</v>
      </c>
      <c r="PAM341" s="288" t="s">
        <v>598</v>
      </c>
      <c r="PAN341" s="288" t="s">
        <v>598</v>
      </c>
      <c r="PAO341" s="288" t="s">
        <v>598</v>
      </c>
      <c r="PAP341" s="288" t="s">
        <v>598</v>
      </c>
      <c r="PAQ341" s="288" t="s">
        <v>598</v>
      </c>
      <c r="PAR341" s="288" t="s">
        <v>598</v>
      </c>
      <c r="PAS341" s="288" t="s">
        <v>598</v>
      </c>
      <c r="PAT341" s="288" t="s">
        <v>598</v>
      </c>
      <c r="PAU341" s="288" t="s">
        <v>598</v>
      </c>
      <c r="PAV341" s="288" t="s">
        <v>598</v>
      </c>
      <c r="PAW341" s="288" t="s">
        <v>598</v>
      </c>
      <c r="PAX341" s="288" t="s">
        <v>598</v>
      </c>
      <c r="PAY341" s="288" t="s">
        <v>598</v>
      </c>
      <c r="PAZ341" s="288" t="s">
        <v>598</v>
      </c>
      <c r="PBA341" s="288" t="s">
        <v>598</v>
      </c>
      <c r="PBB341" s="288" t="s">
        <v>598</v>
      </c>
      <c r="PBC341" s="288" t="s">
        <v>598</v>
      </c>
      <c r="PBD341" s="288" t="s">
        <v>598</v>
      </c>
      <c r="PBE341" s="288" t="s">
        <v>598</v>
      </c>
      <c r="PBF341" s="288" t="s">
        <v>598</v>
      </c>
      <c r="PBG341" s="288" t="s">
        <v>598</v>
      </c>
      <c r="PBH341" s="288" t="s">
        <v>598</v>
      </c>
      <c r="PBI341" s="288" t="s">
        <v>598</v>
      </c>
      <c r="PBJ341" s="288" t="s">
        <v>598</v>
      </c>
      <c r="PBK341" s="288" t="s">
        <v>598</v>
      </c>
      <c r="PBL341" s="288" t="s">
        <v>598</v>
      </c>
      <c r="PBM341" s="288" t="s">
        <v>598</v>
      </c>
      <c r="PBN341" s="288" t="s">
        <v>598</v>
      </c>
      <c r="PBO341" s="288" t="s">
        <v>598</v>
      </c>
      <c r="PBP341" s="288" t="s">
        <v>598</v>
      </c>
      <c r="PBQ341" s="288" t="s">
        <v>598</v>
      </c>
      <c r="PBR341" s="288" t="s">
        <v>598</v>
      </c>
      <c r="PBS341" s="288" t="s">
        <v>598</v>
      </c>
      <c r="PBT341" s="288" t="s">
        <v>598</v>
      </c>
      <c r="PBU341" s="288" t="s">
        <v>598</v>
      </c>
      <c r="PBV341" s="288" t="s">
        <v>598</v>
      </c>
      <c r="PBW341" s="288" t="s">
        <v>598</v>
      </c>
      <c r="PBX341" s="288" t="s">
        <v>598</v>
      </c>
      <c r="PBY341" s="288" t="s">
        <v>598</v>
      </c>
      <c r="PBZ341" s="288" t="s">
        <v>598</v>
      </c>
      <c r="PCA341" s="288" t="s">
        <v>598</v>
      </c>
      <c r="PCB341" s="288" t="s">
        <v>598</v>
      </c>
      <c r="PCC341" s="288" t="s">
        <v>598</v>
      </c>
      <c r="PCD341" s="288" t="s">
        <v>598</v>
      </c>
      <c r="PCE341" s="288" t="s">
        <v>598</v>
      </c>
      <c r="PCF341" s="288" t="s">
        <v>598</v>
      </c>
      <c r="PCG341" s="288" t="s">
        <v>598</v>
      </c>
      <c r="PCH341" s="288" t="s">
        <v>598</v>
      </c>
      <c r="PCI341" s="288" t="s">
        <v>598</v>
      </c>
      <c r="PCJ341" s="288" t="s">
        <v>598</v>
      </c>
      <c r="PCK341" s="288" t="s">
        <v>598</v>
      </c>
      <c r="PCL341" s="288" t="s">
        <v>598</v>
      </c>
      <c r="PCM341" s="288" t="s">
        <v>598</v>
      </c>
      <c r="PCN341" s="288" t="s">
        <v>598</v>
      </c>
      <c r="PCO341" s="288" t="s">
        <v>598</v>
      </c>
      <c r="PCP341" s="288" t="s">
        <v>598</v>
      </c>
      <c r="PCQ341" s="288" t="s">
        <v>598</v>
      </c>
      <c r="PCR341" s="288" t="s">
        <v>598</v>
      </c>
      <c r="PCS341" s="288" t="s">
        <v>598</v>
      </c>
      <c r="PCT341" s="288" t="s">
        <v>598</v>
      </c>
      <c r="PCU341" s="288" t="s">
        <v>598</v>
      </c>
      <c r="PCV341" s="288" t="s">
        <v>598</v>
      </c>
      <c r="PCW341" s="288" t="s">
        <v>598</v>
      </c>
      <c r="PCX341" s="288" t="s">
        <v>598</v>
      </c>
      <c r="PCY341" s="288" t="s">
        <v>598</v>
      </c>
      <c r="PCZ341" s="288" t="s">
        <v>598</v>
      </c>
      <c r="PDA341" s="288" t="s">
        <v>598</v>
      </c>
      <c r="PDB341" s="288" t="s">
        <v>598</v>
      </c>
      <c r="PDC341" s="288" t="s">
        <v>598</v>
      </c>
      <c r="PDD341" s="288" t="s">
        <v>598</v>
      </c>
      <c r="PDE341" s="288" t="s">
        <v>598</v>
      </c>
      <c r="PDF341" s="288" t="s">
        <v>598</v>
      </c>
      <c r="PDG341" s="288" t="s">
        <v>598</v>
      </c>
      <c r="PDH341" s="288" t="s">
        <v>598</v>
      </c>
      <c r="PDI341" s="288" t="s">
        <v>598</v>
      </c>
      <c r="PDJ341" s="288" t="s">
        <v>598</v>
      </c>
      <c r="PDK341" s="288" t="s">
        <v>598</v>
      </c>
      <c r="PDL341" s="288" t="s">
        <v>598</v>
      </c>
      <c r="PDM341" s="288" t="s">
        <v>598</v>
      </c>
      <c r="PDN341" s="288" t="s">
        <v>598</v>
      </c>
      <c r="PDO341" s="288" t="s">
        <v>598</v>
      </c>
      <c r="PDP341" s="288" t="s">
        <v>598</v>
      </c>
      <c r="PDQ341" s="288" t="s">
        <v>598</v>
      </c>
      <c r="PDR341" s="288" t="s">
        <v>598</v>
      </c>
      <c r="PDS341" s="288" t="s">
        <v>598</v>
      </c>
      <c r="PDT341" s="288" t="s">
        <v>598</v>
      </c>
      <c r="PDU341" s="288" t="s">
        <v>598</v>
      </c>
      <c r="PDV341" s="288" t="s">
        <v>598</v>
      </c>
      <c r="PDW341" s="288" t="s">
        <v>598</v>
      </c>
      <c r="PDX341" s="288" t="s">
        <v>598</v>
      </c>
      <c r="PDY341" s="288" t="s">
        <v>598</v>
      </c>
      <c r="PDZ341" s="288" t="s">
        <v>598</v>
      </c>
      <c r="PEA341" s="288" t="s">
        <v>598</v>
      </c>
      <c r="PEB341" s="288" t="s">
        <v>598</v>
      </c>
      <c r="PEC341" s="288" t="s">
        <v>598</v>
      </c>
      <c r="PED341" s="288" t="s">
        <v>598</v>
      </c>
      <c r="PEE341" s="288" t="s">
        <v>598</v>
      </c>
      <c r="PEF341" s="288" t="s">
        <v>598</v>
      </c>
      <c r="PEG341" s="288" t="s">
        <v>598</v>
      </c>
      <c r="PEH341" s="288" t="s">
        <v>598</v>
      </c>
      <c r="PEI341" s="288" t="s">
        <v>598</v>
      </c>
      <c r="PEJ341" s="288" t="s">
        <v>598</v>
      </c>
      <c r="PEK341" s="288" t="s">
        <v>598</v>
      </c>
      <c r="PEL341" s="288" t="s">
        <v>598</v>
      </c>
      <c r="PEM341" s="288" t="s">
        <v>598</v>
      </c>
      <c r="PEN341" s="288" t="s">
        <v>598</v>
      </c>
      <c r="PEO341" s="288" t="s">
        <v>598</v>
      </c>
      <c r="PEP341" s="288" t="s">
        <v>598</v>
      </c>
      <c r="PEQ341" s="288" t="s">
        <v>598</v>
      </c>
      <c r="PER341" s="288" t="s">
        <v>598</v>
      </c>
      <c r="PES341" s="288" t="s">
        <v>598</v>
      </c>
      <c r="PET341" s="288" t="s">
        <v>598</v>
      </c>
      <c r="PEU341" s="288" t="s">
        <v>598</v>
      </c>
      <c r="PEV341" s="288" t="s">
        <v>598</v>
      </c>
      <c r="PEW341" s="288" t="s">
        <v>598</v>
      </c>
      <c r="PEX341" s="288" t="s">
        <v>598</v>
      </c>
      <c r="PEY341" s="288" t="s">
        <v>598</v>
      </c>
      <c r="PEZ341" s="288" t="s">
        <v>598</v>
      </c>
      <c r="PFA341" s="288" t="s">
        <v>598</v>
      </c>
      <c r="PFB341" s="288" t="s">
        <v>598</v>
      </c>
      <c r="PFC341" s="288" t="s">
        <v>598</v>
      </c>
      <c r="PFD341" s="288" t="s">
        <v>598</v>
      </c>
      <c r="PFE341" s="288" t="s">
        <v>598</v>
      </c>
      <c r="PFF341" s="288" t="s">
        <v>598</v>
      </c>
      <c r="PFG341" s="288" t="s">
        <v>598</v>
      </c>
      <c r="PFH341" s="288" t="s">
        <v>598</v>
      </c>
      <c r="PFI341" s="288" t="s">
        <v>598</v>
      </c>
      <c r="PFJ341" s="288" t="s">
        <v>598</v>
      </c>
      <c r="PFK341" s="288" t="s">
        <v>598</v>
      </c>
      <c r="PFL341" s="288" t="s">
        <v>598</v>
      </c>
      <c r="PFM341" s="288" t="s">
        <v>598</v>
      </c>
      <c r="PFN341" s="288" t="s">
        <v>598</v>
      </c>
      <c r="PFO341" s="288" t="s">
        <v>598</v>
      </c>
      <c r="PFP341" s="288" t="s">
        <v>598</v>
      </c>
      <c r="PFQ341" s="288" t="s">
        <v>598</v>
      </c>
      <c r="PFR341" s="288" t="s">
        <v>598</v>
      </c>
      <c r="PFS341" s="288" t="s">
        <v>598</v>
      </c>
      <c r="PFT341" s="288" t="s">
        <v>598</v>
      </c>
      <c r="PFU341" s="288" t="s">
        <v>598</v>
      </c>
      <c r="PFV341" s="288" t="s">
        <v>598</v>
      </c>
      <c r="PFW341" s="288" t="s">
        <v>598</v>
      </c>
      <c r="PFX341" s="288" t="s">
        <v>598</v>
      </c>
      <c r="PFY341" s="288" t="s">
        <v>598</v>
      </c>
      <c r="PFZ341" s="288" t="s">
        <v>598</v>
      </c>
      <c r="PGA341" s="288" t="s">
        <v>598</v>
      </c>
      <c r="PGB341" s="288" t="s">
        <v>598</v>
      </c>
      <c r="PGC341" s="288" t="s">
        <v>598</v>
      </c>
      <c r="PGD341" s="288" t="s">
        <v>598</v>
      </c>
      <c r="PGE341" s="288" t="s">
        <v>598</v>
      </c>
      <c r="PGF341" s="288" t="s">
        <v>598</v>
      </c>
      <c r="PGG341" s="288" t="s">
        <v>598</v>
      </c>
      <c r="PGH341" s="288" t="s">
        <v>598</v>
      </c>
      <c r="PGI341" s="288" t="s">
        <v>598</v>
      </c>
      <c r="PGJ341" s="288" t="s">
        <v>598</v>
      </c>
      <c r="PGK341" s="288" t="s">
        <v>598</v>
      </c>
      <c r="PGL341" s="288" t="s">
        <v>598</v>
      </c>
      <c r="PGM341" s="288" t="s">
        <v>598</v>
      </c>
      <c r="PGN341" s="288" t="s">
        <v>598</v>
      </c>
      <c r="PGO341" s="288" t="s">
        <v>598</v>
      </c>
      <c r="PGP341" s="288" t="s">
        <v>598</v>
      </c>
      <c r="PGQ341" s="288" t="s">
        <v>598</v>
      </c>
      <c r="PGR341" s="288" t="s">
        <v>598</v>
      </c>
      <c r="PGS341" s="288" t="s">
        <v>598</v>
      </c>
      <c r="PGT341" s="288" t="s">
        <v>598</v>
      </c>
      <c r="PGU341" s="288" t="s">
        <v>598</v>
      </c>
      <c r="PGV341" s="288" t="s">
        <v>598</v>
      </c>
      <c r="PGW341" s="288" t="s">
        <v>598</v>
      </c>
      <c r="PGX341" s="288" t="s">
        <v>598</v>
      </c>
      <c r="PGY341" s="288" t="s">
        <v>598</v>
      </c>
      <c r="PGZ341" s="288" t="s">
        <v>598</v>
      </c>
      <c r="PHA341" s="288" t="s">
        <v>598</v>
      </c>
      <c r="PHB341" s="288" t="s">
        <v>598</v>
      </c>
      <c r="PHC341" s="288" t="s">
        <v>598</v>
      </c>
      <c r="PHD341" s="288" t="s">
        <v>598</v>
      </c>
      <c r="PHE341" s="288" t="s">
        <v>598</v>
      </c>
      <c r="PHF341" s="288" t="s">
        <v>598</v>
      </c>
      <c r="PHG341" s="288" t="s">
        <v>598</v>
      </c>
      <c r="PHH341" s="288" t="s">
        <v>598</v>
      </c>
      <c r="PHI341" s="288" t="s">
        <v>598</v>
      </c>
      <c r="PHJ341" s="288" t="s">
        <v>598</v>
      </c>
      <c r="PHK341" s="288" t="s">
        <v>598</v>
      </c>
      <c r="PHL341" s="288" t="s">
        <v>598</v>
      </c>
      <c r="PHM341" s="288" t="s">
        <v>598</v>
      </c>
      <c r="PHN341" s="288" t="s">
        <v>598</v>
      </c>
      <c r="PHO341" s="288" t="s">
        <v>598</v>
      </c>
      <c r="PHP341" s="288" t="s">
        <v>598</v>
      </c>
      <c r="PHQ341" s="288" t="s">
        <v>598</v>
      </c>
      <c r="PHR341" s="288" t="s">
        <v>598</v>
      </c>
      <c r="PHS341" s="288" t="s">
        <v>598</v>
      </c>
      <c r="PHT341" s="288" t="s">
        <v>598</v>
      </c>
      <c r="PHU341" s="288" t="s">
        <v>598</v>
      </c>
      <c r="PHV341" s="288" t="s">
        <v>598</v>
      </c>
      <c r="PHW341" s="288" t="s">
        <v>598</v>
      </c>
      <c r="PHX341" s="288" t="s">
        <v>598</v>
      </c>
      <c r="PHY341" s="288" t="s">
        <v>598</v>
      </c>
      <c r="PHZ341" s="288" t="s">
        <v>598</v>
      </c>
      <c r="PIA341" s="288" t="s">
        <v>598</v>
      </c>
      <c r="PIB341" s="288" t="s">
        <v>598</v>
      </c>
      <c r="PIC341" s="288" t="s">
        <v>598</v>
      </c>
      <c r="PID341" s="288" t="s">
        <v>598</v>
      </c>
      <c r="PIE341" s="288" t="s">
        <v>598</v>
      </c>
      <c r="PIF341" s="288" t="s">
        <v>598</v>
      </c>
      <c r="PIG341" s="288" t="s">
        <v>598</v>
      </c>
      <c r="PIH341" s="288" t="s">
        <v>598</v>
      </c>
      <c r="PII341" s="288" t="s">
        <v>598</v>
      </c>
      <c r="PIJ341" s="288" t="s">
        <v>598</v>
      </c>
      <c r="PIK341" s="288" t="s">
        <v>598</v>
      </c>
      <c r="PIL341" s="288" t="s">
        <v>598</v>
      </c>
      <c r="PIM341" s="288" t="s">
        <v>598</v>
      </c>
      <c r="PIN341" s="288" t="s">
        <v>598</v>
      </c>
      <c r="PIO341" s="288" t="s">
        <v>598</v>
      </c>
      <c r="PIP341" s="288" t="s">
        <v>598</v>
      </c>
      <c r="PIQ341" s="288" t="s">
        <v>598</v>
      </c>
      <c r="PIR341" s="288" t="s">
        <v>598</v>
      </c>
      <c r="PIS341" s="288" t="s">
        <v>598</v>
      </c>
      <c r="PIT341" s="288" t="s">
        <v>598</v>
      </c>
      <c r="PIU341" s="288" t="s">
        <v>598</v>
      </c>
      <c r="PIV341" s="288" t="s">
        <v>598</v>
      </c>
      <c r="PIW341" s="288" t="s">
        <v>598</v>
      </c>
      <c r="PIX341" s="288" t="s">
        <v>598</v>
      </c>
      <c r="PIY341" s="288" t="s">
        <v>598</v>
      </c>
      <c r="PIZ341" s="288" t="s">
        <v>598</v>
      </c>
      <c r="PJA341" s="288" t="s">
        <v>598</v>
      </c>
      <c r="PJB341" s="288" t="s">
        <v>598</v>
      </c>
      <c r="PJC341" s="288" t="s">
        <v>598</v>
      </c>
      <c r="PJD341" s="288" t="s">
        <v>598</v>
      </c>
      <c r="PJE341" s="288" t="s">
        <v>598</v>
      </c>
      <c r="PJF341" s="288" t="s">
        <v>598</v>
      </c>
      <c r="PJG341" s="288" t="s">
        <v>598</v>
      </c>
      <c r="PJH341" s="288" t="s">
        <v>598</v>
      </c>
      <c r="PJI341" s="288" t="s">
        <v>598</v>
      </c>
      <c r="PJJ341" s="288" t="s">
        <v>598</v>
      </c>
      <c r="PJK341" s="288" t="s">
        <v>598</v>
      </c>
      <c r="PJL341" s="288" t="s">
        <v>598</v>
      </c>
      <c r="PJM341" s="288" t="s">
        <v>598</v>
      </c>
      <c r="PJN341" s="288" t="s">
        <v>598</v>
      </c>
      <c r="PJO341" s="288" t="s">
        <v>598</v>
      </c>
      <c r="PJP341" s="288" t="s">
        <v>598</v>
      </c>
      <c r="PJQ341" s="288" t="s">
        <v>598</v>
      </c>
      <c r="PJR341" s="288" t="s">
        <v>598</v>
      </c>
      <c r="PJS341" s="288" t="s">
        <v>598</v>
      </c>
      <c r="PJT341" s="288" t="s">
        <v>598</v>
      </c>
      <c r="PJU341" s="288" t="s">
        <v>598</v>
      </c>
      <c r="PJV341" s="288" t="s">
        <v>598</v>
      </c>
      <c r="PJW341" s="288" t="s">
        <v>598</v>
      </c>
      <c r="PJX341" s="288" t="s">
        <v>598</v>
      </c>
      <c r="PJY341" s="288" t="s">
        <v>598</v>
      </c>
      <c r="PJZ341" s="288" t="s">
        <v>598</v>
      </c>
      <c r="PKA341" s="288" t="s">
        <v>598</v>
      </c>
      <c r="PKB341" s="288" t="s">
        <v>598</v>
      </c>
      <c r="PKC341" s="288" t="s">
        <v>598</v>
      </c>
      <c r="PKD341" s="288" t="s">
        <v>598</v>
      </c>
      <c r="PKE341" s="288" t="s">
        <v>598</v>
      </c>
      <c r="PKF341" s="288" t="s">
        <v>598</v>
      </c>
      <c r="PKG341" s="288" t="s">
        <v>598</v>
      </c>
      <c r="PKH341" s="288" t="s">
        <v>598</v>
      </c>
      <c r="PKI341" s="288" t="s">
        <v>598</v>
      </c>
      <c r="PKJ341" s="288" t="s">
        <v>598</v>
      </c>
      <c r="PKK341" s="288" t="s">
        <v>598</v>
      </c>
      <c r="PKL341" s="288" t="s">
        <v>598</v>
      </c>
      <c r="PKM341" s="288" t="s">
        <v>598</v>
      </c>
      <c r="PKN341" s="288" t="s">
        <v>598</v>
      </c>
      <c r="PKO341" s="288" t="s">
        <v>598</v>
      </c>
      <c r="PKP341" s="288" t="s">
        <v>598</v>
      </c>
      <c r="PKQ341" s="288" t="s">
        <v>598</v>
      </c>
      <c r="PKR341" s="288" t="s">
        <v>598</v>
      </c>
      <c r="PKS341" s="288" t="s">
        <v>598</v>
      </c>
      <c r="PKT341" s="288" t="s">
        <v>598</v>
      </c>
      <c r="PKU341" s="288" t="s">
        <v>598</v>
      </c>
      <c r="PKV341" s="288" t="s">
        <v>598</v>
      </c>
      <c r="PKW341" s="288" t="s">
        <v>598</v>
      </c>
      <c r="PKX341" s="288" t="s">
        <v>598</v>
      </c>
      <c r="PKY341" s="288" t="s">
        <v>598</v>
      </c>
      <c r="PKZ341" s="288" t="s">
        <v>598</v>
      </c>
      <c r="PLA341" s="288" t="s">
        <v>598</v>
      </c>
      <c r="PLB341" s="288" t="s">
        <v>598</v>
      </c>
      <c r="PLC341" s="288" t="s">
        <v>598</v>
      </c>
      <c r="PLD341" s="288" t="s">
        <v>598</v>
      </c>
      <c r="PLE341" s="288" t="s">
        <v>598</v>
      </c>
      <c r="PLF341" s="288" t="s">
        <v>598</v>
      </c>
      <c r="PLG341" s="288" t="s">
        <v>598</v>
      </c>
      <c r="PLH341" s="288" t="s">
        <v>598</v>
      </c>
      <c r="PLI341" s="288" t="s">
        <v>598</v>
      </c>
      <c r="PLJ341" s="288" t="s">
        <v>598</v>
      </c>
      <c r="PLK341" s="288" t="s">
        <v>598</v>
      </c>
      <c r="PLL341" s="288" t="s">
        <v>598</v>
      </c>
      <c r="PLM341" s="288" t="s">
        <v>598</v>
      </c>
      <c r="PLN341" s="288" t="s">
        <v>598</v>
      </c>
      <c r="PLO341" s="288" t="s">
        <v>598</v>
      </c>
      <c r="PLP341" s="288" t="s">
        <v>598</v>
      </c>
      <c r="PLQ341" s="288" t="s">
        <v>598</v>
      </c>
      <c r="PLR341" s="288" t="s">
        <v>598</v>
      </c>
      <c r="PLS341" s="288" t="s">
        <v>598</v>
      </c>
      <c r="PLT341" s="288" t="s">
        <v>598</v>
      </c>
      <c r="PLU341" s="288" t="s">
        <v>598</v>
      </c>
      <c r="PLV341" s="288" t="s">
        <v>598</v>
      </c>
      <c r="PLW341" s="288" t="s">
        <v>598</v>
      </c>
      <c r="PLX341" s="288" t="s">
        <v>598</v>
      </c>
      <c r="PLY341" s="288" t="s">
        <v>598</v>
      </c>
      <c r="PLZ341" s="288" t="s">
        <v>598</v>
      </c>
      <c r="PMA341" s="288" t="s">
        <v>598</v>
      </c>
      <c r="PMB341" s="288" t="s">
        <v>598</v>
      </c>
      <c r="PMC341" s="288" t="s">
        <v>598</v>
      </c>
      <c r="PMD341" s="288" t="s">
        <v>598</v>
      </c>
      <c r="PME341" s="288" t="s">
        <v>598</v>
      </c>
      <c r="PMF341" s="288" t="s">
        <v>598</v>
      </c>
      <c r="PMG341" s="288" t="s">
        <v>598</v>
      </c>
      <c r="PMH341" s="288" t="s">
        <v>598</v>
      </c>
      <c r="PMI341" s="288" t="s">
        <v>598</v>
      </c>
      <c r="PMJ341" s="288" t="s">
        <v>598</v>
      </c>
      <c r="PMK341" s="288" t="s">
        <v>598</v>
      </c>
      <c r="PML341" s="288" t="s">
        <v>598</v>
      </c>
      <c r="PMM341" s="288" t="s">
        <v>598</v>
      </c>
      <c r="PMN341" s="288" t="s">
        <v>598</v>
      </c>
      <c r="PMO341" s="288" t="s">
        <v>598</v>
      </c>
      <c r="PMP341" s="288" t="s">
        <v>598</v>
      </c>
      <c r="PMQ341" s="288" t="s">
        <v>598</v>
      </c>
      <c r="PMR341" s="288" t="s">
        <v>598</v>
      </c>
      <c r="PMS341" s="288" t="s">
        <v>598</v>
      </c>
      <c r="PMT341" s="288" t="s">
        <v>598</v>
      </c>
      <c r="PMU341" s="288" t="s">
        <v>598</v>
      </c>
      <c r="PMV341" s="288" t="s">
        <v>598</v>
      </c>
      <c r="PMW341" s="288" t="s">
        <v>598</v>
      </c>
      <c r="PMX341" s="288" t="s">
        <v>598</v>
      </c>
      <c r="PMY341" s="288" t="s">
        <v>598</v>
      </c>
      <c r="PMZ341" s="288" t="s">
        <v>598</v>
      </c>
      <c r="PNA341" s="288" t="s">
        <v>598</v>
      </c>
      <c r="PNB341" s="288" t="s">
        <v>598</v>
      </c>
      <c r="PNC341" s="288" t="s">
        <v>598</v>
      </c>
      <c r="PND341" s="288" t="s">
        <v>598</v>
      </c>
      <c r="PNE341" s="288" t="s">
        <v>598</v>
      </c>
      <c r="PNF341" s="288" t="s">
        <v>598</v>
      </c>
      <c r="PNG341" s="288" t="s">
        <v>598</v>
      </c>
      <c r="PNH341" s="288" t="s">
        <v>598</v>
      </c>
      <c r="PNI341" s="288" t="s">
        <v>598</v>
      </c>
      <c r="PNJ341" s="288" t="s">
        <v>598</v>
      </c>
      <c r="PNK341" s="288" t="s">
        <v>598</v>
      </c>
      <c r="PNL341" s="288" t="s">
        <v>598</v>
      </c>
      <c r="PNM341" s="288" t="s">
        <v>598</v>
      </c>
      <c r="PNN341" s="288" t="s">
        <v>598</v>
      </c>
      <c r="PNO341" s="288" t="s">
        <v>598</v>
      </c>
      <c r="PNP341" s="288" t="s">
        <v>598</v>
      </c>
      <c r="PNQ341" s="288" t="s">
        <v>598</v>
      </c>
      <c r="PNR341" s="288" t="s">
        <v>598</v>
      </c>
      <c r="PNS341" s="288" t="s">
        <v>598</v>
      </c>
      <c r="PNT341" s="288" t="s">
        <v>598</v>
      </c>
      <c r="PNU341" s="288" t="s">
        <v>598</v>
      </c>
      <c r="PNV341" s="288" t="s">
        <v>598</v>
      </c>
      <c r="PNW341" s="288" t="s">
        <v>598</v>
      </c>
      <c r="PNX341" s="288" t="s">
        <v>598</v>
      </c>
      <c r="PNY341" s="288" t="s">
        <v>598</v>
      </c>
      <c r="PNZ341" s="288" t="s">
        <v>598</v>
      </c>
      <c r="POA341" s="288" t="s">
        <v>598</v>
      </c>
      <c r="POB341" s="288" t="s">
        <v>598</v>
      </c>
      <c r="POC341" s="288" t="s">
        <v>598</v>
      </c>
      <c r="POD341" s="288" t="s">
        <v>598</v>
      </c>
      <c r="POE341" s="288" t="s">
        <v>598</v>
      </c>
      <c r="POF341" s="288" t="s">
        <v>598</v>
      </c>
      <c r="POG341" s="288" t="s">
        <v>598</v>
      </c>
      <c r="POH341" s="288" t="s">
        <v>598</v>
      </c>
      <c r="POI341" s="288" t="s">
        <v>598</v>
      </c>
      <c r="POJ341" s="288" t="s">
        <v>598</v>
      </c>
      <c r="POK341" s="288" t="s">
        <v>598</v>
      </c>
      <c r="POL341" s="288" t="s">
        <v>598</v>
      </c>
      <c r="POM341" s="288" t="s">
        <v>598</v>
      </c>
      <c r="PON341" s="288" t="s">
        <v>598</v>
      </c>
      <c r="POO341" s="288" t="s">
        <v>598</v>
      </c>
      <c r="POP341" s="288" t="s">
        <v>598</v>
      </c>
      <c r="POQ341" s="288" t="s">
        <v>598</v>
      </c>
      <c r="POR341" s="288" t="s">
        <v>598</v>
      </c>
      <c r="POS341" s="288" t="s">
        <v>598</v>
      </c>
      <c r="POT341" s="288" t="s">
        <v>598</v>
      </c>
      <c r="POU341" s="288" t="s">
        <v>598</v>
      </c>
      <c r="POV341" s="288" t="s">
        <v>598</v>
      </c>
      <c r="POW341" s="288" t="s">
        <v>598</v>
      </c>
      <c r="POX341" s="288" t="s">
        <v>598</v>
      </c>
      <c r="POY341" s="288" t="s">
        <v>598</v>
      </c>
      <c r="POZ341" s="288" t="s">
        <v>598</v>
      </c>
      <c r="PPA341" s="288" t="s">
        <v>598</v>
      </c>
      <c r="PPB341" s="288" t="s">
        <v>598</v>
      </c>
      <c r="PPC341" s="288" t="s">
        <v>598</v>
      </c>
      <c r="PPD341" s="288" t="s">
        <v>598</v>
      </c>
      <c r="PPE341" s="288" t="s">
        <v>598</v>
      </c>
      <c r="PPF341" s="288" t="s">
        <v>598</v>
      </c>
      <c r="PPG341" s="288" t="s">
        <v>598</v>
      </c>
      <c r="PPH341" s="288" t="s">
        <v>598</v>
      </c>
      <c r="PPI341" s="288" t="s">
        <v>598</v>
      </c>
      <c r="PPJ341" s="288" t="s">
        <v>598</v>
      </c>
      <c r="PPK341" s="288" t="s">
        <v>598</v>
      </c>
      <c r="PPL341" s="288" t="s">
        <v>598</v>
      </c>
      <c r="PPM341" s="288" t="s">
        <v>598</v>
      </c>
      <c r="PPN341" s="288" t="s">
        <v>598</v>
      </c>
      <c r="PPO341" s="288" t="s">
        <v>598</v>
      </c>
      <c r="PPP341" s="288" t="s">
        <v>598</v>
      </c>
      <c r="PPQ341" s="288" t="s">
        <v>598</v>
      </c>
      <c r="PPR341" s="288" t="s">
        <v>598</v>
      </c>
      <c r="PPS341" s="288" t="s">
        <v>598</v>
      </c>
      <c r="PPT341" s="288" t="s">
        <v>598</v>
      </c>
      <c r="PPU341" s="288" t="s">
        <v>598</v>
      </c>
      <c r="PPV341" s="288" t="s">
        <v>598</v>
      </c>
      <c r="PPW341" s="288" t="s">
        <v>598</v>
      </c>
      <c r="PPX341" s="288" t="s">
        <v>598</v>
      </c>
      <c r="PPY341" s="288" t="s">
        <v>598</v>
      </c>
      <c r="PPZ341" s="288" t="s">
        <v>598</v>
      </c>
      <c r="PQA341" s="288" t="s">
        <v>598</v>
      </c>
      <c r="PQB341" s="288" t="s">
        <v>598</v>
      </c>
      <c r="PQC341" s="288" t="s">
        <v>598</v>
      </c>
      <c r="PQD341" s="288" t="s">
        <v>598</v>
      </c>
      <c r="PQE341" s="288" t="s">
        <v>598</v>
      </c>
      <c r="PQF341" s="288" t="s">
        <v>598</v>
      </c>
      <c r="PQG341" s="288" t="s">
        <v>598</v>
      </c>
      <c r="PQH341" s="288" t="s">
        <v>598</v>
      </c>
      <c r="PQI341" s="288" t="s">
        <v>598</v>
      </c>
      <c r="PQJ341" s="288" t="s">
        <v>598</v>
      </c>
      <c r="PQK341" s="288" t="s">
        <v>598</v>
      </c>
      <c r="PQL341" s="288" t="s">
        <v>598</v>
      </c>
      <c r="PQM341" s="288" t="s">
        <v>598</v>
      </c>
      <c r="PQN341" s="288" t="s">
        <v>598</v>
      </c>
      <c r="PQO341" s="288" t="s">
        <v>598</v>
      </c>
      <c r="PQP341" s="288" t="s">
        <v>598</v>
      </c>
      <c r="PQQ341" s="288" t="s">
        <v>598</v>
      </c>
      <c r="PQR341" s="288" t="s">
        <v>598</v>
      </c>
      <c r="PQS341" s="288" t="s">
        <v>598</v>
      </c>
      <c r="PQT341" s="288" t="s">
        <v>598</v>
      </c>
      <c r="PQU341" s="288" t="s">
        <v>598</v>
      </c>
      <c r="PQV341" s="288" t="s">
        <v>598</v>
      </c>
      <c r="PQW341" s="288" t="s">
        <v>598</v>
      </c>
      <c r="PQX341" s="288" t="s">
        <v>598</v>
      </c>
      <c r="PQY341" s="288" t="s">
        <v>598</v>
      </c>
      <c r="PQZ341" s="288" t="s">
        <v>598</v>
      </c>
      <c r="PRA341" s="288" t="s">
        <v>598</v>
      </c>
      <c r="PRB341" s="288" t="s">
        <v>598</v>
      </c>
      <c r="PRC341" s="288" t="s">
        <v>598</v>
      </c>
      <c r="PRD341" s="288" t="s">
        <v>598</v>
      </c>
      <c r="PRE341" s="288" t="s">
        <v>598</v>
      </c>
      <c r="PRF341" s="288" t="s">
        <v>598</v>
      </c>
      <c r="PRG341" s="288" t="s">
        <v>598</v>
      </c>
      <c r="PRH341" s="288" t="s">
        <v>598</v>
      </c>
      <c r="PRI341" s="288" t="s">
        <v>598</v>
      </c>
      <c r="PRJ341" s="288" t="s">
        <v>598</v>
      </c>
      <c r="PRK341" s="288" t="s">
        <v>598</v>
      </c>
      <c r="PRL341" s="288" t="s">
        <v>598</v>
      </c>
      <c r="PRM341" s="288" t="s">
        <v>598</v>
      </c>
      <c r="PRN341" s="288" t="s">
        <v>598</v>
      </c>
      <c r="PRO341" s="288" t="s">
        <v>598</v>
      </c>
      <c r="PRP341" s="288" t="s">
        <v>598</v>
      </c>
      <c r="PRQ341" s="288" t="s">
        <v>598</v>
      </c>
      <c r="PRR341" s="288" t="s">
        <v>598</v>
      </c>
      <c r="PRS341" s="288" t="s">
        <v>598</v>
      </c>
      <c r="PRT341" s="288" t="s">
        <v>598</v>
      </c>
      <c r="PRU341" s="288" t="s">
        <v>598</v>
      </c>
      <c r="PRV341" s="288" t="s">
        <v>598</v>
      </c>
      <c r="PRW341" s="288" t="s">
        <v>598</v>
      </c>
      <c r="PRX341" s="288" t="s">
        <v>598</v>
      </c>
      <c r="PRY341" s="288" t="s">
        <v>598</v>
      </c>
      <c r="PRZ341" s="288" t="s">
        <v>598</v>
      </c>
      <c r="PSA341" s="288" t="s">
        <v>598</v>
      </c>
      <c r="PSB341" s="288" t="s">
        <v>598</v>
      </c>
      <c r="PSC341" s="288" t="s">
        <v>598</v>
      </c>
      <c r="PSD341" s="288" t="s">
        <v>598</v>
      </c>
      <c r="PSE341" s="288" t="s">
        <v>598</v>
      </c>
      <c r="PSF341" s="288" t="s">
        <v>598</v>
      </c>
      <c r="PSG341" s="288" t="s">
        <v>598</v>
      </c>
      <c r="PSH341" s="288" t="s">
        <v>598</v>
      </c>
      <c r="PSI341" s="288" t="s">
        <v>598</v>
      </c>
      <c r="PSJ341" s="288" t="s">
        <v>598</v>
      </c>
      <c r="PSK341" s="288" t="s">
        <v>598</v>
      </c>
      <c r="PSL341" s="288" t="s">
        <v>598</v>
      </c>
      <c r="PSM341" s="288" t="s">
        <v>598</v>
      </c>
      <c r="PSN341" s="288" t="s">
        <v>598</v>
      </c>
      <c r="PSO341" s="288" t="s">
        <v>598</v>
      </c>
      <c r="PSP341" s="288" t="s">
        <v>598</v>
      </c>
      <c r="PSQ341" s="288" t="s">
        <v>598</v>
      </c>
      <c r="PSR341" s="288" t="s">
        <v>598</v>
      </c>
      <c r="PSS341" s="288" t="s">
        <v>598</v>
      </c>
      <c r="PST341" s="288" t="s">
        <v>598</v>
      </c>
      <c r="PSU341" s="288" t="s">
        <v>598</v>
      </c>
      <c r="PSV341" s="288" t="s">
        <v>598</v>
      </c>
      <c r="PSW341" s="288" t="s">
        <v>598</v>
      </c>
      <c r="PSX341" s="288" t="s">
        <v>598</v>
      </c>
      <c r="PSY341" s="288" t="s">
        <v>598</v>
      </c>
      <c r="PSZ341" s="288" t="s">
        <v>598</v>
      </c>
      <c r="PTA341" s="288" t="s">
        <v>598</v>
      </c>
      <c r="PTB341" s="288" t="s">
        <v>598</v>
      </c>
      <c r="PTC341" s="288" t="s">
        <v>598</v>
      </c>
      <c r="PTD341" s="288" t="s">
        <v>598</v>
      </c>
      <c r="PTE341" s="288" t="s">
        <v>598</v>
      </c>
      <c r="PTF341" s="288" t="s">
        <v>598</v>
      </c>
      <c r="PTG341" s="288" t="s">
        <v>598</v>
      </c>
      <c r="PTH341" s="288" t="s">
        <v>598</v>
      </c>
      <c r="PTI341" s="288" t="s">
        <v>598</v>
      </c>
      <c r="PTJ341" s="288" t="s">
        <v>598</v>
      </c>
      <c r="PTK341" s="288" t="s">
        <v>598</v>
      </c>
      <c r="PTL341" s="288" t="s">
        <v>598</v>
      </c>
      <c r="PTM341" s="288" t="s">
        <v>598</v>
      </c>
      <c r="PTN341" s="288" t="s">
        <v>598</v>
      </c>
      <c r="PTO341" s="288" t="s">
        <v>598</v>
      </c>
      <c r="PTP341" s="288" t="s">
        <v>598</v>
      </c>
      <c r="PTQ341" s="288" t="s">
        <v>598</v>
      </c>
      <c r="PTR341" s="288" t="s">
        <v>598</v>
      </c>
      <c r="PTS341" s="288" t="s">
        <v>598</v>
      </c>
      <c r="PTT341" s="288" t="s">
        <v>598</v>
      </c>
      <c r="PTU341" s="288" t="s">
        <v>598</v>
      </c>
      <c r="PTV341" s="288" t="s">
        <v>598</v>
      </c>
      <c r="PTW341" s="288" t="s">
        <v>598</v>
      </c>
      <c r="PTX341" s="288" t="s">
        <v>598</v>
      </c>
      <c r="PTY341" s="288" t="s">
        <v>598</v>
      </c>
      <c r="PTZ341" s="288" t="s">
        <v>598</v>
      </c>
      <c r="PUA341" s="288" t="s">
        <v>598</v>
      </c>
      <c r="PUB341" s="288" t="s">
        <v>598</v>
      </c>
      <c r="PUC341" s="288" t="s">
        <v>598</v>
      </c>
      <c r="PUD341" s="288" t="s">
        <v>598</v>
      </c>
      <c r="PUE341" s="288" t="s">
        <v>598</v>
      </c>
      <c r="PUF341" s="288" t="s">
        <v>598</v>
      </c>
      <c r="PUG341" s="288" t="s">
        <v>598</v>
      </c>
      <c r="PUH341" s="288" t="s">
        <v>598</v>
      </c>
      <c r="PUI341" s="288" t="s">
        <v>598</v>
      </c>
      <c r="PUJ341" s="288" t="s">
        <v>598</v>
      </c>
      <c r="PUK341" s="288" t="s">
        <v>598</v>
      </c>
      <c r="PUL341" s="288" t="s">
        <v>598</v>
      </c>
      <c r="PUM341" s="288" t="s">
        <v>598</v>
      </c>
      <c r="PUN341" s="288" t="s">
        <v>598</v>
      </c>
      <c r="PUO341" s="288" t="s">
        <v>598</v>
      </c>
      <c r="PUP341" s="288" t="s">
        <v>598</v>
      </c>
      <c r="PUQ341" s="288" t="s">
        <v>598</v>
      </c>
      <c r="PUR341" s="288" t="s">
        <v>598</v>
      </c>
      <c r="PUS341" s="288" t="s">
        <v>598</v>
      </c>
      <c r="PUT341" s="288" t="s">
        <v>598</v>
      </c>
      <c r="PUU341" s="288" t="s">
        <v>598</v>
      </c>
      <c r="PUV341" s="288" t="s">
        <v>598</v>
      </c>
      <c r="PUW341" s="288" t="s">
        <v>598</v>
      </c>
      <c r="PUX341" s="288" t="s">
        <v>598</v>
      </c>
      <c r="PUY341" s="288" t="s">
        <v>598</v>
      </c>
      <c r="PUZ341" s="288" t="s">
        <v>598</v>
      </c>
      <c r="PVA341" s="288" t="s">
        <v>598</v>
      </c>
      <c r="PVB341" s="288" t="s">
        <v>598</v>
      </c>
      <c r="PVC341" s="288" t="s">
        <v>598</v>
      </c>
      <c r="PVD341" s="288" t="s">
        <v>598</v>
      </c>
      <c r="PVE341" s="288" t="s">
        <v>598</v>
      </c>
      <c r="PVF341" s="288" t="s">
        <v>598</v>
      </c>
      <c r="PVG341" s="288" t="s">
        <v>598</v>
      </c>
      <c r="PVH341" s="288" t="s">
        <v>598</v>
      </c>
      <c r="PVI341" s="288" t="s">
        <v>598</v>
      </c>
      <c r="PVJ341" s="288" t="s">
        <v>598</v>
      </c>
      <c r="PVK341" s="288" t="s">
        <v>598</v>
      </c>
      <c r="PVL341" s="288" t="s">
        <v>598</v>
      </c>
      <c r="PVM341" s="288" t="s">
        <v>598</v>
      </c>
      <c r="PVN341" s="288" t="s">
        <v>598</v>
      </c>
      <c r="PVO341" s="288" t="s">
        <v>598</v>
      </c>
      <c r="PVP341" s="288" t="s">
        <v>598</v>
      </c>
      <c r="PVQ341" s="288" t="s">
        <v>598</v>
      </c>
      <c r="PVR341" s="288" t="s">
        <v>598</v>
      </c>
      <c r="PVS341" s="288" t="s">
        <v>598</v>
      </c>
      <c r="PVT341" s="288" t="s">
        <v>598</v>
      </c>
      <c r="PVU341" s="288" t="s">
        <v>598</v>
      </c>
      <c r="PVV341" s="288" t="s">
        <v>598</v>
      </c>
      <c r="PVW341" s="288" t="s">
        <v>598</v>
      </c>
      <c r="PVX341" s="288" t="s">
        <v>598</v>
      </c>
      <c r="PVY341" s="288" t="s">
        <v>598</v>
      </c>
      <c r="PVZ341" s="288" t="s">
        <v>598</v>
      </c>
      <c r="PWA341" s="288" t="s">
        <v>598</v>
      </c>
      <c r="PWB341" s="288" t="s">
        <v>598</v>
      </c>
      <c r="PWC341" s="288" t="s">
        <v>598</v>
      </c>
      <c r="PWD341" s="288" t="s">
        <v>598</v>
      </c>
      <c r="PWE341" s="288" t="s">
        <v>598</v>
      </c>
      <c r="PWF341" s="288" t="s">
        <v>598</v>
      </c>
      <c r="PWG341" s="288" t="s">
        <v>598</v>
      </c>
      <c r="PWH341" s="288" t="s">
        <v>598</v>
      </c>
      <c r="PWI341" s="288" t="s">
        <v>598</v>
      </c>
      <c r="PWJ341" s="288" t="s">
        <v>598</v>
      </c>
      <c r="PWK341" s="288" t="s">
        <v>598</v>
      </c>
      <c r="PWL341" s="288" t="s">
        <v>598</v>
      </c>
      <c r="PWM341" s="288" t="s">
        <v>598</v>
      </c>
      <c r="PWN341" s="288" t="s">
        <v>598</v>
      </c>
      <c r="PWO341" s="288" t="s">
        <v>598</v>
      </c>
      <c r="PWP341" s="288" t="s">
        <v>598</v>
      </c>
      <c r="PWQ341" s="288" t="s">
        <v>598</v>
      </c>
      <c r="PWR341" s="288" t="s">
        <v>598</v>
      </c>
      <c r="PWS341" s="288" t="s">
        <v>598</v>
      </c>
      <c r="PWT341" s="288" t="s">
        <v>598</v>
      </c>
      <c r="PWU341" s="288" t="s">
        <v>598</v>
      </c>
      <c r="PWV341" s="288" t="s">
        <v>598</v>
      </c>
      <c r="PWW341" s="288" t="s">
        <v>598</v>
      </c>
      <c r="PWX341" s="288" t="s">
        <v>598</v>
      </c>
      <c r="PWY341" s="288" t="s">
        <v>598</v>
      </c>
      <c r="PWZ341" s="288" t="s">
        <v>598</v>
      </c>
      <c r="PXA341" s="288" t="s">
        <v>598</v>
      </c>
      <c r="PXB341" s="288" t="s">
        <v>598</v>
      </c>
      <c r="PXC341" s="288" t="s">
        <v>598</v>
      </c>
      <c r="PXD341" s="288" t="s">
        <v>598</v>
      </c>
      <c r="PXE341" s="288" t="s">
        <v>598</v>
      </c>
      <c r="PXF341" s="288" t="s">
        <v>598</v>
      </c>
      <c r="PXG341" s="288" t="s">
        <v>598</v>
      </c>
      <c r="PXH341" s="288" t="s">
        <v>598</v>
      </c>
      <c r="PXI341" s="288" t="s">
        <v>598</v>
      </c>
      <c r="PXJ341" s="288" t="s">
        <v>598</v>
      </c>
      <c r="PXK341" s="288" t="s">
        <v>598</v>
      </c>
      <c r="PXL341" s="288" t="s">
        <v>598</v>
      </c>
      <c r="PXM341" s="288" t="s">
        <v>598</v>
      </c>
      <c r="PXN341" s="288" t="s">
        <v>598</v>
      </c>
      <c r="PXO341" s="288" t="s">
        <v>598</v>
      </c>
      <c r="PXP341" s="288" t="s">
        <v>598</v>
      </c>
      <c r="PXQ341" s="288" t="s">
        <v>598</v>
      </c>
      <c r="PXR341" s="288" t="s">
        <v>598</v>
      </c>
      <c r="PXS341" s="288" t="s">
        <v>598</v>
      </c>
      <c r="PXT341" s="288" t="s">
        <v>598</v>
      </c>
      <c r="PXU341" s="288" t="s">
        <v>598</v>
      </c>
      <c r="PXV341" s="288" t="s">
        <v>598</v>
      </c>
      <c r="PXW341" s="288" t="s">
        <v>598</v>
      </c>
      <c r="PXX341" s="288" t="s">
        <v>598</v>
      </c>
      <c r="PXY341" s="288" t="s">
        <v>598</v>
      </c>
      <c r="PXZ341" s="288" t="s">
        <v>598</v>
      </c>
      <c r="PYA341" s="288" t="s">
        <v>598</v>
      </c>
      <c r="PYB341" s="288" t="s">
        <v>598</v>
      </c>
      <c r="PYC341" s="288" t="s">
        <v>598</v>
      </c>
      <c r="PYD341" s="288" t="s">
        <v>598</v>
      </c>
      <c r="PYE341" s="288" t="s">
        <v>598</v>
      </c>
      <c r="PYF341" s="288" t="s">
        <v>598</v>
      </c>
      <c r="PYG341" s="288" t="s">
        <v>598</v>
      </c>
      <c r="PYH341" s="288" t="s">
        <v>598</v>
      </c>
      <c r="PYI341" s="288" t="s">
        <v>598</v>
      </c>
      <c r="PYJ341" s="288" t="s">
        <v>598</v>
      </c>
      <c r="PYK341" s="288" t="s">
        <v>598</v>
      </c>
      <c r="PYL341" s="288" t="s">
        <v>598</v>
      </c>
      <c r="PYM341" s="288" t="s">
        <v>598</v>
      </c>
      <c r="PYN341" s="288" t="s">
        <v>598</v>
      </c>
      <c r="PYO341" s="288" t="s">
        <v>598</v>
      </c>
      <c r="PYP341" s="288" t="s">
        <v>598</v>
      </c>
      <c r="PYQ341" s="288" t="s">
        <v>598</v>
      </c>
      <c r="PYR341" s="288" t="s">
        <v>598</v>
      </c>
      <c r="PYS341" s="288" t="s">
        <v>598</v>
      </c>
      <c r="PYT341" s="288" t="s">
        <v>598</v>
      </c>
      <c r="PYU341" s="288" t="s">
        <v>598</v>
      </c>
      <c r="PYV341" s="288" t="s">
        <v>598</v>
      </c>
      <c r="PYW341" s="288" t="s">
        <v>598</v>
      </c>
      <c r="PYX341" s="288" t="s">
        <v>598</v>
      </c>
      <c r="PYY341" s="288" t="s">
        <v>598</v>
      </c>
      <c r="PYZ341" s="288" t="s">
        <v>598</v>
      </c>
      <c r="PZA341" s="288" t="s">
        <v>598</v>
      </c>
      <c r="PZB341" s="288" t="s">
        <v>598</v>
      </c>
      <c r="PZC341" s="288" t="s">
        <v>598</v>
      </c>
      <c r="PZD341" s="288" t="s">
        <v>598</v>
      </c>
      <c r="PZE341" s="288" t="s">
        <v>598</v>
      </c>
      <c r="PZF341" s="288" t="s">
        <v>598</v>
      </c>
      <c r="PZG341" s="288" t="s">
        <v>598</v>
      </c>
      <c r="PZH341" s="288" t="s">
        <v>598</v>
      </c>
      <c r="PZI341" s="288" t="s">
        <v>598</v>
      </c>
      <c r="PZJ341" s="288" t="s">
        <v>598</v>
      </c>
      <c r="PZK341" s="288" t="s">
        <v>598</v>
      </c>
      <c r="PZL341" s="288" t="s">
        <v>598</v>
      </c>
      <c r="PZM341" s="288" t="s">
        <v>598</v>
      </c>
      <c r="PZN341" s="288" t="s">
        <v>598</v>
      </c>
      <c r="PZO341" s="288" t="s">
        <v>598</v>
      </c>
      <c r="PZP341" s="288" t="s">
        <v>598</v>
      </c>
      <c r="PZQ341" s="288" t="s">
        <v>598</v>
      </c>
      <c r="PZR341" s="288" t="s">
        <v>598</v>
      </c>
      <c r="PZS341" s="288" t="s">
        <v>598</v>
      </c>
      <c r="PZT341" s="288" t="s">
        <v>598</v>
      </c>
      <c r="PZU341" s="288" t="s">
        <v>598</v>
      </c>
      <c r="PZV341" s="288" t="s">
        <v>598</v>
      </c>
      <c r="PZW341" s="288" t="s">
        <v>598</v>
      </c>
      <c r="PZX341" s="288" t="s">
        <v>598</v>
      </c>
      <c r="PZY341" s="288" t="s">
        <v>598</v>
      </c>
      <c r="PZZ341" s="288" t="s">
        <v>598</v>
      </c>
      <c r="QAA341" s="288" t="s">
        <v>598</v>
      </c>
      <c r="QAB341" s="288" t="s">
        <v>598</v>
      </c>
      <c r="QAC341" s="288" t="s">
        <v>598</v>
      </c>
      <c r="QAD341" s="288" t="s">
        <v>598</v>
      </c>
      <c r="QAE341" s="288" t="s">
        <v>598</v>
      </c>
      <c r="QAF341" s="288" t="s">
        <v>598</v>
      </c>
      <c r="QAG341" s="288" t="s">
        <v>598</v>
      </c>
      <c r="QAH341" s="288" t="s">
        <v>598</v>
      </c>
      <c r="QAI341" s="288" t="s">
        <v>598</v>
      </c>
      <c r="QAJ341" s="288" t="s">
        <v>598</v>
      </c>
      <c r="QAK341" s="288" t="s">
        <v>598</v>
      </c>
      <c r="QAL341" s="288" t="s">
        <v>598</v>
      </c>
      <c r="QAM341" s="288" t="s">
        <v>598</v>
      </c>
      <c r="QAN341" s="288" t="s">
        <v>598</v>
      </c>
      <c r="QAO341" s="288" t="s">
        <v>598</v>
      </c>
      <c r="QAP341" s="288" t="s">
        <v>598</v>
      </c>
      <c r="QAQ341" s="288" t="s">
        <v>598</v>
      </c>
      <c r="QAR341" s="288" t="s">
        <v>598</v>
      </c>
      <c r="QAS341" s="288" t="s">
        <v>598</v>
      </c>
      <c r="QAT341" s="288" t="s">
        <v>598</v>
      </c>
      <c r="QAU341" s="288" t="s">
        <v>598</v>
      </c>
      <c r="QAV341" s="288" t="s">
        <v>598</v>
      </c>
      <c r="QAW341" s="288" t="s">
        <v>598</v>
      </c>
      <c r="QAX341" s="288" t="s">
        <v>598</v>
      </c>
      <c r="QAY341" s="288" t="s">
        <v>598</v>
      </c>
      <c r="QAZ341" s="288" t="s">
        <v>598</v>
      </c>
      <c r="QBA341" s="288" t="s">
        <v>598</v>
      </c>
      <c r="QBB341" s="288" t="s">
        <v>598</v>
      </c>
      <c r="QBC341" s="288" t="s">
        <v>598</v>
      </c>
      <c r="QBD341" s="288" t="s">
        <v>598</v>
      </c>
      <c r="QBE341" s="288" t="s">
        <v>598</v>
      </c>
      <c r="QBF341" s="288" t="s">
        <v>598</v>
      </c>
      <c r="QBG341" s="288" t="s">
        <v>598</v>
      </c>
      <c r="QBH341" s="288" t="s">
        <v>598</v>
      </c>
      <c r="QBI341" s="288" t="s">
        <v>598</v>
      </c>
      <c r="QBJ341" s="288" t="s">
        <v>598</v>
      </c>
      <c r="QBK341" s="288" t="s">
        <v>598</v>
      </c>
      <c r="QBL341" s="288" t="s">
        <v>598</v>
      </c>
      <c r="QBM341" s="288" t="s">
        <v>598</v>
      </c>
      <c r="QBN341" s="288" t="s">
        <v>598</v>
      </c>
      <c r="QBO341" s="288" t="s">
        <v>598</v>
      </c>
      <c r="QBP341" s="288" t="s">
        <v>598</v>
      </c>
      <c r="QBQ341" s="288" t="s">
        <v>598</v>
      </c>
      <c r="QBR341" s="288" t="s">
        <v>598</v>
      </c>
      <c r="QBS341" s="288" t="s">
        <v>598</v>
      </c>
      <c r="QBT341" s="288" t="s">
        <v>598</v>
      </c>
      <c r="QBU341" s="288" t="s">
        <v>598</v>
      </c>
      <c r="QBV341" s="288" t="s">
        <v>598</v>
      </c>
      <c r="QBW341" s="288" t="s">
        <v>598</v>
      </c>
      <c r="QBX341" s="288" t="s">
        <v>598</v>
      </c>
      <c r="QBY341" s="288" t="s">
        <v>598</v>
      </c>
      <c r="QBZ341" s="288" t="s">
        <v>598</v>
      </c>
      <c r="QCA341" s="288" t="s">
        <v>598</v>
      </c>
      <c r="QCB341" s="288" t="s">
        <v>598</v>
      </c>
      <c r="QCC341" s="288" t="s">
        <v>598</v>
      </c>
      <c r="QCD341" s="288" t="s">
        <v>598</v>
      </c>
      <c r="QCE341" s="288" t="s">
        <v>598</v>
      </c>
      <c r="QCF341" s="288" t="s">
        <v>598</v>
      </c>
      <c r="QCG341" s="288" t="s">
        <v>598</v>
      </c>
      <c r="QCH341" s="288" t="s">
        <v>598</v>
      </c>
      <c r="QCI341" s="288" t="s">
        <v>598</v>
      </c>
      <c r="QCJ341" s="288" t="s">
        <v>598</v>
      </c>
      <c r="QCK341" s="288" t="s">
        <v>598</v>
      </c>
      <c r="QCL341" s="288" t="s">
        <v>598</v>
      </c>
      <c r="QCM341" s="288" t="s">
        <v>598</v>
      </c>
      <c r="QCN341" s="288" t="s">
        <v>598</v>
      </c>
      <c r="QCO341" s="288" t="s">
        <v>598</v>
      </c>
      <c r="QCP341" s="288" t="s">
        <v>598</v>
      </c>
      <c r="QCQ341" s="288" t="s">
        <v>598</v>
      </c>
      <c r="QCR341" s="288" t="s">
        <v>598</v>
      </c>
      <c r="QCS341" s="288" t="s">
        <v>598</v>
      </c>
      <c r="QCT341" s="288" t="s">
        <v>598</v>
      </c>
      <c r="QCU341" s="288" t="s">
        <v>598</v>
      </c>
      <c r="QCV341" s="288" t="s">
        <v>598</v>
      </c>
      <c r="QCW341" s="288" t="s">
        <v>598</v>
      </c>
      <c r="QCX341" s="288" t="s">
        <v>598</v>
      </c>
      <c r="QCY341" s="288" t="s">
        <v>598</v>
      </c>
      <c r="QCZ341" s="288" t="s">
        <v>598</v>
      </c>
      <c r="QDA341" s="288" t="s">
        <v>598</v>
      </c>
      <c r="QDB341" s="288" t="s">
        <v>598</v>
      </c>
      <c r="QDC341" s="288" t="s">
        <v>598</v>
      </c>
      <c r="QDD341" s="288" t="s">
        <v>598</v>
      </c>
      <c r="QDE341" s="288" t="s">
        <v>598</v>
      </c>
      <c r="QDF341" s="288" t="s">
        <v>598</v>
      </c>
      <c r="QDG341" s="288" t="s">
        <v>598</v>
      </c>
      <c r="QDH341" s="288" t="s">
        <v>598</v>
      </c>
      <c r="QDI341" s="288" t="s">
        <v>598</v>
      </c>
      <c r="QDJ341" s="288" t="s">
        <v>598</v>
      </c>
      <c r="QDK341" s="288" t="s">
        <v>598</v>
      </c>
      <c r="QDL341" s="288" t="s">
        <v>598</v>
      </c>
      <c r="QDM341" s="288" t="s">
        <v>598</v>
      </c>
      <c r="QDN341" s="288" t="s">
        <v>598</v>
      </c>
      <c r="QDO341" s="288" t="s">
        <v>598</v>
      </c>
      <c r="QDP341" s="288" t="s">
        <v>598</v>
      </c>
      <c r="QDQ341" s="288" t="s">
        <v>598</v>
      </c>
      <c r="QDR341" s="288" t="s">
        <v>598</v>
      </c>
      <c r="QDS341" s="288" t="s">
        <v>598</v>
      </c>
      <c r="QDT341" s="288" t="s">
        <v>598</v>
      </c>
      <c r="QDU341" s="288" t="s">
        <v>598</v>
      </c>
      <c r="QDV341" s="288" t="s">
        <v>598</v>
      </c>
      <c r="QDW341" s="288" t="s">
        <v>598</v>
      </c>
      <c r="QDX341" s="288" t="s">
        <v>598</v>
      </c>
      <c r="QDY341" s="288" t="s">
        <v>598</v>
      </c>
      <c r="QDZ341" s="288" t="s">
        <v>598</v>
      </c>
      <c r="QEA341" s="288" t="s">
        <v>598</v>
      </c>
      <c r="QEB341" s="288" t="s">
        <v>598</v>
      </c>
      <c r="QEC341" s="288" t="s">
        <v>598</v>
      </c>
      <c r="QED341" s="288" t="s">
        <v>598</v>
      </c>
      <c r="QEE341" s="288" t="s">
        <v>598</v>
      </c>
      <c r="QEF341" s="288" t="s">
        <v>598</v>
      </c>
      <c r="QEG341" s="288" t="s">
        <v>598</v>
      </c>
      <c r="QEH341" s="288" t="s">
        <v>598</v>
      </c>
      <c r="QEI341" s="288" t="s">
        <v>598</v>
      </c>
      <c r="QEJ341" s="288" t="s">
        <v>598</v>
      </c>
      <c r="QEK341" s="288" t="s">
        <v>598</v>
      </c>
      <c r="QEL341" s="288" t="s">
        <v>598</v>
      </c>
      <c r="QEM341" s="288" t="s">
        <v>598</v>
      </c>
      <c r="QEN341" s="288" t="s">
        <v>598</v>
      </c>
      <c r="QEO341" s="288" t="s">
        <v>598</v>
      </c>
      <c r="QEP341" s="288" t="s">
        <v>598</v>
      </c>
      <c r="QEQ341" s="288" t="s">
        <v>598</v>
      </c>
      <c r="QER341" s="288" t="s">
        <v>598</v>
      </c>
      <c r="QES341" s="288" t="s">
        <v>598</v>
      </c>
      <c r="QET341" s="288" t="s">
        <v>598</v>
      </c>
      <c r="QEU341" s="288" t="s">
        <v>598</v>
      </c>
      <c r="QEV341" s="288" t="s">
        <v>598</v>
      </c>
      <c r="QEW341" s="288" t="s">
        <v>598</v>
      </c>
      <c r="QEX341" s="288" t="s">
        <v>598</v>
      </c>
      <c r="QEY341" s="288" t="s">
        <v>598</v>
      </c>
      <c r="QEZ341" s="288" t="s">
        <v>598</v>
      </c>
      <c r="QFA341" s="288" t="s">
        <v>598</v>
      </c>
      <c r="QFB341" s="288" t="s">
        <v>598</v>
      </c>
      <c r="QFC341" s="288" t="s">
        <v>598</v>
      </c>
      <c r="QFD341" s="288" t="s">
        <v>598</v>
      </c>
      <c r="QFE341" s="288" t="s">
        <v>598</v>
      </c>
      <c r="QFF341" s="288" t="s">
        <v>598</v>
      </c>
      <c r="QFG341" s="288" t="s">
        <v>598</v>
      </c>
      <c r="QFH341" s="288" t="s">
        <v>598</v>
      </c>
      <c r="QFI341" s="288" t="s">
        <v>598</v>
      </c>
      <c r="QFJ341" s="288" t="s">
        <v>598</v>
      </c>
      <c r="QFK341" s="288" t="s">
        <v>598</v>
      </c>
      <c r="QFL341" s="288" t="s">
        <v>598</v>
      </c>
      <c r="QFM341" s="288" t="s">
        <v>598</v>
      </c>
      <c r="QFN341" s="288" t="s">
        <v>598</v>
      </c>
      <c r="QFO341" s="288" t="s">
        <v>598</v>
      </c>
      <c r="QFP341" s="288" t="s">
        <v>598</v>
      </c>
      <c r="QFQ341" s="288" t="s">
        <v>598</v>
      </c>
      <c r="QFR341" s="288" t="s">
        <v>598</v>
      </c>
      <c r="QFS341" s="288" t="s">
        <v>598</v>
      </c>
      <c r="QFT341" s="288" t="s">
        <v>598</v>
      </c>
      <c r="QFU341" s="288" t="s">
        <v>598</v>
      </c>
      <c r="QFV341" s="288" t="s">
        <v>598</v>
      </c>
      <c r="QFW341" s="288" t="s">
        <v>598</v>
      </c>
      <c r="QFX341" s="288" t="s">
        <v>598</v>
      </c>
      <c r="QFY341" s="288" t="s">
        <v>598</v>
      </c>
      <c r="QFZ341" s="288" t="s">
        <v>598</v>
      </c>
      <c r="QGA341" s="288" t="s">
        <v>598</v>
      </c>
      <c r="QGB341" s="288" t="s">
        <v>598</v>
      </c>
      <c r="QGC341" s="288" t="s">
        <v>598</v>
      </c>
      <c r="QGD341" s="288" t="s">
        <v>598</v>
      </c>
      <c r="QGE341" s="288" t="s">
        <v>598</v>
      </c>
      <c r="QGF341" s="288" t="s">
        <v>598</v>
      </c>
      <c r="QGG341" s="288" t="s">
        <v>598</v>
      </c>
      <c r="QGH341" s="288" t="s">
        <v>598</v>
      </c>
      <c r="QGI341" s="288" t="s">
        <v>598</v>
      </c>
      <c r="QGJ341" s="288" t="s">
        <v>598</v>
      </c>
      <c r="QGK341" s="288" t="s">
        <v>598</v>
      </c>
      <c r="QGL341" s="288" t="s">
        <v>598</v>
      </c>
      <c r="QGM341" s="288" t="s">
        <v>598</v>
      </c>
      <c r="QGN341" s="288" t="s">
        <v>598</v>
      </c>
      <c r="QGO341" s="288" t="s">
        <v>598</v>
      </c>
      <c r="QGP341" s="288" t="s">
        <v>598</v>
      </c>
      <c r="QGQ341" s="288" t="s">
        <v>598</v>
      </c>
      <c r="QGR341" s="288" t="s">
        <v>598</v>
      </c>
      <c r="QGS341" s="288" t="s">
        <v>598</v>
      </c>
      <c r="QGT341" s="288" t="s">
        <v>598</v>
      </c>
      <c r="QGU341" s="288" t="s">
        <v>598</v>
      </c>
      <c r="QGV341" s="288" t="s">
        <v>598</v>
      </c>
      <c r="QGW341" s="288" t="s">
        <v>598</v>
      </c>
      <c r="QGX341" s="288" t="s">
        <v>598</v>
      </c>
      <c r="QGY341" s="288" t="s">
        <v>598</v>
      </c>
      <c r="QGZ341" s="288" t="s">
        <v>598</v>
      </c>
      <c r="QHA341" s="288" t="s">
        <v>598</v>
      </c>
      <c r="QHB341" s="288" t="s">
        <v>598</v>
      </c>
      <c r="QHC341" s="288" t="s">
        <v>598</v>
      </c>
      <c r="QHD341" s="288" t="s">
        <v>598</v>
      </c>
      <c r="QHE341" s="288" t="s">
        <v>598</v>
      </c>
      <c r="QHF341" s="288" t="s">
        <v>598</v>
      </c>
      <c r="QHG341" s="288" t="s">
        <v>598</v>
      </c>
      <c r="QHH341" s="288" t="s">
        <v>598</v>
      </c>
      <c r="QHI341" s="288" t="s">
        <v>598</v>
      </c>
      <c r="QHJ341" s="288" t="s">
        <v>598</v>
      </c>
      <c r="QHK341" s="288" t="s">
        <v>598</v>
      </c>
      <c r="QHL341" s="288" t="s">
        <v>598</v>
      </c>
      <c r="QHM341" s="288" t="s">
        <v>598</v>
      </c>
      <c r="QHN341" s="288" t="s">
        <v>598</v>
      </c>
      <c r="QHO341" s="288" t="s">
        <v>598</v>
      </c>
      <c r="QHP341" s="288" t="s">
        <v>598</v>
      </c>
      <c r="QHQ341" s="288" t="s">
        <v>598</v>
      </c>
      <c r="QHR341" s="288" t="s">
        <v>598</v>
      </c>
      <c r="QHS341" s="288" t="s">
        <v>598</v>
      </c>
      <c r="QHT341" s="288" t="s">
        <v>598</v>
      </c>
      <c r="QHU341" s="288" t="s">
        <v>598</v>
      </c>
      <c r="QHV341" s="288" t="s">
        <v>598</v>
      </c>
      <c r="QHW341" s="288" t="s">
        <v>598</v>
      </c>
      <c r="QHX341" s="288" t="s">
        <v>598</v>
      </c>
      <c r="QHY341" s="288" t="s">
        <v>598</v>
      </c>
      <c r="QHZ341" s="288" t="s">
        <v>598</v>
      </c>
      <c r="QIA341" s="288" t="s">
        <v>598</v>
      </c>
      <c r="QIB341" s="288" t="s">
        <v>598</v>
      </c>
      <c r="QIC341" s="288" t="s">
        <v>598</v>
      </c>
      <c r="QID341" s="288" t="s">
        <v>598</v>
      </c>
      <c r="QIE341" s="288" t="s">
        <v>598</v>
      </c>
      <c r="QIF341" s="288" t="s">
        <v>598</v>
      </c>
      <c r="QIG341" s="288" t="s">
        <v>598</v>
      </c>
      <c r="QIH341" s="288" t="s">
        <v>598</v>
      </c>
      <c r="QII341" s="288" t="s">
        <v>598</v>
      </c>
      <c r="QIJ341" s="288" t="s">
        <v>598</v>
      </c>
      <c r="QIK341" s="288" t="s">
        <v>598</v>
      </c>
      <c r="QIL341" s="288" t="s">
        <v>598</v>
      </c>
      <c r="QIM341" s="288" t="s">
        <v>598</v>
      </c>
      <c r="QIN341" s="288" t="s">
        <v>598</v>
      </c>
      <c r="QIO341" s="288" t="s">
        <v>598</v>
      </c>
      <c r="QIP341" s="288" t="s">
        <v>598</v>
      </c>
      <c r="QIQ341" s="288" t="s">
        <v>598</v>
      </c>
      <c r="QIR341" s="288" t="s">
        <v>598</v>
      </c>
      <c r="QIS341" s="288" t="s">
        <v>598</v>
      </c>
      <c r="QIT341" s="288" t="s">
        <v>598</v>
      </c>
      <c r="QIU341" s="288" t="s">
        <v>598</v>
      </c>
      <c r="QIV341" s="288" t="s">
        <v>598</v>
      </c>
      <c r="QIW341" s="288" t="s">
        <v>598</v>
      </c>
      <c r="QIX341" s="288" t="s">
        <v>598</v>
      </c>
      <c r="QIY341" s="288" t="s">
        <v>598</v>
      </c>
      <c r="QIZ341" s="288" t="s">
        <v>598</v>
      </c>
      <c r="QJA341" s="288" t="s">
        <v>598</v>
      </c>
      <c r="QJB341" s="288" t="s">
        <v>598</v>
      </c>
      <c r="QJC341" s="288" t="s">
        <v>598</v>
      </c>
      <c r="QJD341" s="288" t="s">
        <v>598</v>
      </c>
      <c r="QJE341" s="288" t="s">
        <v>598</v>
      </c>
      <c r="QJF341" s="288" t="s">
        <v>598</v>
      </c>
      <c r="QJG341" s="288" t="s">
        <v>598</v>
      </c>
      <c r="QJH341" s="288" t="s">
        <v>598</v>
      </c>
      <c r="QJI341" s="288" t="s">
        <v>598</v>
      </c>
      <c r="QJJ341" s="288" t="s">
        <v>598</v>
      </c>
      <c r="QJK341" s="288" t="s">
        <v>598</v>
      </c>
      <c r="QJL341" s="288" t="s">
        <v>598</v>
      </c>
      <c r="QJM341" s="288" t="s">
        <v>598</v>
      </c>
      <c r="QJN341" s="288" t="s">
        <v>598</v>
      </c>
      <c r="QJO341" s="288" t="s">
        <v>598</v>
      </c>
      <c r="QJP341" s="288" t="s">
        <v>598</v>
      </c>
      <c r="QJQ341" s="288" t="s">
        <v>598</v>
      </c>
      <c r="QJR341" s="288" t="s">
        <v>598</v>
      </c>
      <c r="QJS341" s="288" t="s">
        <v>598</v>
      </c>
      <c r="QJT341" s="288" t="s">
        <v>598</v>
      </c>
      <c r="QJU341" s="288" t="s">
        <v>598</v>
      </c>
      <c r="QJV341" s="288" t="s">
        <v>598</v>
      </c>
      <c r="QJW341" s="288" t="s">
        <v>598</v>
      </c>
      <c r="QJX341" s="288" t="s">
        <v>598</v>
      </c>
      <c r="QJY341" s="288" t="s">
        <v>598</v>
      </c>
      <c r="QJZ341" s="288" t="s">
        <v>598</v>
      </c>
      <c r="QKA341" s="288" t="s">
        <v>598</v>
      </c>
      <c r="QKB341" s="288" t="s">
        <v>598</v>
      </c>
      <c r="QKC341" s="288" t="s">
        <v>598</v>
      </c>
      <c r="QKD341" s="288" t="s">
        <v>598</v>
      </c>
      <c r="QKE341" s="288" t="s">
        <v>598</v>
      </c>
      <c r="QKF341" s="288" t="s">
        <v>598</v>
      </c>
      <c r="QKG341" s="288" t="s">
        <v>598</v>
      </c>
      <c r="QKH341" s="288" t="s">
        <v>598</v>
      </c>
      <c r="QKI341" s="288" t="s">
        <v>598</v>
      </c>
      <c r="QKJ341" s="288" t="s">
        <v>598</v>
      </c>
      <c r="QKK341" s="288" t="s">
        <v>598</v>
      </c>
      <c r="QKL341" s="288" t="s">
        <v>598</v>
      </c>
      <c r="QKM341" s="288" t="s">
        <v>598</v>
      </c>
      <c r="QKN341" s="288" t="s">
        <v>598</v>
      </c>
      <c r="QKO341" s="288" t="s">
        <v>598</v>
      </c>
      <c r="QKP341" s="288" t="s">
        <v>598</v>
      </c>
      <c r="QKQ341" s="288" t="s">
        <v>598</v>
      </c>
      <c r="QKR341" s="288" t="s">
        <v>598</v>
      </c>
      <c r="QKS341" s="288" t="s">
        <v>598</v>
      </c>
      <c r="QKT341" s="288" t="s">
        <v>598</v>
      </c>
      <c r="QKU341" s="288" t="s">
        <v>598</v>
      </c>
      <c r="QKV341" s="288" t="s">
        <v>598</v>
      </c>
      <c r="QKW341" s="288" t="s">
        <v>598</v>
      </c>
      <c r="QKX341" s="288" t="s">
        <v>598</v>
      </c>
      <c r="QKY341" s="288" t="s">
        <v>598</v>
      </c>
      <c r="QKZ341" s="288" t="s">
        <v>598</v>
      </c>
      <c r="QLA341" s="288" t="s">
        <v>598</v>
      </c>
      <c r="QLB341" s="288" t="s">
        <v>598</v>
      </c>
      <c r="QLC341" s="288" t="s">
        <v>598</v>
      </c>
      <c r="QLD341" s="288" t="s">
        <v>598</v>
      </c>
      <c r="QLE341" s="288" t="s">
        <v>598</v>
      </c>
      <c r="QLF341" s="288" t="s">
        <v>598</v>
      </c>
      <c r="QLG341" s="288" t="s">
        <v>598</v>
      </c>
      <c r="QLH341" s="288" t="s">
        <v>598</v>
      </c>
      <c r="QLI341" s="288" t="s">
        <v>598</v>
      </c>
      <c r="QLJ341" s="288" t="s">
        <v>598</v>
      </c>
      <c r="QLK341" s="288" t="s">
        <v>598</v>
      </c>
      <c r="QLL341" s="288" t="s">
        <v>598</v>
      </c>
      <c r="QLM341" s="288" t="s">
        <v>598</v>
      </c>
      <c r="QLN341" s="288" t="s">
        <v>598</v>
      </c>
      <c r="QLO341" s="288" t="s">
        <v>598</v>
      </c>
      <c r="QLP341" s="288" t="s">
        <v>598</v>
      </c>
      <c r="QLQ341" s="288" t="s">
        <v>598</v>
      </c>
      <c r="QLR341" s="288" t="s">
        <v>598</v>
      </c>
      <c r="QLS341" s="288" t="s">
        <v>598</v>
      </c>
      <c r="QLT341" s="288" t="s">
        <v>598</v>
      </c>
      <c r="QLU341" s="288" t="s">
        <v>598</v>
      </c>
      <c r="QLV341" s="288" t="s">
        <v>598</v>
      </c>
      <c r="QLW341" s="288" t="s">
        <v>598</v>
      </c>
      <c r="QLX341" s="288" t="s">
        <v>598</v>
      </c>
      <c r="QLY341" s="288" t="s">
        <v>598</v>
      </c>
      <c r="QLZ341" s="288" t="s">
        <v>598</v>
      </c>
      <c r="QMA341" s="288" t="s">
        <v>598</v>
      </c>
      <c r="QMB341" s="288" t="s">
        <v>598</v>
      </c>
      <c r="QMC341" s="288" t="s">
        <v>598</v>
      </c>
      <c r="QMD341" s="288" t="s">
        <v>598</v>
      </c>
      <c r="QME341" s="288" t="s">
        <v>598</v>
      </c>
      <c r="QMF341" s="288" t="s">
        <v>598</v>
      </c>
      <c r="QMG341" s="288" t="s">
        <v>598</v>
      </c>
      <c r="QMH341" s="288" t="s">
        <v>598</v>
      </c>
      <c r="QMI341" s="288" t="s">
        <v>598</v>
      </c>
      <c r="QMJ341" s="288" t="s">
        <v>598</v>
      </c>
      <c r="QMK341" s="288" t="s">
        <v>598</v>
      </c>
      <c r="QML341" s="288" t="s">
        <v>598</v>
      </c>
      <c r="QMM341" s="288" t="s">
        <v>598</v>
      </c>
      <c r="QMN341" s="288" t="s">
        <v>598</v>
      </c>
      <c r="QMO341" s="288" t="s">
        <v>598</v>
      </c>
      <c r="QMP341" s="288" t="s">
        <v>598</v>
      </c>
      <c r="QMQ341" s="288" t="s">
        <v>598</v>
      </c>
      <c r="QMR341" s="288" t="s">
        <v>598</v>
      </c>
      <c r="QMS341" s="288" t="s">
        <v>598</v>
      </c>
      <c r="QMT341" s="288" t="s">
        <v>598</v>
      </c>
      <c r="QMU341" s="288" t="s">
        <v>598</v>
      </c>
      <c r="QMV341" s="288" t="s">
        <v>598</v>
      </c>
      <c r="QMW341" s="288" t="s">
        <v>598</v>
      </c>
      <c r="QMX341" s="288" t="s">
        <v>598</v>
      </c>
      <c r="QMY341" s="288" t="s">
        <v>598</v>
      </c>
      <c r="QMZ341" s="288" t="s">
        <v>598</v>
      </c>
      <c r="QNA341" s="288" t="s">
        <v>598</v>
      </c>
      <c r="QNB341" s="288" t="s">
        <v>598</v>
      </c>
      <c r="QNC341" s="288" t="s">
        <v>598</v>
      </c>
      <c r="QND341" s="288" t="s">
        <v>598</v>
      </c>
      <c r="QNE341" s="288" t="s">
        <v>598</v>
      </c>
      <c r="QNF341" s="288" t="s">
        <v>598</v>
      </c>
      <c r="QNG341" s="288" t="s">
        <v>598</v>
      </c>
      <c r="QNH341" s="288" t="s">
        <v>598</v>
      </c>
      <c r="QNI341" s="288" t="s">
        <v>598</v>
      </c>
      <c r="QNJ341" s="288" t="s">
        <v>598</v>
      </c>
      <c r="QNK341" s="288" t="s">
        <v>598</v>
      </c>
      <c r="QNL341" s="288" t="s">
        <v>598</v>
      </c>
      <c r="QNM341" s="288" t="s">
        <v>598</v>
      </c>
      <c r="QNN341" s="288" t="s">
        <v>598</v>
      </c>
      <c r="QNO341" s="288" t="s">
        <v>598</v>
      </c>
      <c r="QNP341" s="288" t="s">
        <v>598</v>
      </c>
      <c r="QNQ341" s="288" t="s">
        <v>598</v>
      </c>
      <c r="QNR341" s="288" t="s">
        <v>598</v>
      </c>
      <c r="QNS341" s="288" t="s">
        <v>598</v>
      </c>
      <c r="QNT341" s="288" t="s">
        <v>598</v>
      </c>
      <c r="QNU341" s="288" t="s">
        <v>598</v>
      </c>
      <c r="QNV341" s="288" t="s">
        <v>598</v>
      </c>
      <c r="QNW341" s="288" t="s">
        <v>598</v>
      </c>
      <c r="QNX341" s="288" t="s">
        <v>598</v>
      </c>
      <c r="QNY341" s="288" t="s">
        <v>598</v>
      </c>
      <c r="QNZ341" s="288" t="s">
        <v>598</v>
      </c>
      <c r="QOA341" s="288" t="s">
        <v>598</v>
      </c>
      <c r="QOB341" s="288" t="s">
        <v>598</v>
      </c>
      <c r="QOC341" s="288" t="s">
        <v>598</v>
      </c>
      <c r="QOD341" s="288" t="s">
        <v>598</v>
      </c>
      <c r="QOE341" s="288" t="s">
        <v>598</v>
      </c>
      <c r="QOF341" s="288" t="s">
        <v>598</v>
      </c>
      <c r="QOG341" s="288" t="s">
        <v>598</v>
      </c>
      <c r="QOH341" s="288" t="s">
        <v>598</v>
      </c>
      <c r="QOI341" s="288" t="s">
        <v>598</v>
      </c>
      <c r="QOJ341" s="288" t="s">
        <v>598</v>
      </c>
      <c r="QOK341" s="288" t="s">
        <v>598</v>
      </c>
      <c r="QOL341" s="288" t="s">
        <v>598</v>
      </c>
      <c r="QOM341" s="288" t="s">
        <v>598</v>
      </c>
      <c r="QON341" s="288" t="s">
        <v>598</v>
      </c>
      <c r="QOO341" s="288" t="s">
        <v>598</v>
      </c>
      <c r="QOP341" s="288" t="s">
        <v>598</v>
      </c>
      <c r="QOQ341" s="288" t="s">
        <v>598</v>
      </c>
      <c r="QOR341" s="288" t="s">
        <v>598</v>
      </c>
      <c r="QOS341" s="288" t="s">
        <v>598</v>
      </c>
      <c r="QOT341" s="288" t="s">
        <v>598</v>
      </c>
      <c r="QOU341" s="288" t="s">
        <v>598</v>
      </c>
      <c r="QOV341" s="288" t="s">
        <v>598</v>
      </c>
      <c r="QOW341" s="288" t="s">
        <v>598</v>
      </c>
      <c r="QOX341" s="288" t="s">
        <v>598</v>
      </c>
      <c r="QOY341" s="288" t="s">
        <v>598</v>
      </c>
      <c r="QOZ341" s="288" t="s">
        <v>598</v>
      </c>
      <c r="QPA341" s="288" t="s">
        <v>598</v>
      </c>
      <c r="QPB341" s="288" t="s">
        <v>598</v>
      </c>
      <c r="QPC341" s="288" t="s">
        <v>598</v>
      </c>
      <c r="QPD341" s="288" t="s">
        <v>598</v>
      </c>
      <c r="QPE341" s="288" t="s">
        <v>598</v>
      </c>
      <c r="QPF341" s="288" t="s">
        <v>598</v>
      </c>
      <c r="QPG341" s="288" t="s">
        <v>598</v>
      </c>
      <c r="QPH341" s="288" t="s">
        <v>598</v>
      </c>
      <c r="QPI341" s="288" t="s">
        <v>598</v>
      </c>
      <c r="QPJ341" s="288" t="s">
        <v>598</v>
      </c>
      <c r="QPK341" s="288" t="s">
        <v>598</v>
      </c>
      <c r="QPL341" s="288" t="s">
        <v>598</v>
      </c>
      <c r="QPM341" s="288" t="s">
        <v>598</v>
      </c>
      <c r="QPN341" s="288" t="s">
        <v>598</v>
      </c>
      <c r="QPO341" s="288" t="s">
        <v>598</v>
      </c>
      <c r="QPP341" s="288" t="s">
        <v>598</v>
      </c>
      <c r="QPQ341" s="288" t="s">
        <v>598</v>
      </c>
      <c r="QPR341" s="288" t="s">
        <v>598</v>
      </c>
      <c r="QPS341" s="288" t="s">
        <v>598</v>
      </c>
      <c r="QPT341" s="288" t="s">
        <v>598</v>
      </c>
      <c r="QPU341" s="288" t="s">
        <v>598</v>
      </c>
      <c r="QPV341" s="288" t="s">
        <v>598</v>
      </c>
      <c r="QPW341" s="288" t="s">
        <v>598</v>
      </c>
      <c r="QPX341" s="288" t="s">
        <v>598</v>
      </c>
      <c r="QPY341" s="288" t="s">
        <v>598</v>
      </c>
      <c r="QPZ341" s="288" t="s">
        <v>598</v>
      </c>
      <c r="QQA341" s="288" t="s">
        <v>598</v>
      </c>
      <c r="QQB341" s="288" t="s">
        <v>598</v>
      </c>
      <c r="QQC341" s="288" t="s">
        <v>598</v>
      </c>
      <c r="QQD341" s="288" t="s">
        <v>598</v>
      </c>
      <c r="QQE341" s="288" t="s">
        <v>598</v>
      </c>
      <c r="QQF341" s="288" t="s">
        <v>598</v>
      </c>
      <c r="QQG341" s="288" t="s">
        <v>598</v>
      </c>
      <c r="QQH341" s="288" t="s">
        <v>598</v>
      </c>
      <c r="QQI341" s="288" t="s">
        <v>598</v>
      </c>
      <c r="QQJ341" s="288" t="s">
        <v>598</v>
      </c>
      <c r="QQK341" s="288" t="s">
        <v>598</v>
      </c>
      <c r="QQL341" s="288" t="s">
        <v>598</v>
      </c>
      <c r="QQM341" s="288" t="s">
        <v>598</v>
      </c>
      <c r="QQN341" s="288" t="s">
        <v>598</v>
      </c>
      <c r="QQO341" s="288" t="s">
        <v>598</v>
      </c>
      <c r="QQP341" s="288" t="s">
        <v>598</v>
      </c>
      <c r="QQQ341" s="288" t="s">
        <v>598</v>
      </c>
      <c r="QQR341" s="288" t="s">
        <v>598</v>
      </c>
      <c r="QQS341" s="288" t="s">
        <v>598</v>
      </c>
      <c r="QQT341" s="288" t="s">
        <v>598</v>
      </c>
      <c r="QQU341" s="288" t="s">
        <v>598</v>
      </c>
      <c r="QQV341" s="288" t="s">
        <v>598</v>
      </c>
      <c r="QQW341" s="288" t="s">
        <v>598</v>
      </c>
      <c r="QQX341" s="288" t="s">
        <v>598</v>
      </c>
      <c r="QQY341" s="288" t="s">
        <v>598</v>
      </c>
      <c r="QQZ341" s="288" t="s">
        <v>598</v>
      </c>
      <c r="QRA341" s="288" t="s">
        <v>598</v>
      </c>
      <c r="QRB341" s="288" t="s">
        <v>598</v>
      </c>
      <c r="QRC341" s="288" t="s">
        <v>598</v>
      </c>
      <c r="QRD341" s="288" t="s">
        <v>598</v>
      </c>
      <c r="QRE341" s="288" t="s">
        <v>598</v>
      </c>
      <c r="QRF341" s="288" t="s">
        <v>598</v>
      </c>
      <c r="QRG341" s="288" t="s">
        <v>598</v>
      </c>
      <c r="QRH341" s="288" t="s">
        <v>598</v>
      </c>
      <c r="QRI341" s="288" t="s">
        <v>598</v>
      </c>
      <c r="QRJ341" s="288" t="s">
        <v>598</v>
      </c>
      <c r="QRK341" s="288" t="s">
        <v>598</v>
      </c>
      <c r="QRL341" s="288" t="s">
        <v>598</v>
      </c>
      <c r="QRM341" s="288" t="s">
        <v>598</v>
      </c>
      <c r="QRN341" s="288" t="s">
        <v>598</v>
      </c>
      <c r="QRO341" s="288" t="s">
        <v>598</v>
      </c>
      <c r="QRP341" s="288" t="s">
        <v>598</v>
      </c>
      <c r="QRQ341" s="288" t="s">
        <v>598</v>
      </c>
      <c r="QRR341" s="288" t="s">
        <v>598</v>
      </c>
      <c r="QRS341" s="288" t="s">
        <v>598</v>
      </c>
      <c r="QRT341" s="288" t="s">
        <v>598</v>
      </c>
      <c r="QRU341" s="288" t="s">
        <v>598</v>
      </c>
      <c r="QRV341" s="288" t="s">
        <v>598</v>
      </c>
      <c r="QRW341" s="288" t="s">
        <v>598</v>
      </c>
      <c r="QRX341" s="288" t="s">
        <v>598</v>
      </c>
      <c r="QRY341" s="288" t="s">
        <v>598</v>
      </c>
      <c r="QRZ341" s="288" t="s">
        <v>598</v>
      </c>
      <c r="QSA341" s="288" t="s">
        <v>598</v>
      </c>
      <c r="QSB341" s="288" t="s">
        <v>598</v>
      </c>
      <c r="QSC341" s="288" t="s">
        <v>598</v>
      </c>
      <c r="QSD341" s="288" t="s">
        <v>598</v>
      </c>
      <c r="QSE341" s="288" t="s">
        <v>598</v>
      </c>
      <c r="QSF341" s="288" t="s">
        <v>598</v>
      </c>
      <c r="QSG341" s="288" t="s">
        <v>598</v>
      </c>
      <c r="QSH341" s="288" t="s">
        <v>598</v>
      </c>
      <c r="QSI341" s="288" t="s">
        <v>598</v>
      </c>
      <c r="QSJ341" s="288" t="s">
        <v>598</v>
      </c>
      <c r="QSK341" s="288" t="s">
        <v>598</v>
      </c>
      <c r="QSL341" s="288" t="s">
        <v>598</v>
      </c>
      <c r="QSM341" s="288" t="s">
        <v>598</v>
      </c>
      <c r="QSN341" s="288" t="s">
        <v>598</v>
      </c>
      <c r="QSO341" s="288" t="s">
        <v>598</v>
      </c>
      <c r="QSP341" s="288" t="s">
        <v>598</v>
      </c>
      <c r="QSQ341" s="288" t="s">
        <v>598</v>
      </c>
      <c r="QSR341" s="288" t="s">
        <v>598</v>
      </c>
      <c r="QSS341" s="288" t="s">
        <v>598</v>
      </c>
      <c r="QST341" s="288" t="s">
        <v>598</v>
      </c>
      <c r="QSU341" s="288" t="s">
        <v>598</v>
      </c>
      <c r="QSV341" s="288" t="s">
        <v>598</v>
      </c>
      <c r="QSW341" s="288" t="s">
        <v>598</v>
      </c>
      <c r="QSX341" s="288" t="s">
        <v>598</v>
      </c>
      <c r="QSY341" s="288" t="s">
        <v>598</v>
      </c>
      <c r="QSZ341" s="288" t="s">
        <v>598</v>
      </c>
      <c r="QTA341" s="288" t="s">
        <v>598</v>
      </c>
      <c r="QTB341" s="288" t="s">
        <v>598</v>
      </c>
      <c r="QTC341" s="288" t="s">
        <v>598</v>
      </c>
      <c r="QTD341" s="288" t="s">
        <v>598</v>
      </c>
      <c r="QTE341" s="288" t="s">
        <v>598</v>
      </c>
      <c r="QTF341" s="288" t="s">
        <v>598</v>
      </c>
      <c r="QTG341" s="288" t="s">
        <v>598</v>
      </c>
      <c r="QTH341" s="288" t="s">
        <v>598</v>
      </c>
      <c r="QTI341" s="288" t="s">
        <v>598</v>
      </c>
      <c r="QTJ341" s="288" t="s">
        <v>598</v>
      </c>
      <c r="QTK341" s="288" t="s">
        <v>598</v>
      </c>
      <c r="QTL341" s="288" t="s">
        <v>598</v>
      </c>
      <c r="QTM341" s="288" t="s">
        <v>598</v>
      </c>
      <c r="QTN341" s="288" t="s">
        <v>598</v>
      </c>
      <c r="QTO341" s="288" t="s">
        <v>598</v>
      </c>
      <c r="QTP341" s="288" t="s">
        <v>598</v>
      </c>
      <c r="QTQ341" s="288" t="s">
        <v>598</v>
      </c>
      <c r="QTR341" s="288" t="s">
        <v>598</v>
      </c>
      <c r="QTS341" s="288" t="s">
        <v>598</v>
      </c>
      <c r="QTT341" s="288" t="s">
        <v>598</v>
      </c>
      <c r="QTU341" s="288" t="s">
        <v>598</v>
      </c>
      <c r="QTV341" s="288" t="s">
        <v>598</v>
      </c>
      <c r="QTW341" s="288" t="s">
        <v>598</v>
      </c>
      <c r="QTX341" s="288" t="s">
        <v>598</v>
      </c>
      <c r="QTY341" s="288" t="s">
        <v>598</v>
      </c>
      <c r="QTZ341" s="288" t="s">
        <v>598</v>
      </c>
      <c r="QUA341" s="288" t="s">
        <v>598</v>
      </c>
      <c r="QUB341" s="288" t="s">
        <v>598</v>
      </c>
      <c r="QUC341" s="288" t="s">
        <v>598</v>
      </c>
      <c r="QUD341" s="288" t="s">
        <v>598</v>
      </c>
      <c r="QUE341" s="288" t="s">
        <v>598</v>
      </c>
      <c r="QUF341" s="288" t="s">
        <v>598</v>
      </c>
      <c r="QUG341" s="288" t="s">
        <v>598</v>
      </c>
      <c r="QUH341" s="288" t="s">
        <v>598</v>
      </c>
      <c r="QUI341" s="288" t="s">
        <v>598</v>
      </c>
      <c r="QUJ341" s="288" t="s">
        <v>598</v>
      </c>
      <c r="QUK341" s="288" t="s">
        <v>598</v>
      </c>
      <c r="QUL341" s="288" t="s">
        <v>598</v>
      </c>
      <c r="QUM341" s="288" t="s">
        <v>598</v>
      </c>
      <c r="QUN341" s="288" t="s">
        <v>598</v>
      </c>
      <c r="QUO341" s="288" t="s">
        <v>598</v>
      </c>
      <c r="QUP341" s="288" t="s">
        <v>598</v>
      </c>
      <c r="QUQ341" s="288" t="s">
        <v>598</v>
      </c>
      <c r="QUR341" s="288" t="s">
        <v>598</v>
      </c>
      <c r="QUS341" s="288" t="s">
        <v>598</v>
      </c>
      <c r="QUT341" s="288" t="s">
        <v>598</v>
      </c>
      <c r="QUU341" s="288" t="s">
        <v>598</v>
      </c>
      <c r="QUV341" s="288" t="s">
        <v>598</v>
      </c>
      <c r="QUW341" s="288" t="s">
        <v>598</v>
      </c>
      <c r="QUX341" s="288" t="s">
        <v>598</v>
      </c>
      <c r="QUY341" s="288" t="s">
        <v>598</v>
      </c>
      <c r="QUZ341" s="288" t="s">
        <v>598</v>
      </c>
      <c r="QVA341" s="288" t="s">
        <v>598</v>
      </c>
      <c r="QVB341" s="288" t="s">
        <v>598</v>
      </c>
      <c r="QVC341" s="288" t="s">
        <v>598</v>
      </c>
      <c r="QVD341" s="288" t="s">
        <v>598</v>
      </c>
      <c r="QVE341" s="288" t="s">
        <v>598</v>
      </c>
      <c r="QVF341" s="288" t="s">
        <v>598</v>
      </c>
      <c r="QVG341" s="288" t="s">
        <v>598</v>
      </c>
      <c r="QVH341" s="288" t="s">
        <v>598</v>
      </c>
      <c r="QVI341" s="288" t="s">
        <v>598</v>
      </c>
      <c r="QVJ341" s="288" t="s">
        <v>598</v>
      </c>
      <c r="QVK341" s="288" t="s">
        <v>598</v>
      </c>
      <c r="QVL341" s="288" t="s">
        <v>598</v>
      </c>
      <c r="QVM341" s="288" t="s">
        <v>598</v>
      </c>
      <c r="QVN341" s="288" t="s">
        <v>598</v>
      </c>
      <c r="QVO341" s="288" t="s">
        <v>598</v>
      </c>
      <c r="QVP341" s="288" t="s">
        <v>598</v>
      </c>
      <c r="QVQ341" s="288" t="s">
        <v>598</v>
      </c>
      <c r="QVR341" s="288" t="s">
        <v>598</v>
      </c>
      <c r="QVS341" s="288" t="s">
        <v>598</v>
      </c>
      <c r="QVT341" s="288" t="s">
        <v>598</v>
      </c>
      <c r="QVU341" s="288" t="s">
        <v>598</v>
      </c>
      <c r="QVV341" s="288" t="s">
        <v>598</v>
      </c>
      <c r="QVW341" s="288" t="s">
        <v>598</v>
      </c>
      <c r="QVX341" s="288" t="s">
        <v>598</v>
      </c>
      <c r="QVY341" s="288" t="s">
        <v>598</v>
      </c>
      <c r="QVZ341" s="288" t="s">
        <v>598</v>
      </c>
      <c r="QWA341" s="288" t="s">
        <v>598</v>
      </c>
      <c r="QWB341" s="288" t="s">
        <v>598</v>
      </c>
      <c r="QWC341" s="288" t="s">
        <v>598</v>
      </c>
      <c r="QWD341" s="288" t="s">
        <v>598</v>
      </c>
      <c r="QWE341" s="288" t="s">
        <v>598</v>
      </c>
      <c r="QWF341" s="288" t="s">
        <v>598</v>
      </c>
      <c r="QWG341" s="288" t="s">
        <v>598</v>
      </c>
      <c r="QWH341" s="288" t="s">
        <v>598</v>
      </c>
      <c r="QWI341" s="288" t="s">
        <v>598</v>
      </c>
      <c r="QWJ341" s="288" t="s">
        <v>598</v>
      </c>
      <c r="QWK341" s="288" t="s">
        <v>598</v>
      </c>
      <c r="QWL341" s="288" t="s">
        <v>598</v>
      </c>
      <c r="QWM341" s="288" t="s">
        <v>598</v>
      </c>
      <c r="QWN341" s="288" t="s">
        <v>598</v>
      </c>
      <c r="QWO341" s="288" t="s">
        <v>598</v>
      </c>
      <c r="QWP341" s="288" t="s">
        <v>598</v>
      </c>
      <c r="QWQ341" s="288" t="s">
        <v>598</v>
      </c>
      <c r="QWR341" s="288" t="s">
        <v>598</v>
      </c>
      <c r="QWS341" s="288" t="s">
        <v>598</v>
      </c>
      <c r="QWT341" s="288" t="s">
        <v>598</v>
      </c>
      <c r="QWU341" s="288" t="s">
        <v>598</v>
      </c>
      <c r="QWV341" s="288" t="s">
        <v>598</v>
      </c>
      <c r="QWW341" s="288" t="s">
        <v>598</v>
      </c>
      <c r="QWX341" s="288" t="s">
        <v>598</v>
      </c>
      <c r="QWY341" s="288" t="s">
        <v>598</v>
      </c>
      <c r="QWZ341" s="288" t="s">
        <v>598</v>
      </c>
      <c r="QXA341" s="288" t="s">
        <v>598</v>
      </c>
      <c r="QXB341" s="288" t="s">
        <v>598</v>
      </c>
      <c r="QXC341" s="288" t="s">
        <v>598</v>
      </c>
      <c r="QXD341" s="288" t="s">
        <v>598</v>
      </c>
      <c r="QXE341" s="288" t="s">
        <v>598</v>
      </c>
      <c r="QXF341" s="288" t="s">
        <v>598</v>
      </c>
      <c r="QXG341" s="288" t="s">
        <v>598</v>
      </c>
      <c r="QXH341" s="288" t="s">
        <v>598</v>
      </c>
      <c r="QXI341" s="288" t="s">
        <v>598</v>
      </c>
      <c r="QXJ341" s="288" t="s">
        <v>598</v>
      </c>
      <c r="QXK341" s="288" t="s">
        <v>598</v>
      </c>
      <c r="QXL341" s="288" t="s">
        <v>598</v>
      </c>
      <c r="QXM341" s="288" t="s">
        <v>598</v>
      </c>
      <c r="QXN341" s="288" t="s">
        <v>598</v>
      </c>
      <c r="QXO341" s="288" t="s">
        <v>598</v>
      </c>
      <c r="QXP341" s="288" t="s">
        <v>598</v>
      </c>
      <c r="QXQ341" s="288" t="s">
        <v>598</v>
      </c>
      <c r="QXR341" s="288" t="s">
        <v>598</v>
      </c>
      <c r="QXS341" s="288" t="s">
        <v>598</v>
      </c>
      <c r="QXT341" s="288" t="s">
        <v>598</v>
      </c>
      <c r="QXU341" s="288" t="s">
        <v>598</v>
      </c>
      <c r="QXV341" s="288" t="s">
        <v>598</v>
      </c>
      <c r="QXW341" s="288" t="s">
        <v>598</v>
      </c>
      <c r="QXX341" s="288" t="s">
        <v>598</v>
      </c>
      <c r="QXY341" s="288" t="s">
        <v>598</v>
      </c>
      <c r="QXZ341" s="288" t="s">
        <v>598</v>
      </c>
      <c r="QYA341" s="288" t="s">
        <v>598</v>
      </c>
      <c r="QYB341" s="288" t="s">
        <v>598</v>
      </c>
      <c r="QYC341" s="288" t="s">
        <v>598</v>
      </c>
      <c r="QYD341" s="288" t="s">
        <v>598</v>
      </c>
      <c r="QYE341" s="288" t="s">
        <v>598</v>
      </c>
      <c r="QYF341" s="288" t="s">
        <v>598</v>
      </c>
      <c r="QYG341" s="288" t="s">
        <v>598</v>
      </c>
      <c r="QYH341" s="288" t="s">
        <v>598</v>
      </c>
      <c r="QYI341" s="288" t="s">
        <v>598</v>
      </c>
      <c r="QYJ341" s="288" t="s">
        <v>598</v>
      </c>
      <c r="QYK341" s="288" t="s">
        <v>598</v>
      </c>
      <c r="QYL341" s="288" t="s">
        <v>598</v>
      </c>
      <c r="QYM341" s="288" t="s">
        <v>598</v>
      </c>
      <c r="QYN341" s="288" t="s">
        <v>598</v>
      </c>
      <c r="QYO341" s="288" t="s">
        <v>598</v>
      </c>
      <c r="QYP341" s="288" t="s">
        <v>598</v>
      </c>
      <c r="QYQ341" s="288" t="s">
        <v>598</v>
      </c>
      <c r="QYR341" s="288" t="s">
        <v>598</v>
      </c>
      <c r="QYS341" s="288" t="s">
        <v>598</v>
      </c>
      <c r="QYT341" s="288" t="s">
        <v>598</v>
      </c>
      <c r="QYU341" s="288" t="s">
        <v>598</v>
      </c>
      <c r="QYV341" s="288" t="s">
        <v>598</v>
      </c>
      <c r="QYW341" s="288" t="s">
        <v>598</v>
      </c>
      <c r="QYX341" s="288" t="s">
        <v>598</v>
      </c>
      <c r="QYY341" s="288" t="s">
        <v>598</v>
      </c>
      <c r="QYZ341" s="288" t="s">
        <v>598</v>
      </c>
      <c r="QZA341" s="288" t="s">
        <v>598</v>
      </c>
      <c r="QZB341" s="288" t="s">
        <v>598</v>
      </c>
      <c r="QZC341" s="288" t="s">
        <v>598</v>
      </c>
      <c r="QZD341" s="288" t="s">
        <v>598</v>
      </c>
      <c r="QZE341" s="288" t="s">
        <v>598</v>
      </c>
      <c r="QZF341" s="288" t="s">
        <v>598</v>
      </c>
      <c r="QZG341" s="288" t="s">
        <v>598</v>
      </c>
      <c r="QZH341" s="288" t="s">
        <v>598</v>
      </c>
      <c r="QZI341" s="288" t="s">
        <v>598</v>
      </c>
      <c r="QZJ341" s="288" t="s">
        <v>598</v>
      </c>
      <c r="QZK341" s="288" t="s">
        <v>598</v>
      </c>
      <c r="QZL341" s="288" t="s">
        <v>598</v>
      </c>
      <c r="QZM341" s="288" t="s">
        <v>598</v>
      </c>
      <c r="QZN341" s="288" t="s">
        <v>598</v>
      </c>
      <c r="QZO341" s="288" t="s">
        <v>598</v>
      </c>
      <c r="QZP341" s="288" t="s">
        <v>598</v>
      </c>
      <c r="QZQ341" s="288" t="s">
        <v>598</v>
      </c>
      <c r="QZR341" s="288" t="s">
        <v>598</v>
      </c>
      <c r="QZS341" s="288" t="s">
        <v>598</v>
      </c>
      <c r="QZT341" s="288" t="s">
        <v>598</v>
      </c>
      <c r="QZU341" s="288" t="s">
        <v>598</v>
      </c>
      <c r="QZV341" s="288" t="s">
        <v>598</v>
      </c>
      <c r="QZW341" s="288" t="s">
        <v>598</v>
      </c>
      <c r="QZX341" s="288" t="s">
        <v>598</v>
      </c>
      <c r="QZY341" s="288" t="s">
        <v>598</v>
      </c>
      <c r="QZZ341" s="288" t="s">
        <v>598</v>
      </c>
      <c r="RAA341" s="288" t="s">
        <v>598</v>
      </c>
      <c r="RAB341" s="288" t="s">
        <v>598</v>
      </c>
      <c r="RAC341" s="288" t="s">
        <v>598</v>
      </c>
      <c r="RAD341" s="288" t="s">
        <v>598</v>
      </c>
      <c r="RAE341" s="288" t="s">
        <v>598</v>
      </c>
      <c r="RAF341" s="288" t="s">
        <v>598</v>
      </c>
      <c r="RAG341" s="288" t="s">
        <v>598</v>
      </c>
      <c r="RAH341" s="288" t="s">
        <v>598</v>
      </c>
      <c r="RAI341" s="288" t="s">
        <v>598</v>
      </c>
      <c r="RAJ341" s="288" t="s">
        <v>598</v>
      </c>
      <c r="RAK341" s="288" t="s">
        <v>598</v>
      </c>
      <c r="RAL341" s="288" t="s">
        <v>598</v>
      </c>
      <c r="RAM341" s="288" t="s">
        <v>598</v>
      </c>
      <c r="RAN341" s="288" t="s">
        <v>598</v>
      </c>
      <c r="RAO341" s="288" t="s">
        <v>598</v>
      </c>
      <c r="RAP341" s="288" t="s">
        <v>598</v>
      </c>
      <c r="RAQ341" s="288" t="s">
        <v>598</v>
      </c>
      <c r="RAR341" s="288" t="s">
        <v>598</v>
      </c>
      <c r="RAS341" s="288" t="s">
        <v>598</v>
      </c>
      <c r="RAT341" s="288" t="s">
        <v>598</v>
      </c>
      <c r="RAU341" s="288" t="s">
        <v>598</v>
      </c>
      <c r="RAV341" s="288" t="s">
        <v>598</v>
      </c>
      <c r="RAW341" s="288" t="s">
        <v>598</v>
      </c>
      <c r="RAX341" s="288" t="s">
        <v>598</v>
      </c>
      <c r="RAY341" s="288" t="s">
        <v>598</v>
      </c>
      <c r="RAZ341" s="288" t="s">
        <v>598</v>
      </c>
      <c r="RBA341" s="288" t="s">
        <v>598</v>
      </c>
      <c r="RBB341" s="288" t="s">
        <v>598</v>
      </c>
      <c r="RBC341" s="288" t="s">
        <v>598</v>
      </c>
      <c r="RBD341" s="288" t="s">
        <v>598</v>
      </c>
      <c r="RBE341" s="288" t="s">
        <v>598</v>
      </c>
      <c r="RBF341" s="288" t="s">
        <v>598</v>
      </c>
      <c r="RBG341" s="288" t="s">
        <v>598</v>
      </c>
      <c r="RBH341" s="288" t="s">
        <v>598</v>
      </c>
      <c r="RBI341" s="288" t="s">
        <v>598</v>
      </c>
      <c r="RBJ341" s="288" t="s">
        <v>598</v>
      </c>
      <c r="RBK341" s="288" t="s">
        <v>598</v>
      </c>
      <c r="RBL341" s="288" t="s">
        <v>598</v>
      </c>
      <c r="RBM341" s="288" t="s">
        <v>598</v>
      </c>
      <c r="RBN341" s="288" t="s">
        <v>598</v>
      </c>
      <c r="RBO341" s="288" t="s">
        <v>598</v>
      </c>
      <c r="RBP341" s="288" t="s">
        <v>598</v>
      </c>
      <c r="RBQ341" s="288" t="s">
        <v>598</v>
      </c>
      <c r="RBR341" s="288" t="s">
        <v>598</v>
      </c>
      <c r="RBS341" s="288" t="s">
        <v>598</v>
      </c>
      <c r="RBT341" s="288" t="s">
        <v>598</v>
      </c>
      <c r="RBU341" s="288" t="s">
        <v>598</v>
      </c>
      <c r="RBV341" s="288" t="s">
        <v>598</v>
      </c>
      <c r="RBW341" s="288" t="s">
        <v>598</v>
      </c>
      <c r="RBX341" s="288" t="s">
        <v>598</v>
      </c>
      <c r="RBY341" s="288" t="s">
        <v>598</v>
      </c>
      <c r="RBZ341" s="288" t="s">
        <v>598</v>
      </c>
      <c r="RCA341" s="288" t="s">
        <v>598</v>
      </c>
      <c r="RCB341" s="288" t="s">
        <v>598</v>
      </c>
      <c r="RCC341" s="288" t="s">
        <v>598</v>
      </c>
      <c r="RCD341" s="288" t="s">
        <v>598</v>
      </c>
      <c r="RCE341" s="288" t="s">
        <v>598</v>
      </c>
      <c r="RCF341" s="288" t="s">
        <v>598</v>
      </c>
      <c r="RCG341" s="288" t="s">
        <v>598</v>
      </c>
      <c r="RCH341" s="288" t="s">
        <v>598</v>
      </c>
      <c r="RCI341" s="288" t="s">
        <v>598</v>
      </c>
      <c r="RCJ341" s="288" t="s">
        <v>598</v>
      </c>
      <c r="RCK341" s="288" t="s">
        <v>598</v>
      </c>
      <c r="RCL341" s="288" t="s">
        <v>598</v>
      </c>
      <c r="RCM341" s="288" t="s">
        <v>598</v>
      </c>
      <c r="RCN341" s="288" t="s">
        <v>598</v>
      </c>
      <c r="RCO341" s="288" t="s">
        <v>598</v>
      </c>
      <c r="RCP341" s="288" t="s">
        <v>598</v>
      </c>
      <c r="RCQ341" s="288" t="s">
        <v>598</v>
      </c>
      <c r="RCR341" s="288" t="s">
        <v>598</v>
      </c>
      <c r="RCS341" s="288" t="s">
        <v>598</v>
      </c>
      <c r="RCT341" s="288" t="s">
        <v>598</v>
      </c>
      <c r="RCU341" s="288" t="s">
        <v>598</v>
      </c>
      <c r="RCV341" s="288" t="s">
        <v>598</v>
      </c>
      <c r="RCW341" s="288" t="s">
        <v>598</v>
      </c>
      <c r="RCX341" s="288" t="s">
        <v>598</v>
      </c>
      <c r="RCY341" s="288" t="s">
        <v>598</v>
      </c>
      <c r="RCZ341" s="288" t="s">
        <v>598</v>
      </c>
      <c r="RDA341" s="288" t="s">
        <v>598</v>
      </c>
      <c r="RDB341" s="288" t="s">
        <v>598</v>
      </c>
      <c r="RDC341" s="288" t="s">
        <v>598</v>
      </c>
      <c r="RDD341" s="288" t="s">
        <v>598</v>
      </c>
      <c r="RDE341" s="288" t="s">
        <v>598</v>
      </c>
      <c r="RDF341" s="288" t="s">
        <v>598</v>
      </c>
      <c r="RDG341" s="288" t="s">
        <v>598</v>
      </c>
      <c r="RDH341" s="288" t="s">
        <v>598</v>
      </c>
      <c r="RDI341" s="288" t="s">
        <v>598</v>
      </c>
      <c r="RDJ341" s="288" t="s">
        <v>598</v>
      </c>
      <c r="RDK341" s="288" t="s">
        <v>598</v>
      </c>
      <c r="RDL341" s="288" t="s">
        <v>598</v>
      </c>
      <c r="RDM341" s="288" t="s">
        <v>598</v>
      </c>
      <c r="RDN341" s="288" t="s">
        <v>598</v>
      </c>
      <c r="RDO341" s="288" t="s">
        <v>598</v>
      </c>
      <c r="RDP341" s="288" t="s">
        <v>598</v>
      </c>
      <c r="RDQ341" s="288" t="s">
        <v>598</v>
      </c>
      <c r="RDR341" s="288" t="s">
        <v>598</v>
      </c>
      <c r="RDS341" s="288" t="s">
        <v>598</v>
      </c>
      <c r="RDT341" s="288" t="s">
        <v>598</v>
      </c>
      <c r="RDU341" s="288" t="s">
        <v>598</v>
      </c>
      <c r="RDV341" s="288" t="s">
        <v>598</v>
      </c>
      <c r="RDW341" s="288" t="s">
        <v>598</v>
      </c>
      <c r="RDX341" s="288" t="s">
        <v>598</v>
      </c>
      <c r="RDY341" s="288" t="s">
        <v>598</v>
      </c>
      <c r="RDZ341" s="288" t="s">
        <v>598</v>
      </c>
      <c r="REA341" s="288" t="s">
        <v>598</v>
      </c>
      <c r="REB341" s="288" t="s">
        <v>598</v>
      </c>
      <c r="REC341" s="288" t="s">
        <v>598</v>
      </c>
      <c r="RED341" s="288" t="s">
        <v>598</v>
      </c>
      <c r="REE341" s="288" t="s">
        <v>598</v>
      </c>
      <c r="REF341" s="288" t="s">
        <v>598</v>
      </c>
      <c r="REG341" s="288" t="s">
        <v>598</v>
      </c>
      <c r="REH341" s="288" t="s">
        <v>598</v>
      </c>
      <c r="REI341" s="288" t="s">
        <v>598</v>
      </c>
      <c r="REJ341" s="288" t="s">
        <v>598</v>
      </c>
      <c r="REK341" s="288" t="s">
        <v>598</v>
      </c>
      <c r="REL341" s="288" t="s">
        <v>598</v>
      </c>
      <c r="REM341" s="288" t="s">
        <v>598</v>
      </c>
      <c r="REN341" s="288" t="s">
        <v>598</v>
      </c>
      <c r="REO341" s="288" t="s">
        <v>598</v>
      </c>
      <c r="REP341" s="288" t="s">
        <v>598</v>
      </c>
      <c r="REQ341" s="288" t="s">
        <v>598</v>
      </c>
      <c r="RER341" s="288" t="s">
        <v>598</v>
      </c>
      <c r="RES341" s="288" t="s">
        <v>598</v>
      </c>
      <c r="RET341" s="288" t="s">
        <v>598</v>
      </c>
      <c r="REU341" s="288" t="s">
        <v>598</v>
      </c>
      <c r="REV341" s="288" t="s">
        <v>598</v>
      </c>
      <c r="REW341" s="288" t="s">
        <v>598</v>
      </c>
      <c r="REX341" s="288" t="s">
        <v>598</v>
      </c>
      <c r="REY341" s="288" t="s">
        <v>598</v>
      </c>
      <c r="REZ341" s="288" t="s">
        <v>598</v>
      </c>
      <c r="RFA341" s="288" t="s">
        <v>598</v>
      </c>
      <c r="RFB341" s="288" t="s">
        <v>598</v>
      </c>
      <c r="RFC341" s="288" t="s">
        <v>598</v>
      </c>
      <c r="RFD341" s="288" t="s">
        <v>598</v>
      </c>
      <c r="RFE341" s="288" t="s">
        <v>598</v>
      </c>
      <c r="RFF341" s="288" t="s">
        <v>598</v>
      </c>
      <c r="RFG341" s="288" t="s">
        <v>598</v>
      </c>
      <c r="RFH341" s="288" t="s">
        <v>598</v>
      </c>
      <c r="RFI341" s="288" t="s">
        <v>598</v>
      </c>
      <c r="RFJ341" s="288" t="s">
        <v>598</v>
      </c>
      <c r="RFK341" s="288" t="s">
        <v>598</v>
      </c>
      <c r="RFL341" s="288" t="s">
        <v>598</v>
      </c>
      <c r="RFM341" s="288" t="s">
        <v>598</v>
      </c>
      <c r="RFN341" s="288" t="s">
        <v>598</v>
      </c>
      <c r="RFO341" s="288" t="s">
        <v>598</v>
      </c>
      <c r="RFP341" s="288" t="s">
        <v>598</v>
      </c>
      <c r="RFQ341" s="288" t="s">
        <v>598</v>
      </c>
      <c r="RFR341" s="288" t="s">
        <v>598</v>
      </c>
      <c r="RFS341" s="288" t="s">
        <v>598</v>
      </c>
      <c r="RFT341" s="288" t="s">
        <v>598</v>
      </c>
      <c r="RFU341" s="288" t="s">
        <v>598</v>
      </c>
      <c r="RFV341" s="288" t="s">
        <v>598</v>
      </c>
      <c r="RFW341" s="288" t="s">
        <v>598</v>
      </c>
      <c r="RFX341" s="288" t="s">
        <v>598</v>
      </c>
      <c r="RFY341" s="288" t="s">
        <v>598</v>
      </c>
      <c r="RFZ341" s="288" t="s">
        <v>598</v>
      </c>
      <c r="RGA341" s="288" t="s">
        <v>598</v>
      </c>
      <c r="RGB341" s="288" t="s">
        <v>598</v>
      </c>
      <c r="RGC341" s="288" t="s">
        <v>598</v>
      </c>
      <c r="RGD341" s="288" t="s">
        <v>598</v>
      </c>
      <c r="RGE341" s="288" t="s">
        <v>598</v>
      </c>
      <c r="RGF341" s="288" t="s">
        <v>598</v>
      </c>
      <c r="RGG341" s="288" t="s">
        <v>598</v>
      </c>
      <c r="RGH341" s="288" t="s">
        <v>598</v>
      </c>
      <c r="RGI341" s="288" t="s">
        <v>598</v>
      </c>
      <c r="RGJ341" s="288" t="s">
        <v>598</v>
      </c>
      <c r="RGK341" s="288" t="s">
        <v>598</v>
      </c>
      <c r="RGL341" s="288" t="s">
        <v>598</v>
      </c>
      <c r="RGM341" s="288" t="s">
        <v>598</v>
      </c>
      <c r="RGN341" s="288" t="s">
        <v>598</v>
      </c>
      <c r="RGO341" s="288" t="s">
        <v>598</v>
      </c>
      <c r="RGP341" s="288" t="s">
        <v>598</v>
      </c>
      <c r="RGQ341" s="288" t="s">
        <v>598</v>
      </c>
      <c r="RGR341" s="288" t="s">
        <v>598</v>
      </c>
      <c r="RGS341" s="288" t="s">
        <v>598</v>
      </c>
      <c r="RGT341" s="288" t="s">
        <v>598</v>
      </c>
      <c r="RGU341" s="288" t="s">
        <v>598</v>
      </c>
      <c r="RGV341" s="288" t="s">
        <v>598</v>
      </c>
      <c r="RGW341" s="288" t="s">
        <v>598</v>
      </c>
      <c r="RGX341" s="288" t="s">
        <v>598</v>
      </c>
      <c r="RGY341" s="288" t="s">
        <v>598</v>
      </c>
      <c r="RGZ341" s="288" t="s">
        <v>598</v>
      </c>
      <c r="RHA341" s="288" t="s">
        <v>598</v>
      </c>
      <c r="RHB341" s="288" t="s">
        <v>598</v>
      </c>
      <c r="RHC341" s="288" t="s">
        <v>598</v>
      </c>
      <c r="RHD341" s="288" t="s">
        <v>598</v>
      </c>
      <c r="RHE341" s="288" t="s">
        <v>598</v>
      </c>
      <c r="RHF341" s="288" t="s">
        <v>598</v>
      </c>
      <c r="RHG341" s="288" t="s">
        <v>598</v>
      </c>
      <c r="RHH341" s="288" t="s">
        <v>598</v>
      </c>
      <c r="RHI341" s="288" t="s">
        <v>598</v>
      </c>
      <c r="RHJ341" s="288" t="s">
        <v>598</v>
      </c>
      <c r="RHK341" s="288" t="s">
        <v>598</v>
      </c>
      <c r="RHL341" s="288" t="s">
        <v>598</v>
      </c>
      <c r="RHM341" s="288" t="s">
        <v>598</v>
      </c>
      <c r="RHN341" s="288" t="s">
        <v>598</v>
      </c>
      <c r="RHO341" s="288" t="s">
        <v>598</v>
      </c>
      <c r="RHP341" s="288" t="s">
        <v>598</v>
      </c>
      <c r="RHQ341" s="288" t="s">
        <v>598</v>
      </c>
      <c r="RHR341" s="288" t="s">
        <v>598</v>
      </c>
      <c r="RHS341" s="288" t="s">
        <v>598</v>
      </c>
      <c r="RHT341" s="288" t="s">
        <v>598</v>
      </c>
      <c r="RHU341" s="288" t="s">
        <v>598</v>
      </c>
      <c r="RHV341" s="288" t="s">
        <v>598</v>
      </c>
      <c r="RHW341" s="288" t="s">
        <v>598</v>
      </c>
      <c r="RHX341" s="288" t="s">
        <v>598</v>
      </c>
      <c r="RHY341" s="288" t="s">
        <v>598</v>
      </c>
      <c r="RHZ341" s="288" t="s">
        <v>598</v>
      </c>
      <c r="RIA341" s="288" t="s">
        <v>598</v>
      </c>
      <c r="RIB341" s="288" t="s">
        <v>598</v>
      </c>
      <c r="RIC341" s="288" t="s">
        <v>598</v>
      </c>
      <c r="RID341" s="288" t="s">
        <v>598</v>
      </c>
      <c r="RIE341" s="288" t="s">
        <v>598</v>
      </c>
      <c r="RIF341" s="288" t="s">
        <v>598</v>
      </c>
      <c r="RIG341" s="288" t="s">
        <v>598</v>
      </c>
      <c r="RIH341" s="288" t="s">
        <v>598</v>
      </c>
      <c r="RII341" s="288" t="s">
        <v>598</v>
      </c>
      <c r="RIJ341" s="288" t="s">
        <v>598</v>
      </c>
      <c r="RIK341" s="288" t="s">
        <v>598</v>
      </c>
      <c r="RIL341" s="288" t="s">
        <v>598</v>
      </c>
      <c r="RIM341" s="288" t="s">
        <v>598</v>
      </c>
      <c r="RIN341" s="288" t="s">
        <v>598</v>
      </c>
      <c r="RIO341" s="288" t="s">
        <v>598</v>
      </c>
      <c r="RIP341" s="288" t="s">
        <v>598</v>
      </c>
      <c r="RIQ341" s="288" t="s">
        <v>598</v>
      </c>
      <c r="RIR341" s="288" t="s">
        <v>598</v>
      </c>
      <c r="RIS341" s="288" t="s">
        <v>598</v>
      </c>
      <c r="RIT341" s="288" t="s">
        <v>598</v>
      </c>
      <c r="RIU341" s="288" t="s">
        <v>598</v>
      </c>
      <c r="RIV341" s="288" t="s">
        <v>598</v>
      </c>
      <c r="RIW341" s="288" t="s">
        <v>598</v>
      </c>
      <c r="RIX341" s="288" t="s">
        <v>598</v>
      </c>
      <c r="RIY341" s="288" t="s">
        <v>598</v>
      </c>
      <c r="RIZ341" s="288" t="s">
        <v>598</v>
      </c>
      <c r="RJA341" s="288" t="s">
        <v>598</v>
      </c>
      <c r="RJB341" s="288" t="s">
        <v>598</v>
      </c>
      <c r="RJC341" s="288" t="s">
        <v>598</v>
      </c>
      <c r="RJD341" s="288" t="s">
        <v>598</v>
      </c>
      <c r="RJE341" s="288" t="s">
        <v>598</v>
      </c>
      <c r="RJF341" s="288" t="s">
        <v>598</v>
      </c>
      <c r="RJG341" s="288" t="s">
        <v>598</v>
      </c>
      <c r="RJH341" s="288" t="s">
        <v>598</v>
      </c>
      <c r="RJI341" s="288" t="s">
        <v>598</v>
      </c>
      <c r="RJJ341" s="288" t="s">
        <v>598</v>
      </c>
      <c r="RJK341" s="288" t="s">
        <v>598</v>
      </c>
      <c r="RJL341" s="288" t="s">
        <v>598</v>
      </c>
      <c r="RJM341" s="288" t="s">
        <v>598</v>
      </c>
      <c r="RJN341" s="288" t="s">
        <v>598</v>
      </c>
      <c r="RJO341" s="288" t="s">
        <v>598</v>
      </c>
      <c r="RJP341" s="288" t="s">
        <v>598</v>
      </c>
      <c r="RJQ341" s="288" t="s">
        <v>598</v>
      </c>
      <c r="RJR341" s="288" t="s">
        <v>598</v>
      </c>
      <c r="RJS341" s="288" t="s">
        <v>598</v>
      </c>
      <c r="RJT341" s="288" t="s">
        <v>598</v>
      </c>
      <c r="RJU341" s="288" t="s">
        <v>598</v>
      </c>
      <c r="RJV341" s="288" t="s">
        <v>598</v>
      </c>
      <c r="RJW341" s="288" t="s">
        <v>598</v>
      </c>
      <c r="RJX341" s="288" t="s">
        <v>598</v>
      </c>
      <c r="RJY341" s="288" t="s">
        <v>598</v>
      </c>
      <c r="RJZ341" s="288" t="s">
        <v>598</v>
      </c>
      <c r="RKA341" s="288" t="s">
        <v>598</v>
      </c>
      <c r="RKB341" s="288" t="s">
        <v>598</v>
      </c>
      <c r="RKC341" s="288" t="s">
        <v>598</v>
      </c>
      <c r="RKD341" s="288" t="s">
        <v>598</v>
      </c>
      <c r="RKE341" s="288" t="s">
        <v>598</v>
      </c>
      <c r="RKF341" s="288" t="s">
        <v>598</v>
      </c>
      <c r="RKG341" s="288" t="s">
        <v>598</v>
      </c>
      <c r="RKH341" s="288" t="s">
        <v>598</v>
      </c>
      <c r="RKI341" s="288" t="s">
        <v>598</v>
      </c>
      <c r="RKJ341" s="288" t="s">
        <v>598</v>
      </c>
      <c r="RKK341" s="288" t="s">
        <v>598</v>
      </c>
      <c r="RKL341" s="288" t="s">
        <v>598</v>
      </c>
      <c r="RKM341" s="288" t="s">
        <v>598</v>
      </c>
      <c r="RKN341" s="288" t="s">
        <v>598</v>
      </c>
      <c r="RKO341" s="288" t="s">
        <v>598</v>
      </c>
      <c r="RKP341" s="288" t="s">
        <v>598</v>
      </c>
      <c r="RKQ341" s="288" t="s">
        <v>598</v>
      </c>
      <c r="RKR341" s="288" t="s">
        <v>598</v>
      </c>
      <c r="RKS341" s="288" t="s">
        <v>598</v>
      </c>
      <c r="RKT341" s="288" t="s">
        <v>598</v>
      </c>
      <c r="RKU341" s="288" t="s">
        <v>598</v>
      </c>
      <c r="RKV341" s="288" t="s">
        <v>598</v>
      </c>
      <c r="RKW341" s="288" t="s">
        <v>598</v>
      </c>
      <c r="RKX341" s="288" t="s">
        <v>598</v>
      </c>
      <c r="RKY341" s="288" t="s">
        <v>598</v>
      </c>
      <c r="RKZ341" s="288" t="s">
        <v>598</v>
      </c>
      <c r="RLA341" s="288" t="s">
        <v>598</v>
      </c>
      <c r="RLB341" s="288" t="s">
        <v>598</v>
      </c>
      <c r="RLC341" s="288" t="s">
        <v>598</v>
      </c>
      <c r="RLD341" s="288" t="s">
        <v>598</v>
      </c>
      <c r="RLE341" s="288" t="s">
        <v>598</v>
      </c>
      <c r="RLF341" s="288" t="s">
        <v>598</v>
      </c>
      <c r="RLG341" s="288" t="s">
        <v>598</v>
      </c>
      <c r="RLH341" s="288" t="s">
        <v>598</v>
      </c>
      <c r="RLI341" s="288" t="s">
        <v>598</v>
      </c>
      <c r="RLJ341" s="288" t="s">
        <v>598</v>
      </c>
      <c r="RLK341" s="288" t="s">
        <v>598</v>
      </c>
      <c r="RLL341" s="288" t="s">
        <v>598</v>
      </c>
      <c r="RLM341" s="288" t="s">
        <v>598</v>
      </c>
      <c r="RLN341" s="288" t="s">
        <v>598</v>
      </c>
      <c r="RLO341" s="288" t="s">
        <v>598</v>
      </c>
      <c r="RLP341" s="288" t="s">
        <v>598</v>
      </c>
      <c r="RLQ341" s="288" t="s">
        <v>598</v>
      </c>
      <c r="RLR341" s="288" t="s">
        <v>598</v>
      </c>
      <c r="RLS341" s="288" t="s">
        <v>598</v>
      </c>
      <c r="RLT341" s="288" t="s">
        <v>598</v>
      </c>
      <c r="RLU341" s="288" t="s">
        <v>598</v>
      </c>
      <c r="RLV341" s="288" t="s">
        <v>598</v>
      </c>
      <c r="RLW341" s="288" t="s">
        <v>598</v>
      </c>
      <c r="RLX341" s="288" t="s">
        <v>598</v>
      </c>
      <c r="RLY341" s="288" t="s">
        <v>598</v>
      </c>
      <c r="RLZ341" s="288" t="s">
        <v>598</v>
      </c>
      <c r="RMA341" s="288" t="s">
        <v>598</v>
      </c>
      <c r="RMB341" s="288" t="s">
        <v>598</v>
      </c>
      <c r="RMC341" s="288" t="s">
        <v>598</v>
      </c>
      <c r="RMD341" s="288" t="s">
        <v>598</v>
      </c>
      <c r="RME341" s="288" t="s">
        <v>598</v>
      </c>
      <c r="RMF341" s="288" t="s">
        <v>598</v>
      </c>
      <c r="RMG341" s="288" t="s">
        <v>598</v>
      </c>
      <c r="RMH341" s="288" t="s">
        <v>598</v>
      </c>
      <c r="RMI341" s="288" t="s">
        <v>598</v>
      </c>
      <c r="RMJ341" s="288" t="s">
        <v>598</v>
      </c>
      <c r="RMK341" s="288" t="s">
        <v>598</v>
      </c>
      <c r="RML341" s="288" t="s">
        <v>598</v>
      </c>
      <c r="RMM341" s="288" t="s">
        <v>598</v>
      </c>
      <c r="RMN341" s="288" t="s">
        <v>598</v>
      </c>
      <c r="RMO341" s="288" t="s">
        <v>598</v>
      </c>
      <c r="RMP341" s="288" t="s">
        <v>598</v>
      </c>
      <c r="RMQ341" s="288" t="s">
        <v>598</v>
      </c>
      <c r="RMR341" s="288" t="s">
        <v>598</v>
      </c>
      <c r="RMS341" s="288" t="s">
        <v>598</v>
      </c>
      <c r="RMT341" s="288" t="s">
        <v>598</v>
      </c>
      <c r="RMU341" s="288" t="s">
        <v>598</v>
      </c>
      <c r="RMV341" s="288" t="s">
        <v>598</v>
      </c>
      <c r="RMW341" s="288" t="s">
        <v>598</v>
      </c>
      <c r="RMX341" s="288" t="s">
        <v>598</v>
      </c>
      <c r="RMY341" s="288" t="s">
        <v>598</v>
      </c>
      <c r="RMZ341" s="288" t="s">
        <v>598</v>
      </c>
      <c r="RNA341" s="288" t="s">
        <v>598</v>
      </c>
      <c r="RNB341" s="288" t="s">
        <v>598</v>
      </c>
      <c r="RNC341" s="288" t="s">
        <v>598</v>
      </c>
      <c r="RND341" s="288" t="s">
        <v>598</v>
      </c>
      <c r="RNE341" s="288" t="s">
        <v>598</v>
      </c>
      <c r="RNF341" s="288" t="s">
        <v>598</v>
      </c>
      <c r="RNG341" s="288" t="s">
        <v>598</v>
      </c>
      <c r="RNH341" s="288" t="s">
        <v>598</v>
      </c>
      <c r="RNI341" s="288" t="s">
        <v>598</v>
      </c>
      <c r="RNJ341" s="288" t="s">
        <v>598</v>
      </c>
      <c r="RNK341" s="288" t="s">
        <v>598</v>
      </c>
      <c r="RNL341" s="288" t="s">
        <v>598</v>
      </c>
      <c r="RNM341" s="288" t="s">
        <v>598</v>
      </c>
      <c r="RNN341" s="288" t="s">
        <v>598</v>
      </c>
      <c r="RNO341" s="288" t="s">
        <v>598</v>
      </c>
      <c r="RNP341" s="288" t="s">
        <v>598</v>
      </c>
      <c r="RNQ341" s="288" t="s">
        <v>598</v>
      </c>
      <c r="RNR341" s="288" t="s">
        <v>598</v>
      </c>
      <c r="RNS341" s="288" t="s">
        <v>598</v>
      </c>
      <c r="RNT341" s="288" t="s">
        <v>598</v>
      </c>
      <c r="RNU341" s="288" t="s">
        <v>598</v>
      </c>
      <c r="RNV341" s="288" t="s">
        <v>598</v>
      </c>
      <c r="RNW341" s="288" t="s">
        <v>598</v>
      </c>
      <c r="RNX341" s="288" t="s">
        <v>598</v>
      </c>
      <c r="RNY341" s="288" t="s">
        <v>598</v>
      </c>
      <c r="RNZ341" s="288" t="s">
        <v>598</v>
      </c>
      <c r="ROA341" s="288" t="s">
        <v>598</v>
      </c>
      <c r="ROB341" s="288" t="s">
        <v>598</v>
      </c>
      <c r="ROC341" s="288" t="s">
        <v>598</v>
      </c>
      <c r="ROD341" s="288" t="s">
        <v>598</v>
      </c>
      <c r="ROE341" s="288" t="s">
        <v>598</v>
      </c>
      <c r="ROF341" s="288" t="s">
        <v>598</v>
      </c>
      <c r="ROG341" s="288" t="s">
        <v>598</v>
      </c>
      <c r="ROH341" s="288" t="s">
        <v>598</v>
      </c>
      <c r="ROI341" s="288" t="s">
        <v>598</v>
      </c>
      <c r="ROJ341" s="288" t="s">
        <v>598</v>
      </c>
      <c r="ROK341" s="288" t="s">
        <v>598</v>
      </c>
      <c r="ROL341" s="288" t="s">
        <v>598</v>
      </c>
      <c r="ROM341" s="288" t="s">
        <v>598</v>
      </c>
      <c r="RON341" s="288" t="s">
        <v>598</v>
      </c>
      <c r="ROO341" s="288" t="s">
        <v>598</v>
      </c>
      <c r="ROP341" s="288" t="s">
        <v>598</v>
      </c>
      <c r="ROQ341" s="288" t="s">
        <v>598</v>
      </c>
      <c r="ROR341" s="288" t="s">
        <v>598</v>
      </c>
      <c r="ROS341" s="288" t="s">
        <v>598</v>
      </c>
      <c r="ROT341" s="288" t="s">
        <v>598</v>
      </c>
      <c r="ROU341" s="288" t="s">
        <v>598</v>
      </c>
      <c r="ROV341" s="288" t="s">
        <v>598</v>
      </c>
      <c r="ROW341" s="288" t="s">
        <v>598</v>
      </c>
      <c r="ROX341" s="288" t="s">
        <v>598</v>
      </c>
      <c r="ROY341" s="288" t="s">
        <v>598</v>
      </c>
      <c r="ROZ341" s="288" t="s">
        <v>598</v>
      </c>
      <c r="RPA341" s="288" t="s">
        <v>598</v>
      </c>
      <c r="RPB341" s="288" t="s">
        <v>598</v>
      </c>
      <c r="RPC341" s="288" t="s">
        <v>598</v>
      </c>
      <c r="RPD341" s="288" t="s">
        <v>598</v>
      </c>
      <c r="RPE341" s="288" t="s">
        <v>598</v>
      </c>
      <c r="RPF341" s="288" t="s">
        <v>598</v>
      </c>
      <c r="RPG341" s="288" t="s">
        <v>598</v>
      </c>
      <c r="RPH341" s="288" t="s">
        <v>598</v>
      </c>
      <c r="RPI341" s="288" t="s">
        <v>598</v>
      </c>
      <c r="RPJ341" s="288" t="s">
        <v>598</v>
      </c>
      <c r="RPK341" s="288" t="s">
        <v>598</v>
      </c>
      <c r="RPL341" s="288" t="s">
        <v>598</v>
      </c>
      <c r="RPM341" s="288" t="s">
        <v>598</v>
      </c>
      <c r="RPN341" s="288" t="s">
        <v>598</v>
      </c>
      <c r="RPO341" s="288" t="s">
        <v>598</v>
      </c>
      <c r="RPP341" s="288" t="s">
        <v>598</v>
      </c>
      <c r="RPQ341" s="288" t="s">
        <v>598</v>
      </c>
      <c r="RPR341" s="288" t="s">
        <v>598</v>
      </c>
      <c r="RPS341" s="288" t="s">
        <v>598</v>
      </c>
      <c r="RPT341" s="288" t="s">
        <v>598</v>
      </c>
      <c r="RPU341" s="288" t="s">
        <v>598</v>
      </c>
      <c r="RPV341" s="288" t="s">
        <v>598</v>
      </c>
      <c r="RPW341" s="288" t="s">
        <v>598</v>
      </c>
      <c r="RPX341" s="288" t="s">
        <v>598</v>
      </c>
      <c r="RPY341" s="288" t="s">
        <v>598</v>
      </c>
      <c r="RPZ341" s="288" t="s">
        <v>598</v>
      </c>
      <c r="RQA341" s="288" t="s">
        <v>598</v>
      </c>
      <c r="RQB341" s="288" t="s">
        <v>598</v>
      </c>
      <c r="RQC341" s="288" t="s">
        <v>598</v>
      </c>
      <c r="RQD341" s="288" t="s">
        <v>598</v>
      </c>
      <c r="RQE341" s="288" t="s">
        <v>598</v>
      </c>
      <c r="RQF341" s="288" t="s">
        <v>598</v>
      </c>
      <c r="RQG341" s="288" t="s">
        <v>598</v>
      </c>
      <c r="RQH341" s="288" t="s">
        <v>598</v>
      </c>
      <c r="RQI341" s="288" t="s">
        <v>598</v>
      </c>
      <c r="RQJ341" s="288" t="s">
        <v>598</v>
      </c>
      <c r="RQK341" s="288" t="s">
        <v>598</v>
      </c>
      <c r="RQL341" s="288" t="s">
        <v>598</v>
      </c>
      <c r="RQM341" s="288" t="s">
        <v>598</v>
      </c>
      <c r="RQN341" s="288" t="s">
        <v>598</v>
      </c>
      <c r="RQO341" s="288" t="s">
        <v>598</v>
      </c>
      <c r="RQP341" s="288" t="s">
        <v>598</v>
      </c>
      <c r="RQQ341" s="288" t="s">
        <v>598</v>
      </c>
      <c r="RQR341" s="288" t="s">
        <v>598</v>
      </c>
      <c r="RQS341" s="288" t="s">
        <v>598</v>
      </c>
      <c r="RQT341" s="288" t="s">
        <v>598</v>
      </c>
      <c r="RQU341" s="288" t="s">
        <v>598</v>
      </c>
      <c r="RQV341" s="288" t="s">
        <v>598</v>
      </c>
      <c r="RQW341" s="288" t="s">
        <v>598</v>
      </c>
      <c r="RQX341" s="288" t="s">
        <v>598</v>
      </c>
      <c r="RQY341" s="288" t="s">
        <v>598</v>
      </c>
      <c r="RQZ341" s="288" t="s">
        <v>598</v>
      </c>
      <c r="RRA341" s="288" t="s">
        <v>598</v>
      </c>
      <c r="RRB341" s="288" t="s">
        <v>598</v>
      </c>
      <c r="RRC341" s="288" t="s">
        <v>598</v>
      </c>
      <c r="RRD341" s="288" t="s">
        <v>598</v>
      </c>
      <c r="RRE341" s="288" t="s">
        <v>598</v>
      </c>
      <c r="RRF341" s="288" t="s">
        <v>598</v>
      </c>
      <c r="RRG341" s="288" t="s">
        <v>598</v>
      </c>
      <c r="RRH341" s="288" t="s">
        <v>598</v>
      </c>
      <c r="RRI341" s="288" t="s">
        <v>598</v>
      </c>
      <c r="RRJ341" s="288" t="s">
        <v>598</v>
      </c>
      <c r="RRK341" s="288" t="s">
        <v>598</v>
      </c>
      <c r="RRL341" s="288" t="s">
        <v>598</v>
      </c>
      <c r="RRM341" s="288" t="s">
        <v>598</v>
      </c>
      <c r="RRN341" s="288" t="s">
        <v>598</v>
      </c>
      <c r="RRO341" s="288" t="s">
        <v>598</v>
      </c>
      <c r="RRP341" s="288" t="s">
        <v>598</v>
      </c>
      <c r="RRQ341" s="288" t="s">
        <v>598</v>
      </c>
      <c r="RRR341" s="288" t="s">
        <v>598</v>
      </c>
      <c r="RRS341" s="288" t="s">
        <v>598</v>
      </c>
      <c r="RRT341" s="288" t="s">
        <v>598</v>
      </c>
      <c r="RRU341" s="288" t="s">
        <v>598</v>
      </c>
      <c r="RRV341" s="288" t="s">
        <v>598</v>
      </c>
      <c r="RRW341" s="288" t="s">
        <v>598</v>
      </c>
      <c r="RRX341" s="288" t="s">
        <v>598</v>
      </c>
      <c r="RRY341" s="288" t="s">
        <v>598</v>
      </c>
      <c r="RRZ341" s="288" t="s">
        <v>598</v>
      </c>
      <c r="RSA341" s="288" t="s">
        <v>598</v>
      </c>
      <c r="RSB341" s="288" t="s">
        <v>598</v>
      </c>
      <c r="RSC341" s="288" t="s">
        <v>598</v>
      </c>
      <c r="RSD341" s="288" t="s">
        <v>598</v>
      </c>
      <c r="RSE341" s="288" t="s">
        <v>598</v>
      </c>
      <c r="RSF341" s="288" t="s">
        <v>598</v>
      </c>
      <c r="RSG341" s="288" t="s">
        <v>598</v>
      </c>
      <c r="RSH341" s="288" t="s">
        <v>598</v>
      </c>
      <c r="RSI341" s="288" t="s">
        <v>598</v>
      </c>
      <c r="RSJ341" s="288" t="s">
        <v>598</v>
      </c>
      <c r="RSK341" s="288" t="s">
        <v>598</v>
      </c>
      <c r="RSL341" s="288" t="s">
        <v>598</v>
      </c>
      <c r="RSM341" s="288" t="s">
        <v>598</v>
      </c>
      <c r="RSN341" s="288" t="s">
        <v>598</v>
      </c>
      <c r="RSO341" s="288" t="s">
        <v>598</v>
      </c>
      <c r="RSP341" s="288" t="s">
        <v>598</v>
      </c>
      <c r="RSQ341" s="288" t="s">
        <v>598</v>
      </c>
      <c r="RSR341" s="288" t="s">
        <v>598</v>
      </c>
      <c r="RSS341" s="288" t="s">
        <v>598</v>
      </c>
      <c r="RST341" s="288" t="s">
        <v>598</v>
      </c>
      <c r="RSU341" s="288" t="s">
        <v>598</v>
      </c>
      <c r="RSV341" s="288" t="s">
        <v>598</v>
      </c>
      <c r="RSW341" s="288" t="s">
        <v>598</v>
      </c>
      <c r="RSX341" s="288" t="s">
        <v>598</v>
      </c>
      <c r="RSY341" s="288" t="s">
        <v>598</v>
      </c>
      <c r="RSZ341" s="288" t="s">
        <v>598</v>
      </c>
      <c r="RTA341" s="288" t="s">
        <v>598</v>
      </c>
      <c r="RTB341" s="288" t="s">
        <v>598</v>
      </c>
      <c r="RTC341" s="288" t="s">
        <v>598</v>
      </c>
      <c r="RTD341" s="288" t="s">
        <v>598</v>
      </c>
      <c r="RTE341" s="288" t="s">
        <v>598</v>
      </c>
      <c r="RTF341" s="288" t="s">
        <v>598</v>
      </c>
      <c r="RTG341" s="288" t="s">
        <v>598</v>
      </c>
      <c r="RTH341" s="288" t="s">
        <v>598</v>
      </c>
      <c r="RTI341" s="288" t="s">
        <v>598</v>
      </c>
      <c r="RTJ341" s="288" t="s">
        <v>598</v>
      </c>
      <c r="RTK341" s="288" t="s">
        <v>598</v>
      </c>
      <c r="RTL341" s="288" t="s">
        <v>598</v>
      </c>
      <c r="RTM341" s="288" t="s">
        <v>598</v>
      </c>
      <c r="RTN341" s="288" t="s">
        <v>598</v>
      </c>
      <c r="RTO341" s="288" t="s">
        <v>598</v>
      </c>
      <c r="RTP341" s="288" t="s">
        <v>598</v>
      </c>
      <c r="RTQ341" s="288" t="s">
        <v>598</v>
      </c>
      <c r="RTR341" s="288" t="s">
        <v>598</v>
      </c>
      <c r="RTS341" s="288" t="s">
        <v>598</v>
      </c>
      <c r="RTT341" s="288" t="s">
        <v>598</v>
      </c>
      <c r="RTU341" s="288" t="s">
        <v>598</v>
      </c>
      <c r="RTV341" s="288" t="s">
        <v>598</v>
      </c>
      <c r="RTW341" s="288" t="s">
        <v>598</v>
      </c>
      <c r="RTX341" s="288" t="s">
        <v>598</v>
      </c>
      <c r="RTY341" s="288" t="s">
        <v>598</v>
      </c>
      <c r="RTZ341" s="288" t="s">
        <v>598</v>
      </c>
      <c r="RUA341" s="288" t="s">
        <v>598</v>
      </c>
      <c r="RUB341" s="288" t="s">
        <v>598</v>
      </c>
      <c r="RUC341" s="288" t="s">
        <v>598</v>
      </c>
      <c r="RUD341" s="288" t="s">
        <v>598</v>
      </c>
      <c r="RUE341" s="288" t="s">
        <v>598</v>
      </c>
      <c r="RUF341" s="288" t="s">
        <v>598</v>
      </c>
      <c r="RUG341" s="288" t="s">
        <v>598</v>
      </c>
      <c r="RUH341" s="288" t="s">
        <v>598</v>
      </c>
      <c r="RUI341" s="288" t="s">
        <v>598</v>
      </c>
      <c r="RUJ341" s="288" t="s">
        <v>598</v>
      </c>
      <c r="RUK341" s="288" t="s">
        <v>598</v>
      </c>
      <c r="RUL341" s="288" t="s">
        <v>598</v>
      </c>
      <c r="RUM341" s="288" t="s">
        <v>598</v>
      </c>
      <c r="RUN341" s="288" t="s">
        <v>598</v>
      </c>
      <c r="RUO341" s="288" t="s">
        <v>598</v>
      </c>
      <c r="RUP341" s="288" t="s">
        <v>598</v>
      </c>
      <c r="RUQ341" s="288" t="s">
        <v>598</v>
      </c>
      <c r="RUR341" s="288" t="s">
        <v>598</v>
      </c>
      <c r="RUS341" s="288" t="s">
        <v>598</v>
      </c>
      <c r="RUT341" s="288" t="s">
        <v>598</v>
      </c>
      <c r="RUU341" s="288" t="s">
        <v>598</v>
      </c>
      <c r="RUV341" s="288" t="s">
        <v>598</v>
      </c>
      <c r="RUW341" s="288" t="s">
        <v>598</v>
      </c>
      <c r="RUX341" s="288" t="s">
        <v>598</v>
      </c>
      <c r="RUY341" s="288" t="s">
        <v>598</v>
      </c>
      <c r="RUZ341" s="288" t="s">
        <v>598</v>
      </c>
      <c r="RVA341" s="288" t="s">
        <v>598</v>
      </c>
      <c r="RVB341" s="288" t="s">
        <v>598</v>
      </c>
      <c r="RVC341" s="288" t="s">
        <v>598</v>
      </c>
      <c r="RVD341" s="288" t="s">
        <v>598</v>
      </c>
      <c r="RVE341" s="288" t="s">
        <v>598</v>
      </c>
      <c r="RVF341" s="288" t="s">
        <v>598</v>
      </c>
      <c r="RVG341" s="288" t="s">
        <v>598</v>
      </c>
      <c r="RVH341" s="288" t="s">
        <v>598</v>
      </c>
      <c r="RVI341" s="288" t="s">
        <v>598</v>
      </c>
      <c r="RVJ341" s="288" t="s">
        <v>598</v>
      </c>
      <c r="RVK341" s="288" t="s">
        <v>598</v>
      </c>
      <c r="RVL341" s="288" t="s">
        <v>598</v>
      </c>
      <c r="RVM341" s="288" t="s">
        <v>598</v>
      </c>
      <c r="RVN341" s="288" t="s">
        <v>598</v>
      </c>
      <c r="RVO341" s="288" t="s">
        <v>598</v>
      </c>
      <c r="RVP341" s="288" t="s">
        <v>598</v>
      </c>
      <c r="RVQ341" s="288" t="s">
        <v>598</v>
      </c>
      <c r="RVR341" s="288" t="s">
        <v>598</v>
      </c>
      <c r="RVS341" s="288" t="s">
        <v>598</v>
      </c>
      <c r="RVT341" s="288" t="s">
        <v>598</v>
      </c>
      <c r="RVU341" s="288" t="s">
        <v>598</v>
      </c>
      <c r="RVV341" s="288" t="s">
        <v>598</v>
      </c>
      <c r="RVW341" s="288" t="s">
        <v>598</v>
      </c>
      <c r="RVX341" s="288" t="s">
        <v>598</v>
      </c>
      <c r="RVY341" s="288" t="s">
        <v>598</v>
      </c>
      <c r="RVZ341" s="288" t="s">
        <v>598</v>
      </c>
      <c r="RWA341" s="288" t="s">
        <v>598</v>
      </c>
      <c r="RWB341" s="288" t="s">
        <v>598</v>
      </c>
      <c r="RWC341" s="288" t="s">
        <v>598</v>
      </c>
      <c r="RWD341" s="288" t="s">
        <v>598</v>
      </c>
      <c r="RWE341" s="288" t="s">
        <v>598</v>
      </c>
      <c r="RWF341" s="288" t="s">
        <v>598</v>
      </c>
      <c r="RWG341" s="288" t="s">
        <v>598</v>
      </c>
      <c r="RWH341" s="288" t="s">
        <v>598</v>
      </c>
      <c r="RWI341" s="288" t="s">
        <v>598</v>
      </c>
      <c r="RWJ341" s="288" t="s">
        <v>598</v>
      </c>
      <c r="RWK341" s="288" t="s">
        <v>598</v>
      </c>
      <c r="RWL341" s="288" t="s">
        <v>598</v>
      </c>
      <c r="RWM341" s="288" t="s">
        <v>598</v>
      </c>
      <c r="RWN341" s="288" t="s">
        <v>598</v>
      </c>
      <c r="RWO341" s="288" t="s">
        <v>598</v>
      </c>
      <c r="RWP341" s="288" t="s">
        <v>598</v>
      </c>
      <c r="RWQ341" s="288" t="s">
        <v>598</v>
      </c>
      <c r="RWR341" s="288" t="s">
        <v>598</v>
      </c>
      <c r="RWS341" s="288" t="s">
        <v>598</v>
      </c>
      <c r="RWT341" s="288" t="s">
        <v>598</v>
      </c>
      <c r="RWU341" s="288" t="s">
        <v>598</v>
      </c>
      <c r="RWV341" s="288" t="s">
        <v>598</v>
      </c>
      <c r="RWW341" s="288" t="s">
        <v>598</v>
      </c>
      <c r="RWX341" s="288" t="s">
        <v>598</v>
      </c>
      <c r="RWY341" s="288" t="s">
        <v>598</v>
      </c>
      <c r="RWZ341" s="288" t="s">
        <v>598</v>
      </c>
      <c r="RXA341" s="288" t="s">
        <v>598</v>
      </c>
      <c r="RXB341" s="288" t="s">
        <v>598</v>
      </c>
      <c r="RXC341" s="288" t="s">
        <v>598</v>
      </c>
      <c r="RXD341" s="288" t="s">
        <v>598</v>
      </c>
      <c r="RXE341" s="288" t="s">
        <v>598</v>
      </c>
      <c r="RXF341" s="288" t="s">
        <v>598</v>
      </c>
      <c r="RXG341" s="288" t="s">
        <v>598</v>
      </c>
      <c r="RXH341" s="288" t="s">
        <v>598</v>
      </c>
      <c r="RXI341" s="288" t="s">
        <v>598</v>
      </c>
      <c r="RXJ341" s="288" t="s">
        <v>598</v>
      </c>
      <c r="RXK341" s="288" t="s">
        <v>598</v>
      </c>
      <c r="RXL341" s="288" t="s">
        <v>598</v>
      </c>
      <c r="RXM341" s="288" t="s">
        <v>598</v>
      </c>
      <c r="RXN341" s="288" t="s">
        <v>598</v>
      </c>
      <c r="RXO341" s="288" t="s">
        <v>598</v>
      </c>
      <c r="RXP341" s="288" t="s">
        <v>598</v>
      </c>
      <c r="RXQ341" s="288" t="s">
        <v>598</v>
      </c>
      <c r="RXR341" s="288" t="s">
        <v>598</v>
      </c>
      <c r="RXS341" s="288" t="s">
        <v>598</v>
      </c>
      <c r="RXT341" s="288" t="s">
        <v>598</v>
      </c>
      <c r="RXU341" s="288" t="s">
        <v>598</v>
      </c>
      <c r="RXV341" s="288" t="s">
        <v>598</v>
      </c>
      <c r="RXW341" s="288" t="s">
        <v>598</v>
      </c>
      <c r="RXX341" s="288" t="s">
        <v>598</v>
      </c>
      <c r="RXY341" s="288" t="s">
        <v>598</v>
      </c>
      <c r="RXZ341" s="288" t="s">
        <v>598</v>
      </c>
      <c r="RYA341" s="288" t="s">
        <v>598</v>
      </c>
      <c r="RYB341" s="288" t="s">
        <v>598</v>
      </c>
      <c r="RYC341" s="288" t="s">
        <v>598</v>
      </c>
      <c r="RYD341" s="288" t="s">
        <v>598</v>
      </c>
      <c r="RYE341" s="288" t="s">
        <v>598</v>
      </c>
      <c r="RYF341" s="288" t="s">
        <v>598</v>
      </c>
      <c r="RYG341" s="288" t="s">
        <v>598</v>
      </c>
      <c r="RYH341" s="288" t="s">
        <v>598</v>
      </c>
      <c r="RYI341" s="288" t="s">
        <v>598</v>
      </c>
      <c r="RYJ341" s="288" t="s">
        <v>598</v>
      </c>
      <c r="RYK341" s="288" t="s">
        <v>598</v>
      </c>
      <c r="RYL341" s="288" t="s">
        <v>598</v>
      </c>
      <c r="RYM341" s="288" t="s">
        <v>598</v>
      </c>
      <c r="RYN341" s="288" t="s">
        <v>598</v>
      </c>
      <c r="RYO341" s="288" t="s">
        <v>598</v>
      </c>
      <c r="RYP341" s="288" t="s">
        <v>598</v>
      </c>
      <c r="RYQ341" s="288" t="s">
        <v>598</v>
      </c>
      <c r="RYR341" s="288" t="s">
        <v>598</v>
      </c>
      <c r="RYS341" s="288" t="s">
        <v>598</v>
      </c>
      <c r="RYT341" s="288" t="s">
        <v>598</v>
      </c>
      <c r="RYU341" s="288" t="s">
        <v>598</v>
      </c>
      <c r="RYV341" s="288" t="s">
        <v>598</v>
      </c>
      <c r="RYW341" s="288" t="s">
        <v>598</v>
      </c>
      <c r="RYX341" s="288" t="s">
        <v>598</v>
      </c>
      <c r="RYY341" s="288" t="s">
        <v>598</v>
      </c>
      <c r="RYZ341" s="288" t="s">
        <v>598</v>
      </c>
      <c r="RZA341" s="288" t="s">
        <v>598</v>
      </c>
      <c r="RZB341" s="288" t="s">
        <v>598</v>
      </c>
      <c r="RZC341" s="288" t="s">
        <v>598</v>
      </c>
      <c r="RZD341" s="288" t="s">
        <v>598</v>
      </c>
      <c r="RZE341" s="288" t="s">
        <v>598</v>
      </c>
      <c r="RZF341" s="288" t="s">
        <v>598</v>
      </c>
      <c r="RZG341" s="288" t="s">
        <v>598</v>
      </c>
      <c r="RZH341" s="288" t="s">
        <v>598</v>
      </c>
      <c r="RZI341" s="288" t="s">
        <v>598</v>
      </c>
      <c r="RZJ341" s="288" t="s">
        <v>598</v>
      </c>
      <c r="RZK341" s="288" t="s">
        <v>598</v>
      </c>
      <c r="RZL341" s="288" t="s">
        <v>598</v>
      </c>
      <c r="RZM341" s="288" t="s">
        <v>598</v>
      </c>
      <c r="RZN341" s="288" t="s">
        <v>598</v>
      </c>
      <c r="RZO341" s="288" t="s">
        <v>598</v>
      </c>
      <c r="RZP341" s="288" t="s">
        <v>598</v>
      </c>
      <c r="RZQ341" s="288" t="s">
        <v>598</v>
      </c>
      <c r="RZR341" s="288" t="s">
        <v>598</v>
      </c>
      <c r="RZS341" s="288" t="s">
        <v>598</v>
      </c>
      <c r="RZT341" s="288" t="s">
        <v>598</v>
      </c>
      <c r="RZU341" s="288" t="s">
        <v>598</v>
      </c>
      <c r="RZV341" s="288" t="s">
        <v>598</v>
      </c>
      <c r="RZW341" s="288" t="s">
        <v>598</v>
      </c>
      <c r="RZX341" s="288" t="s">
        <v>598</v>
      </c>
      <c r="RZY341" s="288" t="s">
        <v>598</v>
      </c>
      <c r="RZZ341" s="288" t="s">
        <v>598</v>
      </c>
      <c r="SAA341" s="288" t="s">
        <v>598</v>
      </c>
      <c r="SAB341" s="288" t="s">
        <v>598</v>
      </c>
      <c r="SAC341" s="288" t="s">
        <v>598</v>
      </c>
      <c r="SAD341" s="288" t="s">
        <v>598</v>
      </c>
      <c r="SAE341" s="288" t="s">
        <v>598</v>
      </c>
      <c r="SAF341" s="288" t="s">
        <v>598</v>
      </c>
      <c r="SAG341" s="288" t="s">
        <v>598</v>
      </c>
      <c r="SAH341" s="288" t="s">
        <v>598</v>
      </c>
      <c r="SAI341" s="288" t="s">
        <v>598</v>
      </c>
      <c r="SAJ341" s="288" t="s">
        <v>598</v>
      </c>
      <c r="SAK341" s="288" t="s">
        <v>598</v>
      </c>
      <c r="SAL341" s="288" t="s">
        <v>598</v>
      </c>
      <c r="SAM341" s="288" t="s">
        <v>598</v>
      </c>
      <c r="SAN341" s="288" t="s">
        <v>598</v>
      </c>
      <c r="SAO341" s="288" t="s">
        <v>598</v>
      </c>
      <c r="SAP341" s="288" t="s">
        <v>598</v>
      </c>
      <c r="SAQ341" s="288" t="s">
        <v>598</v>
      </c>
      <c r="SAR341" s="288" t="s">
        <v>598</v>
      </c>
      <c r="SAS341" s="288" t="s">
        <v>598</v>
      </c>
      <c r="SAT341" s="288" t="s">
        <v>598</v>
      </c>
      <c r="SAU341" s="288" t="s">
        <v>598</v>
      </c>
      <c r="SAV341" s="288" t="s">
        <v>598</v>
      </c>
      <c r="SAW341" s="288" t="s">
        <v>598</v>
      </c>
      <c r="SAX341" s="288" t="s">
        <v>598</v>
      </c>
      <c r="SAY341" s="288" t="s">
        <v>598</v>
      </c>
      <c r="SAZ341" s="288" t="s">
        <v>598</v>
      </c>
      <c r="SBA341" s="288" t="s">
        <v>598</v>
      </c>
      <c r="SBB341" s="288" t="s">
        <v>598</v>
      </c>
      <c r="SBC341" s="288" t="s">
        <v>598</v>
      </c>
      <c r="SBD341" s="288" t="s">
        <v>598</v>
      </c>
      <c r="SBE341" s="288" t="s">
        <v>598</v>
      </c>
      <c r="SBF341" s="288" t="s">
        <v>598</v>
      </c>
      <c r="SBG341" s="288" t="s">
        <v>598</v>
      </c>
      <c r="SBH341" s="288" t="s">
        <v>598</v>
      </c>
      <c r="SBI341" s="288" t="s">
        <v>598</v>
      </c>
      <c r="SBJ341" s="288" t="s">
        <v>598</v>
      </c>
      <c r="SBK341" s="288" t="s">
        <v>598</v>
      </c>
      <c r="SBL341" s="288" t="s">
        <v>598</v>
      </c>
      <c r="SBM341" s="288" t="s">
        <v>598</v>
      </c>
      <c r="SBN341" s="288" t="s">
        <v>598</v>
      </c>
      <c r="SBO341" s="288" t="s">
        <v>598</v>
      </c>
      <c r="SBP341" s="288" t="s">
        <v>598</v>
      </c>
      <c r="SBQ341" s="288" t="s">
        <v>598</v>
      </c>
      <c r="SBR341" s="288" t="s">
        <v>598</v>
      </c>
      <c r="SBS341" s="288" t="s">
        <v>598</v>
      </c>
      <c r="SBT341" s="288" t="s">
        <v>598</v>
      </c>
      <c r="SBU341" s="288" t="s">
        <v>598</v>
      </c>
      <c r="SBV341" s="288" t="s">
        <v>598</v>
      </c>
      <c r="SBW341" s="288" t="s">
        <v>598</v>
      </c>
      <c r="SBX341" s="288" t="s">
        <v>598</v>
      </c>
      <c r="SBY341" s="288" t="s">
        <v>598</v>
      </c>
      <c r="SBZ341" s="288" t="s">
        <v>598</v>
      </c>
      <c r="SCA341" s="288" t="s">
        <v>598</v>
      </c>
      <c r="SCB341" s="288" t="s">
        <v>598</v>
      </c>
      <c r="SCC341" s="288" t="s">
        <v>598</v>
      </c>
      <c r="SCD341" s="288" t="s">
        <v>598</v>
      </c>
      <c r="SCE341" s="288" t="s">
        <v>598</v>
      </c>
      <c r="SCF341" s="288" t="s">
        <v>598</v>
      </c>
      <c r="SCG341" s="288" t="s">
        <v>598</v>
      </c>
      <c r="SCH341" s="288" t="s">
        <v>598</v>
      </c>
      <c r="SCI341" s="288" t="s">
        <v>598</v>
      </c>
      <c r="SCJ341" s="288" t="s">
        <v>598</v>
      </c>
      <c r="SCK341" s="288" t="s">
        <v>598</v>
      </c>
      <c r="SCL341" s="288" t="s">
        <v>598</v>
      </c>
      <c r="SCM341" s="288" t="s">
        <v>598</v>
      </c>
      <c r="SCN341" s="288" t="s">
        <v>598</v>
      </c>
      <c r="SCO341" s="288" t="s">
        <v>598</v>
      </c>
      <c r="SCP341" s="288" t="s">
        <v>598</v>
      </c>
      <c r="SCQ341" s="288" t="s">
        <v>598</v>
      </c>
      <c r="SCR341" s="288" t="s">
        <v>598</v>
      </c>
      <c r="SCS341" s="288" t="s">
        <v>598</v>
      </c>
      <c r="SCT341" s="288" t="s">
        <v>598</v>
      </c>
      <c r="SCU341" s="288" t="s">
        <v>598</v>
      </c>
      <c r="SCV341" s="288" t="s">
        <v>598</v>
      </c>
      <c r="SCW341" s="288" t="s">
        <v>598</v>
      </c>
      <c r="SCX341" s="288" t="s">
        <v>598</v>
      </c>
      <c r="SCY341" s="288" t="s">
        <v>598</v>
      </c>
      <c r="SCZ341" s="288" t="s">
        <v>598</v>
      </c>
      <c r="SDA341" s="288" t="s">
        <v>598</v>
      </c>
      <c r="SDB341" s="288" t="s">
        <v>598</v>
      </c>
      <c r="SDC341" s="288" t="s">
        <v>598</v>
      </c>
      <c r="SDD341" s="288" t="s">
        <v>598</v>
      </c>
      <c r="SDE341" s="288" t="s">
        <v>598</v>
      </c>
      <c r="SDF341" s="288" t="s">
        <v>598</v>
      </c>
      <c r="SDG341" s="288" t="s">
        <v>598</v>
      </c>
      <c r="SDH341" s="288" t="s">
        <v>598</v>
      </c>
      <c r="SDI341" s="288" t="s">
        <v>598</v>
      </c>
      <c r="SDJ341" s="288" t="s">
        <v>598</v>
      </c>
      <c r="SDK341" s="288" t="s">
        <v>598</v>
      </c>
      <c r="SDL341" s="288" t="s">
        <v>598</v>
      </c>
      <c r="SDM341" s="288" t="s">
        <v>598</v>
      </c>
      <c r="SDN341" s="288" t="s">
        <v>598</v>
      </c>
      <c r="SDO341" s="288" t="s">
        <v>598</v>
      </c>
      <c r="SDP341" s="288" t="s">
        <v>598</v>
      </c>
      <c r="SDQ341" s="288" t="s">
        <v>598</v>
      </c>
      <c r="SDR341" s="288" t="s">
        <v>598</v>
      </c>
      <c r="SDS341" s="288" t="s">
        <v>598</v>
      </c>
      <c r="SDT341" s="288" t="s">
        <v>598</v>
      </c>
      <c r="SDU341" s="288" t="s">
        <v>598</v>
      </c>
      <c r="SDV341" s="288" t="s">
        <v>598</v>
      </c>
      <c r="SDW341" s="288" t="s">
        <v>598</v>
      </c>
      <c r="SDX341" s="288" t="s">
        <v>598</v>
      </c>
      <c r="SDY341" s="288" t="s">
        <v>598</v>
      </c>
      <c r="SDZ341" s="288" t="s">
        <v>598</v>
      </c>
      <c r="SEA341" s="288" t="s">
        <v>598</v>
      </c>
      <c r="SEB341" s="288" t="s">
        <v>598</v>
      </c>
      <c r="SEC341" s="288" t="s">
        <v>598</v>
      </c>
      <c r="SED341" s="288" t="s">
        <v>598</v>
      </c>
      <c r="SEE341" s="288" t="s">
        <v>598</v>
      </c>
      <c r="SEF341" s="288" t="s">
        <v>598</v>
      </c>
      <c r="SEG341" s="288" t="s">
        <v>598</v>
      </c>
      <c r="SEH341" s="288" t="s">
        <v>598</v>
      </c>
      <c r="SEI341" s="288" t="s">
        <v>598</v>
      </c>
      <c r="SEJ341" s="288" t="s">
        <v>598</v>
      </c>
      <c r="SEK341" s="288" t="s">
        <v>598</v>
      </c>
      <c r="SEL341" s="288" t="s">
        <v>598</v>
      </c>
      <c r="SEM341" s="288" t="s">
        <v>598</v>
      </c>
      <c r="SEN341" s="288" t="s">
        <v>598</v>
      </c>
      <c r="SEO341" s="288" t="s">
        <v>598</v>
      </c>
      <c r="SEP341" s="288" t="s">
        <v>598</v>
      </c>
      <c r="SEQ341" s="288" t="s">
        <v>598</v>
      </c>
      <c r="SER341" s="288" t="s">
        <v>598</v>
      </c>
      <c r="SES341" s="288" t="s">
        <v>598</v>
      </c>
      <c r="SET341" s="288" t="s">
        <v>598</v>
      </c>
      <c r="SEU341" s="288" t="s">
        <v>598</v>
      </c>
      <c r="SEV341" s="288" t="s">
        <v>598</v>
      </c>
      <c r="SEW341" s="288" t="s">
        <v>598</v>
      </c>
      <c r="SEX341" s="288" t="s">
        <v>598</v>
      </c>
      <c r="SEY341" s="288" t="s">
        <v>598</v>
      </c>
      <c r="SEZ341" s="288" t="s">
        <v>598</v>
      </c>
      <c r="SFA341" s="288" t="s">
        <v>598</v>
      </c>
      <c r="SFB341" s="288" t="s">
        <v>598</v>
      </c>
      <c r="SFC341" s="288" t="s">
        <v>598</v>
      </c>
      <c r="SFD341" s="288" t="s">
        <v>598</v>
      </c>
      <c r="SFE341" s="288" t="s">
        <v>598</v>
      </c>
      <c r="SFF341" s="288" t="s">
        <v>598</v>
      </c>
      <c r="SFG341" s="288" t="s">
        <v>598</v>
      </c>
      <c r="SFH341" s="288" t="s">
        <v>598</v>
      </c>
      <c r="SFI341" s="288" t="s">
        <v>598</v>
      </c>
      <c r="SFJ341" s="288" t="s">
        <v>598</v>
      </c>
      <c r="SFK341" s="288" t="s">
        <v>598</v>
      </c>
      <c r="SFL341" s="288" t="s">
        <v>598</v>
      </c>
      <c r="SFM341" s="288" t="s">
        <v>598</v>
      </c>
      <c r="SFN341" s="288" t="s">
        <v>598</v>
      </c>
      <c r="SFO341" s="288" t="s">
        <v>598</v>
      </c>
      <c r="SFP341" s="288" t="s">
        <v>598</v>
      </c>
      <c r="SFQ341" s="288" t="s">
        <v>598</v>
      </c>
      <c r="SFR341" s="288" t="s">
        <v>598</v>
      </c>
      <c r="SFS341" s="288" t="s">
        <v>598</v>
      </c>
      <c r="SFT341" s="288" t="s">
        <v>598</v>
      </c>
      <c r="SFU341" s="288" t="s">
        <v>598</v>
      </c>
      <c r="SFV341" s="288" t="s">
        <v>598</v>
      </c>
      <c r="SFW341" s="288" t="s">
        <v>598</v>
      </c>
      <c r="SFX341" s="288" t="s">
        <v>598</v>
      </c>
      <c r="SFY341" s="288" t="s">
        <v>598</v>
      </c>
      <c r="SFZ341" s="288" t="s">
        <v>598</v>
      </c>
      <c r="SGA341" s="288" t="s">
        <v>598</v>
      </c>
      <c r="SGB341" s="288" t="s">
        <v>598</v>
      </c>
      <c r="SGC341" s="288" t="s">
        <v>598</v>
      </c>
      <c r="SGD341" s="288" t="s">
        <v>598</v>
      </c>
      <c r="SGE341" s="288" t="s">
        <v>598</v>
      </c>
      <c r="SGF341" s="288" t="s">
        <v>598</v>
      </c>
      <c r="SGG341" s="288" t="s">
        <v>598</v>
      </c>
      <c r="SGH341" s="288" t="s">
        <v>598</v>
      </c>
      <c r="SGI341" s="288" t="s">
        <v>598</v>
      </c>
      <c r="SGJ341" s="288" t="s">
        <v>598</v>
      </c>
      <c r="SGK341" s="288" t="s">
        <v>598</v>
      </c>
      <c r="SGL341" s="288" t="s">
        <v>598</v>
      </c>
      <c r="SGM341" s="288" t="s">
        <v>598</v>
      </c>
      <c r="SGN341" s="288" t="s">
        <v>598</v>
      </c>
      <c r="SGO341" s="288" t="s">
        <v>598</v>
      </c>
      <c r="SGP341" s="288" t="s">
        <v>598</v>
      </c>
      <c r="SGQ341" s="288" t="s">
        <v>598</v>
      </c>
      <c r="SGR341" s="288" t="s">
        <v>598</v>
      </c>
      <c r="SGS341" s="288" t="s">
        <v>598</v>
      </c>
      <c r="SGT341" s="288" t="s">
        <v>598</v>
      </c>
      <c r="SGU341" s="288" t="s">
        <v>598</v>
      </c>
      <c r="SGV341" s="288" t="s">
        <v>598</v>
      </c>
      <c r="SGW341" s="288" t="s">
        <v>598</v>
      </c>
      <c r="SGX341" s="288" t="s">
        <v>598</v>
      </c>
      <c r="SGY341" s="288" t="s">
        <v>598</v>
      </c>
      <c r="SGZ341" s="288" t="s">
        <v>598</v>
      </c>
      <c r="SHA341" s="288" t="s">
        <v>598</v>
      </c>
      <c r="SHB341" s="288" t="s">
        <v>598</v>
      </c>
      <c r="SHC341" s="288" t="s">
        <v>598</v>
      </c>
      <c r="SHD341" s="288" t="s">
        <v>598</v>
      </c>
      <c r="SHE341" s="288" t="s">
        <v>598</v>
      </c>
      <c r="SHF341" s="288" t="s">
        <v>598</v>
      </c>
      <c r="SHG341" s="288" t="s">
        <v>598</v>
      </c>
      <c r="SHH341" s="288" t="s">
        <v>598</v>
      </c>
      <c r="SHI341" s="288" t="s">
        <v>598</v>
      </c>
      <c r="SHJ341" s="288" t="s">
        <v>598</v>
      </c>
      <c r="SHK341" s="288" t="s">
        <v>598</v>
      </c>
      <c r="SHL341" s="288" t="s">
        <v>598</v>
      </c>
      <c r="SHM341" s="288" t="s">
        <v>598</v>
      </c>
      <c r="SHN341" s="288" t="s">
        <v>598</v>
      </c>
      <c r="SHO341" s="288" t="s">
        <v>598</v>
      </c>
      <c r="SHP341" s="288" t="s">
        <v>598</v>
      </c>
      <c r="SHQ341" s="288" t="s">
        <v>598</v>
      </c>
      <c r="SHR341" s="288" t="s">
        <v>598</v>
      </c>
      <c r="SHS341" s="288" t="s">
        <v>598</v>
      </c>
      <c r="SHT341" s="288" t="s">
        <v>598</v>
      </c>
      <c r="SHU341" s="288" t="s">
        <v>598</v>
      </c>
      <c r="SHV341" s="288" t="s">
        <v>598</v>
      </c>
      <c r="SHW341" s="288" t="s">
        <v>598</v>
      </c>
      <c r="SHX341" s="288" t="s">
        <v>598</v>
      </c>
      <c r="SHY341" s="288" t="s">
        <v>598</v>
      </c>
      <c r="SHZ341" s="288" t="s">
        <v>598</v>
      </c>
      <c r="SIA341" s="288" t="s">
        <v>598</v>
      </c>
      <c r="SIB341" s="288" t="s">
        <v>598</v>
      </c>
      <c r="SIC341" s="288" t="s">
        <v>598</v>
      </c>
      <c r="SID341" s="288" t="s">
        <v>598</v>
      </c>
      <c r="SIE341" s="288" t="s">
        <v>598</v>
      </c>
      <c r="SIF341" s="288" t="s">
        <v>598</v>
      </c>
      <c r="SIG341" s="288" t="s">
        <v>598</v>
      </c>
      <c r="SIH341" s="288" t="s">
        <v>598</v>
      </c>
      <c r="SII341" s="288" t="s">
        <v>598</v>
      </c>
      <c r="SIJ341" s="288" t="s">
        <v>598</v>
      </c>
      <c r="SIK341" s="288" t="s">
        <v>598</v>
      </c>
      <c r="SIL341" s="288" t="s">
        <v>598</v>
      </c>
      <c r="SIM341" s="288" t="s">
        <v>598</v>
      </c>
      <c r="SIN341" s="288" t="s">
        <v>598</v>
      </c>
      <c r="SIO341" s="288" t="s">
        <v>598</v>
      </c>
      <c r="SIP341" s="288" t="s">
        <v>598</v>
      </c>
      <c r="SIQ341" s="288" t="s">
        <v>598</v>
      </c>
      <c r="SIR341" s="288" t="s">
        <v>598</v>
      </c>
      <c r="SIS341" s="288" t="s">
        <v>598</v>
      </c>
      <c r="SIT341" s="288" t="s">
        <v>598</v>
      </c>
      <c r="SIU341" s="288" t="s">
        <v>598</v>
      </c>
      <c r="SIV341" s="288" t="s">
        <v>598</v>
      </c>
      <c r="SIW341" s="288" t="s">
        <v>598</v>
      </c>
      <c r="SIX341" s="288" t="s">
        <v>598</v>
      </c>
      <c r="SIY341" s="288" t="s">
        <v>598</v>
      </c>
      <c r="SIZ341" s="288" t="s">
        <v>598</v>
      </c>
      <c r="SJA341" s="288" t="s">
        <v>598</v>
      </c>
      <c r="SJB341" s="288" t="s">
        <v>598</v>
      </c>
      <c r="SJC341" s="288" t="s">
        <v>598</v>
      </c>
      <c r="SJD341" s="288" t="s">
        <v>598</v>
      </c>
      <c r="SJE341" s="288" t="s">
        <v>598</v>
      </c>
      <c r="SJF341" s="288" t="s">
        <v>598</v>
      </c>
      <c r="SJG341" s="288" t="s">
        <v>598</v>
      </c>
      <c r="SJH341" s="288" t="s">
        <v>598</v>
      </c>
      <c r="SJI341" s="288" t="s">
        <v>598</v>
      </c>
      <c r="SJJ341" s="288" t="s">
        <v>598</v>
      </c>
      <c r="SJK341" s="288" t="s">
        <v>598</v>
      </c>
      <c r="SJL341" s="288" t="s">
        <v>598</v>
      </c>
      <c r="SJM341" s="288" t="s">
        <v>598</v>
      </c>
      <c r="SJN341" s="288" t="s">
        <v>598</v>
      </c>
      <c r="SJO341" s="288" t="s">
        <v>598</v>
      </c>
      <c r="SJP341" s="288" t="s">
        <v>598</v>
      </c>
      <c r="SJQ341" s="288" t="s">
        <v>598</v>
      </c>
      <c r="SJR341" s="288" t="s">
        <v>598</v>
      </c>
      <c r="SJS341" s="288" t="s">
        <v>598</v>
      </c>
      <c r="SJT341" s="288" t="s">
        <v>598</v>
      </c>
      <c r="SJU341" s="288" t="s">
        <v>598</v>
      </c>
      <c r="SJV341" s="288" t="s">
        <v>598</v>
      </c>
      <c r="SJW341" s="288" t="s">
        <v>598</v>
      </c>
      <c r="SJX341" s="288" t="s">
        <v>598</v>
      </c>
      <c r="SJY341" s="288" t="s">
        <v>598</v>
      </c>
      <c r="SJZ341" s="288" t="s">
        <v>598</v>
      </c>
      <c r="SKA341" s="288" t="s">
        <v>598</v>
      </c>
      <c r="SKB341" s="288" t="s">
        <v>598</v>
      </c>
      <c r="SKC341" s="288" t="s">
        <v>598</v>
      </c>
      <c r="SKD341" s="288" t="s">
        <v>598</v>
      </c>
      <c r="SKE341" s="288" t="s">
        <v>598</v>
      </c>
      <c r="SKF341" s="288" t="s">
        <v>598</v>
      </c>
      <c r="SKG341" s="288" t="s">
        <v>598</v>
      </c>
      <c r="SKH341" s="288" t="s">
        <v>598</v>
      </c>
      <c r="SKI341" s="288" t="s">
        <v>598</v>
      </c>
      <c r="SKJ341" s="288" t="s">
        <v>598</v>
      </c>
      <c r="SKK341" s="288" t="s">
        <v>598</v>
      </c>
      <c r="SKL341" s="288" t="s">
        <v>598</v>
      </c>
      <c r="SKM341" s="288" t="s">
        <v>598</v>
      </c>
      <c r="SKN341" s="288" t="s">
        <v>598</v>
      </c>
      <c r="SKO341" s="288" t="s">
        <v>598</v>
      </c>
      <c r="SKP341" s="288" t="s">
        <v>598</v>
      </c>
      <c r="SKQ341" s="288" t="s">
        <v>598</v>
      </c>
      <c r="SKR341" s="288" t="s">
        <v>598</v>
      </c>
      <c r="SKS341" s="288" t="s">
        <v>598</v>
      </c>
      <c r="SKT341" s="288" t="s">
        <v>598</v>
      </c>
      <c r="SKU341" s="288" t="s">
        <v>598</v>
      </c>
      <c r="SKV341" s="288" t="s">
        <v>598</v>
      </c>
      <c r="SKW341" s="288" t="s">
        <v>598</v>
      </c>
      <c r="SKX341" s="288" t="s">
        <v>598</v>
      </c>
      <c r="SKY341" s="288" t="s">
        <v>598</v>
      </c>
      <c r="SKZ341" s="288" t="s">
        <v>598</v>
      </c>
      <c r="SLA341" s="288" t="s">
        <v>598</v>
      </c>
      <c r="SLB341" s="288" t="s">
        <v>598</v>
      </c>
      <c r="SLC341" s="288" t="s">
        <v>598</v>
      </c>
      <c r="SLD341" s="288" t="s">
        <v>598</v>
      </c>
      <c r="SLE341" s="288" t="s">
        <v>598</v>
      </c>
      <c r="SLF341" s="288" t="s">
        <v>598</v>
      </c>
      <c r="SLG341" s="288" t="s">
        <v>598</v>
      </c>
      <c r="SLH341" s="288" t="s">
        <v>598</v>
      </c>
      <c r="SLI341" s="288" t="s">
        <v>598</v>
      </c>
      <c r="SLJ341" s="288" t="s">
        <v>598</v>
      </c>
      <c r="SLK341" s="288" t="s">
        <v>598</v>
      </c>
      <c r="SLL341" s="288" t="s">
        <v>598</v>
      </c>
      <c r="SLM341" s="288" t="s">
        <v>598</v>
      </c>
      <c r="SLN341" s="288" t="s">
        <v>598</v>
      </c>
      <c r="SLO341" s="288" t="s">
        <v>598</v>
      </c>
      <c r="SLP341" s="288" t="s">
        <v>598</v>
      </c>
      <c r="SLQ341" s="288" t="s">
        <v>598</v>
      </c>
      <c r="SLR341" s="288" t="s">
        <v>598</v>
      </c>
      <c r="SLS341" s="288" t="s">
        <v>598</v>
      </c>
      <c r="SLT341" s="288" t="s">
        <v>598</v>
      </c>
      <c r="SLU341" s="288" t="s">
        <v>598</v>
      </c>
      <c r="SLV341" s="288" t="s">
        <v>598</v>
      </c>
      <c r="SLW341" s="288" t="s">
        <v>598</v>
      </c>
      <c r="SLX341" s="288" t="s">
        <v>598</v>
      </c>
      <c r="SLY341" s="288" t="s">
        <v>598</v>
      </c>
      <c r="SLZ341" s="288" t="s">
        <v>598</v>
      </c>
      <c r="SMA341" s="288" t="s">
        <v>598</v>
      </c>
      <c r="SMB341" s="288" t="s">
        <v>598</v>
      </c>
      <c r="SMC341" s="288" t="s">
        <v>598</v>
      </c>
      <c r="SMD341" s="288" t="s">
        <v>598</v>
      </c>
      <c r="SME341" s="288" t="s">
        <v>598</v>
      </c>
      <c r="SMF341" s="288" t="s">
        <v>598</v>
      </c>
      <c r="SMG341" s="288" t="s">
        <v>598</v>
      </c>
      <c r="SMH341" s="288" t="s">
        <v>598</v>
      </c>
      <c r="SMI341" s="288" t="s">
        <v>598</v>
      </c>
      <c r="SMJ341" s="288" t="s">
        <v>598</v>
      </c>
      <c r="SMK341" s="288" t="s">
        <v>598</v>
      </c>
      <c r="SML341" s="288" t="s">
        <v>598</v>
      </c>
      <c r="SMM341" s="288" t="s">
        <v>598</v>
      </c>
      <c r="SMN341" s="288" t="s">
        <v>598</v>
      </c>
      <c r="SMO341" s="288" t="s">
        <v>598</v>
      </c>
      <c r="SMP341" s="288" t="s">
        <v>598</v>
      </c>
      <c r="SMQ341" s="288" t="s">
        <v>598</v>
      </c>
      <c r="SMR341" s="288" t="s">
        <v>598</v>
      </c>
      <c r="SMS341" s="288" t="s">
        <v>598</v>
      </c>
      <c r="SMT341" s="288" t="s">
        <v>598</v>
      </c>
      <c r="SMU341" s="288" t="s">
        <v>598</v>
      </c>
      <c r="SMV341" s="288" t="s">
        <v>598</v>
      </c>
      <c r="SMW341" s="288" t="s">
        <v>598</v>
      </c>
      <c r="SMX341" s="288" t="s">
        <v>598</v>
      </c>
      <c r="SMY341" s="288" t="s">
        <v>598</v>
      </c>
      <c r="SMZ341" s="288" t="s">
        <v>598</v>
      </c>
      <c r="SNA341" s="288" t="s">
        <v>598</v>
      </c>
      <c r="SNB341" s="288" t="s">
        <v>598</v>
      </c>
      <c r="SNC341" s="288" t="s">
        <v>598</v>
      </c>
      <c r="SND341" s="288" t="s">
        <v>598</v>
      </c>
      <c r="SNE341" s="288" t="s">
        <v>598</v>
      </c>
      <c r="SNF341" s="288" t="s">
        <v>598</v>
      </c>
      <c r="SNG341" s="288" t="s">
        <v>598</v>
      </c>
      <c r="SNH341" s="288" t="s">
        <v>598</v>
      </c>
      <c r="SNI341" s="288" t="s">
        <v>598</v>
      </c>
      <c r="SNJ341" s="288" t="s">
        <v>598</v>
      </c>
      <c r="SNK341" s="288" t="s">
        <v>598</v>
      </c>
      <c r="SNL341" s="288" t="s">
        <v>598</v>
      </c>
      <c r="SNM341" s="288" t="s">
        <v>598</v>
      </c>
      <c r="SNN341" s="288" t="s">
        <v>598</v>
      </c>
      <c r="SNO341" s="288" t="s">
        <v>598</v>
      </c>
      <c r="SNP341" s="288" t="s">
        <v>598</v>
      </c>
      <c r="SNQ341" s="288" t="s">
        <v>598</v>
      </c>
      <c r="SNR341" s="288" t="s">
        <v>598</v>
      </c>
      <c r="SNS341" s="288" t="s">
        <v>598</v>
      </c>
      <c r="SNT341" s="288" t="s">
        <v>598</v>
      </c>
      <c r="SNU341" s="288" t="s">
        <v>598</v>
      </c>
      <c r="SNV341" s="288" t="s">
        <v>598</v>
      </c>
      <c r="SNW341" s="288" t="s">
        <v>598</v>
      </c>
      <c r="SNX341" s="288" t="s">
        <v>598</v>
      </c>
      <c r="SNY341" s="288" t="s">
        <v>598</v>
      </c>
      <c r="SNZ341" s="288" t="s">
        <v>598</v>
      </c>
      <c r="SOA341" s="288" t="s">
        <v>598</v>
      </c>
      <c r="SOB341" s="288" t="s">
        <v>598</v>
      </c>
      <c r="SOC341" s="288" t="s">
        <v>598</v>
      </c>
      <c r="SOD341" s="288" t="s">
        <v>598</v>
      </c>
      <c r="SOE341" s="288" t="s">
        <v>598</v>
      </c>
      <c r="SOF341" s="288" t="s">
        <v>598</v>
      </c>
      <c r="SOG341" s="288" t="s">
        <v>598</v>
      </c>
      <c r="SOH341" s="288" t="s">
        <v>598</v>
      </c>
      <c r="SOI341" s="288" t="s">
        <v>598</v>
      </c>
      <c r="SOJ341" s="288" t="s">
        <v>598</v>
      </c>
      <c r="SOK341" s="288" t="s">
        <v>598</v>
      </c>
      <c r="SOL341" s="288" t="s">
        <v>598</v>
      </c>
      <c r="SOM341" s="288" t="s">
        <v>598</v>
      </c>
      <c r="SON341" s="288" t="s">
        <v>598</v>
      </c>
      <c r="SOO341" s="288" t="s">
        <v>598</v>
      </c>
      <c r="SOP341" s="288" t="s">
        <v>598</v>
      </c>
      <c r="SOQ341" s="288" t="s">
        <v>598</v>
      </c>
      <c r="SOR341" s="288" t="s">
        <v>598</v>
      </c>
      <c r="SOS341" s="288" t="s">
        <v>598</v>
      </c>
      <c r="SOT341" s="288" t="s">
        <v>598</v>
      </c>
      <c r="SOU341" s="288" t="s">
        <v>598</v>
      </c>
      <c r="SOV341" s="288" t="s">
        <v>598</v>
      </c>
      <c r="SOW341" s="288" t="s">
        <v>598</v>
      </c>
      <c r="SOX341" s="288" t="s">
        <v>598</v>
      </c>
      <c r="SOY341" s="288" t="s">
        <v>598</v>
      </c>
      <c r="SOZ341" s="288" t="s">
        <v>598</v>
      </c>
      <c r="SPA341" s="288" t="s">
        <v>598</v>
      </c>
      <c r="SPB341" s="288" t="s">
        <v>598</v>
      </c>
      <c r="SPC341" s="288" t="s">
        <v>598</v>
      </c>
      <c r="SPD341" s="288" t="s">
        <v>598</v>
      </c>
      <c r="SPE341" s="288" t="s">
        <v>598</v>
      </c>
      <c r="SPF341" s="288" t="s">
        <v>598</v>
      </c>
      <c r="SPG341" s="288" t="s">
        <v>598</v>
      </c>
      <c r="SPH341" s="288" t="s">
        <v>598</v>
      </c>
      <c r="SPI341" s="288" t="s">
        <v>598</v>
      </c>
      <c r="SPJ341" s="288" t="s">
        <v>598</v>
      </c>
      <c r="SPK341" s="288" t="s">
        <v>598</v>
      </c>
      <c r="SPL341" s="288" t="s">
        <v>598</v>
      </c>
      <c r="SPM341" s="288" t="s">
        <v>598</v>
      </c>
      <c r="SPN341" s="288" t="s">
        <v>598</v>
      </c>
      <c r="SPO341" s="288" t="s">
        <v>598</v>
      </c>
      <c r="SPP341" s="288" t="s">
        <v>598</v>
      </c>
      <c r="SPQ341" s="288" t="s">
        <v>598</v>
      </c>
      <c r="SPR341" s="288" t="s">
        <v>598</v>
      </c>
      <c r="SPS341" s="288" t="s">
        <v>598</v>
      </c>
      <c r="SPT341" s="288" t="s">
        <v>598</v>
      </c>
      <c r="SPU341" s="288" t="s">
        <v>598</v>
      </c>
      <c r="SPV341" s="288" t="s">
        <v>598</v>
      </c>
      <c r="SPW341" s="288" t="s">
        <v>598</v>
      </c>
      <c r="SPX341" s="288" t="s">
        <v>598</v>
      </c>
      <c r="SPY341" s="288" t="s">
        <v>598</v>
      </c>
      <c r="SPZ341" s="288" t="s">
        <v>598</v>
      </c>
      <c r="SQA341" s="288" t="s">
        <v>598</v>
      </c>
      <c r="SQB341" s="288" t="s">
        <v>598</v>
      </c>
      <c r="SQC341" s="288" t="s">
        <v>598</v>
      </c>
      <c r="SQD341" s="288" t="s">
        <v>598</v>
      </c>
      <c r="SQE341" s="288" t="s">
        <v>598</v>
      </c>
      <c r="SQF341" s="288" t="s">
        <v>598</v>
      </c>
      <c r="SQG341" s="288" t="s">
        <v>598</v>
      </c>
      <c r="SQH341" s="288" t="s">
        <v>598</v>
      </c>
      <c r="SQI341" s="288" t="s">
        <v>598</v>
      </c>
      <c r="SQJ341" s="288" t="s">
        <v>598</v>
      </c>
      <c r="SQK341" s="288" t="s">
        <v>598</v>
      </c>
      <c r="SQL341" s="288" t="s">
        <v>598</v>
      </c>
      <c r="SQM341" s="288" t="s">
        <v>598</v>
      </c>
      <c r="SQN341" s="288" t="s">
        <v>598</v>
      </c>
      <c r="SQO341" s="288" t="s">
        <v>598</v>
      </c>
      <c r="SQP341" s="288" t="s">
        <v>598</v>
      </c>
      <c r="SQQ341" s="288" t="s">
        <v>598</v>
      </c>
      <c r="SQR341" s="288" t="s">
        <v>598</v>
      </c>
      <c r="SQS341" s="288" t="s">
        <v>598</v>
      </c>
      <c r="SQT341" s="288" t="s">
        <v>598</v>
      </c>
      <c r="SQU341" s="288" t="s">
        <v>598</v>
      </c>
      <c r="SQV341" s="288" t="s">
        <v>598</v>
      </c>
      <c r="SQW341" s="288" t="s">
        <v>598</v>
      </c>
      <c r="SQX341" s="288" t="s">
        <v>598</v>
      </c>
      <c r="SQY341" s="288" t="s">
        <v>598</v>
      </c>
      <c r="SQZ341" s="288" t="s">
        <v>598</v>
      </c>
      <c r="SRA341" s="288" t="s">
        <v>598</v>
      </c>
      <c r="SRB341" s="288" t="s">
        <v>598</v>
      </c>
      <c r="SRC341" s="288" t="s">
        <v>598</v>
      </c>
      <c r="SRD341" s="288" t="s">
        <v>598</v>
      </c>
      <c r="SRE341" s="288" t="s">
        <v>598</v>
      </c>
      <c r="SRF341" s="288" t="s">
        <v>598</v>
      </c>
      <c r="SRG341" s="288" t="s">
        <v>598</v>
      </c>
      <c r="SRH341" s="288" t="s">
        <v>598</v>
      </c>
      <c r="SRI341" s="288" t="s">
        <v>598</v>
      </c>
      <c r="SRJ341" s="288" t="s">
        <v>598</v>
      </c>
      <c r="SRK341" s="288" t="s">
        <v>598</v>
      </c>
      <c r="SRL341" s="288" t="s">
        <v>598</v>
      </c>
      <c r="SRM341" s="288" t="s">
        <v>598</v>
      </c>
      <c r="SRN341" s="288" t="s">
        <v>598</v>
      </c>
      <c r="SRO341" s="288" t="s">
        <v>598</v>
      </c>
      <c r="SRP341" s="288" t="s">
        <v>598</v>
      </c>
      <c r="SRQ341" s="288" t="s">
        <v>598</v>
      </c>
      <c r="SRR341" s="288" t="s">
        <v>598</v>
      </c>
      <c r="SRS341" s="288" t="s">
        <v>598</v>
      </c>
      <c r="SRT341" s="288" t="s">
        <v>598</v>
      </c>
      <c r="SRU341" s="288" t="s">
        <v>598</v>
      </c>
      <c r="SRV341" s="288" t="s">
        <v>598</v>
      </c>
      <c r="SRW341" s="288" t="s">
        <v>598</v>
      </c>
      <c r="SRX341" s="288" t="s">
        <v>598</v>
      </c>
      <c r="SRY341" s="288" t="s">
        <v>598</v>
      </c>
      <c r="SRZ341" s="288" t="s">
        <v>598</v>
      </c>
      <c r="SSA341" s="288" t="s">
        <v>598</v>
      </c>
      <c r="SSB341" s="288" t="s">
        <v>598</v>
      </c>
      <c r="SSC341" s="288" t="s">
        <v>598</v>
      </c>
      <c r="SSD341" s="288" t="s">
        <v>598</v>
      </c>
      <c r="SSE341" s="288" t="s">
        <v>598</v>
      </c>
      <c r="SSF341" s="288" t="s">
        <v>598</v>
      </c>
      <c r="SSG341" s="288" t="s">
        <v>598</v>
      </c>
      <c r="SSH341" s="288" t="s">
        <v>598</v>
      </c>
      <c r="SSI341" s="288" t="s">
        <v>598</v>
      </c>
      <c r="SSJ341" s="288" t="s">
        <v>598</v>
      </c>
      <c r="SSK341" s="288" t="s">
        <v>598</v>
      </c>
      <c r="SSL341" s="288" t="s">
        <v>598</v>
      </c>
      <c r="SSM341" s="288" t="s">
        <v>598</v>
      </c>
      <c r="SSN341" s="288" t="s">
        <v>598</v>
      </c>
      <c r="SSO341" s="288" t="s">
        <v>598</v>
      </c>
      <c r="SSP341" s="288" t="s">
        <v>598</v>
      </c>
      <c r="SSQ341" s="288" t="s">
        <v>598</v>
      </c>
      <c r="SSR341" s="288" t="s">
        <v>598</v>
      </c>
      <c r="SSS341" s="288" t="s">
        <v>598</v>
      </c>
      <c r="SST341" s="288" t="s">
        <v>598</v>
      </c>
      <c r="SSU341" s="288" t="s">
        <v>598</v>
      </c>
      <c r="SSV341" s="288" t="s">
        <v>598</v>
      </c>
      <c r="SSW341" s="288" t="s">
        <v>598</v>
      </c>
      <c r="SSX341" s="288" t="s">
        <v>598</v>
      </c>
      <c r="SSY341" s="288" t="s">
        <v>598</v>
      </c>
      <c r="SSZ341" s="288" t="s">
        <v>598</v>
      </c>
      <c r="STA341" s="288" t="s">
        <v>598</v>
      </c>
      <c r="STB341" s="288" t="s">
        <v>598</v>
      </c>
      <c r="STC341" s="288" t="s">
        <v>598</v>
      </c>
      <c r="STD341" s="288" t="s">
        <v>598</v>
      </c>
      <c r="STE341" s="288" t="s">
        <v>598</v>
      </c>
      <c r="STF341" s="288" t="s">
        <v>598</v>
      </c>
      <c r="STG341" s="288" t="s">
        <v>598</v>
      </c>
      <c r="STH341" s="288" t="s">
        <v>598</v>
      </c>
      <c r="STI341" s="288" t="s">
        <v>598</v>
      </c>
      <c r="STJ341" s="288" t="s">
        <v>598</v>
      </c>
      <c r="STK341" s="288" t="s">
        <v>598</v>
      </c>
      <c r="STL341" s="288" t="s">
        <v>598</v>
      </c>
      <c r="STM341" s="288" t="s">
        <v>598</v>
      </c>
      <c r="STN341" s="288" t="s">
        <v>598</v>
      </c>
      <c r="STO341" s="288" t="s">
        <v>598</v>
      </c>
      <c r="STP341" s="288" t="s">
        <v>598</v>
      </c>
      <c r="STQ341" s="288" t="s">
        <v>598</v>
      </c>
      <c r="STR341" s="288" t="s">
        <v>598</v>
      </c>
      <c r="STS341" s="288" t="s">
        <v>598</v>
      </c>
      <c r="STT341" s="288" t="s">
        <v>598</v>
      </c>
      <c r="STU341" s="288" t="s">
        <v>598</v>
      </c>
      <c r="STV341" s="288" t="s">
        <v>598</v>
      </c>
      <c r="STW341" s="288" t="s">
        <v>598</v>
      </c>
      <c r="STX341" s="288" t="s">
        <v>598</v>
      </c>
      <c r="STY341" s="288" t="s">
        <v>598</v>
      </c>
      <c r="STZ341" s="288" t="s">
        <v>598</v>
      </c>
      <c r="SUA341" s="288" t="s">
        <v>598</v>
      </c>
      <c r="SUB341" s="288" t="s">
        <v>598</v>
      </c>
      <c r="SUC341" s="288" t="s">
        <v>598</v>
      </c>
      <c r="SUD341" s="288" t="s">
        <v>598</v>
      </c>
      <c r="SUE341" s="288" t="s">
        <v>598</v>
      </c>
      <c r="SUF341" s="288" t="s">
        <v>598</v>
      </c>
      <c r="SUG341" s="288" t="s">
        <v>598</v>
      </c>
      <c r="SUH341" s="288" t="s">
        <v>598</v>
      </c>
      <c r="SUI341" s="288" t="s">
        <v>598</v>
      </c>
      <c r="SUJ341" s="288" t="s">
        <v>598</v>
      </c>
      <c r="SUK341" s="288" t="s">
        <v>598</v>
      </c>
      <c r="SUL341" s="288" t="s">
        <v>598</v>
      </c>
      <c r="SUM341" s="288" t="s">
        <v>598</v>
      </c>
      <c r="SUN341" s="288" t="s">
        <v>598</v>
      </c>
      <c r="SUO341" s="288" t="s">
        <v>598</v>
      </c>
      <c r="SUP341" s="288" t="s">
        <v>598</v>
      </c>
      <c r="SUQ341" s="288" t="s">
        <v>598</v>
      </c>
      <c r="SUR341" s="288" t="s">
        <v>598</v>
      </c>
      <c r="SUS341" s="288" t="s">
        <v>598</v>
      </c>
      <c r="SUT341" s="288" t="s">
        <v>598</v>
      </c>
      <c r="SUU341" s="288" t="s">
        <v>598</v>
      </c>
      <c r="SUV341" s="288" t="s">
        <v>598</v>
      </c>
      <c r="SUW341" s="288" t="s">
        <v>598</v>
      </c>
      <c r="SUX341" s="288" t="s">
        <v>598</v>
      </c>
      <c r="SUY341" s="288" t="s">
        <v>598</v>
      </c>
      <c r="SUZ341" s="288" t="s">
        <v>598</v>
      </c>
      <c r="SVA341" s="288" t="s">
        <v>598</v>
      </c>
      <c r="SVB341" s="288" t="s">
        <v>598</v>
      </c>
      <c r="SVC341" s="288" t="s">
        <v>598</v>
      </c>
      <c r="SVD341" s="288" t="s">
        <v>598</v>
      </c>
      <c r="SVE341" s="288" t="s">
        <v>598</v>
      </c>
      <c r="SVF341" s="288" t="s">
        <v>598</v>
      </c>
      <c r="SVG341" s="288" t="s">
        <v>598</v>
      </c>
      <c r="SVH341" s="288" t="s">
        <v>598</v>
      </c>
      <c r="SVI341" s="288" t="s">
        <v>598</v>
      </c>
      <c r="SVJ341" s="288" t="s">
        <v>598</v>
      </c>
      <c r="SVK341" s="288" t="s">
        <v>598</v>
      </c>
      <c r="SVL341" s="288" t="s">
        <v>598</v>
      </c>
      <c r="SVM341" s="288" t="s">
        <v>598</v>
      </c>
      <c r="SVN341" s="288" t="s">
        <v>598</v>
      </c>
      <c r="SVO341" s="288" t="s">
        <v>598</v>
      </c>
      <c r="SVP341" s="288" t="s">
        <v>598</v>
      </c>
      <c r="SVQ341" s="288" t="s">
        <v>598</v>
      </c>
      <c r="SVR341" s="288" t="s">
        <v>598</v>
      </c>
      <c r="SVS341" s="288" t="s">
        <v>598</v>
      </c>
      <c r="SVT341" s="288" t="s">
        <v>598</v>
      </c>
      <c r="SVU341" s="288" t="s">
        <v>598</v>
      </c>
      <c r="SVV341" s="288" t="s">
        <v>598</v>
      </c>
      <c r="SVW341" s="288" t="s">
        <v>598</v>
      </c>
      <c r="SVX341" s="288" t="s">
        <v>598</v>
      </c>
      <c r="SVY341" s="288" t="s">
        <v>598</v>
      </c>
      <c r="SVZ341" s="288" t="s">
        <v>598</v>
      </c>
      <c r="SWA341" s="288" t="s">
        <v>598</v>
      </c>
      <c r="SWB341" s="288" t="s">
        <v>598</v>
      </c>
      <c r="SWC341" s="288" t="s">
        <v>598</v>
      </c>
      <c r="SWD341" s="288" t="s">
        <v>598</v>
      </c>
      <c r="SWE341" s="288" t="s">
        <v>598</v>
      </c>
      <c r="SWF341" s="288" t="s">
        <v>598</v>
      </c>
      <c r="SWG341" s="288" t="s">
        <v>598</v>
      </c>
      <c r="SWH341" s="288" t="s">
        <v>598</v>
      </c>
      <c r="SWI341" s="288" t="s">
        <v>598</v>
      </c>
      <c r="SWJ341" s="288" t="s">
        <v>598</v>
      </c>
      <c r="SWK341" s="288" t="s">
        <v>598</v>
      </c>
      <c r="SWL341" s="288" t="s">
        <v>598</v>
      </c>
      <c r="SWM341" s="288" t="s">
        <v>598</v>
      </c>
      <c r="SWN341" s="288" t="s">
        <v>598</v>
      </c>
      <c r="SWO341" s="288" t="s">
        <v>598</v>
      </c>
      <c r="SWP341" s="288" t="s">
        <v>598</v>
      </c>
      <c r="SWQ341" s="288" t="s">
        <v>598</v>
      </c>
      <c r="SWR341" s="288" t="s">
        <v>598</v>
      </c>
      <c r="SWS341" s="288" t="s">
        <v>598</v>
      </c>
      <c r="SWT341" s="288" t="s">
        <v>598</v>
      </c>
      <c r="SWU341" s="288" t="s">
        <v>598</v>
      </c>
      <c r="SWV341" s="288" t="s">
        <v>598</v>
      </c>
      <c r="SWW341" s="288" t="s">
        <v>598</v>
      </c>
      <c r="SWX341" s="288" t="s">
        <v>598</v>
      </c>
      <c r="SWY341" s="288" t="s">
        <v>598</v>
      </c>
      <c r="SWZ341" s="288" t="s">
        <v>598</v>
      </c>
      <c r="SXA341" s="288" t="s">
        <v>598</v>
      </c>
      <c r="SXB341" s="288" t="s">
        <v>598</v>
      </c>
      <c r="SXC341" s="288" t="s">
        <v>598</v>
      </c>
      <c r="SXD341" s="288" t="s">
        <v>598</v>
      </c>
      <c r="SXE341" s="288" t="s">
        <v>598</v>
      </c>
      <c r="SXF341" s="288" t="s">
        <v>598</v>
      </c>
      <c r="SXG341" s="288" t="s">
        <v>598</v>
      </c>
      <c r="SXH341" s="288" t="s">
        <v>598</v>
      </c>
      <c r="SXI341" s="288" t="s">
        <v>598</v>
      </c>
      <c r="SXJ341" s="288" t="s">
        <v>598</v>
      </c>
      <c r="SXK341" s="288" t="s">
        <v>598</v>
      </c>
      <c r="SXL341" s="288" t="s">
        <v>598</v>
      </c>
      <c r="SXM341" s="288" t="s">
        <v>598</v>
      </c>
      <c r="SXN341" s="288" t="s">
        <v>598</v>
      </c>
      <c r="SXO341" s="288" t="s">
        <v>598</v>
      </c>
      <c r="SXP341" s="288" t="s">
        <v>598</v>
      </c>
      <c r="SXQ341" s="288" t="s">
        <v>598</v>
      </c>
      <c r="SXR341" s="288" t="s">
        <v>598</v>
      </c>
      <c r="SXS341" s="288" t="s">
        <v>598</v>
      </c>
      <c r="SXT341" s="288" t="s">
        <v>598</v>
      </c>
      <c r="SXU341" s="288" t="s">
        <v>598</v>
      </c>
      <c r="SXV341" s="288" t="s">
        <v>598</v>
      </c>
      <c r="SXW341" s="288" t="s">
        <v>598</v>
      </c>
      <c r="SXX341" s="288" t="s">
        <v>598</v>
      </c>
      <c r="SXY341" s="288" t="s">
        <v>598</v>
      </c>
      <c r="SXZ341" s="288" t="s">
        <v>598</v>
      </c>
      <c r="SYA341" s="288" t="s">
        <v>598</v>
      </c>
      <c r="SYB341" s="288" t="s">
        <v>598</v>
      </c>
      <c r="SYC341" s="288" t="s">
        <v>598</v>
      </c>
      <c r="SYD341" s="288" t="s">
        <v>598</v>
      </c>
      <c r="SYE341" s="288" t="s">
        <v>598</v>
      </c>
      <c r="SYF341" s="288" t="s">
        <v>598</v>
      </c>
      <c r="SYG341" s="288" t="s">
        <v>598</v>
      </c>
      <c r="SYH341" s="288" t="s">
        <v>598</v>
      </c>
      <c r="SYI341" s="288" t="s">
        <v>598</v>
      </c>
      <c r="SYJ341" s="288" t="s">
        <v>598</v>
      </c>
      <c r="SYK341" s="288" t="s">
        <v>598</v>
      </c>
      <c r="SYL341" s="288" t="s">
        <v>598</v>
      </c>
      <c r="SYM341" s="288" t="s">
        <v>598</v>
      </c>
      <c r="SYN341" s="288" t="s">
        <v>598</v>
      </c>
      <c r="SYO341" s="288" t="s">
        <v>598</v>
      </c>
      <c r="SYP341" s="288" t="s">
        <v>598</v>
      </c>
      <c r="SYQ341" s="288" t="s">
        <v>598</v>
      </c>
      <c r="SYR341" s="288" t="s">
        <v>598</v>
      </c>
      <c r="SYS341" s="288" t="s">
        <v>598</v>
      </c>
      <c r="SYT341" s="288" t="s">
        <v>598</v>
      </c>
      <c r="SYU341" s="288" t="s">
        <v>598</v>
      </c>
      <c r="SYV341" s="288" t="s">
        <v>598</v>
      </c>
      <c r="SYW341" s="288" t="s">
        <v>598</v>
      </c>
      <c r="SYX341" s="288" t="s">
        <v>598</v>
      </c>
      <c r="SYY341" s="288" t="s">
        <v>598</v>
      </c>
      <c r="SYZ341" s="288" t="s">
        <v>598</v>
      </c>
      <c r="SZA341" s="288" t="s">
        <v>598</v>
      </c>
      <c r="SZB341" s="288" t="s">
        <v>598</v>
      </c>
      <c r="SZC341" s="288" t="s">
        <v>598</v>
      </c>
      <c r="SZD341" s="288" t="s">
        <v>598</v>
      </c>
      <c r="SZE341" s="288" t="s">
        <v>598</v>
      </c>
      <c r="SZF341" s="288" t="s">
        <v>598</v>
      </c>
      <c r="SZG341" s="288" t="s">
        <v>598</v>
      </c>
      <c r="SZH341" s="288" t="s">
        <v>598</v>
      </c>
      <c r="SZI341" s="288" t="s">
        <v>598</v>
      </c>
      <c r="SZJ341" s="288" t="s">
        <v>598</v>
      </c>
      <c r="SZK341" s="288" t="s">
        <v>598</v>
      </c>
      <c r="SZL341" s="288" t="s">
        <v>598</v>
      </c>
      <c r="SZM341" s="288" t="s">
        <v>598</v>
      </c>
      <c r="SZN341" s="288" t="s">
        <v>598</v>
      </c>
      <c r="SZO341" s="288" t="s">
        <v>598</v>
      </c>
      <c r="SZP341" s="288" t="s">
        <v>598</v>
      </c>
      <c r="SZQ341" s="288" t="s">
        <v>598</v>
      </c>
      <c r="SZR341" s="288" t="s">
        <v>598</v>
      </c>
      <c r="SZS341" s="288" t="s">
        <v>598</v>
      </c>
      <c r="SZT341" s="288" t="s">
        <v>598</v>
      </c>
      <c r="SZU341" s="288" t="s">
        <v>598</v>
      </c>
      <c r="SZV341" s="288" t="s">
        <v>598</v>
      </c>
      <c r="SZW341" s="288" t="s">
        <v>598</v>
      </c>
      <c r="SZX341" s="288" t="s">
        <v>598</v>
      </c>
      <c r="SZY341" s="288" t="s">
        <v>598</v>
      </c>
      <c r="SZZ341" s="288" t="s">
        <v>598</v>
      </c>
      <c r="TAA341" s="288" t="s">
        <v>598</v>
      </c>
      <c r="TAB341" s="288" t="s">
        <v>598</v>
      </c>
      <c r="TAC341" s="288" t="s">
        <v>598</v>
      </c>
      <c r="TAD341" s="288" t="s">
        <v>598</v>
      </c>
      <c r="TAE341" s="288" t="s">
        <v>598</v>
      </c>
      <c r="TAF341" s="288" t="s">
        <v>598</v>
      </c>
      <c r="TAG341" s="288" t="s">
        <v>598</v>
      </c>
      <c r="TAH341" s="288" t="s">
        <v>598</v>
      </c>
      <c r="TAI341" s="288" t="s">
        <v>598</v>
      </c>
      <c r="TAJ341" s="288" t="s">
        <v>598</v>
      </c>
      <c r="TAK341" s="288" t="s">
        <v>598</v>
      </c>
      <c r="TAL341" s="288" t="s">
        <v>598</v>
      </c>
      <c r="TAM341" s="288" t="s">
        <v>598</v>
      </c>
      <c r="TAN341" s="288" t="s">
        <v>598</v>
      </c>
      <c r="TAO341" s="288" t="s">
        <v>598</v>
      </c>
      <c r="TAP341" s="288" t="s">
        <v>598</v>
      </c>
      <c r="TAQ341" s="288" t="s">
        <v>598</v>
      </c>
      <c r="TAR341" s="288" t="s">
        <v>598</v>
      </c>
      <c r="TAS341" s="288" t="s">
        <v>598</v>
      </c>
      <c r="TAT341" s="288" t="s">
        <v>598</v>
      </c>
      <c r="TAU341" s="288" t="s">
        <v>598</v>
      </c>
      <c r="TAV341" s="288" t="s">
        <v>598</v>
      </c>
      <c r="TAW341" s="288" t="s">
        <v>598</v>
      </c>
      <c r="TAX341" s="288" t="s">
        <v>598</v>
      </c>
      <c r="TAY341" s="288" t="s">
        <v>598</v>
      </c>
      <c r="TAZ341" s="288" t="s">
        <v>598</v>
      </c>
      <c r="TBA341" s="288" t="s">
        <v>598</v>
      </c>
      <c r="TBB341" s="288" t="s">
        <v>598</v>
      </c>
      <c r="TBC341" s="288" t="s">
        <v>598</v>
      </c>
      <c r="TBD341" s="288" t="s">
        <v>598</v>
      </c>
      <c r="TBE341" s="288" t="s">
        <v>598</v>
      </c>
      <c r="TBF341" s="288" t="s">
        <v>598</v>
      </c>
      <c r="TBG341" s="288" t="s">
        <v>598</v>
      </c>
      <c r="TBH341" s="288" t="s">
        <v>598</v>
      </c>
      <c r="TBI341" s="288" t="s">
        <v>598</v>
      </c>
      <c r="TBJ341" s="288" t="s">
        <v>598</v>
      </c>
      <c r="TBK341" s="288" t="s">
        <v>598</v>
      </c>
      <c r="TBL341" s="288" t="s">
        <v>598</v>
      </c>
      <c r="TBM341" s="288" t="s">
        <v>598</v>
      </c>
      <c r="TBN341" s="288" t="s">
        <v>598</v>
      </c>
      <c r="TBO341" s="288" t="s">
        <v>598</v>
      </c>
      <c r="TBP341" s="288" t="s">
        <v>598</v>
      </c>
      <c r="TBQ341" s="288" t="s">
        <v>598</v>
      </c>
      <c r="TBR341" s="288" t="s">
        <v>598</v>
      </c>
      <c r="TBS341" s="288" t="s">
        <v>598</v>
      </c>
      <c r="TBT341" s="288" t="s">
        <v>598</v>
      </c>
      <c r="TBU341" s="288" t="s">
        <v>598</v>
      </c>
      <c r="TBV341" s="288" t="s">
        <v>598</v>
      </c>
      <c r="TBW341" s="288" t="s">
        <v>598</v>
      </c>
      <c r="TBX341" s="288" t="s">
        <v>598</v>
      </c>
      <c r="TBY341" s="288" t="s">
        <v>598</v>
      </c>
      <c r="TBZ341" s="288" t="s">
        <v>598</v>
      </c>
      <c r="TCA341" s="288" t="s">
        <v>598</v>
      </c>
      <c r="TCB341" s="288" t="s">
        <v>598</v>
      </c>
      <c r="TCC341" s="288" t="s">
        <v>598</v>
      </c>
      <c r="TCD341" s="288" t="s">
        <v>598</v>
      </c>
      <c r="TCE341" s="288" t="s">
        <v>598</v>
      </c>
      <c r="TCF341" s="288" t="s">
        <v>598</v>
      </c>
      <c r="TCG341" s="288" t="s">
        <v>598</v>
      </c>
      <c r="TCH341" s="288" t="s">
        <v>598</v>
      </c>
      <c r="TCI341" s="288" t="s">
        <v>598</v>
      </c>
      <c r="TCJ341" s="288" t="s">
        <v>598</v>
      </c>
      <c r="TCK341" s="288" t="s">
        <v>598</v>
      </c>
      <c r="TCL341" s="288" t="s">
        <v>598</v>
      </c>
      <c r="TCM341" s="288" t="s">
        <v>598</v>
      </c>
      <c r="TCN341" s="288" t="s">
        <v>598</v>
      </c>
      <c r="TCO341" s="288" t="s">
        <v>598</v>
      </c>
      <c r="TCP341" s="288" t="s">
        <v>598</v>
      </c>
      <c r="TCQ341" s="288" t="s">
        <v>598</v>
      </c>
      <c r="TCR341" s="288" t="s">
        <v>598</v>
      </c>
      <c r="TCS341" s="288" t="s">
        <v>598</v>
      </c>
      <c r="TCT341" s="288" t="s">
        <v>598</v>
      </c>
      <c r="TCU341" s="288" t="s">
        <v>598</v>
      </c>
      <c r="TCV341" s="288" t="s">
        <v>598</v>
      </c>
      <c r="TCW341" s="288" t="s">
        <v>598</v>
      </c>
      <c r="TCX341" s="288" t="s">
        <v>598</v>
      </c>
      <c r="TCY341" s="288" t="s">
        <v>598</v>
      </c>
      <c r="TCZ341" s="288" t="s">
        <v>598</v>
      </c>
      <c r="TDA341" s="288" t="s">
        <v>598</v>
      </c>
      <c r="TDB341" s="288" t="s">
        <v>598</v>
      </c>
      <c r="TDC341" s="288" t="s">
        <v>598</v>
      </c>
      <c r="TDD341" s="288" t="s">
        <v>598</v>
      </c>
      <c r="TDE341" s="288" t="s">
        <v>598</v>
      </c>
      <c r="TDF341" s="288" t="s">
        <v>598</v>
      </c>
      <c r="TDG341" s="288" t="s">
        <v>598</v>
      </c>
      <c r="TDH341" s="288" t="s">
        <v>598</v>
      </c>
      <c r="TDI341" s="288" t="s">
        <v>598</v>
      </c>
      <c r="TDJ341" s="288" t="s">
        <v>598</v>
      </c>
      <c r="TDK341" s="288" t="s">
        <v>598</v>
      </c>
      <c r="TDL341" s="288" t="s">
        <v>598</v>
      </c>
      <c r="TDM341" s="288" t="s">
        <v>598</v>
      </c>
      <c r="TDN341" s="288" t="s">
        <v>598</v>
      </c>
      <c r="TDO341" s="288" t="s">
        <v>598</v>
      </c>
      <c r="TDP341" s="288" t="s">
        <v>598</v>
      </c>
      <c r="TDQ341" s="288" t="s">
        <v>598</v>
      </c>
      <c r="TDR341" s="288" t="s">
        <v>598</v>
      </c>
      <c r="TDS341" s="288" t="s">
        <v>598</v>
      </c>
      <c r="TDT341" s="288" t="s">
        <v>598</v>
      </c>
      <c r="TDU341" s="288" t="s">
        <v>598</v>
      </c>
      <c r="TDV341" s="288" t="s">
        <v>598</v>
      </c>
      <c r="TDW341" s="288" t="s">
        <v>598</v>
      </c>
      <c r="TDX341" s="288" t="s">
        <v>598</v>
      </c>
      <c r="TDY341" s="288" t="s">
        <v>598</v>
      </c>
      <c r="TDZ341" s="288" t="s">
        <v>598</v>
      </c>
      <c r="TEA341" s="288" t="s">
        <v>598</v>
      </c>
      <c r="TEB341" s="288" t="s">
        <v>598</v>
      </c>
      <c r="TEC341" s="288" t="s">
        <v>598</v>
      </c>
      <c r="TED341" s="288" t="s">
        <v>598</v>
      </c>
      <c r="TEE341" s="288" t="s">
        <v>598</v>
      </c>
      <c r="TEF341" s="288" t="s">
        <v>598</v>
      </c>
      <c r="TEG341" s="288" t="s">
        <v>598</v>
      </c>
      <c r="TEH341" s="288" t="s">
        <v>598</v>
      </c>
      <c r="TEI341" s="288" t="s">
        <v>598</v>
      </c>
      <c r="TEJ341" s="288" t="s">
        <v>598</v>
      </c>
      <c r="TEK341" s="288" t="s">
        <v>598</v>
      </c>
      <c r="TEL341" s="288" t="s">
        <v>598</v>
      </c>
      <c r="TEM341" s="288" t="s">
        <v>598</v>
      </c>
      <c r="TEN341" s="288" t="s">
        <v>598</v>
      </c>
      <c r="TEO341" s="288" t="s">
        <v>598</v>
      </c>
      <c r="TEP341" s="288" t="s">
        <v>598</v>
      </c>
      <c r="TEQ341" s="288" t="s">
        <v>598</v>
      </c>
      <c r="TER341" s="288" t="s">
        <v>598</v>
      </c>
      <c r="TES341" s="288" t="s">
        <v>598</v>
      </c>
      <c r="TET341" s="288" t="s">
        <v>598</v>
      </c>
      <c r="TEU341" s="288" t="s">
        <v>598</v>
      </c>
      <c r="TEV341" s="288" t="s">
        <v>598</v>
      </c>
      <c r="TEW341" s="288" t="s">
        <v>598</v>
      </c>
      <c r="TEX341" s="288" t="s">
        <v>598</v>
      </c>
      <c r="TEY341" s="288" t="s">
        <v>598</v>
      </c>
      <c r="TEZ341" s="288" t="s">
        <v>598</v>
      </c>
      <c r="TFA341" s="288" t="s">
        <v>598</v>
      </c>
      <c r="TFB341" s="288" t="s">
        <v>598</v>
      </c>
      <c r="TFC341" s="288" t="s">
        <v>598</v>
      </c>
      <c r="TFD341" s="288" t="s">
        <v>598</v>
      </c>
      <c r="TFE341" s="288" t="s">
        <v>598</v>
      </c>
      <c r="TFF341" s="288" t="s">
        <v>598</v>
      </c>
      <c r="TFG341" s="288" t="s">
        <v>598</v>
      </c>
      <c r="TFH341" s="288" t="s">
        <v>598</v>
      </c>
      <c r="TFI341" s="288" t="s">
        <v>598</v>
      </c>
      <c r="TFJ341" s="288" t="s">
        <v>598</v>
      </c>
      <c r="TFK341" s="288" t="s">
        <v>598</v>
      </c>
      <c r="TFL341" s="288" t="s">
        <v>598</v>
      </c>
      <c r="TFM341" s="288" t="s">
        <v>598</v>
      </c>
      <c r="TFN341" s="288" t="s">
        <v>598</v>
      </c>
      <c r="TFO341" s="288" t="s">
        <v>598</v>
      </c>
      <c r="TFP341" s="288" t="s">
        <v>598</v>
      </c>
      <c r="TFQ341" s="288" t="s">
        <v>598</v>
      </c>
      <c r="TFR341" s="288" t="s">
        <v>598</v>
      </c>
      <c r="TFS341" s="288" t="s">
        <v>598</v>
      </c>
      <c r="TFT341" s="288" t="s">
        <v>598</v>
      </c>
      <c r="TFU341" s="288" t="s">
        <v>598</v>
      </c>
      <c r="TFV341" s="288" t="s">
        <v>598</v>
      </c>
      <c r="TFW341" s="288" t="s">
        <v>598</v>
      </c>
      <c r="TFX341" s="288" t="s">
        <v>598</v>
      </c>
      <c r="TFY341" s="288" t="s">
        <v>598</v>
      </c>
      <c r="TFZ341" s="288" t="s">
        <v>598</v>
      </c>
      <c r="TGA341" s="288" t="s">
        <v>598</v>
      </c>
      <c r="TGB341" s="288" t="s">
        <v>598</v>
      </c>
      <c r="TGC341" s="288" t="s">
        <v>598</v>
      </c>
      <c r="TGD341" s="288" t="s">
        <v>598</v>
      </c>
      <c r="TGE341" s="288" t="s">
        <v>598</v>
      </c>
      <c r="TGF341" s="288" t="s">
        <v>598</v>
      </c>
      <c r="TGG341" s="288" t="s">
        <v>598</v>
      </c>
      <c r="TGH341" s="288" t="s">
        <v>598</v>
      </c>
      <c r="TGI341" s="288" t="s">
        <v>598</v>
      </c>
      <c r="TGJ341" s="288" t="s">
        <v>598</v>
      </c>
      <c r="TGK341" s="288" t="s">
        <v>598</v>
      </c>
      <c r="TGL341" s="288" t="s">
        <v>598</v>
      </c>
      <c r="TGM341" s="288" t="s">
        <v>598</v>
      </c>
      <c r="TGN341" s="288" t="s">
        <v>598</v>
      </c>
      <c r="TGO341" s="288" t="s">
        <v>598</v>
      </c>
      <c r="TGP341" s="288" t="s">
        <v>598</v>
      </c>
      <c r="TGQ341" s="288" t="s">
        <v>598</v>
      </c>
      <c r="TGR341" s="288" t="s">
        <v>598</v>
      </c>
      <c r="TGS341" s="288" t="s">
        <v>598</v>
      </c>
      <c r="TGT341" s="288" t="s">
        <v>598</v>
      </c>
      <c r="TGU341" s="288" t="s">
        <v>598</v>
      </c>
      <c r="TGV341" s="288" t="s">
        <v>598</v>
      </c>
      <c r="TGW341" s="288" t="s">
        <v>598</v>
      </c>
      <c r="TGX341" s="288" t="s">
        <v>598</v>
      </c>
      <c r="TGY341" s="288" t="s">
        <v>598</v>
      </c>
      <c r="TGZ341" s="288" t="s">
        <v>598</v>
      </c>
      <c r="THA341" s="288" t="s">
        <v>598</v>
      </c>
      <c r="THB341" s="288" t="s">
        <v>598</v>
      </c>
      <c r="THC341" s="288" t="s">
        <v>598</v>
      </c>
      <c r="THD341" s="288" t="s">
        <v>598</v>
      </c>
      <c r="THE341" s="288" t="s">
        <v>598</v>
      </c>
      <c r="THF341" s="288" t="s">
        <v>598</v>
      </c>
      <c r="THG341" s="288" t="s">
        <v>598</v>
      </c>
      <c r="THH341" s="288" t="s">
        <v>598</v>
      </c>
      <c r="THI341" s="288" t="s">
        <v>598</v>
      </c>
      <c r="THJ341" s="288" t="s">
        <v>598</v>
      </c>
      <c r="THK341" s="288" t="s">
        <v>598</v>
      </c>
      <c r="THL341" s="288" t="s">
        <v>598</v>
      </c>
      <c r="THM341" s="288" t="s">
        <v>598</v>
      </c>
      <c r="THN341" s="288" t="s">
        <v>598</v>
      </c>
      <c r="THO341" s="288" t="s">
        <v>598</v>
      </c>
      <c r="THP341" s="288" t="s">
        <v>598</v>
      </c>
      <c r="THQ341" s="288" t="s">
        <v>598</v>
      </c>
      <c r="THR341" s="288" t="s">
        <v>598</v>
      </c>
      <c r="THS341" s="288" t="s">
        <v>598</v>
      </c>
      <c r="THT341" s="288" t="s">
        <v>598</v>
      </c>
      <c r="THU341" s="288" t="s">
        <v>598</v>
      </c>
      <c r="THV341" s="288" t="s">
        <v>598</v>
      </c>
      <c r="THW341" s="288" t="s">
        <v>598</v>
      </c>
      <c r="THX341" s="288" t="s">
        <v>598</v>
      </c>
      <c r="THY341" s="288" t="s">
        <v>598</v>
      </c>
      <c r="THZ341" s="288" t="s">
        <v>598</v>
      </c>
      <c r="TIA341" s="288" t="s">
        <v>598</v>
      </c>
      <c r="TIB341" s="288" t="s">
        <v>598</v>
      </c>
      <c r="TIC341" s="288" t="s">
        <v>598</v>
      </c>
      <c r="TID341" s="288" t="s">
        <v>598</v>
      </c>
      <c r="TIE341" s="288" t="s">
        <v>598</v>
      </c>
      <c r="TIF341" s="288" t="s">
        <v>598</v>
      </c>
      <c r="TIG341" s="288" t="s">
        <v>598</v>
      </c>
      <c r="TIH341" s="288" t="s">
        <v>598</v>
      </c>
      <c r="TII341" s="288" t="s">
        <v>598</v>
      </c>
      <c r="TIJ341" s="288" t="s">
        <v>598</v>
      </c>
      <c r="TIK341" s="288" t="s">
        <v>598</v>
      </c>
      <c r="TIL341" s="288" t="s">
        <v>598</v>
      </c>
      <c r="TIM341" s="288" t="s">
        <v>598</v>
      </c>
      <c r="TIN341" s="288" t="s">
        <v>598</v>
      </c>
      <c r="TIO341" s="288" t="s">
        <v>598</v>
      </c>
      <c r="TIP341" s="288" t="s">
        <v>598</v>
      </c>
      <c r="TIQ341" s="288" t="s">
        <v>598</v>
      </c>
      <c r="TIR341" s="288" t="s">
        <v>598</v>
      </c>
      <c r="TIS341" s="288" t="s">
        <v>598</v>
      </c>
      <c r="TIT341" s="288" t="s">
        <v>598</v>
      </c>
      <c r="TIU341" s="288" t="s">
        <v>598</v>
      </c>
      <c r="TIV341" s="288" t="s">
        <v>598</v>
      </c>
      <c r="TIW341" s="288" t="s">
        <v>598</v>
      </c>
      <c r="TIX341" s="288" t="s">
        <v>598</v>
      </c>
      <c r="TIY341" s="288" t="s">
        <v>598</v>
      </c>
      <c r="TIZ341" s="288" t="s">
        <v>598</v>
      </c>
      <c r="TJA341" s="288" t="s">
        <v>598</v>
      </c>
      <c r="TJB341" s="288" t="s">
        <v>598</v>
      </c>
      <c r="TJC341" s="288" t="s">
        <v>598</v>
      </c>
      <c r="TJD341" s="288" t="s">
        <v>598</v>
      </c>
      <c r="TJE341" s="288" t="s">
        <v>598</v>
      </c>
      <c r="TJF341" s="288" t="s">
        <v>598</v>
      </c>
      <c r="TJG341" s="288" t="s">
        <v>598</v>
      </c>
      <c r="TJH341" s="288" t="s">
        <v>598</v>
      </c>
      <c r="TJI341" s="288" t="s">
        <v>598</v>
      </c>
      <c r="TJJ341" s="288" t="s">
        <v>598</v>
      </c>
      <c r="TJK341" s="288" t="s">
        <v>598</v>
      </c>
      <c r="TJL341" s="288" t="s">
        <v>598</v>
      </c>
      <c r="TJM341" s="288" t="s">
        <v>598</v>
      </c>
      <c r="TJN341" s="288" t="s">
        <v>598</v>
      </c>
      <c r="TJO341" s="288" t="s">
        <v>598</v>
      </c>
      <c r="TJP341" s="288" t="s">
        <v>598</v>
      </c>
      <c r="TJQ341" s="288" t="s">
        <v>598</v>
      </c>
      <c r="TJR341" s="288" t="s">
        <v>598</v>
      </c>
      <c r="TJS341" s="288" t="s">
        <v>598</v>
      </c>
      <c r="TJT341" s="288" t="s">
        <v>598</v>
      </c>
      <c r="TJU341" s="288" t="s">
        <v>598</v>
      </c>
      <c r="TJV341" s="288" t="s">
        <v>598</v>
      </c>
      <c r="TJW341" s="288" t="s">
        <v>598</v>
      </c>
      <c r="TJX341" s="288" t="s">
        <v>598</v>
      </c>
      <c r="TJY341" s="288" t="s">
        <v>598</v>
      </c>
      <c r="TJZ341" s="288" t="s">
        <v>598</v>
      </c>
      <c r="TKA341" s="288" t="s">
        <v>598</v>
      </c>
      <c r="TKB341" s="288" t="s">
        <v>598</v>
      </c>
      <c r="TKC341" s="288" t="s">
        <v>598</v>
      </c>
      <c r="TKD341" s="288" t="s">
        <v>598</v>
      </c>
      <c r="TKE341" s="288" t="s">
        <v>598</v>
      </c>
      <c r="TKF341" s="288" t="s">
        <v>598</v>
      </c>
      <c r="TKG341" s="288" t="s">
        <v>598</v>
      </c>
      <c r="TKH341" s="288" t="s">
        <v>598</v>
      </c>
      <c r="TKI341" s="288" t="s">
        <v>598</v>
      </c>
      <c r="TKJ341" s="288" t="s">
        <v>598</v>
      </c>
      <c r="TKK341" s="288" t="s">
        <v>598</v>
      </c>
      <c r="TKL341" s="288" t="s">
        <v>598</v>
      </c>
      <c r="TKM341" s="288" t="s">
        <v>598</v>
      </c>
      <c r="TKN341" s="288" t="s">
        <v>598</v>
      </c>
      <c r="TKO341" s="288" t="s">
        <v>598</v>
      </c>
      <c r="TKP341" s="288" t="s">
        <v>598</v>
      </c>
      <c r="TKQ341" s="288" t="s">
        <v>598</v>
      </c>
      <c r="TKR341" s="288" t="s">
        <v>598</v>
      </c>
      <c r="TKS341" s="288" t="s">
        <v>598</v>
      </c>
      <c r="TKT341" s="288" t="s">
        <v>598</v>
      </c>
      <c r="TKU341" s="288" t="s">
        <v>598</v>
      </c>
      <c r="TKV341" s="288" t="s">
        <v>598</v>
      </c>
      <c r="TKW341" s="288" t="s">
        <v>598</v>
      </c>
      <c r="TKX341" s="288" t="s">
        <v>598</v>
      </c>
      <c r="TKY341" s="288" t="s">
        <v>598</v>
      </c>
      <c r="TKZ341" s="288" t="s">
        <v>598</v>
      </c>
      <c r="TLA341" s="288" t="s">
        <v>598</v>
      </c>
      <c r="TLB341" s="288" t="s">
        <v>598</v>
      </c>
      <c r="TLC341" s="288" t="s">
        <v>598</v>
      </c>
      <c r="TLD341" s="288" t="s">
        <v>598</v>
      </c>
      <c r="TLE341" s="288" t="s">
        <v>598</v>
      </c>
      <c r="TLF341" s="288" t="s">
        <v>598</v>
      </c>
      <c r="TLG341" s="288" t="s">
        <v>598</v>
      </c>
      <c r="TLH341" s="288" t="s">
        <v>598</v>
      </c>
      <c r="TLI341" s="288" t="s">
        <v>598</v>
      </c>
      <c r="TLJ341" s="288" t="s">
        <v>598</v>
      </c>
      <c r="TLK341" s="288" t="s">
        <v>598</v>
      </c>
      <c r="TLL341" s="288" t="s">
        <v>598</v>
      </c>
      <c r="TLM341" s="288" t="s">
        <v>598</v>
      </c>
      <c r="TLN341" s="288" t="s">
        <v>598</v>
      </c>
      <c r="TLO341" s="288" t="s">
        <v>598</v>
      </c>
      <c r="TLP341" s="288" t="s">
        <v>598</v>
      </c>
      <c r="TLQ341" s="288" t="s">
        <v>598</v>
      </c>
      <c r="TLR341" s="288" t="s">
        <v>598</v>
      </c>
      <c r="TLS341" s="288" t="s">
        <v>598</v>
      </c>
      <c r="TLT341" s="288" t="s">
        <v>598</v>
      </c>
      <c r="TLU341" s="288" t="s">
        <v>598</v>
      </c>
      <c r="TLV341" s="288" t="s">
        <v>598</v>
      </c>
      <c r="TLW341" s="288" t="s">
        <v>598</v>
      </c>
      <c r="TLX341" s="288" t="s">
        <v>598</v>
      </c>
      <c r="TLY341" s="288" t="s">
        <v>598</v>
      </c>
      <c r="TLZ341" s="288" t="s">
        <v>598</v>
      </c>
      <c r="TMA341" s="288" t="s">
        <v>598</v>
      </c>
      <c r="TMB341" s="288" t="s">
        <v>598</v>
      </c>
      <c r="TMC341" s="288" t="s">
        <v>598</v>
      </c>
      <c r="TMD341" s="288" t="s">
        <v>598</v>
      </c>
      <c r="TME341" s="288" t="s">
        <v>598</v>
      </c>
      <c r="TMF341" s="288" t="s">
        <v>598</v>
      </c>
      <c r="TMG341" s="288" t="s">
        <v>598</v>
      </c>
      <c r="TMH341" s="288" t="s">
        <v>598</v>
      </c>
      <c r="TMI341" s="288" t="s">
        <v>598</v>
      </c>
      <c r="TMJ341" s="288" t="s">
        <v>598</v>
      </c>
      <c r="TMK341" s="288" t="s">
        <v>598</v>
      </c>
      <c r="TML341" s="288" t="s">
        <v>598</v>
      </c>
      <c r="TMM341" s="288" t="s">
        <v>598</v>
      </c>
      <c r="TMN341" s="288" t="s">
        <v>598</v>
      </c>
      <c r="TMO341" s="288" t="s">
        <v>598</v>
      </c>
      <c r="TMP341" s="288" t="s">
        <v>598</v>
      </c>
      <c r="TMQ341" s="288" t="s">
        <v>598</v>
      </c>
      <c r="TMR341" s="288" t="s">
        <v>598</v>
      </c>
      <c r="TMS341" s="288" t="s">
        <v>598</v>
      </c>
      <c r="TMT341" s="288" t="s">
        <v>598</v>
      </c>
      <c r="TMU341" s="288" t="s">
        <v>598</v>
      </c>
      <c r="TMV341" s="288" t="s">
        <v>598</v>
      </c>
      <c r="TMW341" s="288" t="s">
        <v>598</v>
      </c>
      <c r="TMX341" s="288" t="s">
        <v>598</v>
      </c>
      <c r="TMY341" s="288" t="s">
        <v>598</v>
      </c>
      <c r="TMZ341" s="288" t="s">
        <v>598</v>
      </c>
      <c r="TNA341" s="288" t="s">
        <v>598</v>
      </c>
      <c r="TNB341" s="288" t="s">
        <v>598</v>
      </c>
      <c r="TNC341" s="288" t="s">
        <v>598</v>
      </c>
      <c r="TND341" s="288" t="s">
        <v>598</v>
      </c>
      <c r="TNE341" s="288" t="s">
        <v>598</v>
      </c>
      <c r="TNF341" s="288" t="s">
        <v>598</v>
      </c>
      <c r="TNG341" s="288" t="s">
        <v>598</v>
      </c>
      <c r="TNH341" s="288" t="s">
        <v>598</v>
      </c>
      <c r="TNI341" s="288" t="s">
        <v>598</v>
      </c>
      <c r="TNJ341" s="288" t="s">
        <v>598</v>
      </c>
      <c r="TNK341" s="288" t="s">
        <v>598</v>
      </c>
      <c r="TNL341" s="288" t="s">
        <v>598</v>
      </c>
      <c r="TNM341" s="288" t="s">
        <v>598</v>
      </c>
      <c r="TNN341" s="288" t="s">
        <v>598</v>
      </c>
      <c r="TNO341" s="288" t="s">
        <v>598</v>
      </c>
      <c r="TNP341" s="288" t="s">
        <v>598</v>
      </c>
      <c r="TNQ341" s="288" t="s">
        <v>598</v>
      </c>
      <c r="TNR341" s="288" t="s">
        <v>598</v>
      </c>
      <c r="TNS341" s="288" t="s">
        <v>598</v>
      </c>
      <c r="TNT341" s="288" t="s">
        <v>598</v>
      </c>
      <c r="TNU341" s="288" t="s">
        <v>598</v>
      </c>
      <c r="TNV341" s="288" t="s">
        <v>598</v>
      </c>
      <c r="TNW341" s="288" t="s">
        <v>598</v>
      </c>
      <c r="TNX341" s="288" t="s">
        <v>598</v>
      </c>
      <c r="TNY341" s="288" t="s">
        <v>598</v>
      </c>
      <c r="TNZ341" s="288" t="s">
        <v>598</v>
      </c>
      <c r="TOA341" s="288" t="s">
        <v>598</v>
      </c>
      <c r="TOB341" s="288" t="s">
        <v>598</v>
      </c>
      <c r="TOC341" s="288" t="s">
        <v>598</v>
      </c>
      <c r="TOD341" s="288" t="s">
        <v>598</v>
      </c>
      <c r="TOE341" s="288" t="s">
        <v>598</v>
      </c>
      <c r="TOF341" s="288" t="s">
        <v>598</v>
      </c>
      <c r="TOG341" s="288" t="s">
        <v>598</v>
      </c>
      <c r="TOH341" s="288" t="s">
        <v>598</v>
      </c>
      <c r="TOI341" s="288" t="s">
        <v>598</v>
      </c>
      <c r="TOJ341" s="288" t="s">
        <v>598</v>
      </c>
      <c r="TOK341" s="288" t="s">
        <v>598</v>
      </c>
      <c r="TOL341" s="288" t="s">
        <v>598</v>
      </c>
      <c r="TOM341" s="288" t="s">
        <v>598</v>
      </c>
      <c r="TON341" s="288" t="s">
        <v>598</v>
      </c>
      <c r="TOO341" s="288" t="s">
        <v>598</v>
      </c>
      <c r="TOP341" s="288" t="s">
        <v>598</v>
      </c>
      <c r="TOQ341" s="288" t="s">
        <v>598</v>
      </c>
      <c r="TOR341" s="288" t="s">
        <v>598</v>
      </c>
      <c r="TOS341" s="288" t="s">
        <v>598</v>
      </c>
      <c r="TOT341" s="288" t="s">
        <v>598</v>
      </c>
      <c r="TOU341" s="288" t="s">
        <v>598</v>
      </c>
      <c r="TOV341" s="288" t="s">
        <v>598</v>
      </c>
      <c r="TOW341" s="288" t="s">
        <v>598</v>
      </c>
      <c r="TOX341" s="288" t="s">
        <v>598</v>
      </c>
      <c r="TOY341" s="288" t="s">
        <v>598</v>
      </c>
      <c r="TOZ341" s="288" t="s">
        <v>598</v>
      </c>
      <c r="TPA341" s="288" t="s">
        <v>598</v>
      </c>
      <c r="TPB341" s="288" t="s">
        <v>598</v>
      </c>
      <c r="TPC341" s="288" t="s">
        <v>598</v>
      </c>
      <c r="TPD341" s="288" t="s">
        <v>598</v>
      </c>
      <c r="TPE341" s="288" t="s">
        <v>598</v>
      </c>
      <c r="TPF341" s="288" t="s">
        <v>598</v>
      </c>
      <c r="TPG341" s="288" t="s">
        <v>598</v>
      </c>
      <c r="TPH341" s="288" t="s">
        <v>598</v>
      </c>
      <c r="TPI341" s="288" t="s">
        <v>598</v>
      </c>
      <c r="TPJ341" s="288" t="s">
        <v>598</v>
      </c>
      <c r="TPK341" s="288" t="s">
        <v>598</v>
      </c>
      <c r="TPL341" s="288" t="s">
        <v>598</v>
      </c>
      <c r="TPM341" s="288" t="s">
        <v>598</v>
      </c>
      <c r="TPN341" s="288" t="s">
        <v>598</v>
      </c>
      <c r="TPO341" s="288" t="s">
        <v>598</v>
      </c>
      <c r="TPP341" s="288" t="s">
        <v>598</v>
      </c>
      <c r="TPQ341" s="288" t="s">
        <v>598</v>
      </c>
      <c r="TPR341" s="288" t="s">
        <v>598</v>
      </c>
      <c r="TPS341" s="288" t="s">
        <v>598</v>
      </c>
      <c r="TPT341" s="288" t="s">
        <v>598</v>
      </c>
      <c r="TPU341" s="288" t="s">
        <v>598</v>
      </c>
      <c r="TPV341" s="288" t="s">
        <v>598</v>
      </c>
      <c r="TPW341" s="288" t="s">
        <v>598</v>
      </c>
      <c r="TPX341" s="288" t="s">
        <v>598</v>
      </c>
      <c r="TPY341" s="288" t="s">
        <v>598</v>
      </c>
      <c r="TPZ341" s="288" t="s">
        <v>598</v>
      </c>
      <c r="TQA341" s="288" t="s">
        <v>598</v>
      </c>
      <c r="TQB341" s="288" t="s">
        <v>598</v>
      </c>
      <c r="TQC341" s="288" t="s">
        <v>598</v>
      </c>
      <c r="TQD341" s="288" t="s">
        <v>598</v>
      </c>
      <c r="TQE341" s="288" t="s">
        <v>598</v>
      </c>
      <c r="TQF341" s="288" t="s">
        <v>598</v>
      </c>
      <c r="TQG341" s="288" t="s">
        <v>598</v>
      </c>
      <c r="TQH341" s="288" t="s">
        <v>598</v>
      </c>
      <c r="TQI341" s="288" t="s">
        <v>598</v>
      </c>
      <c r="TQJ341" s="288" t="s">
        <v>598</v>
      </c>
      <c r="TQK341" s="288" t="s">
        <v>598</v>
      </c>
      <c r="TQL341" s="288" t="s">
        <v>598</v>
      </c>
      <c r="TQM341" s="288" t="s">
        <v>598</v>
      </c>
      <c r="TQN341" s="288" t="s">
        <v>598</v>
      </c>
      <c r="TQO341" s="288" t="s">
        <v>598</v>
      </c>
      <c r="TQP341" s="288" t="s">
        <v>598</v>
      </c>
      <c r="TQQ341" s="288" t="s">
        <v>598</v>
      </c>
      <c r="TQR341" s="288" t="s">
        <v>598</v>
      </c>
      <c r="TQS341" s="288" t="s">
        <v>598</v>
      </c>
      <c r="TQT341" s="288" t="s">
        <v>598</v>
      </c>
      <c r="TQU341" s="288" t="s">
        <v>598</v>
      </c>
      <c r="TQV341" s="288" t="s">
        <v>598</v>
      </c>
      <c r="TQW341" s="288" t="s">
        <v>598</v>
      </c>
      <c r="TQX341" s="288" t="s">
        <v>598</v>
      </c>
      <c r="TQY341" s="288" t="s">
        <v>598</v>
      </c>
      <c r="TQZ341" s="288" t="s">
        <v>598</v>
      </c>
      <c r="TRA341" s="288" t="s">
        <v>598</v>
      </c>
      <c r="TRB341" s="288" t="s">
        <v>598</v>
      </c>
      <c r="TRC341" s="288" t="s">
        <v>598</v>
      </c>
      <c r="TRD341" s="288" t="s">
        <v>598</v>
      </c>
      <c r="TRE341" s="288" t="s">
        <v>598</v>
      </c>
      <c r="TRF341" s="288" t="s">
        <v>598</v>
      </c>
      <c r="TRG341" s="288" t="s">
        <v>598</v>
      </c>
      <c r="TRH341" s="288" t="s">
        <v>598</v>
      </c>
      <c r="TRI341" s="288" t="s">
        <v>598</v>
      </c>
      <c r="TRJ341" s="288" t="s">
        <v>598</v>
      </c>
      <c r="TRK341" s="288" t="s">
        <v>598</v>
      </c>
      <c r="TRL341" s="288" t="s">
        <v>598</v>
      </c>
      <c r="TRM341" s="288" t="s">
        <v>598</v>
      </c>
      <c r="TRN341" s="288" t="s">
        <v>598</v>
      </c>
      <c r="TRO341" s="288" t="s">
        <v>598</v>
      </c>
      <c r="TRP341" s="288" t="s">
        <v>598</v>
      </c>
      <c r="TRQ341" s="288" t="s">
        <v>598</v>
      </c>
      <c r="TRR341" s="288" t="s">
        <v>598</v>
      </c>
      <c r="TRS341" s="288" t="s">
        <v>598</v>
      </c>
      <c r="TRT341" s="288" t="s">
        <v>598</v>
      </c>
      <c r="TRU341" s="288" t="s">
        <v>598</v>
      </c>
      <c r="TRV341" s="288" t="s">
        <v>598</v>
      </c>
      <c r="TRW341" s="288" t="s">
        <v>598</v>
      </c>
      <c r="TRX341" s="288" t="s">
        <v>598</v>
      </c>
      <c r="TRY341" s="288" t="s">
        <v>598</v>
      </c>
      <c r="TRZ341" s="288" t="s">
        <v>598</v>
      </c>
      <c r="TSA341" s="288" t="s">
        <v>598</v>
      </c>
      <c r="TSB341" s="288" t="s">
        <v>598</v>
      </c>
      <c r="TSC341" s="288" t="s">
        <v>598</v>
      </c>
      <c r="TSD341" s="288" t="s">
        <v>598</v>
      </c>
      <c r="TSE341" s="288" t="s">
        <v>598</v>
      </c>
      <c r="TSF341" s="288" t="s">
        <v>598</v>
      </c>
      <c r="TSG341" s="288" t="s">
        <v>598</v>
      </c>
      <c r="TSH341" s="288" t="s">
        <v>598</v>
      </c>
      <c r="TSI341" s="288" t="s">
        <v>598</v>
      </c>
      <c r="TSJ341" s="288" t="s">
        <v>598</v>
      </c>
      <c r="TSK341" s="288" t="s">
        <v>598</v>
      </c>
      <c r="TSL341" s="288" t="s">
        <v>598</v>
      </c>
      <c r="TSM341" s="288" t="s">
        <v>598</v>
      </c>
      <c r="TSN341" s="288" t="s">
        <v>598</v>
      </c>
      <c r="TSO341" s="288" t="s">
        <v>598</v>
      </c>
      <c r="TSP341" s="288" t="s">
        <v>598</v>
      </c>
      <c r="TSQ341" s="288" t="s">
        <v>598</v>
      </c>
      <c r="TSR341" s="288" t="s">
        <v>598</v>
      </c>
      <c r="TSS341" s="288" t="s">
        <v>598</v>
      </c>
      <c r="TST341" s="288" t="s">
        <v>598</v>
      </c>
      <c r="TSU341" s="288" t="s">
        <v>598</v>
      </c>
      <c r="TSV341" s="288" t="s">
        <v>598</v>
      </c>
      <c r="TSW341" s="288" t="s">
        <v>598</v>
      </c>
      <c r="TSX341" s="288" t="s">
        <v>598</v>
      </c>
      <c r="TSY341" s="288" t="s">
        <v>598</v>
      </c>
      <c r="TSZ341" s="288" t="s">
        <v>598</v>
      </c>
      <c r="TTA341" s="288" t="s">
        <v>598</v>
      </c>
      <c r="TTB341" s="288" t="s">
        <v>598</v>
      </c>
      <c r="TTC341" s="288" t="s">
        <v>598</v>
      </c>
      <c r="TTD341" s="288" t="s">
        <v>598</v>
      </c>
      <c r="TTE341" s="288" t="s">
        <v>598</v>
      </c>
      <c r="TTF341" s="288" t="s">
        <v>598</v>
      </c>
      <c r="TTG341" s="288" t="s">
        <v>598</v>
      </c>
      <c r="TTH341" s="288" t="s">
        <v>598</v>
      </c>
      <c r="TTI341" s="288" t="s">
        <v>598</v>
      </c>
      <c r="TTJ341" s="288" t="s">
        <v>598</v>
      </c>
      <c r="TTK341" s="288" t="s">
        <v>598</v>
      </c>
      <c r="TTL341" s="288" t="s">
        <v>598</v>
      </c>
      <c r="TTM341" s="288" t="s">
        <v>598</v>
      </c>
      <c r="TTN341" s="288" t="s">
        <v>598</v>
      </c>
      <c r="TTO341" s="288" t="s">
        <v>598</v>
      </c>
      <c r="TTP341" s="288" t="s">
        <v>598</v>
      </c>
      <c r="TTQ341" s="288" t="s">
        <v>598</v>
      </c>
      <c r="TTR341" s="288" t="s">
        <v>598</v>
      </c>
      <c r="TTS341" s="288" t="s">
        <v>598</v>
      </c>
      <c r="TTT341" s="288" t="s">
        <v>598</v>
      </c>
      <c r="TTU341" s="288" t="s">
        <v>598</v>
      </c>
      <c r="TTV341" s="288" t="s">
        <v>598</v>
      </c>
      <c r="TTW341" s="288" t="s">
        <v>598</v>
      </c>
      <c r="TTX341" s="288" t="s">
        <v>598</v>
      </c>
      <c r="TTY341" s="288" t="s">
        <v>598</v>
      </c>
      <c r="TTZ341" s="288" t="s">
        <v>598</v>
      </c>
      <c r="TUA341" s="288" t="s">
        <v>598</v>
      </c>
      <c r="TUB341" s="288" t="s">
        <v>598</v>
      </c>
      <c r="TUC341" s="288" t="s">
        <v>598</v>
      </c>
      <c r="TUD341" s="288" t="s">
        <v>598</v>
      </c>
      <c r="TUE341" s="288" t="s">
        <v>598</v>
      </c>
      <c r="TUF341" s="288" t="s">
        <v>598</v>
      </c>
      <c r="TUG341" s="288" t="s">
        <v>598</v>
      </c>
      <c r="TUH341" s="288" t="s">
        <v>598</v>
      </c>
      <c r="TUI341" s="288" t="s">
        <v>598</v>
      </c>
      <c r="TUJ341" s="288" t="s">
        <v>598</v>
      </c>
      <c r="TUK341" s="288" t="s">
        <v>598</v>
      </c>
      <c r="TUL341" s="288" t="s">
        <v>598</v>
      </c>
      <c r="TUM341" s="288" t="s">
        <v>598</v>
      </c>
      <c r="TUN341" s="288" t="s">
        <v>598</v>
      </c>
      <c r="TUO341" s="288" t="s">
        <v>598</v>
      </c>
      <c r="TUP341" s="288" t="s">
        <v>598</v>
      </c>
      <c r="TUQ341" s="288" t="s">
        <v>598</v>
      </c>
      <c r="TUR341" s="288" t="s">
        <v>598</v>
      </c>
      <c r="TUS341" s="288" t="s">
        <v>598</v>
      </c>
      <c r="TUT341" s="288" t="s">
        <v>598</v>
      </c>
      <c r="TUU341" s="288" t="s">
        <v>598</v>
      </c>
      <c r="TUV341" s="288" t="s">
        <v>598</v>
      </c>
      <c r="TUW341" s="288" t="s">
        <v>598</v>
      </c>
      <c r="TUX341" s="288" t="s">
        <v>598</v>
      </c>
      <c r="TUY341" s="288" t="s">
        <v>598</v>
      </c>
      <c r="TUZ341" s="288" t="s">
        <v>598</v>
      </c>
      <c r="TVA341" s="288" t="s">
        <v>598</v>
      </c>
      <c r="TVB341" s="288" t="s">
        <v>598</v>
      </c>
      <c r="TVC341" s="288" t="s">
        <v>598</v>
      </c>
      <c r="TVD341" s="288" t="s">
        <v>598</v>
      </c>
      <c r="TVE341" s="288" t="s">
        <v>598</v>
      </c>
      <c r="TVF341" s="288" t="s">
        <v>598</v>
      </c>
      <c r="TVG341" s="288" t="s">
        <v>598</v>
      </c>
      <c r="TVH341" s="288" t="s">
        <v>598</v>
      </c>
      <c r="TVI341" s="288" t="s">
        <v>598</v>
      </c>
      <c r="TVJ341" s="288" t="s">
        <v>598</v>
      </c>
      <c r="TVK341" s="288" t="s">
        <v>598</v>
      </c>
      <c r="TVL341" s="288" t="s">
        <v>598</v>
      </c>
      <c r="TVM341" s="288" t="s">
        <v>598</v>
      </c>
      <c r="TVN341" s="288" t="s">
        <v>598</v>
      </c>
      <c r="TVO341" s="288" t="s">
        <v>598</v>
      </c>
      <c r="TVP341" s="288" t="s">
        <v>598</v>
      </c>
      <c r="TVQ341" s="288" t="s">
        <v>598</v>
      </c>
      <c r="TVR341" s="288" t="s">
        <v>598</v>
      </c>
      <c r="TVS341" s="288" t="s">
        <v>598</v>
      </c>
      <c r="TVT341" s="288" t="s">
        <v>598</v>
      </c>
      <c r="TVU341" s="288" t="s">
        <v>598</v>
      </c>
      <c r="TVV341" s="288" t="s">
        <v>598</v>
      </c>
      <c r="TVW341" s="288" t="s">
        <v>598</v>
      </c>
      <c r="TVX341" s="288" t="s">
        <v>598</v>
      </c>
      <c r="TVY341" s="288" t="s">
        <v>598</v>
      </c>
      <c r="TVZ341" s="288" t="s">
        <v>598</v>
      </c>
      <c r="TWA341" s="288" t="s">
        <v>598</v>
      </c>
      <c r="TWB341" s="288" t="s">
        <v>598</v>
      </c>
      <c r="TWC341" s="288" t="s">
        <v>598</v>
      </c>
      <c r="TWD341" s="288" t="s">
        <v>598</v>
      </c>
      <c r="TWE341" s="288" t="s">
        <v>598</v>
      </c>
      <c r="TWF341" s="288" t="s">
        <v>598</v>
      </c>
      <c r="TWG341" s="288" t="s">
        <v>598</v>
      </c>
      <c r="TWH341" s="288" t="s">
        <v>598</v>
      </c>
      <c r="TWI341" s="288" t="s">
        <v>598</v>
      </c>
      <c r="TWJ341" s="288" t="s">
        <v>598</v>
      </c>
      <c r="TWK341" s="288" t="s">
        <v>598</v>
      </c>
      <c r="TWL341" s="288" t="s">
        <v>598</v>
      </c>
      <c r="TWM341" s="288" t="s">
        <v>598</v>
      </c>
      <c r="TWN341" s="288" t="s">
        <v>598</v>
      </c>
      <c r="TWO341" s="288" t="s">
        <v>598</v>
      </c>
      <c r="TWP341" s="288" t="s">
        <v>598</v>
      </c>
      <c r="TWQ341" s="288" t="s">
        <v>598</v>
      </c>
      <c r="TWR341" s="288" t="s">
        <v>598</v>
      </c>
      <c r="TWS341" s="288" t="s">
        <v>598</v>
      </c>
      <c r="TWT341" s="288" t="s">
        <v>598</v>
      </c>
      <c r="TWU341" s="288" t="s">
        <v>598</v>
      </c>
      <c r="TWV341" s="288" t="s">
        <v>598</v>
      </c>
      <c r="TWW341" s="288" t="s">
        <v>598</v>
      </c>
      <c r="TWX341" s="288" t="s">
        <v>598</v>
      </c>
      <c r="TWY341" s="288" t="s">
        <v>598</v>
      </c>
      <c r="TWZ341" s="288" t="s">
        <v>598</v>
      </c>
      <c r="TXA341" s="288" t="s">
        <v>598</v>
      </c>
      <c r="TXB341" s="288" t="s">
        <v>598</v>
      </c>
      <c r="TXC341" s="288" t="s">
        <v>598</v>
      </c>
      <c r="TXD341" s="288" t="s">
        <v>598</v>
      </c>
      <c r="TXE341" s="288" t="s">
        <v>598</v>
      </c>
      <c r="TXF341" s="288" t="s">
        <v>598</v>
      </c>
      <c r="TXG341" s="288" t="s">
        <v>598</v>
      </c>
      <c r="TXH341" s="288" t="s">
        <v>598</v>
      </c>
      <c r="TXI341" s="288" t="s">
        <v>598</v>
      </c>
      <c r="TXJ341" s="288" t="s">
        <v>598</v>
      </c>
      <c r="TXK341" s="288" t="s">
        <v>598</v>
      </c>
      <c r="TXL341" s="288" t="s">
        <v>598</v>
      </c>
      <c r="TXM341" s="288" t="s">
        <v>598</v>
      </c>
      <c r="TXN341" s="288" t="s">
        <v>598</v>
      </c>
      <c r="TXO341" s="288" t="s">
        <v>598</v>
      </c>
      <c r="TXP341" s="288" t="s">
        <v>598</v>
      </c>
      <c r="TXQ341" s="288" t="s">
        <v>598</v>
      </c>
      <c r="TXR341" s="288" t="s">
        <v>598</v>
      </c>
      <c r="TXS341" s="288" t="s">
        <v>598</v>
      </c>
      <c r="TXT341" s="288" t="s">
        <v>598</v>
      </c>
      <c r="TXU341" s="288" t="s">
        <v>598</v>
      </c>
      <c r="TXV341" s="288" t="s">
        <v>598</v>
      </c>
      <c r="TXW341" s="288" t="s">
        <v>598</v>
      </c>
      <c r="TXX341" s="288" t="s">
        <v>598</v>
      </c>
      <c r="TXY341" s="288" t="s">
        <v>598</v>
      </c>
      <c r="TXZ341" s="288" t="s">
        <v>598</v>
      </c>
      <c r="TYA341" s="288" t="s">
        <v>598</v>
      </c>
      <c r="TYB341" s="288" t="s">
        <v>598</v>
      </c>
      <c r="TYC341" s="288" t="s">
        <v>598</v>
      </c>
      <c r="TYD341" s="288" t="s">
        <v>598</v>
      </c>
      <c r="TYE341" s="288" t="s">
        <v>598</v>
      </c>
      <c r="TYF341" s="288" t="s">
        <v>598</v>
      </c>
      <c r="TYG341" s="288" t="s">
        <v>598</v>
      </c>
      <c r="TYH341" s="288" t="s">
        <v>598</v>
      </c>
      <c r="TYI341" s="288" t="s">
        <v>598</v>
      </c>
      <c r="TYJ341" s="288" t="s">
        <v>598</v>
      </c>
      <c r="TYK341" s="288" t="s">
        <v>598</v>
      </c>
      <c r="TYL341" s="288" t="s">
        <v>598</v>
      </c>
      <c r="TYM341" s="288" t="s">
        <v>598</v>
      </c>
      <c r="TYN341" s="288" t="s">
        <v>598</v>
      </c>
      <c r="TYO341" s="288" t="s">
        <v>598</v>
      </c>
      <c r="TYP341" s="288" t="s">
        <v>598</v>
      </c>
      <c r="TYQ341" s="288" t="s">
        <v>598</v>
      </c>
      <c r="TYR341" s="288" t="s">
        <v>598</v>
      </c>
      <c r="TYS341" s="288" t="s">
        <v>598</v>
      </c>
      <c r="TYT341" s="288" t="s">
        <v>598</v>
      </c>
      <c r="TYU341" s="288" t="s">
        <v>598</v>
      </c>
      <c r="TYV341" s="288" t="s">
        <v>598</v>
      </c>
      <c r="TYW341" s="288" t="s">
        <v>598</v>
      </c>
      <c r="TYX341" s="288" t="s">
        <v>598</v>
      </c>
      <c r="TYY341" s="288" t="s">
        <v>598</v>
      </c>
      <c r="TYZ341" s="288" t="s">
        <v>598</v>
      </c>
      <c r="TZA341" s="288" t="s">
        <v>598</v>
      </c>
      <c r="TZB341" s="288" t="s">
        <v>598</v>
      </c>
      <c r="TZC341" s="288" t="s">
        <v>598</v>
      </c>
      <c r="TZD341" s="288" t="s">
        <v>598</v>
      </c>
      <c r="TZE341" s="288" t="s">
        <v>598</v>
      </c>
      <c r="TZF341" s="288" t="s">
        <v>598</v>
      </c>
      <c r="TZG341" s="288" t="s">
        <v>598</v>
      </c>
      <c r="TZH341" s="288" t="s">
        <v>598</v>
      </c>
      <c r="TZI341" s="288" t="s">
        <v>598</v>
      </c>
      <c r="TZJ341" s="288" t="s">
        <v>598</v>
      </c>
      <c r="TZK341" s="288" t="s">
        <v>598</v>
      </c>
      <c r="TZL341" s="288" t="s">
        <v>598</v>
      </c>
      <c r="TZM341" s="288" t="s">
        <v>598</v>
      </c>
      <c r="TZN341" s="288" t="s">
        <v>598</v>
      </c>
      <c r="TZO341" s="288" t="s">
        <v>598</v>
      </c>
      <c r="TZP341" s="288" t="s">
        <v>598</v>
      </c>
      <c r="TZQ341" s="288" t="s">
        <v>598</v>
      </c>
      <c r="TZR341" s="288" t="s">
        <v>598</v>
      </c>
      <c r="TZS341" s="288" t="s">
        <v>598</v>
      </c>
      <c r="TZT341" s="288" t="s">
        <v>598</v>
      </c>
      <c r="TZU341" s="288" t="s">
        <v>598</v>
      </c>
      <c r="TZV341" s="288" t="s">
        <v>598</v>
      </c>
      <c r="TZW341" s="288" t="s">
        <v>598</v>
      </c>
      <c r="TZX341" s="288" t="s">
        <v>598</v>
      </c>
      <c r="TZY341" s="288" t="s">
        <v>598</v>
      </c>
      <c r="TZZ341" s="288" t="s">
        <v>598</v>
      </c>
      <c r="UAA341" s="288" t="s">
        <v>598</v>
      </c>
      <c r="UAB341" s="288" t="s">
        <v>598</v>
      </c>
      <c r="UAC341" s="288" t="s">
        <v>598</v>
      </c>
      <c r="UAD341" s="288" t="s">
        <v>598</v>
      </c>
      <c r="UAE341" s="288" t="s">
        <v>598</v>
      </c>
      <c r="UAF341" s="288" t="s">
        <v>598</v>
      </c>
      <c r="UAG341" s="288" t="s">
        <v>598</v>
      </c>
      <c r="UAH341" s="288" t="s">
        <v>598</v>
      </c>
      <c r="UAI341" s="288" t="s">
        <v>598</v>
      </c>
      <c r="UAJ341" s="288" t="s">
        <v>598</v>
      </c>
      <c r="UAK341" s="288" t="s">
        <v>598</v>
      </c>
      <c r="UAL341" s="288" t="s">
        <v>598</v>
      </c>
      <c r="UAM341" s="288" t="s">
        <v>598</v>
      </c>
      <c r="UAN341" s="288" t="s">
        <v>598</v>
      </c>
      <c r="UAO341" s="288" t="s">
        <v>598</v>
      </c>
      <c r="UAP341" s="288" t="s">
        <v>598</v>
      </c>
      <c r="UAQ341" s="288" t="s">
        <v>598</v>
      </c>
      <c r="UAR341" s="288" t="s">
        <v>598</v>
      </c>
      <c r="UAS341" s="288" t="s">
        <v>598</v>
      </c>
      <c r="UAT341" s="288" t="s">
        <v>598</v>
      </c>
      <c r="UAU341" s="288" t="s">
        <v>598</v>
      </c>
      <c r="UAV341" s="288" t="s">
        <v>598</v>
      </c>
      <c r="UAW341" s="288" t="s">
        <v>598</v>
      </c>
      <c r="UAX341" s="288" t="s">
        <v>598</v>
      </c>
      <c r="UAY341" s="288" t="s">
        <v>598</v>
      </c>
      <c r="UAZ341" s="288" t="s">
        <v>598</v>
      </c>
      <c r="UBA341" s="288" t="s">
        <v>598</v>
      </c>
      <c r="UBB341" s="288" t="s">
        <v>598</v>
      </c>
      <c r="UBC341" s="288" t="s">
        <v>598</v>
      </c>
      <c r="UBD341" s="288" t="s">
        <v>598</v>
      </c>
      <c r="UBE341" s="288" t="s">
        <v>598</v>
      </c>
      <c r="UBF341" s="288" t="s">
        <v>598</v>
      </c>
      <c r="UBG341" s="288" t="s">
        <v>598</v>
      </c>
      <c r="UBH341" s="288" t="s">
        <v>598</v>
      </c>
      <c r="UBI341" s="288" t="s">
        <v>598</v>
      </c>
      <c r="UBJ341" s="288" t="s">
        <v>598</v>
      </c>
      <c r="UBK341" s="288" t="s">
        <v>598</v>
      </c>
      <c r="UBL341" s="288" t="s">
        <v>598</v>
      </c>
      <c r="UBM341" s="288" t="s">
        <v>598</v>
      </c>
      <c r="UBN341" s="288" t="s">
        <v>598</v>
      </c>
      <c r="UBO341" s="288" t="s">
        <v>598</v>
      </c>
      <c r="UBP341" s="288" t="s">
        <v>598</v>
      </c>
      <c r="UBQ341" s="288" t="s">
        <v>598</v>
      </c>
      <c r="UBR341" s="288" t="s">
        <v>598</v>
      </c>
      <c r="UBS341" s="288" t="s">
        <v>598</v>
      </c>
      <c r="UBT341" s="288" t="s">
        <v>598</v>
      </c>
      <c r="UBU341" s="288" t="s">
        <v>598</v>
      </c>
      <c r="UBV341" s="288" t="s">
        <v>598</v>
      </c>
      <c r="UBW341" s="288" t="s">
        <v>598</v>
      </c>
      <c r="UBX341" s="288" t="s">
        <v>598</v>
      </c>
      <c r="UBY341" s="288" t="s">
        <v>598</v>
      </c>
      <c r="UBZ341" s="288" t="s">
        <v>598</v>
      </c>
      <c r="UCA341" s="288" t="s">
        <v>598</v>
      </c>
      <c r="UCB341" s="288" t="s">
        <v>598</v>
      </c>
      <c r="UCC341" s="288" t="s">
        <v>598</v>
      </c>
      <c r="UCD341" s="288" t="s">
        <v>598</v>
      </c>
      <c r="UCE341" s="288" t="s">
        <v>598</v>
      </c>
      <c r="UCF341" s="288" t="s">
        <v>598</v>
      </c>
      <c r="UCG341" s="288" t="s">
        <v>598</v>
      </c>
      <c r="UCH341" s="288" t="s">
        <v>598</v>
      </c>
      <c r="UCI341" s="288" t="s">
        <v>598</v>
      </c>
      <c r="UCJ341" s="288" t="s">
        <v>598</v>
      </c>
      <c r="UCK341" s="288" t="s">
        <v>598</v>
      </c>
      <c r="UCL341" s="288" t="s">
        <v>598</v>
      </c>
      <c r="UCM341" s="288" t="s">
        <v>598</v>
      </c>
      <c r="UCN341" s="288" t="s">
        <v>598</v>
      </c>
      <c r="UCO341" s="288" t="s">
        <v>598</v>
      </c>
      <c r="UCP341" s="288" t="s">
        <v>598</v>
      </c>
      <c r="UCQ341" s="288" t="s">
        <v>598</v>
      </c>
      <c r="UCR341" s="288" t="s">
        <v>598</v>
      </c>
      <c r="UCS341" s="288" t="s">
        <v>598</v>
      </c>
      <c r="UCT341" s="288" t="s">
        <v>598</v>
      </c>
      <c r="UCU341" s="288" t="s">
        <v>598</v>
      </c>
      <c r="UCV341" s="288" t="s">
        <v>598</v>
      </c>
      <c r="UCW341" s="288" t="s">
        <v>598</v>
      </c>
      <c r="UCX341" s="288" t="s">
        <v>598</v>
      </c>
      <c r="UCY341" s="288" t="s">
        <v>598</v>
      </c>
      <c r="UCZ341" s="288" t="s">
        <v>598</v>
      </c>
      <c r="UDA341" s="288" t="s">
        <v>598</v>
      </c>
      <c r="UDB341" s="288" t="s">
        <v>598</v>
      </c>
      <c r="UDC341" s="288" t="s">
        <v>598</v>
      </c>
      <c r="UDD341" s="288" t="s">
        <v>598</v>
      </c>
      <c r="UDE341" s="288" t="s">
        <v>598</v>
      </c>
      <c r="UDF341" s="288" t="s">
        <v>598</v>
      </c>
      <c r="UDG341" s="288" t="s">
        <v>598</v>
      </c>
      <c r="UDH341" s="288" t="s">
        <v>598</v>
      </c>
      <c r="UDI341" s="288" t="s">
        <v>598</v>
      </c>
      <c r="UDJ341" s="288" t="s">
        <v>598</v>
      </c>
      <c r="UDK341" s="288" t="s">
        <v>598</v>
      </c>
      <c r="UDL341" s="288" t="s">
        <v>598</v>
      </c>
      <c r="UDM341" s="288" t="s">
        <v>598</v>
      </c>
      <c r="UDN341" s="288" t="s">
        <v>598</v>
      </c>
      <c r="UDO341" s="288" t="s">
        <v>598</v>
      </c>
      <c r="UDP341" s="288" t="s">
        <v>598</v>
      </c>
      <c r="UDQ341" s="288" t="s">
        <v>598</v>
      </c>
      <c r="UDR341" s="288" t="s">
        <v>598</v>
      </c>
      <c r="UDS341" s="288" t="s">
        <v>598</v>
      </c>
      <c r="UDT341" s="288" t="s">
        <v>598</v>
      </c>
      <c r="UDU341" s="288" t="s">
        <v>598</v>
      </c>
      <c r="UDV341" s="288" t="s">
        <v>598</v>
      </c>
      <c r="UDW341" s="288" t="s">
        <v>598</v>
      </c>
      <c r="UDX341" s="288" t="s">
        <v>598</v>
      </c>
      <c r="UDY341" s="288" t="s">
        <v>598</v>
      </c>
      <c r="UDZ341" s="288" t="s">
        <v>598</v>
      </c>
      <c r="UEA341" s="288" t="s">
        <v>598</v>
      </c>
      <c r="UEB341" s="288" t="s">
        <v>598</v>
      </c>
      <c r="UEC341" s="288" t="s">
        <v>598</v>
      </c>
      <c r="UED341" s="288" t="s">
        <v>598</v>
      </c>
      <c r="UEE341" s="288" t="s">
        <v>598</v>
      </c>
      <c r="UEF341" s="288" t="s">
        <v>598</v>
      </c>
      <c r="UEG341" s="288" t="s">
        <v>598</v>
      </c>
      <c r="UEH341" s="288" t="s">
        <v>598</v>
      </c>
      <c r="UEI341" s="288" t="s">
        <v>598</v>
      </c>
      <c r="UEJ341" s="288" t="s">
        <v>598</v>
      </c>
      <c r="UEK341" s="288" t="s">
        <v>598</v>
      </c>
      <c r="UEL341" s="288" t="s">
        <v>598</v>
      </c>
      <c r="UEM341" s="288" t="s">
        <v>598</v>
      </c>
      <c r="UEN341" s="288" t="s">
        <v>598</v>
      </c>
      <c r="UEO341" s="288" t="s">
        <v>598</v>
      </c>
      <c r="UEP341" s="288" t="s">
        <v>598</v>
      </c>
      <c r="UEQ341" s="288" t="s">
        <v>598</v>
      </c>
      <c r="UER341" s="288" t="s">
        <v>598</v>
      </c>
      <c r="UES341" s="288" t="s">
        <v>598</v>
      </c>
      <c r="UET341" s="288" t="s">
        <v>598</v>
      </c>
      <c r="UEU341" s="288" t="s">
        <v>598</v>
      </c>
      <c r="UEV341" s="288" t="s">
        <v>598</v>
      </c>
      <c r="UEW341" s="288" t="s">
        <v>598</v>
      </c>
      <c r="UEX341" s="288" t="s">
        <v>598</v>
      </c>
      <c r="UEY341" s="288" t="s">
        <v>598</v>
      </c>
      <c r="UEZ341" s="288" t="s">
        <v>598</v>
      </c>
      <c r="UFA341" s="288" t="s">
        <v>598</v>
      </c>
      <c r="UFB341" s="288" t="s">
        <v>598</v>
      </c>
      <c r="UFC341" s="288" t="s">
        <v>598</v>
      </c>
      <c r="UFD341" s="288" t="s">
        <v>598</v>
      </c>
      <c r="UFE341" s="288" t="s">
        <v>598</v>
      </c>
      <c r="UFF341" s="288" t="s">
        <v>598</v>
      </c>
      <c r="UFG341" s="288" t="s">
        <v>598</v>
      </c>
      <c r="UFH341" s="288" t="s">
        <v>598</v>
      </c>
      <c r="UFI341" s="288" t="s">
        <v>598</v>
      </c>
      <c r="UFJ341" s="288" t="s">
        <v>598</v>
      </c>
      <c r="UFK341" s="288" t="s">
        <v>598</v>
      </c>
      <c r="UFL341" s="288" t="s">
        <v>598</v>
      </c>
      <c r="UFM341" s="288" t="s">
        <v>598</v>
      </c>
      <c r="UFN341" s="288" t="s">
        <v>598</v>
      </c>
      <c r="UFO341" s="288" t="s">
        <v>598</v>
      </c>
      <c r="UFP341" s="288" t="s">
        <v>598</v>
      </c>
      <c r="UFQ341" s="288" t="s">
        <v>598</v>
      </c>
      <c r="UFR341" s="288" t="s">
        <v>598</v>
      </c>
      <c r="UFS341" s="288" t="s">
        <v>598</v>
      </c>
      <c r="UFT341" s="288" t="s">
        <v>598</v>
      </c>
      <c r="UFU341" s="288" t="s">
        <v>598</v>
      </c>
      <c r="UFV341" s="288" t="s">
        <v>598</v>
      </c>
      <c r="UFW341" s="288" t="s">
        <v>598</v>
      </c>
      <c r="UFX341" s="288" t="s">
        <v>598</v>
      </c>
      <c r="UFY341" s="288" t="s">
        <v>598</v>
      </c>
      <c r="UFZ341" s="288" t="s">
        <v>598</v>
      </c>
      <c r="UGA341" s="288" t="s">
        <v>598</v>
      </c>
      <c r="UGB341" s="288" t="s">
        <v>598</v>
      </c>
      <c r="UGC341" s="288" t="s">
        <v>598</v>
      </c>
      <c r="UGD341" s="288" t="s">
        <v>598</v>
      </c>
      <c r="UGE341" s="288" t="s">
        <v>598</v>
      </c>
      <c r="UGF341" s="288" t="s">
        <v>598</v>
      </c>
      <c r="UGG341" s="288" t="s">
        <v>598</v>
      </c>
      <c r="UGH341" s="288" t="s">
        <v>598</v>
      </c>
      <c r="UGI341" s="288" t="s">
        <v>598</v>
      </c>
      <c r="UGJ341" s="288" t="s">
        <v>598</v>
      </c>
      <c r="UGK341" s="288" t="s">
        <v>598</v>
      </c>
      <c r="UGL341" s="288" t="s">
        <v>598</v>
      </c>
      <c r="UGM341" s="288" t="s">
        <v>598</v>
      </c>
      <c r="UGN341" s="288" t="s">
        <v>598</v>
      </c>
      <c r="UGO341" s="288" t="s">
        <v>598</v>
      </c>
      <c r="UGP341" s="288" t="s">
        <v>598</v>
      </c>
      <c r="UGQ341" s="288" t="s">
        <v>598</v>
      </c>
      <c r="UGR341" s="288" t="s">
        <v>598</v>
      </c>
      <c r="UGS341" s="288" t="s">
        <v>598</v>
      </c>
      <c r="UGT341" s="288" t="s">
        <v>598</v>
      </c>
      <c r="UGU341" s="288" t="s">
        <v>598</v>
      </c>
      <c r="UGV341" s="288" t="s">
        <v>598</v>
      </c>
      <c r="UGW341" s="288" t="s">
        <v>598</v>
      </c>
      <c r="UGX341" s="288" t="s">
        <v>598</v>
      </c>
      <c r="UGY341" s="288" t="s">
        <v>598</v>
      </c>
      <c r="UGZ341" s="288" t="s">
        <v>598</v>
      </c>
      <c r="UHA341" s="288" t="s">
        <v>598</v>
      </c>
      <c r="UHB341" s="288" t="s">
        <v>598</v>
      </c>
      <c r="UHC341" s="288" t="s">
        <v>598</v>
      </c>
      <c r="UHD341" s="288" t="s">
        <v>598</v>
      </c>
      <c r="UHE341" s="288" t="s">
        <v>598</v>
      </c>
      <c r="UHF341" s="288" t="s">
        <v>598</v>
      </c>
      <c r="UHG341" s="288" t="s">
        <v>598</v>
      </c>
      <c r="UHH341" s="288" t="s">
        <v>598</v>
      </c>
      <c r="UHI341" s="288" t="s">
        <v>598</v>
      </c>
      <c r="UHJ341" s="288" t="s">
        <v>598</v>
      </c>
      <c r="UHK341" s="288" t="s">
        <v>598</v>
      </c>
      <c r="UHL341" s="288" t="s">
        <v>598</v>
      </c>
      <c r="UHM341" s="288" t="s">
        <v>598</v>
      </c>
      <c r="UHN341" s="288" t="s">
        <v>598</v>
      </c>
      <c r="UHO341" s="288" t="s">
        <v>598</v>
      </c>
      <c r="UHP341" s="288" t="s">
        <v>598</v>
      </c>
      <c r="UHQ341" s="288" t="s">
        <v>598</v>
      </c>
      <c r="UHR341" s="288" t="s">
        <v>598</v>
      </c>
      <c r="UHS341" s="288" t="s">
        <v>598</v>
      </c>
      <c r="UHT341" s="288" t="s">
        <v>598</v>
      </c>
      <c r="UHU341" s="288" t="s">
        <v>598</v>
      </c>
      <c r="UHV341" s="288" t="s">
        <v>598</v>
      </c>
      <c r="UHW341" s="288" t="s">
        <v>598</v>
      </c>
      <c r="UHX341" s="288" t="s">
        <v>598</v>
      </c>
      <c r="UHY341" s="288" t="s">
        <v>598</v>
      </c>
      <c r="UHZ341" s="288" t="s">
        <v>598</v>
      </c>
      <c r="UIA341" s="288" t="s">
        <v>598</v>
      </c>
      <c r="UIB341" s="288" t="s">
        <v>598</v>
      </c>
      <c r="UIC341" s="288" t="s">
        <v>598</v>
      </c>
      <c r="UID341" s="288" t="s">
        <v>598</v>
      </c>
      <c r="UIE341" s="288" t="s">
        <v>598</v>
      </c>
      <c r="UIF341" s="288" t="s">
        <v>598</v>
      </c>
      <c r="UIG341" s="288" t="s">
        <v>598</v>
      </c>
      <c r="UIH341" s="288" t="s">
        <v>598</v>
      </c>
      <c r="UII341" s="288" t="s">
        <v>598</v>
      </c>
      <c r="UIJ341" s="288" t="s">
        <v>598</v>
      </c>
      <c r="UIK341" s="288" t="s">
        <v>598</v>
      </c>
      <c r="UIL341" s="288" t="s">
        <v>598</v>
      </c>
      <c r="UIM341" s="288" t="s">
        <v>598</v>
      </c>
      <c r="UIN341" s="288" t="s">
        <v>598</v>
      </c>
      <c r="UIO341" s="288" t="s">
        <v>598</v>
      </c>
      <c r="UIP341" s="288" t="s">
        <v>598</v>
      </c>
      <c r="UIQ341" s="288" t="s">
        <v>598</v>
      </c>
      <c r="UIR341" s="288" t="s">
        <v>598</v>
      </c>
      <c r="UIS341" s="288" t="s">
        <v>598</v>
      </c>
      <c r="UIT341" s="288" t="s">
        <v>598</v>
      </c>
      <c r="UIU341" s="288" t="s">
        <v>598</v>
      </c>
      <c r="UIV341" s="288" t="s">
        <v>598</v>
      </c>
      <c r="UIW341" s="288" t="s">
        <v>598</v>
      </c>
      <c r="UIX341" s="288" t="s">
        <v>598</v>
      </c>
      <c r="UIY341" s="288" t="s">
        <v>598</v>
      </c>
      <c r="UIZ341" s="288" t="s">
        <v>598</v>
      </c>
      <c r="UJA341" s="288" t="s">
        <v>598</v>
      </c>
      <c r="UJB341" s="288" t="s">
        <v>598</v>
      </c>
      <c r="UJC341" s="288" t="s">
        <v>598</v>
      </c>
      <c r="UJD341" s="288" t="s">
        <v>598</v>
      </c>
      <c r="UJE341" s="288" t="s">
        <v>598</v>
      </c>
      <c r="UJF341" s="288" t="s">
        <v>598</v>
      </c>
      <c r="UJG341" s="288" t="s">
        <v>598</v>
      </c>
      <c r="UJH341" s="288" t="s">
        <v>598</v>
      </c>
      <c r="UJI341" s="288" t="s">
        <v>598</v>
      </c>
      <c r="UJJ341" s="288" t="s">
        <v>598</v>
      </c>
      <c r="UJK341" s="288" t="s">
        <v>598</v>
      </c>
      <c r="UJL341" s="288" t="s">
        <v>598</v>
      </c>
      <c r="UJM341" s="288" t="s">
        <v>598</v>
      </c>
      <c r="UJN341" s="288" t="s">
        <v>598</v>
      </c>
      <c r="UJO341" s="288" t="s">
        <v>598</v>
      </c>
      <c r="UJP341" s="288" t="s">
        <v>598</v>
      </c>
      <c r="UJQ341" s="288" t="s">
        <v>598</v>
      </c>
      <c r="UJR341" s="288" t="s">
        <v>598</v>
      </c>
      <c r="UJS341" s="288" t="s">
        <v>598</v>
      </c>
      <c r="UJT341" s="288" t="s">
        <v>598</v>
      </c>
      <c r="UJU341" s="288" t="s">
        <v>598</v>
      </c>
      <c r="UJV341" s="288" t="s">
        <v>598</v>
      </c>
      <c r="UJW341" s="288" t="s">
        <v>598</v>
      </c>
      <c r="UJX341" s="288" t="s">
        <v>598</v>
      </c>
      <c r="UJY341" s="288" t="s">
        <v>598</v>
      </c>
      <c r="UJZ341" s="288" t="s">
        <v>598</v>
      </c>
      <c r="UKA341" s="288" t="s">
        <v>598</v>
      </c>
      <c r="UKB341" s="288" t="s">
        <v>598</v>
      </c>
      <c r="UKC341" s="288" t="s">
        <v>598</v>
      </c>
      <c r="UKD341" s="288" t="s">
        <v>598</v>
      </c>
      <c r="UKE341" s="288" t="s">
        <v>598</v>
      </c>
      <c r="UKF341" s="288" t="s">
        <v>598</v>
      </c>
      <c r="UKG341" s="288" t="s">
        <v>598</v>
      </c>
      <c r="UKH341" s="288" t="s">
        <v>598</v>
      </c>
      <c r="UKI341" s="288" t="s">
        <v>598</v>
      </c>
      <c r="UKJ341" s="288" t="s">
        <v>598</v>
      </c>
      <c r="UKK341" s="288" t="s">
        <v>598</v>
      </c>
      <c r="UKL341" s="288" t="s">
        <v>598</v>
      </c>
      <c r="UKM341" s="288" t="s">
        <v>598</v>
      </c>
      <c r="UKN341" s="288" t="s">
        <v>598</v>
      </c>
      <c r="UKO341" s="288" t="s">
        <v>598</v>
      </c>
      <c r="UKP341" s="288" t="s">
        <v>598</v>
      </c>
      <c r="UKQ341" s="288" t="s">
        <v>598</v>
      </c>
      <c r="UKR341" s="288" t="s">
        <v>598</v>
      </c>
      <c r="UKS341" s="288" t="s">
        <v>598</v>
      </c>
      <c r="UKT341" s="288" t="s">
        <v>598</v>
      </c>
      <c r="UKU341" s="288" t="s">
        <v>598</v>
      </c>
      <c r="UKV341" s="288" t="s">
        <v>598</v>
      </c>
      <c r="UKW341" s="288" t="s">
        <v>598</v>
      </c>
      <c r="UKX341" s="288" t="s">
        <v>598</v>
      </c>
      <c r="UKY341" s="288" t="s">
        <v>598</v>
      </c>
      <c r="UKZ341" s="288" t="s">
        <v>598</v>
      </c>
      <c r="ULA341" s="288" t="s">
        <v>598</v>
      </c>
      <c r="ULB341" s="288" t="s">
        <v>598</v>
      </c>
      <c r="ULC341" s="288" t="s">
        <v>598</v>
      </c>
      <c r="ULD341" s="288" t="s">
        <v>598</v>
      </c>
      <c r="ULE341" s="288" t="s">
        <v>598</v>
      </c>
      <c r="ULF341" s="288" t="s">
        <v>598</v>
      </c>
      <c r="ULG341" s="288" t="s">
        <v>598</v>
      </c>
      <c r="ULH341" s="288" t="s">
        <v>598</v>
      </c>
      <c r="ULI341" s="288" t="s">
        <v>598</v>
      </c>
      <c r="ULJ341" s="288" t="s">
        <v>598</v>
      </c>
      <c r="ULK341" s="288" t="s">
        <v>598</v>
      </c>
      <c r="ULL341" s="288" t="s">
        <v>598</v>
      </c>
      <c r="ULM341" s="288" t="s">
        <v>598</v>
      </c>
      <c r="ULN341" s="288" t="s">
        <v>598</v>
      </c>
      <c r="ULO341" s="288" t="s">
        <v>598</v>
      </c>
      <c r="ULP341" s="288" t="s">
        <v>598</v>
      </c>
      <c r="ULQ341" s="288" t="s">
        <v>598</v>
      </c>
      <c r="ULR341" s="288" t="s">
        <v>598</v>
      </c>
      <c r="ULS341" s="288" t="s">
        <v>598</v>
      </c>
      <c r="ULT341" s="288" t="s">
        <v>598</v>
      </c>
      <c r="ULU341" s="288" t="s">
        <v>598</v>
      </c>
      <c r="ULV341" s="288" t="s">
        <v>598</v>
      </c>
      <c r="ULW341" s="288" t="s">
        <v>598</v>
      </c>
      <c r="ULX341" s="288" t="s">
        <v>598</v>
      </c>
      <c r="ULY341" s="288" t="s">
        <v>598</v>
      </c>
      <c r="ULZ341" s="288" t="s">
        <v>598</v>
      </c>
      <c r="UMA341" s="288" t="s">
        <v>598</v>
      </c>
      <c r="UMB341" s="288" t="s">
        <v>598</v>
      </c>
      <c r="UMC341" s="288" t="s">
        <v>598</v>
      </c>
      <c r="UMD341" s="288" t="s">
        <v>598</v>
      </c>
      <c r="UME341" s="288" t="s">
        <v>598</v>
      </c>
      <c r="UMF341" s="288" t="s">
        <v>598</v>
      </c>
      <c r="UMG341" s="288" t="s">
        <v>598</v>
      </c>
      <c r="UMH341" s="288" t="s">
        <v>598</v>
      </c>
      <c r="UMI341" s="288" t="s">
        <v>598</v>
      </c>
      <c r="UMJ341" s="288" t="s">
        <v>598</v>
      </c>
      <c r="UMK341" s="288" t="s">
        <v>598</v>
      </c>
      <c r="UML341" s="288" t="s">
        <v>598</v>
      </c>
      <c r="UMM341" s="288" t="s">
        <v>598</v>
      </c>
      <c r="UMN341" s="288" t="s">
        <v>598</v>
      </c>
      <c r="UMO341" s="288" t="s">
        <v>598</v>
      </c>
      <c r="UMP341" s="288" t="s">
        <v>598</v>
      </c>
      <c r="UMQ341" s="288" t="s">
        <v>598</v>
      </c>
      <c r="UMR341" s="288" t="s">
        <v>598</v>
      </c>
      <c r="UMS341" s="288" t="s">
        <v>598</v>
      </c>
      <c r="UMT341" s="288" t="s">
        <v>598</v>
      </c>
      <c r="UMU341" s="288" t="s">
        <v>598</v>
      </c>
      <c r="UMV341" s="288" t="s">
        <v>598</v>
      </c>
      <c r="UMW341" s="288" t="s">
        <v>598</v>
      </c>
      <c r="UMX341" s="288" t="s">
        <v>598</v>
      </c>
      <c r="UMY341" s="288" t="s">
        <v>598</v>
      </c>
      <c r="UMZ341" s="288" t="s">
        <v>598</v>
      </c>
      <c r="UNA341" s="288" t="s">
        <v>598</v>
      </c>
      <c r="UNB341" s="288" t="s">
        <v>598</v>
      </c>
      <c r="UNC341" s="288" t="s">
        <v>598</v>
      </c>
      <c r="UND341" s="288" t="s">
        <v>598</v>
      </c>
      <c r="UNE341" s="288" t="s">
        <v>598</v>
      </c>
      <c r="UNF341" s="288" t="s">
        <v>598</v>
      </c>
      <c r="UNG341" s="288" t="s">
        <v>598</v>
      </c>
      <c r="UNH341" s="288" t="s">
        <v>598</v>
      </c>
      <c r="UNI341" s="288" t="s">
        <v>598</v>
      </c>
      <c r="UNJ341" s="288" t="s">
        <v>598</v>
      </c>
      <c r="UNK341" s="288" t="s">
        <v>598</v>
      </c>
      <c r="UNL341" s="288" t="s">
        <v>598</v>
      </c>
      <c r="UNM341" s="288" t="s">
        <v>598</v>
      </c>
      <c r="UNN341" s="288" t="s">
        <v>598</v>
      </c>
      <c r="UNO341" s="288" t="s">
        <v>598</v>
      </c>
      <c r="UNP341" s="288" t="s">
        <v>598</v>
      </c>
      <c r="UNQ341" s="288" t="s">
        <v>598</v>
      </c>
      <c r="UNR341" s="288" t="s">
        <v>598</v>
      </c>
      <c r="UNS341" s="288" t="s">
        <v>598</v>
      </c>
      <c r="UNT341" s="288" t="s">
        <v>598</v>
      </c>
      <c r="UNU341" s="288" t="s">
        <v>598</v>
      </c>
      <c r="UNV341" s="288" t="s">
        <v>598</v>
      </c>
      <c r="UNW341" s="288" t="s">
        <v>598</v>
      </c>
      <c r="UNX341" s="288" t="s">
        <v>598</v>
      </c>
      <c r="UNY341" s="288" t="s">
        <v>598</v>
      </c>
      <c r="UNZ341" s="288" t="s">
        <v>598</v>
      </c>
      <c r="UOA341" s="288" t="s">
        <v>598</v>
      </c>
      <c r="UOB341" s="288" t="s">
        <v>598</v>
      </c>
      <c r="UOC341" s="288" t="s">
        <v>598</v>
      </c>
      <c r="UOD341" s="288" t="s">
        <v>598</v>
      </c>
      <c r="UOE341" s="288" t="s">
        <v>598</v>
      </c>
      <c r="UOF341" s="288" t="s">
        <v>598</v>
      </c>
      <c r="UOG341" s="288" t="s">
        <v>598</v>
      </c>
      <c r="UOH341" s="288" t="s">
        <v>598</v>
      </c>
      <c r="UOI341" s="288" t="s">
        <v>598</v>
      </c>
      <c r="UOJ341" s="288" t="s">
        <v>598</v>
      </c>
      <c r="UOK341" s="288" t="s">
        <v>598</v>
      </c>
      <c r="UOL341" s="288" t="s">
        <v>598</v>
      </c>
      <c r="UOM341" s="288" t="s">
        <v>598</v>
      </c>
      <c r="UON341" s="288" t="s">
        <v>598</v>
      </c>
      <c r="UOO341" s="288" t="s">
        <v>598</v>
      </c>
      <c r="UOP341" s="288" t="s">
        <v>598</v>
      </c>
      <c r="UOQ341" s="288" t="s">
        <v>598</v>
      </c>
      <c r="UOR341" s="288" t="s">
        <v>598</v>
      </c>
      <c r="UOS341" s="288" t="s">
        <v>598</v>
      </c>
      <c r="UOT341" s="288" t="s">
        <v>598</v>
      </c>
      <c r="UOU341" s="288" t="s">
        <v>598</v>
      </c>
      <c r="UOV341" s="288" t="s">
        <v>598</v>
      </c>
      <c r="UOW341" s="288" t="s">
        <v>598</v>
      </c>
      <c r="UOX341" s="288" t="s">
        <v>598</v>
      </c>
      <c r="UOY341" s="288" t="s">
        <v>598</v>
      </c>
      <c r="UOZ341" s="288" t="s">
        <v>598</v>
      </c>
      <c r="UPA341" s="288" t="s">
        <v>598</v>
      </c>
      <c r="UPB341" s="288" t="s">
        <v>598</v>
      </c>
      <c r="UPC341" s="288" t="s">
        <v>598</v>
      </c>
      <c r="UPD341" s="288" t="s">
        <v>598</v>
      </c>
      <c r="UPE341" s="288" t="s">
        <v>598</v>
      </c>
      <c r="UPF341" s="288" t="s">
        <v>598</v>
      </c>
      <c r="UPG341" s="288" t="s">
        <v>598</v>
      </c>
      <c r="UPH341" s="288" t="s">
        <v>598</v>
      </c>
      <c r="UPI341" s="288" t="s">
        <v>598</v>
      </c>
      <c r="UPJ341" s="288" t="s">
        <v>598</v>
      </c>
      <c r="UPK341" s="288" t="s">
        <v>598</v>
      </c>
      <c r="UPL341" s="288" t="s">
        <v>598</v>
      </c>
      <c r="UPM341" s="288" t="s">
        <v>598</v>
      </c>
      <c r="UPN341" s="288" t="s">
        <v>598</v>
      </c>
      <c r="UPO341" s="288" t="s">
        <v>598</v>
      </c>
      <c r="UPP341" s="288" t="s">
        <v>598</v>
      </c>
      <c r="UPQ341" s="288" t="s">
        <v>598</v>
      </c>
      <c r="UPR341" s="288" t="s">
        <v>598</v>
      </c>
      <c r="UPS341" s="288" t="s">
        <v>598</v>
      </c>
      <c r="UPT341" s="288" t="s">
        <v>598</v>
      </c>
      <c r="UPU341" s="288" t="s">
        <v>598</v>
      </c>
      <c r="UPV341" s="288" t="s">
        <v>598</v>
      </c>
      <c r="UPW341" s="288" t="s">
        <v>598</v>
      </c>
      <c r="UPX341" s="288" t="s">
        <v>598</v>
      </c>
      <c r="UPY341" s="288" t="s">
        <v>598</v>
      </c>
      <c r="UPZ341" s="288" t="s">
        <v>598</v>
      </c>
      <c r="UQA341" s="288" t="s">
        <v>598</v>
      </c>
      <c r="UQB341" s="288" t="s">
        <v>598</v>
      </c>
      <c r="UQC341" s="288" t="s">
        <v>598</v>
      </c>
      <c r="UQD341" s="288" t="s">
        <v>598</v>
      </c>
      <c r="UQE341" s="288" t="s">
        <v>598</v>
      </c>
      <c r="UQF341" s="288" t="s">
        <v>598</v>
      </c>
      <c r="UQG341" s="288" t="s">
        <v>598</v>
      </c>
      <c r="UQH341" s="288" t="s">
        <v>598</v>
      </c>
      <c r="UQI341" s="288" t="s">
        <v>598</v>
      </c>
      <c r="UQJ341" s="288" t="s">
        <v>598</v>
      </c>
      <c r="UQK341" s="288" t="s">
        <v>598</v>
      </c>
      <c r="UQL341" s="288" t="s">
        <v>598</v>
      </c>
      <c r="UQM341" s="288" t="s">
        <v>598</v>
      </c>
      <c r="UQN341" s="288" t="s">
        <v>598</v>
      </c>
      <c r="UQO341" s="288" t="s">
        <v>598</v>
      </c>
      <c r="UQP341" s="288" t="s">
        <v>598</v>
      </c>
      <c r="UQQ341" s="288" t="s">
        <v>598</v>
      </c>
      <c r="UQR341" s="288" t="s">
        <v>598</v>
      </c>
      <c r="UQS341" s="288" t="s">
        <v>598</v>
      </c>
      <c r="UQT341" s="288" t="s">
        <v>598</v>
      </c>
      <c r="UQU341" s="288" t="s">
        <v>598</v>
      </c>
      <c r="UQV341" s="288" t="s">
        <v>598</v>
      </c>
      <c r="UQW341" s="288" t="s">
        <v>598</v>
      </c>
      <c r="UQX341" s="288" t="s">
        <v>598</v>
      </c>
      <c r="UQY341" s="288" t="s">
        <v>598</v>
      </c>
      <c r="UQZ341" s="288" t="s">
        <v>598</v>
      </c>
      <c r="URA341" s="288" t="s">
        <v>598</v>
      </c>
      <c r="URB341" s="288" t="s">
        <v>598</v>
      </c>
      <c r="URC341" s="288" t="s">
        <v>598</v>
      </c>
      <c r="URD341" s="288" t="s">
        <v>598</v>
      </c>
      <c r="URE341" s="288" t="s">
        <v>598</v>
      </c>
      <c r="URF341" s="288" t="s">
        <v>598</v>
      </c>
      <c r="URG341" s="288" t="s">
        <v>598</v>
      </c>
      <c r="URH341" s="288" t="s">
        <v>598</v>
      </c>
      <c r="URI341" s="288" t="s">
        <v>598</v>
      </c>
      <c r="URJ341" s="288" t="s">
        <v>598</v>
      </c>
      <c r="URK341" s="288" t="s">
        <v>598</v>
      </c>
      <c r="URL341" s="288" t="s">
        <v>598</v>
      </c>
      <c r="URM341" s="288" t="s">
        <v>598</v>
      </c>
      <c r="URN341" s="288" t="s">
        <v>598</v>
      </c>
      <c r="URO341" s="288" t="s">
        <v>598</v>
      </c>
      <c r="URP341" s="288" t="s">
        <v>598</v>
      </c>
      <c r="URQ341" s="288" t="s">
        <v>598</v>
      </c>
      <c r="URR341" s="288" t="s">
        <v>598</v>
      </c>
      <c r="URS341" s="288" t="s">
        <v>598</v>
      </c>
      <c r="URT341" s="288" t="s">
        <v>598</v>
      </c>
      <c r="URU341" s="288" t="s">
        <v>598</v>
      </c>
      <c r="URV341" s="288" t="s">
        <v>598</v>
      </c>
      <c r="URW341" s="288" t="s">
        <v>598</v>
      </c>
      <c r="URX341" s="288" t="s">
        <v>598</v>
      </c>
      <c r="URY341" s="288" t="s">
        <v>598</v>
      </c>
      <c r="URZ341" s="288" t="s">
        <v>598</v>
      </c>
      <c r="USA341" s="288" t="s">
        <v>598</v>
      </c>
      <c r="USB341" s="288" t="s">
        <v>598</v>
      </c>
      <c r="USC341" s="288" t="s">
        <v>598</v>
      </c>
      <c r="USD341" s="288" t="s">
        <v>598</v>
      </c>
      <c r="USE341" s="288" t="s">
        <v>598</v>
      </c>
      <c r="USF341" s="288" t="s">
        <v>598</v>
      </c>
      <c r="USG341" s="288" t="s">
        <v>598</v>
      </c>
      <c r="USH341" s="288" t="s">
        <v>598</v>
      </c>
      <c r="USI341" s="288" t="s">
        <v>598</v>
      </c>
      <c r="USJ341" s="288" t="s">
        <v>598</v>
      </c>
      <c r="USK341" s="288" t="s">
        <v>598</v>
      </c>
      <c r="USL341" s="288" t="s">
        <v>598</v>
      </c>
      <c r="USM341" s="288" t="s">
        <v>598</v>
      </c>
      <c r="USN341" s="288" t="s">
        <v>598</v>
      </c>
      <c r="USO341" s="288" t="s">
        <v>598</v>
      </c>
      <c r="USP341" s="288" t="s">
        <v>598</v>
      </c>
      <c r="USQ341" s="288" t="s">
        <v>598</v>
      </c>
      <c r="USR341" s="288" t="s">
        <v>598</v>
      </c>
      <c r="USS341" s="288" t="s">
        <v>598</v>
      </c>
      <c r="UST341" s="288" t="s">
        <v>598</v>
      </c>
      <c r="USU341" s="288" t="s">
        <v>598</v>
      </c>
      <c r="USV341" s="288" t="s">
        <v>598</v>
      </c>
      <c r="USW341" s="288" t="s">
        <v>598</v>
      </c>
      <c r="USX341" s="288" t="s">
        <v>598</v>
      </c>
      <c r="USY341" s="288" t="s">
        <v>598</v>
      </c>
      <c r="USZ341" s="288" t="s">
        <v>598</v>
      </c>
      <c r="UTA341" s="288" t="s">
        <v>598</v>
      </c>
      <c r="UTB341" s="288" t="s">
        <v>598</v>
      </c>
      <c r="UTC341" s="288" t="s">
        <v>598</v>
      </c>
      <c r="UTD341" s="288" t="s">
        <v>598</v>
      </c>
      <c r="UTE341" s="288" t="s">
        <v>598</v>
      </c>
      <c r="UTF341" s="288" t="s">
        <v>598</v>
      </c>
      <c r="UTG341" s="288" t="s">
        <v>598</v>
      </c>
      <c r="UTH341" s="288" t="s">
        <v>598</v>
      </c>
      <c r="UTI341" s="288" t="s">
        <v>598</v>
      </c>
      <c r="UTJ341" s="288" t="s">
        <v>598</v>
      </c>
      <c r="UTK341" s="288" t="s">
        <v>598</v>
      </c>
      <c r="UTL341" s="288" t="s">
        <v>598</v>
      </c>
      <c r="UTM341" s="288" t="s">
        <v>598</v>
      </c>
      <c r="UTN341" s="288" t="s">
        <v>598</v>
      </c>
      <c r="UTO341" s="288" t="s">
        <v>598</v>
      </c>
      <c r="UTP341" s="288" t="s">
        <v>598</v>
      </c>
      <c r="UTQ341" s="288" t="s">
        <v>598</v>
      </c>
      <c r="UTR341" s="288" t="s">
        <v>598</v>
      </c>
      <c r="UTS341" s="288" t="s">
        <v>598</v>
      </c>
      <c r="UTT341" s="288" t="s">
        <v>598</v>
      </c>
      <c r="UTU341" s="288" t="s">
        <v>598</v>
      </c>
      <c r="UTV341" s="288" t="s">
        <v>598</v>
      </c>
      <c r="UTW341" s="288" t="s">
        <v>598</v>
      </c>
      <c r="UTX341" s="288" t="s">
        <v>598</v>
      </c>
      <c r="UTY341" s="288" t="s">
        <v>598</v>
      </c>
      <c r="UTZ341" s="288" t="s">
        <v>598</v>
      </c>
      <c r="UUA341" s="288" t="s">
        <v>598</v>
      </c>
      <c r="UUB341" s="288" t="s">
        <v>598</v>
      </c>
      <c r="UUC341" s="288" t="s">
        <v>598</v>
      </c>
      <c r="UUD341" s="288" t="s">
        <v>598</v>
      </c>
      <c r="UUE341" s="288" t="s">
        <v>598</v>
      </c>
      <c r="UUF341" s="288" t="s">
        <v>598</v>
      </c>
      <c r="UUG341" s="288" t="s">
        <v>598</v>
      </c>
      <c r="UUH341" s="288" t="s">
        <v>598</v>
      </c>
      <c r="UUI341" s="288" t="s">
        <v>598</v>
      </c>
      <c r="UUJ341" s="288" t="s">
        <v>598</v>
      </c>
      <c r="UUK341" s="288" t="s">
        <v>598</v>
      </c>
      <c r="UUL341" s="288" t="s">
        <v>598</v>
      </c>
      <c r="UUM341" s="288" t="s">
        <v>598</v>
      </c>
      <c r="UUN341" s="288" t="s">
        <v>598</v>
      </c>
      <c r="UUO341" s="288" t="s">
        <v>598</v>
      </c>
      <c r="UUP341" s="288" t="s">
        <v>598</v>
      </c>
      <c r="UUQ341" s="288" t="s">
        <v>598</v>
      </c>
      <c r="UUR341" s="288" t="s">
        <v>598</v>
      </c>
      <c r="UUS341" s="288" t="s">
        <v>598</v>
      </c>
      <c r="UUT341" s="288" t="s">
        <v>598</v>
      </c>
      <c r="UUU341" s="288" t="s">
        <v>598</v>
      </c>
      <c r="UUV341" s="288" t="s">
        <v>598</v>
      </c>
      <c r="UUW341" s="288" t="s">
        <v>598</v>
      </c>
      <c r="UUX341" s="288" t="s">
        <v>598</v>
      </c>
      <c r="UUY341" s="288" t="s">
        <v>598</v>
      </c>
      <c r="UUZ341" s="288" t="s">
        <v>598</v>
      </c>
      <c r="UVA341" s="288" t="s">
        <v>598</v>
      </c>
      <c r="UVB341" s="288" t="s">
        <v>598</v>
      </c>
      <c r="UVC341" s="288" t="s">
        <v>598</v>
      </c>
      <c r="UVD341" s="288" t="s">
        <v>598</v>
      </c>
      <c r="UVE341" s="288" t="s">
        <v>598</v>
      </c>
      <c r="UVF341" s="288" t="s">
        <v>598</v>
      </c>
      <c r="UVG341" s="288" t="s">
        <v>598</v>
      </c>
      <c r="UVH341" s="288" t="s">
        <v>598</v>
      </c>
      <c r="UVI341" s="288" t="s">
        <v>598</v>
      </c>
      <c r="UVJ341" s="288" t="s">
        <v>598</v>
      </c>
      <c r="UVK341" s="288" t="s">
        <v>598</v>
      </c>
      <c r="UVL341" s="288" t="s">
        <v>598</v>
      </c>
      <c r="UVM341" s="288" t="s">
        <v>598</v>
      </c>
      <c r="UVN341" s="288" t="s">
        <v>598</v>
      </c>
      <c r="UVO341" s="288" t="s">
        <v>598</v>
      </c>
      <c r="UVP341" s="288" t="s">
        <v>598</v>
      </c>
      <c r="UVQ341" s="288" t="s">
        <v>598</v>
      </c>
      <c r="UVR341" s="288" t="s">
        <v>598</v>
      </c>
      <c r="UVS341" s="288" t="s">
        <v>598</v>
      </c>
      <c r="UVT341" s="288" t="s">
        <v>598</v>
      </c>
      <c r="UVU341" s="288" t="s">
        <v>598</v>
      </c>
      <c r="UVV341" s="288" t="s">
        <v>598</v>
      </c>
      <c r="UVW341" s="288" t="s">
        <v>598</v>
      </c>
      <c r="UVX341" s="288" t="s">
        <v>598</v>
      </c>
      <c r="UVY341" s="288" t="s">
        <v>598</v>
      </c>
      <c r="UVZ341" s="288" t="s">
        <v>598</v>
      </c>
      <c r="UWA341" s="288" t="s">
        <v>598</v>
      </c>
      <c r="UWB341" s="288" t="s">
        <v>598</v>
      </c>
      <c r="UWC341" s="288" t="s">
        <v>598</v>
      </c>
      <c r="UWD341" s="288" t="s">
        <v>598</v>
      </c>
      <c r="UWE341" s="288" t="s">
        <v>598</v>
      </c>
      <c r="UWF341" s="288" t="s">
        <v>598</v>
      </c>
      <c r="UWG341" s="288" t="s">
        <v>598</v>
      </c>
      <c r="UWH341" s="288" t="s">
        <v>598</v>
      </c>
      <c r="UWI341" s="288" t="s">
        <v>598</v>
      </c>
      <c r="UWJ341" s="288" t="s">
        <v>598</v>
      </c>
      <c r="UWK341" s="288" t="s">
        <v>598</v>
      </c>
      <c r="UWL341" s="288" t="s">
        <v>598</v>
      </c>
      <c r="UWM341" s="288" t="s">
        <v>598</v>
      </c>
      <c r="UWN341" s="288" t="s">
        <v>598</v>
      </c>
      <c r="UWO341" s="288" t="s">
        <v>598</v>
      </c>
      <c r="UWP341" s="288" t="s">
        <v>598</v>
      </c>
      <c r="UWQ341" s="288" t="s">
        <v>598</v>
      </c>
      <c r="UWR341" s="288" t="s">
        <v>598</v>
      </c>
      <c r="UWS341" s="288" t="s">
        <v>598</v>
      </c>
      <c r="UWT341" s="288" t="s">
        <v>598</v>
      </c>
      <c r="UWU341" s="288" t="s">
        <v>598</v>
      </c>
      <c r="UWV341" s="288" t="s">
        <v>598</v>
      </c>
      <c r="UWW341" s="288" t="s">
        <v>598</v>
      </c>
      <c r="UWX341" s="288" t="s">
        <v>598</v>
      </c>
      <c r="UWY341" s="288" t="s">
        <v>598</v>
      </c>
      <c r="UWZ341" s="288" t="s">
        <v>598</v>
      </c>
      <c r="UXA341" s="288" t="s">
        <v>598</v>
      </c>
      <c r="UXB341" s="288" t="s">
        <v>598</v>
      </c>
      <c r="UXC341" s="288" t="s">
        <v>598</v>
      </c>
      <c r="UXD341" s="288" t="s">
        <v>598</v>
      </c>
      <c r="UXE341" s="288" t="s">
        <v>598</v>
      </c>
      <c r="UXF341" s="288" t="s">
        <v>598</v>
      </c>
      <c r="UXG341" s="288" t="s">
        <v>598</v>
      </c>
      <c r="UXH341" s="288" t="s">
        <v>598</v>
      </c>
      <c r="UXI341" s="288" t="s">
        <v>598</v>
      </c>
      <c r="UXJ341" s="288" t="s">
        <v>598</v>
      </c>
      <c r="UXK341" s="288" t="s">
        <v>598</v>
      </c>
      <c r="UXL341" s="288" t="s">
        <v>598</v>
      </c>
      <c r="UXM341" s="288" t="s">
        <v>598</v>
      </c>
      <c r="UXN341" s="288" t="s">
        <v>598</v>
      </c>
      <c r="UXO341" s="288" t="s">
        <v>598</v>
      </c>
      <c r="UXP341" s="288" t="s">
        <v>598</v>
      </c>
      <c r="UXQ341" s="288" t="s">
        <v>598</v>
      </c>
      <c r="UXR341" s="288" t="s">
        <v>598</v>
      </c>
      <c r="UXS341" s="288" t="s">
        <v>598</v>
      </c>
      <c r="UXT341" s="288" t="s">
        <v>598</v>
      </c>
      <c r="UXU341" s="288" t="s">
        <v>598</v>
      </c>
      <c r="UXV341" s="288" t="s">
        <v>598</v>
      </c>
      <c r="UXW341" s="288" t="s">
        <v>598</v>
      </c>
      <c r="UXX341" s="288" t="s">
        <v>598</v>
      </c>
      <c r="UXY341" s="288" t="s">
        <v>598</v>
      </c>
      <c r="UXZ341" s="288" t="s">
        <v>598</v>
      </c>
      <c r="UYA341" s="288" t="s">
        <v>598</v>
      </c>
      <c r="UYB341" s="288" t="s">
        <v>598</v>
      </c>
      <c r="UYC341" s="288" t="s">
        <v>598</v>
      </c>
      <c r="UYD341" s="288" t="s">
        <v>598</v>
      </c>
      <c r="UYE341" s="288" t="s">
        <v>598</v>
      </c>
      <c r="UYF341" s="288" t="s">
        <v>598</v>
      </c>
      <c r="UYG341" s="288" t="s">
        <v>598</v>
      </c>
      <c r="UYH341" s="288" t="s">
        <v>598</v>
      </c>
      <c r="UYI341" s="288" t="s">
        <v>598</v>
      </c>
      <c r="UYJ341" s="288" t="s">
        <v>598</v>
      </c>
      <c r="UYK341" s="288" t="s">
        <v>598</v>
      </c>
      <c r="UYL341" s="288" t="s">
        <v>598</v>
      </c>
      <c r="UYM341" s="288" t="s">
        <v>598</v>
      </c>
      <c r="UYN341" s="288" t="s">
        <v>598</v>
      </c>
      <c r="UYO341" s="288" t="s">
        <v>598</v>
      </c>
      <c r="UYP341" s="288" t="s">
        <v>598</v>
      </c>
      <c r="UYQ341" s="288" t="s">
        <v>598</v>
      </c>
      <c r="UYR341" s="288" t="s">
        <v>598</v>
      </c>
      <c r="UYS341" s="288" t="s">
        <v>598</v>
      </c>
      <c r="UYT341" s="288" t="s">
        <v>598</v>
      </c>
      <c r="UYU341" s="288" t="s">
        <v>598</v>
      </c>
      <c r="UYV341" s="288" t="s">
        <v>598</v>
      </c>
      <c r="UYW341" s="288" t="s">
        <v>598</v>
      </c>
      <c r="UYX341" s="288" t="s">
        <v>598</v>
      </c>
      <c r="UYY341" s="288" t="s">
        <v>598</v>
      </c>
      <c r="UYZ341" s="288" t="s">
        <v>598</v>
      </c>
      <c r="UZA341" s="288" t="s">
        <v>598</v>
      </c>
      <c r="UZB341" s="288" t="s">
        <v>598</v>
      </c>
      <c r="UZC341" s="288" t="s">
        <v>598</v>
      </c>
      <c r="UZD341" s="288" t="s">
        <v>598</v>
      </c>
      <c r="UZE341" s="288" t="s">
        <v>598</v>
      </c>
      <c r="UZF341" s="288" t="s">
        <v>598</v>
      </c>
      <c r="UZG341" s="288" t="s">
        <v>598</v>
      </c>
      <c r="UZH341" s="288" t="s">
        <v>598</v>
      </c>
      <c r="UZI341" s="288" t="s">
        <v>598</v>
      </c>
      <c r="UZJ341" s="288" t="s">
        <v>598</v>
      </c>
      <c r="UZK341" s="288" t="s">
        <v>598</v>
      </c>
      <c r="UZL341" s="288" t="s">
        <v>598</v>
      </c>
      <c r="UZM341" s="288" t="s">
        <v>598</v>
      </c>
      <c r="UZN341" s="288" t="s">
        <v>598</v>
      </c>
      <c r="UZO341" s="288" t="s">
        <v>598</v>
      </c>
      <c r="UZP341" s="288" t="s">
        <v>598</v>
      </c>
      <c r="UZQ341" s="288" t="s">
        <v>598</v>
      </c>
      <c r="UZR341" s="288" t="s">
        <v>598</v>
      </c>
      <c r="UZS341" s="288" t="s">
        <v>598</v>
      </c>
      <c r="UZT341" s="288" t="s">
        <v>598</v>
      </c>
      <c r="UZU341" s="288" t="s">
        <v>598</v>
      </c>
      <c r="UZV341" s="288" t="s">
        <v>598</v>
      </c>
      <c r="UZW341" s="288" t="s">
        <v>598</v>
      </c>
      <c r="UZX341" s="288" t="s">
        <v>598</v>
      </c>
      <c r="UZY341" s="288" t="s">
        <v>598</v>
      </c>
      <c r="UZZ341" s="288" t="s">
        <v>598</v>
      </c>
      <c r="VAA341" s="288" t="s">
        <v>598</v>
      </c>
      <c r="VAB341" s="288" t="s">
        <v>598</v>
      </c>
      <c r="VAC341" s="288" t="s">
        <v>598</v>
      </c>
      <c r="VAD341" s="288" t="s">
        <v>598</v>
      </c>
      <c r="VAE341" s="288" t="s">
        <v>598</v>
      </c>
      <c r="VAF341" s="288" t="s">
        <v>598</v>
      </c>
      <c r="VAG341" s="288" t="s">
        <v>598</v>
      </c>
      <c r="VAH341" s="288" t="s">
        <v>598</v>
      </c>
      <c r="VAI341" s="288" t="s">
        <v>598</v>
      </c>
      <c r="VAJ341" s="288" t="s">
        <v>598</v>
      </c>
      <c r="VAK341" s="288" t="s">
        <v>598</v>
      </c>
      <c r="VAL341" s="288" t="s">
        <v>598</v>
      </c>
      <c r="VAM341" s="288" t="s">
        <v>598</v>
      </c>
      <c r="VAN341" s="288" t="s">
        <v>598</v>
      </c>
      <c r="VAO341" s="288" t="s">
        <v>598</v>
      </c>
      <c r="VAP341" s="288" t="s">
        <v>598</v>
      </c>
      <c r="VAQ341" s="288" t="s">
        <v>598</v>
      </c>
      <c r="VAR341" s="288" t="s">
        <v>598</v>
      </c>
      <c r="VAS341" s="288" t="s">
        <v>598</v>
      </c>
      <c r="VAT341" s="288" t="s">
        <v>598</v>
      </c>
      <c r="VAU341" s="288" t="s">
        <v>598</v>
      </c>
      <c r="VAV341" s="288" t="s">
        <v>598</v>
      </c>
      <c r="VAW341" s="288" t="s">
        <v>598</v>
      </c>
      <c r="VAX341" s="288" t="s">
        <v>598</v>
      </c>
      <c r="VAY341" s="288" t="s">
        <v>598</v>
      </c>
      <c r="VAZ341" s="288" t="s">
        <v>598</v>
      </c>
      <c r="VBA341" s="288" t="s">
        <v>598</v>
      </c>
      <c r="VBB341" s="288" t="s">
        <v>598</v>
      </c>
      <c r="VBC341" s="288" t="s">
        <v>598</v>
      </c>
      <c r="VBD341" s="288" t="s">
        <v>598</v>
      </c>
      <c r="VBE341" s="288" t="s">
        <v>598</v>
      </c>
      <c r="VBF341" s="288" t="s">
        <v>598</v>
      </c>
      <c r="VBG341" s="288" t="s">
        <v>598</v>
      </c>
      <c r="VBH341" s="288" t="s">
        <v>598</v>
      </c>
      <c r="VBI341" s="288" t="s">
        <v>598</v>
      </c>
      <c r="VBJ341" s="288" t="s">
        <v>598</v>
      </c>
      <c r="VBK341" s="288" t="s">
        <v>598</v>
      </c>
      <c r="VBL341" s="288" t="s">
        <v>598</v>
      </c>
      <c r="VBM341" s="288" t="s">
        <v>598</v>
      </c>
      <c r="VBN341" s="288" t="s">
        <v>598</v>
      </c>
      <c r="VBO341" s="288" t="s">
        <v>598</v>
      </c>
      <c r="VBP341" s="288" t="s">
        <v>598</v>
      </c>
      <c r="VBQ341" s="288" t="s">
        <v>598</v>
      </c>
      <c r="VBR341" s="288" t="s">
        <v>598</v>
      </c>
      <c r="VBS341" s="288" t="s">
        <v>598</v>
      </c>
      <c r="VBT341" s="288" t="s">
        <v>598</v>
      </c>
      <c r="VBU341" s="288" t="s">
        <v>598</v>
      </c>
      <c r="VBV341" s="288" t="s">
        <v>598</v>
      </c>
      <c r="VBW341" s="288" t="s">
        <v>598</v>
      </c>
      <c r="VBX341" s="288" t="s">
        <v>598</v>
      </c>
      <c r="VBY341" s="288" t="s">
        <v>598</v>
      </c>
      <c r="VBZ341" s="288" t="s">
        <v>598</v>
      </c>
      <c r="VCA341" s="288" t="s">
        <v>598</v>
      </c>
      <c r="VCB341" s="288" t="s">
        <v>598</v>
      </c>
      <c r="VCC341" s="288" t="s">
        <v>598</v>
      </c>
      <c r="VCD341" s="288" t="s">
        <v>598</v>
      </c>
      <c r="VCE341" s="288" t="s">
        <v>598</v>
      </c>
      <c r="VCF341" s="288" t="s">
        <v>598</v>
      </c>
      <c r="VCG341" s="288" t="s">
        <v>598</v>
      </c>
      <c r="VCH341" s="288" t="s">
        <v>598</v>
      </c>
      <c r="VCI341" s="288" t="s">
        <v>598</v>
      </c>
      <c r="VCJ341" s="288" t="s">
        <v>598</v>
      </c>
      <c r="VCK341" s="288" t="s">
        <v>598</v>
      </c>
      <c r="VCL341" s="288" t="s">
        <v>598</v>
      </c>
      <c r="VCM341" s="288" t="s">
        <v>598</v>
      </c>
      <c r="VCN341" s="288" t="s">
        <v>598</v>
      </c>
      <c r="VCO341" s="288" t="s">
        <v>598</v>
      </c>
      <c r="VCP341" s="288" t="s">
        <v>598</v>
      </c>
      <c r="VCQ341" s="288" t="s">
        <v>598</v>
      </c>
      <c r="VCR341" s="288" t="s">
        <v>598</v>
      </c>
      <c r="VCS341" s="288" t="s">
        <v>598</v>
      </c>
      <c r="VCT341" s="288" t="s">
        <v>598</v>
      </c>
      <c r="VCU341" s="288" t="s">
        <v>598</v>
      </c>
      <c r="VCV341" s="288" t="s">
        <v>598</v>
      </c>
      <c r="VCW341" s="288" t="s">
        <v>598</v>
      </c>
      <c r="VCX341" s="288" t="s">
        <v>598</v>
      </c>
      <c r="VCY341" s="288" t="s">
        <v>598</v>
      </c>
      <c r="VCZ341" s="288" t="s">
        <v>598</v>
      </c>
      <c r="VDA341" s="288" t="s">
        <v>598</v>
      </c>
      <c r="VDB341" s="288" t="s">
        <v>598</v>
      </c>
      <c r="VDC341" s="288" t="s">
        <v>598</v>
      </c>
      <c r="VDD341" s="288" t="s">
        <v>598</v>
      </c>
      <c r="VDE341" s="288" t="s">
        <v>598</v>
      </c>
      <c r="VDF341" s="288" t="s">
        <v>598</v>
      </c>
      <c r="VDG341" s="288" t="s">
        <v>598</v>
      </c>
      <c r="VDH341" s="288" t="s">
        <v>598</v>
      </c>
      <c r="VDI341" s="288" t="s">
        <v>598</v>
      </c>
      <c r="VDJ341" s="288" t="s">
        <v>598</v>
      </c>
      <c r="VDK341" s="288" t="s">
        <v>598</v>
      </c>
      <c r="VDL341" s="288" t="s">
        <v>598</v>
      </c>
      <c r="VDM341" s="288" t="s">
        <v>598</v>
      </c>
      <c r="VDN341" s="288" t="s">
        <v>598</v>
      </c>
      <c r="VDO341" s="288" t="s">
        <v>598</v>
      </c>
      <c r="VDP341" s="288" t="s">
        <v>598</v>
      </c>
      <c r="VDQ341" s="288" t="s">
        <v>598</v>
      </c>
      <c r="VDR341" s="288" t="s">
        <v>598</v>
      </c>
      <c r="VDS341" s="288" t="s">
        <v>598</v>
      </c>
      <c r="VDT341" s="288" t="s">
        <v>598</v>
      </c>
      <c r="VDU341" s="288" t="s">
        <v>598</v>
      </c>
      <c r="VDV341" s="288" t="s">
        <v>598</v>
      </c>
      <c r="VDW341" s="288" t="s">
        <v>598</v>
      </c>
      <c r="VDX341" s="288" t="s">
        <v>598</v>
      </c>
      <c r="VDY341" s="288" t="s">
        <v>598</v>
      </c>
      <c r="VDZ341" s="288" t="s">
        <v>598</v>
      </c>
      <c r="VEA341" s="288" t="s">
        <v>598</v>
      </c>
      <c r="VEB341" s="288" t="s">
        <v>598</v>
      </c>
      <c r="VEC341" s="288" t="s">
        <v>598</v>
      </c>
      <c r="VED341" s="288" t="s">
        <v>598</v>
      </c>
      <c r="VEE341" s="288" t="s">
        <v>598</v>
      </c>
      <c r="VEF341" s="288" t="s">
        <v>598</v>
      </c>
      <c r="VEG341" s="288" t="s">
        <v>598</v>
      </c>
      <c r="VEH341" s="288" t="s">
        <v>598</v>
      </c>
      <c r="VEI341" s="288" t="s">
        <v>598</v>
      </c>
      <c r="VEJ341" s="288" t="s">
        <v>598</v>
      </c>
      <c r="VEK341" s="288" t="s">
        <v>598</v>
      </c>
      <c r="VEL341" s="288" t="s">
        <v>598</v>
      </c>
      <c r="VEM341" s="288" t="s">
        <v>598</v>
      </c>
      <c r="VEN341" s="288" t="s">
        <v>598</v>
      </c>
      <c r="VEO341" s="288" t="s">
        <v>598</v>
      </c>
      <c r="VEP341" s="288" t="s">
        <v>598</v>
      </c>
      <c r="VEQ341" s="288" t="s">
        <v>598</v>
      </c>
      <c r="VER341" s="288" t="s">
        <v>598</v>
      </c>
      <c r="VES341" s="288" t="s">
        <v>598</v>
      </c>
      <c r="VET341" s="288" t="s">
        <v>598</v>
      </c>
      <c r="VEU341" s="288" t="s">
        <v>598</v>
      </c>
      <c r="VEV341" s="288" t="s">
        <v>598</v>
      </c>
      <c r="VEW341" s="288" t="s">
        <v>598</v>
      </c>
      <c r="VEX341" s="288" t="s">
        <v>598</v>
      </c>
      <c r="VEY341" s="288" t="s">
        <v>598</v>
      </c>
      <c r="VEZ341" s="288" t="s">
        <v>598</v>
      </c>
      <c r="VFA341" s="288" t="s">
        <v>598</v>
      </c>
      <c r="VFB341" s="288" t="s">
        <v>598</v>
      </c>
      <c r="VFC341" s="288" t="s">
        <v>598</v>
      </c>
      <c r="VFD341" s="288" t="s">
        <v>598</v>
      </c>
      <c r="VFE341" s="288" t="s">
        <v>598</v>
      </c>
      <c r="VFF341" s="288" t="s">
        <v>598</v>
      </c>
      <c r="VFG341" s="288" t="s">
        <v>598</v>
      </c>
      <c r="VFH341" s="288" t="s">
        <v>598</v>
      </c>
      <c r="VFI341" s="288" t="s">
        <v>598</v>
      </c>
      <c r="VFJ341" s="288" t="s">
        <v>598</v>
      </c>
      <c r="VFK341" s="288" t="s">
        <v>598</v>
      </c>
      <c r="VFL341" s="288" t="s">
        <v>598</v>
      </c>
      <c r="VFM341" s="288" t="s">
        <v>598</v>
      </c>
      <c r="VFN341" s="288" t="s">
        <v>598</v>
      </c>
      <c r="VFO341" s="288" t="s">
        <v>598</v>
      </c>
      <c r="VFP341" s="288" t="s">
        <v>598</v>
      </c>
      <c r="VFQ341" s="288" t="s">
        <v>598</v>
      </c>
      <c r="VFR341" s="288" t="s">
        <v>598</v>
      </c>
      <c r="VFS341" s="288" t="s">
        <v>598</v>
      </c>
      <c r="VFT341" s="288" t="s">
        <v>598</v>
      </c>
      <c r="VFU341" s="288" t="s">
        <v>598</v>
      </c>
      <c r="VFV341" s="288" t="s">
        <v>598</v>
      </c>
      <c r="VFW341" s="288" t="s">
        <v>598</v>
      </c>
      <c r="VFX341" s="288" t="s">
        <v>598</v>
      </c>
      <c r="VFY341" s="288" t="s">
        <v>598</v>
      </c>
      <c r="VFZ341" s="288" t="s">
        <v>598</v>
      </c>
      <c r="VGA341" s="288" t="s">
        <v>598</v>
      </c>
      <c r="VGB341" s="288" t="s">
        <v>598</v>
      </c>
      <c r="VGC341" s="288" t="s">
        <v>598</v>
      </c>
      <c r="VGD341" s="288" t="s">
        <v>598</v>
      </c>
      <c r="VGE341" s="288" t="s">
        <v>598</v>
      </c>
      <c r="VGF341" s="288" t="s">
        <v>598</v>
      </c>
      <c r="VGG341" s="288" t="s">
        <v>598</v>
      </c>
      <c r="VGH341" s="288" t="s">
        <v>598</v>
      </c>
      <c r="VGI341" s="288" t="s">
        <v>598</v>
      </c>
      <c r="VGJ341" s="288" t="s">
        <v>598</v>
      </c>
      <c r="VGK341" s="288" t="s">
        <v>598</v>
      </c>
      <c r="VGL341" s="288" t="s">
        <v>598</v>
      </c>
      <c r="VGM341" s="288" t="s">
        <v>598</v>
      </c>
      <c r="VGN341" s="288" t="s">
        <v>598</v>
      </c>
      <c r="VGO341" s="288" t="s">
        <v>598</v>
      </c>
      <c r="VGP341" s="288" t="s">
        <v>598</v>
      </c>
      <c r="VGQ341" s="288" t="s">
        <v>598</v>
      </c>
      <c r="VGR341" s="288" t="s">
        <v>598</v>
      </c>
      <c r="VGS341" s="288" t="s">
        <v>598</v>
      </c>
      <c r="VGT341" s="288" t="s">
        <v>598</v>
      </c>
      <c r="VGU341" s="288" t="s">
        <v>598</v>
      </c>
      <c r="VGV341" s="288" t="s">
        <v>598</v>
      </c>
      <c r="VGW341" s="288" t="s">
        <v>598</v>
      </c>
      <c r="VGX341" s="288" t="s">
        <v>598</v>
      </c>
      <c r="VGY341" s="288" t="s">
        <v>598</v>
      </c>
      <c r="VGZ341" s="288" t="s">
        <v>598</v>
      </c>
      <c r="VHA341" s="288" t="s">
        <v>598</v>
      </c>
      <c r="VHB341" s="288" t="s">
        <v>598</v>
      </c>
      <c r="VHC341" s="288" t="s">
        <v>598</v>
      </c>
      <c r="VHD341" s="288" t="s">
        <v>598</v>
      </c>
      <c r="VHE341" s="288" t="s">
        <v>598</v>
      </c>
      <c r="VHF341" s="288" t="s">
        <v>598</v>
      </c>
      <c r="VHG341" s="288" t="s">
        <v>598</v>
      </c>
      <c r="VHH341" s="288" t="s">
        <v>598</v>
      </c>
      <c r="VHI341" s="288" t="s">
        <v>598</v>
      </c>
      <c r="VHJ341" s="288" t="s">
        <v>598</v>
      </c>
      <c r="VHK341" s="288" t="s">
        <v>598</v>
      </c>
      <c r="VHL341" s="288" t="s">
        <v>598</v>
      </c>
      <c r="VHM341" s="288" t="s">
        <v>598</v>
      </c>
      <c r="VHN341" s="288" t="s">
        <v>598</v>
      </c>
      <c r="VHO341" s="288" t="s">
        <v>598</v>
      </c>
      <c r="VHP341" s="288" t="s">
        <v>598</v>
      </c>
      <c r="VHQ341" s="288" t="s">
        <v>598</v>
      </c>
      <c r="VHR341" s="288" t="s">
        <v>598</v>
      </c>
      <c r="VHS341" s="288" t="s">
        <v>598</v>
      </c>
      <c r="VHT341" s="288" t="s">
        <v>598</v>
      </c>
      <c r="VHU341" s="288" t="s">
        <v>598</v>
      </c>
      <c r="VHV341" s="288" t="s">
        <v>598</v>
      </c>
      <c r="VHW341" s="288" t="s">
        <v>598</v>
      </c>
      <c r="VHX341" s="288" t="s">
        <v>598</v>
      </c>
      <c r="VHY341" s="288" t="s">
        <v>598</v>
      </c>
      <c r="VHZ341" s="288" t="s">
        <v>598</v>
      </c>
      <c r="VIA341" s="288" t="s">
        <v>598</v>
      </c>
      <c r="VIB341" s="288" t="s">
        <v>598</v>
      </c>
      <c r="VIC341" s="288" t="s">
        <v>598</v>
      </c>
      <c r="VID341" s="288" t="s">
        <v>598</v>
      </c>
      <c r="VIE341" s="288" t="s">
        <v>598</v>
      </c>
      <c r="VIF341" s="288" t="s">
        <v>598</v>
      </c>
      <c r="VIG341" s="288" t="s">
        <v>598</v>
      </c>
      <c r="VIH341" s="288" t="s">
        <v>598</v>
      </c>
      <c r="VII341" s="288" t="s">
        <v>598</v>
      </c>
      <c r="VIJ341" s="288" t="s">
        <v>598</v>
      </c>
      <c r="VIK341" s="288" t="s">
        <v>598</v>
      </c>
      <c r="VIL341" s="288" t="s">
        <v>598</v>
      </c>
      <c r="VIM341" s="288" t="s">
        <v>598</v>
      </c>
      <c r="VIN341" s="288" t="s">
        <v>598</v>
      </c>
      <c r="VIO341" s="288" t="s">
        <v>598</v>
      </c>
      <c r="VIP341" s="288" t="s">
        <v>598</v>
      </c>
      <c r="VIQ341" s="288" t="s">
        <v>598</v>
      </c>
      <c r="VIR341" s="288" t="s">
        <v>598</v>
      </c>
      <c r="VIS341" s="288" t="s">
        <v>598</v>
      </c>
      <c r="VIT341" s="288" t="s">
        <v>598</v>
      </c>
      <c r="VIU341" s="288" t="s">
        <v>598</v>
      </c>
      <c r="VIV341" s="288" t="s">
        <v>598</v>
      </c>
      <c r="VIW341" s="288" t="s">
        <v>598</v>
      </c>
      <c r="VIX341" s="288" t="s">
        <v>598</v>
      </c>
      <c r="VIY341" s="288" t="s">
        <v>598</v>
      </c>
      <c r="VIZ341" s="288" t="s">
        <v>598</v>
      </c>
      <c r="VJA341" s="288" t="s">
        <v>598</v>
      </c>
      <c r="VJB341" s="288" t="s">
        <v>598</v>
      </c>
      <c r="VJC341" s="288" t="s">
        <v>598</v>
      </c>
      <c r="VJD341" s="288" t="s">
        <v>598</v>
      </c>
      <c r="VJE341" s="288" t="s">
        <v>598</v>
      </c>
      <c r="VJF341" s="288" t="s">
        <v>598</v>
      </c>
      <c r="VJG341" s="288" t="s">
        <v>598</v>
      </c>
      <c r="VJH341" s="288" t="s">
        <v>598</v>
      </c>
      <c r="VJI341" s="288" t="s">
        <v>598</v>
      </c>
      <c r="VJJ341" s="288" t="s">
        <v>598</v>
      </c>
      <c r="VJK341" s="288" t="s">
        <v>598</v>
      </c>
      <c r="VJL341" s="288" t="s">
        <v>598</v>
      </c>
      <c r="VJM341" s="288" t="s">
        <v>598</v>
      </c>
      <c r="VJN341" s="288" t="s">
        <v>598</v>
      </c>
      <c r="VJO341" s="288" t="s">
        <v>598</v>
      </c>
      <c r="VJP341" s="288" t="s">
        <v>598</v>
      </c>
      <c r="VJQ341" s="288" t="s">
        <v>598</v>
      </c>
      <c r="VJR341" s="288" t="s">
        <v>598</v>
      </c>
      <c r="VJS341" s="288" t="s">
        <v>598</v>
      </c>
      <c r="VJT341" s="288" t="s">
        <v>598</v>
      </c>
      <c r="VJU341" s="288" t="s">
        <v>598</v>
      </c>
      <c r="VJV341" s="288" t="s">
        <v>598</v>
      </c>
      <c r="VJW341" s="288" t="s">
        <v>598</v>
      </c>
      <c r="VJX341" s="288" t="s">
        <v>598</v>
      </c>
      <c r="VJY341" s="288" t="s">
        <v>598</v>
      </c>
      <c r="VJZ341" s="288" t="s">
        <v>598</v>
      </c>
      <c r="VKA341" s="288" t="s">
        <v>598</v>
      </c>
      <c r="VKB341" s="288" t="s">
        <v>598</v>
      </c>
      <c r="VKC341" s="288" t="s">
        <v>598</v>
      </c>
      <c r="VKD341" s="288" t="s">
        <v>598</v>
      </c>
      <c r="VKE341" s="288" t="s">
        <v>598</v>
      </c>
      <c r="VKF341" s="288" t="s">
        <v>598</v>
      </c>
      <c r="VKG341" s="288" t="s">
        <v>598</v>
      </c>
      <c r="VKH341" s="288" t="s">
        <v>598</v>
      </c>
      <c r="VKI341" s="288" t="s">
        <v>598</v>
      </c>
      <c r="VKJ341" s="288" t="s">
        <v>598</v>
      </c>
      <c r="VKK341" s="288" t="s">
        <v>598</v>
      </c>
      <c r="VKL341" s="288" t="s">
        <v>598</v>
      </c>
      <c r="VKM341" s="288" t="s">
        <v>598</v>
      </c>
      <c r="VKN341" s="288" t="s">
        <v>598</v>
      </c>
      <c r="VKO341" s="288" t="s">
        <v>598</v>
      </c>
      <c r="VKP341" s="288" t="s">
        <v>598</v>
      </c>
      <c r="VKQ341" s="288" t="s">
        <v>598</v>
      </c>
      <c r="VKR341" s="288" t="s">
        <v>598</v>
      </c>
      <c r="VKS341" s="288" t="s">
        <v>598</v>
      </c>
      <c r="VKT341" s="288" t="s">
        <v>598</v>
      </c>
      <c r="VKU341" s="288" t="s">
        <v>598</v>
      </c>
      <c r="VKV341" s="288" t="s">
        <v>598</v>
      </c>
      <c r="VKW341" s="288" t="s">
        <v>598</v>
      </c>
      <c r="VKX341" s="288" t="s">
        <v>598</v>
      </c>
      <c r="VKY341" s="288" t="s">
        <v>598</v>
      </c>
      <c r="VKZ341" s="288" t="s">
        <v>598</v>
      </c>
      <c r="VLA341" s="288" t="s">
        <v>598</v>
      </c>
      <c r="VLB341" s="288" t="s">
        <v>598</v>
      </c>
      <c r="VLC341" s="288" t="s">
        <v>598</v>
      </c>
      <c r="VLD341" s="288" t="s">
        <v>598</v>
      </c>
      <c r="VLE341" s="288" t="s">
        <v>598</v>
      </c>
      <c r="VLF341" s="288" t="s">
        <v>598</v>
      </c>
      <c r="VLG341" s="288" t="s">
        <v>598</v>
      </c>
      <c r="VLH341" s="288" t="s">
        <v>598</v>
      </c>
      <c r="VLI341" s="288" t="s">
        <v>598</v>
      </c>
      <c r="VLJ341" s="288" t="s">
        <v>598</v>
      </c>
      <c r="VLK341" s="288" t="s">
        <v>598</v>
      </c>
      <c r="VLL341" s="288" t="s">
        <v>598</v>
      </c>
      <c r="VLM341" s="288" t="s">
        <v>598</v>
      </c>
      <c r="VLN341" s="288" t="s">
        <v>598</v>
      </c>
      <c r="VLO341" s="288" t="s">
        <v>598</v>
      </c>
      <c r="VLP341" s="288" t="s">
        <v>598</v>
      </c>
      <c r="VLQ341" s="288" t="s">
        <v>598</v>
      </c>
      <c r="VLR341" s="288" t="s">
        <v>598</v>
      </c>
      <c r="VLS341" s="288" t="s">
        <v>598</v>
      </c>
      <c r="VLT341" s="288" t="s">
        <v>598</v>
      </c>
      <c r="VLU341" s="288" t="s">
        <v>598</v>
      </c>
      <c r="VLV341" s="288" t="s">
        <v>598</v>
      </c>
      <c r="VLW341" s="288" t="s">
        <v>598</v>
      </c>
      <c r="VLX341" s="288" t="s">
        <v>598</v>
      </c>
      <c r="VLY341" s="288" t="s">
        <v>598</v>
      </c>
      <c r="VLZ341" s="288" t="s">
        <v>598</v>
      </c>
      <c r="VMA341" s="288" t="s">
        <v>598</v>
      </c>
      <c r="VMB341" s="288" t="s">
        <v>598</v>
      </c>
      <c r="VMC341" s="288" t="s">
        <v>598</v>
      </c>
      <c r="VMD341" s="288" t="s">
        <v>598</v>
      </c>
      <c r="VME341" s="288" t="s">
        <v>598</v>
      </c>
      <c r="VMF341" s="288" t="s">
        <v>598</v>
      </c>
      <c r="VMG341" s="288" t="s">
        <v>598</v>
      </c>
      <c r="VMH341" s="288" t="s">
        <v>598</v>
      </c>
      <c r="VMI341" s="288" t="s">
        <v>598</v>
      </c>
      <c r="VMJ341" s="288" t="s">
        <v>598</v>
      </c>
      <c r="VMK341" s="288" t="s">
        <v>598</v>
      </c>
      <c r="VML341" s="288" t="s">
        <v>598</v>
      </c>
      <c r="VMM341" s="288" t="s">
        <v>598</v>
      </c>
      <c r="VMN341" s="288" t="s">
        <v>598</v>
      </c>
      <c r="VMO341" s="288" t="s">
        <v>598</v>
      </c>
      <c r="VMP341" s="288" t="s">
        <v>598</v>
      </c>
      <c r="VMQ341" s="288" t="s">
        <v>598</v>
      </c>
      <c r="VMR341" s="288" t="s">
        <v>598</v>
      </c>
      <c r="VMS341" s="288" t="s">
        <v>598</v>
      </c>
      <c r="VMT341" s="288" t="s">
        <v>598</v>
      </c>
      <c r="VMU341" s="288" t="s">
        <v>598</v>
      </c>
      <c r="VMV341" s="288" t="s">
        <v>598</v>
      </c>
      <c r="VMW341" s="288" t="s">
        <v>598</v>
      </c>
      <c r="VMX341" s="288" t="s">
        <v>598</v>
      </c>
      <c r="VMY341" s="288" t="s">
        <v>598</v>
      </c>
      <c r="VMZ341" s="288" t="s">
        <v>598</v>
      </c>
      <c r="VNA341" s="288" t="s">
        <v>598</v>
      </c>
      <c r="VNB341" s="288" t="s">
        <v>598</v>
      </c>
      <c r="VNC341" s="288" t="s">
        <v>598</v>
      </c>
      <c r="VND341" s="288" t="s">
        <v>598</v>
      </c>
      <c r="VNE341" s="288" t="s">
        <v>598</v>
      </c>
      <c r="VNF341" s="288" t="s">
        <v>598</v>
      </c>
      <c r="VNG341" s="288" t="s">
        <v>598</v>
      </c>
      <c r="VNH341" s="288" t="s">
        <v>598</v>
      </c>
      <c r="VNI341" s="288" t="s">
        <v>598</v>
      </c>
      <c r="VNJ341" s="288" t="s">
        <v>598</v>
      </c>
      <c r="VNK341" s="288" t="s">
        <v>598</v>
      </c>
      <c r="VNL341" s="288" t="s">
        <v>598</v>
      </c>
      <c r="VNM341" s="288" t="s">
        <v>598</v>
      </c>
      <c r="VNN341" s="288" t="s">
        <v>598</v>
      </c>
      <c r="VNO341" s="288" t="s">
        <v>598</v>
      </c>
      <c r="VNP341" s="288" t="s">
        <v>598</v>
      </c>
      <c r="VNQ341" s="288" t="s">
        <v>598</v>
      </c>
      <c r="VNR341" s="288" t="s">
        <v>598</v>
      </c>
      <c r="VNS341" s="288" t="s">
        <v>598</v>
      </c>
      <c r="VNT341" s="288" t="s">
        <v>598</v>
      </c>
      <c r="VNU341" s="288" t="s">
        <v>598</v>
      </c>
      <c r="VNV341" s="288" t="s">
        <v>598</v>
      </c>
      <c r="VNW341" s="288" t="s">
        <v>598</v>
      </c>
      <c r="VNX341" s="288" t="s">
        <v>598</v>
      </c>
      <c r="VNY341" s="288" t="s">
        <v>598</v>
      </c>
      <c r="VNZ341" s="288" t="s">
        <v>598</v>
      </c>
      <c r="VOA341" s="288" t="s">
        <v>598</v>
      </c>
      <c r="VOB341" s="288" t="s">
        <v>598</v>
      </c>
      <c r="VOC341" s="288" t="s">
        <v>598</v>
      </c>
      <c r="VOD341" s="288" t="s">
        <v>598</v>
      </c>
      <c r="VOE341" s="288" t="s">
        <v>598</v>
      </c>
      <c r="VOF341" s="288" t="s">
        <v>598</v>
      </c>
      <c r="VOG341" s="288" t="s">
        <v>598</v>
      </c>
      <c r="VOH341" s="288" t="s">
        <v>598</v>
      </c>
      <c r="VOI341" s="288" t="s">
        <v>598</v>
      </c>
      <c r="VOJ341" s="288" t="s">
        <v>598</v>
      </c>
      <c r="VOK341" s="288" t="s">
        <v>598</v>
      </c>
      <c r="VOL341" s="288" t="s">
        <v>598</v>
      </c>
      <c r="VOM341" s="288" t="s">
        <v>598</v>
      </c>
      <c r="VON341" s="288" t="s">
        <v>598</v>
      </c>
      <c r="VOO341" s="288" t="s">
        <v>598</v>
      </c>
      <c r="VOP341" s="288" t="s">
        <v>598</v>
      </c>
      <c r="VOQ341" s="288" t="s">
        <v>598</v>
      </c>
      <c r="VOR341" s="288" t="s">
        <v>598</v>
      </c>
      <c r="VOS341" s="288" t="s">
        <v>598</v>
      </c>
      <c r="VOT341" s="288" t="s">
        <v>598</v>
      </c>
      <c r="VOU341" s="288" t="s">
        <v>598</v>
      </c>
      <c r="VOV341" s="288" t="s">
        <v>598</v>
      </c>
      <c r="VOW341" s="288" t="s">
        <v>598</v>
      </c>
      <c r="VOX341" s="288" t="s">
        <v>598</v>
      </c>
      <c r="VOY341" s="288" t="s">
        <v>598</v>
      </c>
      <c r="VOZ341" s="288" t="s">
        <v>598</v>
      </c>
      <c r="VPA341" s="288" t="s">
        <v>598</v>
      </c>
      <c r="VPB341" s="288" t="s">
        <v>598</v>
      </c>
      <c r="VPC341" s="288" t="s">
        <v>598</v>
      </c>
      <c r="VPD341" s="288" t="s">
        <v>598</v>
      </c>
      <c r="VPE341" s="288" t="s">
        <v>598</v>
      </c>
      <c r="VPF341" s="288" t="s">
        <v>598</v>
      </c>
      <c r="VPG341" s="288" t="s">
        <v>598</v>
      </c>
      <c r="VPH341" s="288" t="s">
        <v>598</v>
      </c>
      <c r="VPI341" s="288" t="s">
        <v>598</v>
      </c>
      <c r="VPJ341" s="288" t="s">
        <v>598</v>
      </c>
      <c r="VPK341" s="288" t="s">
        <v>598</v>
      </c>
      <c r="VPL341" s="288" t="s">
        <v>598</v>
      </c>
      <c r="VPM341" s="288" t="s">
        <v>598</v>
      </c>
      <c r="VPN341" s="288" t="s">
        <v>598</v>
      </c>
      <c r="VPO341" s="288" t="s">
        <v>598</v>
      </c>
      <c r="VPP341" s="288" t="s">
        <v>598</v>
      </c>
      <c r="VPQ341" s="288" t="s">
        <v>598</v>
      </c>
      <c r="VPR341" s="288" t="s">
        <v>598</v>
      </c>
      <c r="VPS341" s="288" t="s">
        <v>598</v>
      </c>
      <c r="VPT341" s="288" t="s">
        <v>598</v>
      </c>
      <c r="VPU341" s="288" t="s">
        <v>598</v>
      </c>
      <c r="VPV341" s="288" t="s">
        <v>598</v>
      </c>
      <c r="VPW341" s="288" t="s">
        <v>598</v>
      </c>
      <c r="VPX341" s="288" t="s">
        <v>598</v>
      </c>
      <c r="VPY341" s="288" t="s">
        <v>598</v>
      </c>
      <c r="VPZ341" s="288" t="s">
        <v>598</v>
      </c>
      <c r="VQA341" s="288" t="s">
        <v>598</v>
      </c>
      <c r="VQB341" s="288" t="s">
        <v>598</v>
      </c>
      <c r="VQC341" s="288" t="s">
        <v>598</v>
      </c>
      <c r="VQD341" s="288" t="s">
        <v>598</v>
      </c>
      <c r="VQE341" s="288" t="s">
        <v>598</v>
      </c>
      <c r="VQF341" s="288" t="s">
        <v>598</v>
      </c>
      <c r="VQG341" s="288" t="s">
        <v>598</v>
      </c>
      <c r="VQH341" s="288" t="s">
        <v>598</v>
      </c>
      <c r="VQI341" s="288" t="s">
        <v>598</v>
      </c>
      <c r="VQJ341" s="288" t="s">
        <v>598</v>
      </c>
      <c r="VQK341" s="288" t="s">
        <v>598</v>
      </c>
      <c r="VQL341" s="288" t="s">
        <v>598</v>
      </c>
      <c r="VQM341" s="288" t="s">
        <v>598</v>
      </c>
      <c r="VQN341" s="288" t="s">
        <v>598</v>
      </c>
      <c r="VQO341" s="288" t="s">
        <v>598</v>
      </c>
      <c r="VQP341" s="288" t="s">
        <v>598</v>
      </c>
      <c r="VQQ341" s="288" t="s">
        <v>598</v>
      </c>
      <c r="VQR341" s="288" t="s">
        <v>598</v>
      </c>
      <c r="VQS341" s="288" t="s">
        <v>598</v>
      </c>
      <c r="VQT341" s="288" t="s">
        <v>598</v>
      </c>
      <c r="VQU341" s="288" t="s">
        <v>598</v>
      </c>
      <c r="VQV341" s="288" t="s">
        <v>598</v>
      </c>
      <c r="VQW341" s="288" t="s">
        <v>598</v>
      </c>
      <c r="VQX341" s="288" t="s">
        <v>598</v>
      </c>
      <c r="VQY341" s="288" t="s">
        <v>598</v>
      </c>
      <c r="VQZ341" s="288" t="s">
        <v>598</v>
      </c>
      <c r="VRA341" s="288" t="s">
        <v>598</v>
      </c>
      <c r="VRB341" s="288" t="s">
        <v>598</v>
      </c>
      <c r="VRC341" s="288" t="s">
        <v>598</v>
      </c>
      <c r="VRD341" s="288" t="s">
        <v>598</v>
      </c>
      <c r="VRE341" s="288" t="s">
        <v>598</v>
      </c>
      <c r="VRF341" s="288" t="s">
        <v>598</v>
      </c>
      <c r="VRG341" s="288" t="s">
        <v>598</v>
      </c>
      <c r="VRH341" s="288" t="s">
        <v>598</v>
      </c>
      <c r="VRI341" s="288" t="s">
        <v>598</v>
      </c>
      <c r="VRJ341" s="288" t="s">
        <v>598</v>
      </c>
      <c r="VRK341" s="288" t="s">
        <v>598</v>
      </c>
      <c r="VRL341" s="288" t="s">
        <v>598</v>
      </c>
      <c r="VRM341" s="288" t="s">
        <v>598</v>
      </c>
      <c r="VRN341" s="288" t="s">
        <v>598</v>
      </c>
      <c r="VRO341" s="288" t="s">
        <v>598</v>
      </c>
      <c r="VRP341" s="288" t="s">
        <v>598</v>
      </c>
      <c r="VRQ341" s="288" t="s">
        <v>598</v>
      </c>
      <c r="VRR341" s="288" t="s">
        <v>598</v>
      </c>
      <c r="VRS341" s="288" t="s">
        <v>598</v>
      </c>
      <c r="VRT341" s="288" t="s">
        <v>598</v>
      </c>
      <c r="VRU341" s="288" t="s">
        <v>598</v>
      </c>
      <c r="VRV341" s="288" t="s">
        <v>598</v>
      </c>
      <c r="VRW341" s="288" t="s">
        <v>598</v>
      </c>
      <c r="VRX341" s="288" t="s">
        <v>598</v>
      </c>
      <c r="VRY341" s="288" t="s">
        <v>598</v>
      </c>
      <c r="VRZ341" s="288" t="s">
        <v>598</v>
      </c>
      <c r="VSA341" s="288" t="s">
        <v>598</v>
      </c>
      <c r="VSB341" s="288" t="s">
        <v>598</v>
      </c>
      <c r="VSC341" s="288" t="s">
        <v>598</v>
      </c>
      <c r="VSD341" s="288" t="s">
        <v>598</v>
      </c>
      <c r="VSE341" s="288" t="s">
        <v>598</v>
      </c>
      <c r="VSF341" s="288" t="s">
        <v>598</v>
      </c>
      <c r="VSG341" s="288" t="s">
        <v>598</v>
      </c>
      <c r="VSH341" s="288" t="s">
        <v>598</v>
      </c>
      <c r="VSI341" s="288" t="s">
        <v>598</v>
      </c>
      <c r="VSJ341" s="288" t="s">
        <v>598</v>
      </c>
      <c r="VSK341" s="288" t="s">
        <v>598</v>
      </c>
      <c r="VSL341" s="288" t="s">
        <v>598</v>
      </c>
      <c r="VSM341" s="288" t="s">
        <v>598</v>
      </c>
      <c r="VSN341" s="288" t="s">
        <v>598</v>
      </c>
      <c r="VSO341" s="288" t="s">
        <v>598</v>
      </c>
      <c r="VSP341" s="288" t="s">
        <v>598</v>
      </c>
      <c r="VSQ341" s="288" t="s">
        <v>598</v>
      </c>
      <c r="VSR341" s="288" t="s">
        <v>598</v>
      </c>
      <c r="VSS341" s="288" t="s">
        <v>598</v>
      </c>
      <c r="VST341" s="288" t="s">
        <v>598</v>
      </c>
      <c r="VSU341" s="288" t="s">
        <v>598</v>
      </c>
      <c r="VSV341" s="288" t="s">
        <v>598</v>
      </c>
      <c r="VSW341" s="288" t="s">
        <v>598</v>
      </c>
      <c r="VSX341" s="288" t="s">
        <v>598</v>
      </c>
      <c r="VSY341" s="288" t="s">
        <v>598</v>
      </c>
      <c r="VSZ341" s="288" t="s">
        <v>598</v>
      </c>
      <c r="VTA341" s="288" t="s">
        <v>598</v>
      </c>
      <c r="VTB341" s="288" t="s">
        <v>598</v>
      </c>
      <c r="VTC341" s="288" t="s">
        <v>598</v>
      </c>
      <c r="VTD341" s="288" t="s">
        <v>598</v>
      </c>
      <c r="VTE341" s="288" t="s">
        <v>598</v>
      </c>
      <c r="VTF341" s="288" t="s">
        <v>598</v>
      </c>
      <c r="VTG341" s="288" t="s">
        <v>598</v>
      </c>
      <c r="VTH341" s="288" t="s">
        <v>598</v>
      </c>
      <c r="VTI341" s="288" t="s">
        <v>598</v>
      </c>
      <c r="VTJ341" s="288" t="s">
        <v>598</v>
      </c>
      <c r="VTK341" s="288" t="s">
        <v>598</v>
      </c>
      <c r="VTL341" s="288" t="s">
        <v>598</v>
      </c>
      <c r="VTM341" s="288" t="s">
        <v>598</v>
      </c>
      <c r="VTN341" s="288" t="s">
        <v>598</v>
      </c>
      <c r="VTO341" s="288" t="s">
        <v>598</v>
      </c>
      <c r="VTP341" s="288" t="s">
        <v>598</v>
      </c>
      <c r="VTQ341" s="288" t="s">
        <v>598</v>
      </c>
      <c r="VTR341" s="288" t="s">
        <v>598</v>
      </c>
      <c r="VTS341" s="288" t="s">
        <v>598</v>
      </c>
      <c r="VTT341" s="288" t="s">
        <v>598</v>
      </c>
      <c r="VTU341" s="288" t="s">
        <v>598</v>
      </c>
      <c r="VTV341" s="288" t="s">
        <v>598</v>
      </c>
      <c r="VTW341" s="288" t="s">
        <v>598</v>
      </c>
      <c r="VTX341" s="288" t="s">
        <v>598</v>
      </c>
      <c r="VTY341" s="288" t="s">
        <v>598</v>
      </c>
      <c r="VTZ341" s="288" t="s">
        <v>598</v>
      </c>
      <c r="VUA341" s="288" t="s">
        <v>598</v>
      </c>
      <c r="VUB341" s="288" t="s">
        <v>598</v>
      </c>
      <c r="VUC341" s="288" t="s">
        <v>598</v>
      </c>
      <c r="VUD341" s="288" t="s">
        <v>598</v>
      </c>
      <c r="VUE341" s="288" t="s">
        <v>598</v>
      </c>
      <c r="VUF341" s="288" t="s">
        <v>598</v>
      </c>
      <c r="VUG341" s="288" t="s">
        <v>598</v>
      </c>
      <c r="VUH341" s="288" t="s">
        <v>598</v>
      </c>
      <c r="VUI341" s="288" t="s">
        <v>598</v>
      </c>
      <c r="VUJ341" s="288" t="s">
        <v>598</v>
      </c>
      <c r="VUK341" s="288" t="s">
        <v>598</v>
      </c>
      <c r="VUL341" s="288" t="s">
        <v>598</v>
      </c>
      <c r="VUM341" s="288" t="s">
        <v>598</v>
      </c>
      <c r="VUN341" s="288" t="s">
        <v>598</v>
      </c>
      <c r="VUO341" s="288" t="s">
        <v>598</v>
      </c>
      <c r="VUP341" s="288" t="s">
        <v>598</v>
      </c>
      <c r="VUQ341" s="288" t="s">
        <v>598</v>
      </c>
      <c r="VUR341" s="288" t="s">
        <v>598</v>
      </c>
      <c r="VUS341" s="288" t="s">
        <v>598</v>
      </c>
      <c r="VUT341" s="288" t="s">
        <v>598</v>
      </c>
      <c r="VUU341" s="288" t="s">
        <v>598</v>
      </c>
      <c r="VUV341" s="288" t="s">
        <v>598</v>
      </c>
      <c r="VUW341" s="288" t="s">
        <v>598</v>
      </c>
      <c r="VUX341" s="288" t="s">
        <v>598</v>
      </c>
      <c r="VUY341" s="288" t="s">
        <v>598</v>
      </c>
      <c r="VUZ341" s="288" t="s">
        <v>598</v>
      </c>
      <c r="VVA341" s="288" t="s">
        <v>598</v>
      </c>
      <c r="VVB341" s="288" t="s">
        <v>598</v>
      </c>
      <c r="VVC341" s="288" t="s">
        <v>598</v>
      </c>
      <c r="VVD341" s="288" t="s">
        <v>598</v>
      </c>
      <c r="VVE341" s="288" t="s">
        <v>598</v>
      </c>
      <c r="VVF341" s="288" t="s">
        <v>598</v>
      </c>
      <c r="VVG341" s="288" t="s">
        <v>598</v>
      </c>
      <c r="VVH341" s="288" t="s">
        <v>598</v>
      </c>
      <c r="VVI341" s="288" t="s">
        <v>598</v>
      </c>
      <c r="VVJ341" s="288" t="s">
        <v>598</v>
      </c>
      <c r="VVK341" s="288" t="s">
        <v>598</v>
      </c>
      <c r="VVL341" s="288" t="s">
        <v>598</v>
      </c>
      <c r="VVM341" s="288" t="s">
        <v>598</v>
      </c>
      <c r="VVN341" s="288" t="s">
        <v>598</v>
      </c>
      <c r="VVO341" s="288" t="s">
        <v>598</v>
      </c>
      <c r="VVP341" s="288" t="s">
        <v>598</v>
      </c>
      <c r="VVQ341" s="288" t="s">
        <v>598</v>
      </c>
      <c r="VVR341" s="288" t="s">
        <v>598</v>
      </c>
      <c r="VVS341" s="288" t="s">
        <v>598</v>
      </c>
      <c r="VVT341" s="288" t="s">
        <v>598</v>
      </c>
      <c r="VVU341" s="288" t="s">
        <v>598</v>
      </c>
      <c r="VVV341" s="288" t="s">
        <v>598</v>
      </c>
      <c r="VVW341" s="288" t="s">
        <v>598</v>
      </c>
      <c r="VVX341" s="288" t="s">
        <v>598</v>
      </c>
      <c r="VVY341" s="288" t="s">
        <v>598</v>
      </c>
      <c r="VVZ341" s="288" t="s">
        <v>598</v>
      </c>
      <c r="VWA341" s="288" t="s">
        <v>598</v>
      </c>
      <c r="VWB341" s="288" t="s">
        <v>598</v>
      </c>
      <c r="VWC341" s="288" t="s">
        <v>598</v>
      </c>
      <c r="VWD341" s="288" t="s">
        <v>598</v>
      </c>
      <c r="VWE341" s="288" t="s">
        <v>598</v>
      </c>
      <c r="VWF341" s="288" t="s">
        <v>598</v>
      </c>
      <c r="VWG341" s="288" t="s">
        <v>598</v>
      </c>
      <c r="VWH341" s="288" t="s">
        <v>598</v>
      </c>
      <c r="VWI341" s="288" t="s">
        <v>598</v>
      </c>
      <c r="VWJ341" s="288" t="s">
        <v>598</v>
      </c>
      <c r="VWK341" s="288" t="s">
        <v>598</v>
      </c>
      <c r="VWL341" s="288" t="s">
        <v>598</v>
      </c>
      <c r="VWM341" s="288" t="s">
        <v>598</v>
      </c>
      <c r="VWN341" s="288" t="s">
        <v>598</v>
      </c>
      <c r="VWO341" s="288" t="s">
        <v>598</v>
      </c>
      <c r="VWP341" s="288" t="s">
        <v>598</v>
      </c>
      <c r="VWQ341" s="288" t="s">
        <v>598</v>
      </c>
      <c r="VWR341" s="288" t="s">
        <v>598</v>
      </c>
      <c r="VWS341" s="288" t="s">
        <v>598</v>
      </c>
      <c r="VWT341" s="288" t="s">
        <v>598</v>
      </c>
      <c r="VWU341" s="288" t="s">
        <v>598</v>
      </c>
      <c r="VWV341" s="288" t="s">
        <v>598</v>
      </c>
      <c r="VWW341" s="288" t="s">
        <v>598</v>
      </c>
      <c r="VWX341" s="288" t="s">
        <v>598</v>
      </c>
      <c r="VWY341" s="288" t="s">
        <v>598</v>
      </c>
      <c r="VWZ341" s="288" t="s">
        <v>598</v>
      </c>
      <c r="VXA341" s="288" t="s">
        <v>598</v>
      </c>
      <c r="VXB341" s="288" t="s">
        <v>598</v>
      </c>
      <c r="VXC341" s="288" t="s">
        <v>598</v>
      </c>
      <c r="VXD341" s="288" t="s">
        <v>598</v>
      </c>
      <c r="VXE341" s="288" t="s">
        <v>598</v>
      </c>
      <c r="VXF341" s="288" t="s">
        <v>598</v>
      </c>
      <c r="VXG341" s="288" t="s">
        <v>598</v>
      </c>
      <c r="VXH341" s="288" t="s">
        <v>598</v>
      </c>
      <c r="VXI341" s="288" t="s">
        <v>598</v>
      </c>
      <c r="VXJ341" s="288" t="s">
        <v>598</v>
      </c>
      <c r="VXK341" s="288" t="s">
        <v>598</v>
      </c>
      <c r="VXL341" s="288" t="s">
        <v>598</v>
      </c>
      <c r="VXM341" s="288" t="s">
        <v>598</v>
      </c>
      <c r="VXN341" s="288" t="s">
        <v>598</v>
      </c>
      <c r="VXO341" s="288" t="s">
        <v>598</v>
      </c>
      <c r="VXP341" s="288" t="s">
        <v>598</v>
      </c>
      <c r="VXQ341" s="288" t="s">
        <v>598</v>
      </c>
      <c r="VXR341" s="288" t="s">
        <v>598</v>
      </c>
      <c r="VXS341" s="288" t="s">
        <v>598</v>
      </c>
      <c r="VXT341" s="288" t="s">
        <v>598</v>
      </c>
      <c r="VXU341" s="288" t="s">
        <v>598</v>
      </c>
      <c r="VXV341" s="288" t="s">
        <v>598</v>
      </c>
      <c r="VXW341" s="288" t="s">
        <v>598</v>
      </c>
      <c r="VXX341" s="288" t="s">
        <v>598</v>
      </c>
      <c r="VXY341" s="288" t="s">
        <v>598</v>
      </c>
      <c r="VXZ341" s="288" t="s">
        <v>598</v>
      </c>
      <c r="VYA341" s="288" t="s">
        <v>598</v>
      </c>
      <c r="VYB341" s="288" t="s">
        <v>598</v>
      </c>
      <c r="VYC341" s="288" t="s">
        <v>598</v>
      </c>
      <c r="VYD341" s="288" t="s">
        <v>598</v>
      </c>
      <c r="VYE341" s="288" t="s">
        <v>598</v>
      </c>
      <c r="VYF341" s="288" t="s">
        <v>598</v>
      </c>
      <c r="VYG341" s="288" t="s">
        <v>598</v>
      </c>
      <c r="VYH341" s="288" t="s">
        <v>598</v>
      </c>
      <c r="VYI341" s="288" t="s">
        <v>598</v>
      </c>
      <c r="VYJ341" s="288" t="s">
        <v>598</v>
      </c>
      <c r="VYK341" s="288" t="s">
        <v>598</v>
      </c>
      <c r="VYL341" s="288" t="s">
        <v>598</v>
      </c>
      <c r="VYM341" s="288" t="s">
        <v>598</v>
      </c>
      <c r="VYN341" s="288" t="s">
        <v>598</v>
      </c>
      <c r="VYO341" s="288" t="s">
        <v>598</v>
      </c>
      <c r="VYP341" s="288" t="s">
        <v>598</v>
      </c>
      <c r="VYQ341" s="288" t="s">
        <v>598</v>
      </c>
      <c r="VYR341" s="288" t="s">
        <v>598</v>
      </c>
      <c r="VYS341" s="288" t="s">
        <v>598</v>
      </c>
      <c r="VYT341" s="288" t="s">
        <v>598</v>
      </c>
      <c r="VYU341" s="288" t="s">
        <v>598</v>
      </c>
      <c r="VYV341" s="288" t="s">
        <v>598</v>
      </c>
      <c r="VYW341" s="288" t="s">
        <v>598</v>
      </c>
      <c r="VYX341" s="288" t="s">
        <v>598</v>
      </c>
      <c r="VYY341" s="288" t="s">
        <v>598</v>
      </c>
      <c r="VYZ341" s="288" t="s">
        <v>598</v>
      </c>
      <c r="VZA341" s="288" t="s">
        <v>598</v>
      </c>
      <c r="VZB341" s="288" t="s">
        <v>598</v>
      </c>
      <c r="VZC341" s="288" t="s">
        <v>598</v>
      </c>
      <c r="VZD341" s="288" t="s">
        <v>598</v>
      </c>
      <c r="VZE341" s="288" t="s">
        <v>598</v>
      </c>
      <c r="VZF341" s="288" t="s">
        <v>598</v>
      </c>
      <c r="VZG341" s="288" t="s">
        <v>598</v>
      </c>
      <c r="VZH341" s="288" t="s">
        <v>598</v>
      </c>
      <c r="VZI341" s="288" t="s">
        <v>598</v>
      </c>
      <c r="VZJ341" s="288" t="s">
        <v>598</v>
      </c>
      <c r="VZK341" s="288" t="s">
        <v>598</v>
      </c>
      <c r="VZL341" s="288" t="s">
        <v>598</v>
      </c>
      <c r="VZM341" s="288" t="s">
        <v>598</v>
      </c>
      <c r="VZN341" s="288" t="s">
        <v>598</v>
      </c>
      <c r="VZO341" s="288" t="s">
        <v>598</v>
      </c>
      <c r="VZP341" s="288" t="s">
        <v>598</v>
      </c>
      <c r="VZQ341" s="288" t="s">
        <v>598</v>
      </c>
      <c r="VZR341" s="288" t="s">
        <v>598</v>
      </c>
      <c r="VZS341" s="288" t="s">
        <v>598</v>
      </c>
      <c r="VZT341" s="288" t="s">
        <v>598</v>
      </c>
      <c r="VZU341" s="288" t="s">
        <v>598</v>
      </c>
      <c r="VZV341" s="288" t="s">
        <v>598</v>
      </c>
      <c r="VZW341" s="288" t="s">
        <v>598</v>
      </c>
      <c r="VZX341" s="288" t="s">
        <v>598</v>
      </c>
      <c r="VZY341" s="288" t="s">
        <v>598</v>
      </c>
      <c r="VZZ341" s="288" t="s">
        <v>598</v>
      </c>
      <c r="WAA341" s="288" t="s">
        <v>598</v>
      </c>
      <c r="WAB341" s="288" t="s">
        <v>598</v>
      </c>
      <c r="WAC341" s="288" t="s">
        <v>598</v>
      </c>
      <c r="WAD341" s="288" t="s">
        <v>598</v>
      </c>
      <c r="WAE341" s="288" t="s">
        <v>598</v>
      </c>
      <c r="WAF341" s="288" t="s">
        <v>598</v>
      </c>
      <c r="WAG341" s="288" t="s">
        <v>598</v>
      </c>
      <c r="WAH341" s="288" t="s">
        <v>598</v>
      </c>
      <c r="WAI341" s="288" t="s">
        <v>598</v>
      </c>
      <c r="WAJ341" s="288" t="s">
        <v>598</v>
      </c>
      <c r="WAK341" s="288" t="s">
        <v>598</v>
      </c>
      <c r="WAL341" s="288" t="s">
        <v>598</v>
      </c>
      <c r="WAM341" s="288" t="s">
        <v>598</v>
      </c>
      <c r="WAN341" s="288" t="s">
        <v>598</v>
      </c>
      <c r="WAO341" s="288" t="s">
        <v>598</v>
      </c>
      <c r="WAP341" s="288" t="s">
        <v>598</v>
      </c>
      <c r="WAQ341" s="288" t="s">
        <v>598</v>
      </c>
      <c r="WAR341" s="288" t="s">
        <v>598</v>
      </c>
      <c r="WAS341" s="288" t="s">
        <v>598</v>
      </c>
      <c r="WAT341" s="288" t="s">
        <v>598</v>
      </c>
      <c r="WAU341" s="288" t="s">
        <v>598</v>
      </c>
      <c r="WAV341" s="288" t="s">
        <v>598</v>
      </c>
      <c r="WAW341" s="288" t="s">
        <v>598</v>
      </c>
      <c r="WAX341" s="288" t="s">
        <v>598</v>
      </c>
      <c r="WAY341" s="288" t="s">
        <v>598</v>
      </c>
      <c r="WAZ341" s="288" t="s">
        <v>598</v>
      </c>
      <c r="WBA341" s="288" t="s">
        <v>598</v>
      </c>
      <c r="WBB341" s="288" t="s">
        <v>598</v>
      </c>
      <c r="WBC341" s="288" t="s">
        <v>598</v>
      </c>
      <c r="WBD341" s="288" t="s">
        <v>598</v>
      </c>
      <c r="WBE341" s="288" t="s">
        <v>598</v>
      </c>
      <c r="WBF341" s="288" t="s">
        <v>598</v>
      </c>
      <c r="WBG341" s="288" t="s">
        <v>598</v>
      </c>
      <c r="WBH341" s="288" t="s">
        <v>598</v>
      </c>
      <c r="WBI341" s="288" t="s">
        <v>598</v>
      </c>
      <c r="WBJ341" s="288" t="s">
        <v>598</v>
      </c>
      <c r="WBK341" s="288" t="s">
        <v>598</v>
      </c>
      <c r="WBL341" s="288" t="s">
        <v>598</v>
      </c>
      <c r="WBM341" s="288" t="s">
        <v>598</v>
      </c>
      <c r="WBN341" s="288" t="s">
        <v>598</v>
      </c>
      <c r="WBO341" s="288" t="s">
        <v>598</v>
      </c>
      <c r="WBP341" s="288" t="s">
        <v>598</v>
      </c>
      <c r="WBQ341" s="288" t="s">
        <v>598</v>
      </c>
      <c r="WBR341" s="288" t="s">
        <v>598</v>
      </c>
      <c r="WBS341" s="288" t="s">
        <v>598</v>
      </c>
      <c r="WBT341" s="288" t="s">
        <v>598</v>
      </c>
      <c r="WBU341" s="288" t="s">
        <v>598</v>
      </c>
      <c r="WBV341" s="288" t="s">
        <v>598</v>
      </c>
      <c r="WBW341" s="288" t="s">
        <v>598</v>
      </c>
      <c r="WBX341" s="288" t="s">
        <v>598</v>
      </c>
      <c r="WBY341" s="288" t="s">
        <v>598</v>
      </c>
      <c r="WBZ341" s="288" t="s">
        <v>598</v>
      </c>
      <c r="WCA341" s="288" t="s">
        <v>598</v>
      </c>
      <c r="WCB341" s="288" t="s">
        <v>598</v>
      </c>
      <c r="WCC341" s="288" t="s">
        <v>598</v>
      </c>
      <c r="WCD341" s="288" t="s">
        <v>598</v>
      </c>
      <c r="WCE341" s="288" t="s">
        <v>598</v>
      </c>
      <c r="WCF341" s="288" t="s">
        <v>598</v>
      </c>
      <c r="WCG341" s="288" t="s">
        <v>598</v>
      </c>
      <c r="WCH341" s="288" t="s">
        <v>598</v>
      </c>
      <c r="WCI341" s="288" t="s">
        <v>598</v>
      </c>
      <c r="WCJ341" s="288" t="s">
        <v>598</v>
      </c>
      <c r="WCK341" s="288" t="s">
        <v>598</v>
      </c>
      <c r="WCL341" s="288" t="s">
        <v>598</v>
      </c>
      <c r="WCM341" s="288" t="s">
        <v>598</v>
      </c>
      <c r="WCN341" s="288" t="s">
        <v>598</v>
      </c>
      <c r="WCO341" s="288" t="s">
        <v>598</v>
      </c>
      <c r="WCP341" s="288" t="s">
        <v>598</v>
      </c>
      <c r="WCQ341" s="288" t="s">
        <v>598</v>
      </c>
      <c r="WCR341" s="288" t="s">
        <v>598</v>
      </c>
      <c r="WCS341" s="288" t="s">
        <v>598</v>
      </c>
      <c r="WCT341" s="288" t="s">
        <v>598</v>
      </c>
      <c r="WCU341" s="288" t="s">
        <v>598</v>
      </c>
      <c r="WCV341" s="288" t="s">
        <v>598</v>
      </c>
      <c r="WCW341" s="288" t="s">
        <v>598</v>
      </c>
      <c r="WCX341" s="288" t="s">
        <v>598</v>
      </c>
      <c r="WCY341" s="288" t="s">
        <v>598</v>
      </c>
      <c r="WCZ341" s="288" t="s">
        <v>598</v>
      </c>
      <c r="WDA341" s="288" t="s">
        <v>598</v>
      </c>
      <c r="WDB341" s="288" t="s">
        <v>598</v>
      </c>
      <c r="WDC341" s="288" t="s">
        <v>598</v>
      </c>
      <c r="WDD341" s="288" t="s">
        <v>598</v>
      </c>
      <c r="WDE341" s="288" t="s">
        <v>598</v>
      </c>
      <c r="WDF341" s="288" t="s">
        <v>598</v>
      </c>
      <c r="WDG341" s="288" t="s">
        <v>598</v>
      </c>
      <c r="WDH341" s="288" t="s">
        <v>598</v>
      </c>
      <c r="WDI341" s="288" t="s">
        <v>598</v>
      </c>
      <c r="WDJ341" s="288" t="s">
        <v>598</v>
      </c>
      <c r="WDK341" s="288" t="s">
        <v>598</v>
      </c>
      <c r="WDL341" s="288" t="s">
        <v>598</v>
      </c>
      <c r="WDM341" s="288" t="s">
        <v>598</v>
      </c>
      <c r="WDN341" s="288" t="s">
        <v>598</v>
      </c>
      <c r="WDO341" s="288" t="s">
        <v>598</v>
      </c>
      <c r="WDP341" s="288" t="s">
        <v>598</v>
      </c>
      <c r="WDQ341" s="288" t="s">
        <v>598</v>
      </c>
      <c r="WDR341" s="288" t="s">
        <v>598</v>
      </c>
      <c r="WDS341" s="288" t="s">
        <v>598</v>
      </c>
      <c r="WDT341" s="288" t="s">
        <v>598</v>
      </c>
      <c r="WDU341" s="288" t="s">
        <v>598</v>
      </c>
      <c r="WDV341" s="288" t="s">
        <v>598</v>
      </c>
      <c r="WDW341" s="288" t="s">
        <v>598</v>
      </c>
      <c r="WDX341" s="288" t="s">
        <v>598</v>
      </c>
      <c r="WDY341" s="288" t="s">
        <v>598</v>
      </c>
      <c r="WDZ341" s="288" t="s">
        <v>598</v>
      </c>
      <c r="WEA341" s="288" t="s">
        <v>598</v>
      </c>
      <c r="WEB341" s="288" t="s">
        <v>598</v>
      </c>
      <c r="WEC341" s="288" t="s">
        <v>598</v>
      </c>
      <c r="WED341" s="288" t="s">
        <v>598</v>
      </c>
      <c r="WEE341" s="288" t="s">
        <v>598</v>
      </c>
      <c r="WEF341" s="288" t="s">
        <v>598</v>
      </c>
      <c r="WEG341" s="288" t="s">
        <v>598</v>
      </c>
      <c r="WEH341" s="288" t="s">
        <v>598</v>
      </c>
      <c r="WEI341" s="288" t="s">
        <v>598</v>
      </c>
      <c r="WEJ341" s="288" t="s">
        <v>598</v>
      </c>
      <c r="WEK341" s="288" t="s">
        <v>598</v>
      </c>
      <c r="WEL341" s="288" t="s">
        <v>598</v>
      </c>
      <c r="WEM341" s="288" t="s">
        <v>598</v>
      </c>
      <c r="WEN341" s="288" t="s">
        <v>598</v>
      </c>
      <c r="WEO341" s="288" t="s">
        <v>598</v>
      </c>
      <c r="WEP341" s="288" t="s">
        <v>598</v>
      </c>
      <c r="WEQ341" s="288" t="s">
        <v>598</v>
      </c>
      <c r="WER341" s="288" t="s">
        <v>598</v>
      </c>
      <c r="WES341" s="288" t="s">
        <v>598</v>
      </c>
      <c r="WET341" s="288" t="s">
        <v>598</v>
      </c>
      <c r="WEU341" s="288" t="s">
        <v>598</v>
      </c>
      <c r="WEV341" s="288" t="s">
        <v>598</v>
      </c>
      <c r="WEW341" s="288" t="s">
        <v>598</v>
      </c>
      <c r="WEX341" s="288" t="s">
        <v>598</v>
      </c>
      <c r="WEY341" s="288" t="s">
        <v>598</v>
      </c>
      <c r="WEZ341" s="288" t="s">
        <v>598</v>
      </c>
      <c r="WFA341" s="288" t="s">
        <v>598</v>
      </c>
      <c r="WFB341" s="288" t="s">
        <v>598</v>
      </c>
      <c r="WFC341" s="288" t="s">
        <v>598</v>
      </c>
      <c r="WFD341" s="288" t="s">
        <v>598</v>
      </c>
      <c r="WFE341" s="288" t="s">
        <v>598</v>
      </c>
      <c r="WFF341" s="288" t="s">
        <v>598</v>
      </c>
      <c r="WFG341" s="288" t="s">
        <v>598</v>
      </c>
      <c r="WFH341" s="288" t="s">
        <v>598</v>
      </c>
      <c r="WFI341" s="288" t="s">
        <v>598</v>
      </c>
      <c r="WFJ341" s="288" t="s">
        <v>598</v>
      </c>
      <c r="WFK341" s="288" t="s">
        <v>598</v>
      </c>
      <c r="WFL341" s="288" t="s">
        <v>598</v>
      </c>
      <c r="WFM341" s="288" t="s">
        <v>598</v>
      </c>
      <c r="WFN341" s="288" t="s">
        <v>598</v>
      </c>
      <c r="WFO341" s="288" t="s">
        <v>598</v>
      </c>
      <c r="WFP341" s="288" t="s">
        <v>598</v>
      </c>
      <c r="WFQ341" s="288" t="s">
        <v>598</v>
      </c>
      <c r="WFR341" s="288" t="s">
        <v>598</v>
      </c>
      <c r="WFS341" s="288" t="s">
        <v>598</v>
      </c>
      <c r="WFT341" s="288" t="s">
        <v>598</v>
      </c>
      <c r="WFU341" s="288" t="s">
        <v>598</v>
      </c>
      <c r="WFV341" s="288" t="s">
        <v>598</v>
      </c>
      <c r="WFW341" s="288" t="s">
        <v>598</v>
      </c>
      <c r="WFX341" s="288" t="s">
        <v>598</v>
      </c>
      <c r="WFY341" s="288" t="s">
        <v>598</v>
      </c>
      <c r="WFZ341" s="288" t="s">
        <v>598</v>
      </c>
      <c r="WGA341" s="288" t="s">
        <v>598</v>
      </c>
      <c r="WGB341" s="288" t="s">
        <v>598</v>
      </c>
      <c r="WGC341" s="288" t="s">
        <v>598</v>
      </c>
      <c r="WGD341" s="288" t="s">
        <v>598</v>
      </c>
      <c r="WGE341" s="288" t="s">
        <v>598</v>
      </c>
      <c r="WGF341" s="288" t="s">
        <v>598</v>
      </c>
      <c r="WGG341" s="288" t="s">
        <v>598</v>
      </c>
      <c r="WGH341" s="288" t="s">
        <v>598</v>
      </c>
      <c r="WGI341" s="288" t="s">
        <v>598</v>
      </c>
      <c r="WGJ341" s="288" t="s">
        <v>598</v>
      </c>
      <c r="WGK341" s="288" t="s">
        <v>598</v>
      </c>
      <c r="WGL341" s="288" t="s">
        <v>598</v>
      </c>
      <c r="WGM341" s="288" t="s">
        <v>598</v>
      </c>
      <c r="WGN341" s="288" t="s">
        <v>598</v>
      </c>
      <c r="WGO341" s="288" t="s">
        <v>598</v>
      </c>
      <c r="WGP341" s="288" t="s">
        <v>598</v>
      </c>
      <c r="WGQ341" s="288" t="s">
        <v>598</v>
      </c>
      <c r="WGR341" s="288" t="s">
        <v>598</v>
      </c>
      <c r="WGS341" s="288" t="s">
        <v>598</v>
      </c>
      <c r="WGT341" s="288" t="s">
        <v>598</v>
      </c>
      <c r="WGU341" s="288" t="s">
        <v>598</v>
      </c>
      <c r="WGV341" s="288" t="s">
        <v>598</v>
      </c>
      <c r="WGW341" s="288" t="s">
        <v>598</v>
      </c>
      <c r="WGX341" s="288" t="s">
        <v>598</v>
      </c>
      <c r="WGY341" s="288" t="s">
        <v>598</v>
      </c>
      <c r="WGZ341" s="288" t="s">
        <v>598</v>
      </c>
      <c r="WHA341" s="288" t="s">
        <v>598</v>
      </c>
      <c r="WHB341" s="288" t="s">
        <v>598</v>
      </c>
      <c r="WHC341" s="288" t="s">
        <v>598</v>
      </c>
      <c r="WHD341" s="288" t="s">
        <v>598</v>
      </c>
      <c r="WHE341" s="288" t="s">
        <v>598</v>
      </c>
      <c r="WHF341" s="288" t="s">
        <v>598</v>
      </c>
      <c r="WHG341" s="288" t="s">
        <v>598</v>
      </c>
      <c r="WHH341" s="288" t="s">
        <v>598</v>
      </c>
      <c r="WHI341" s="288" t="s">
        <v>598</v>
      </c>
      <c r="WHJ341" s="288" t="s">
        <v>598</v>
      </c>
      <c r="WHK341" s="288" t="s">
        <v>598</v>
      </c>
      <c r="WHL341" s="288" t="s">
        <v>598</v>
      </c>
      <c r="WHM341" s="288" t="s">
        <v>598</v>
      </c>
      <c r="WHN341" s="288" t="s">
        <v>598</v>
      </c>
      <c r="WHO341" s="288" t="s">
        <v>598</v>
      </c>
      <c r="WHP341" s="288" t="s">
        <v>598</v>
      </c>
      <c r="WHQ341" s="288" t="s">
        <v>598</v>
      </c>
      <c r="WHR341" s="288" t="s">
        <v>598</v>
      </c>
      <c r="WHS341" s="288" t="s">
        <v>598</v>
      </c>
      <c r="WHT341" s="288" t="s">
        <v>598</v>
      </c>
      <c r="WHU341" s="288" t="s">
        <v>598</v>
      </c>
      <c r="WHV341" s="288" t="s">
        <v>598</v>
      </c>
      <c r="WHW341" s="288" t="s">
        <v>598</v>
      </c>
      <c r="WHX341" s="288" t="s">
        <v>598</v>
      </c>
      <c r="WHY341" s="288" t="s">
        <v>598</v>
      </c>
      <c r="WHZ341" s="288" t="s">
        <v>598</v>
      </c>
      <c r="WIA341" s="288" t="s">
        <v>598</v>
      </c>
      <c r="WIB341" s="288" t="s">
        <v>598</v>
      </c>
      <c r="WIC341" s="288" t="s">
        <v>598</v>
      </c>
      <c r="WID341" s="288" t="s">
        <v>598</v>
      </c>
      <c r="WIE341" s="288" t="s">
        <v>598</v>
      </c>
      <c r="WIF341" s="288" t="s">
        <v>598</v>
      </c>
      <c r="WIG341" s="288" t="s">
        <v>598</v>
      </c>
      <c r="WIH341" s="288" t="s">
        <v>598</v>
      </c>
      <c r="WII341" s="288" t="s">
        <v>598</v>
      </c>
      <c r="WIJ341" s="288" t="s">
        <v>598</v>
      </c>
      <c r="WIK341" s="288" t="s">
        <v>598</v>
      </c>
      <c r="WIL341" s="288" t="s">
        <v>598</v>
      </c>
      <c r="WIM341" s="288" t="s">
        <v>598</v>
      </c>
      <c r="WIN341" s="288" t="s">
        <v>598</v>
      </c>
      <c r="WIO341" s="288" t="s">
        <v>598</v>
      </c>
      <c r="WIP341" s="288" t="s">
        <v>598</v>
      </c>
      <c r="WIQ341" s="288" t="s">
        <v>598</v>
      </c>
      <c r="WIR341" s="288" t="s">
        <v>598</v>
      </c>
      <c r="WIS341" s="288" t="s">
        <v>598</v>
      </c>
      <c r="WIT341" s="288" t="s">
        <v>598</v>
      </c>
      <c r="WIU341" s="288" t="s">
        <v>598</v>
      </c>
      <c r="WIV341" s="288" t="s">
        <v>598</v>
      </c>
      <c r="WIW341" s="288" t="s">
        <v>598</v>
      </c>
      <c r="WIX341" s="288" t="s">
        <v>598</v>
      </c>
      <c r="WIY341" s="288" t="s">
        <v>598</v>
      </c>
      <c r="WIZ341" s="288" t="s">
        <v>598</v>
      </c>
      <c r="WJA341" s="288" t="s">
        <v>598</v>
      </c>
      <c r="WJB341" s="288" t="s">
        <v>598</v>
      </c>
      <c r="WJC341" s="288" t="s">
        <v>598</v>
      </c>
      <c r="WJD341" s="288" t="s">
        <v>598</v>
      </c>
      <c r="WJE341" s="288" t="s">
        <v>598</v>
      </c>
      <c r="WJF341" s="288" t="s">
        <v>598</v>
      </c>
      <c r="WJG341" s="288" t="s">
        <v>598</v>
      </c>
      <c r="WJH341" s="288" t="s">
        <v>598</v>
      </c>
      <c r="WJI341" s="288" t="s">
        <v>598</v>
      </c>
      <c r="WJJ341" s="288" t="s">
        <v>598</v>
      </c>
      <c r="WJK341" s="288" t="s">
        <v>598</v>
      </c>
      <c r="WJL341" s="288" t="s">
        <v>598</v>
      </c>
      <c r="WJM341" s="288" t="s">
        <v>598</v>
      </c>
      <c r="WJN341" s="288" t="s">
        <v>598</v>
      </c>
      <c r="WJO341" s="288" t="s">
        <v>598</v>
      </c>
      <c r="WJP341" s="288" t="s">
        <v>598</v>
      </c>
      <c r="WJQ341" s="288" t="s">
        <v>598</v>
      </c>
      <c r="WJR341" s="288" t="s">
        <v>598</v>
      </c>
      <c r="WJS341" s="288" t="s">
        <v>598</v>
      </c>
      <c r="WJT341" s="288" t="s">
        <v>598</v>
      </c>
      <c r="WJU341" s="288" t="s">
        <v>598</v>
      </c>
      <c r="WJV341" s="288" t="s">
        <v>598</v>
      </c>
      <c r="WJW341" s="288" t="s">
        <v>598</v>
      </c>
      <c r="WJX341" s="288" t="s">
        <v>598</v>
      </c>
      <c r="WJY341" s="288" t="s">
        <v>598</v>
      </c>
      <c r="WJZ341" s="288" t="s">
        <v>598</v>
      </c>
      <c r="WKA341" s="288" t="s">
        <v>598</v>
      </c>
      <c r="WKB341" s="288" t="s">
        <v>598</v>
      </c>
      <c r="WKC341" s="288" t="s">
        <v>598</v>
      </c>
      <c r="WKD341" s="288" t="s">
        <v>598</v>
      </c>
      <c r="WKE341" s="288" t="s">
        <v>598</v>
      </c>
      <c r="WKF341" s="288" t="s">
        <v>598</v>
      </c>
      <c r="WKG341" s="288" t="s">
        <v>598</v>
      </c>
      <c r="WKH341" s="288" t="s">
        <v>598</v>
      </c>
      <c r="WKI341" s="288" t="s">
        <v>598</v>
      </c>
      <c r="WKJ341" s="288" t="s">
        <v>598</v>
      </c>
      <c r="WKK341" s="288" t="s">
        <v>598</v>
      </c>
      <c r="WKL341" s="288" t="s">
        <v>598</v>
      </c>
      <c r="WKM341" s="288" t="s">
        <v>598</v>
      </c>
      <c r="WKN341" s="288" t="s">
        <v>598</v>
      </c>
      <c r="WKO341" s="288" t="s">
        <v>598</v>
      </c>
      <c r="WKP341" s="288" t="s">
        <v>598</v>
      </c>
      <c r="WKQ341" s="288" t="s">
        <v>598</v>
      </c>
      <c r="WKR341" s="288" t="s">
        <v>598</v>
      </c>
      <c r="WKS341" s="288" t="s">
        <v>598</v>
      </c>
      <c r="WKT341" s="288" t="s">
        <v>598</v>
      </c>
      <c r="WKU341" s="288" t="s">
        <v>598</v>
      </c>
      <c r="WKV341" s="288" t="s">
        <v>598</v>
      </c>
      <c r="WKW341" s="288" t="s">
        <v>598</v>
      </c>
      <c r="WKX341" s="288" t="s">
        <v>598</v>
      </c>
      <c r="WKY341" s="288" t="s">
        <v>598</v>
      </c>
      <c r="WKZ341" s="288" t="s">
        <v>598</v>
      </c>
      <c r="WLA341" s="288" t="s">
        <v>598</v>
      </c>
      <c r="WLB341" s="288" t="s">
        <v>598</v>
      </c>
      <c r="WLC341" s="288" t="s">
        <v>598</v>
      </c>
      <c r="WLD341" s="288" t="s">
        <v>598</v>
      </c>
      <c r="WLE341" s="288" t="s">
        <v>598</v>
      </c>
      <c r="WLF341" s="288" t="s">
        <v>598</v>
      </c>
      <c r="WLG341" s="288" t="s">
        <v>598</v>
      </c>
      <c r="WLH341" s="288" t="s">
        <v>598</v>
      </c>
      <c r="WLI341" s="288" t="s">
        <v>598</v>
      </c>
      <c r="WLJ341" s="288" t="s">
        <v>598</v>
      </c>
      <c r="WLK341" s="288" t="s">
        <v>598</v>
      </c>
      <c r="WLL341" s="288" t="s">
        <v>598</v>
      </c>
      <c r="WLM341" s="288" t="s">
        <v>598</v>
      </c>
      <c r="WLN341" s="288" t="s">
        <v>598</v>
      </c>
      <c r="WLO341" s="288" t="s">
        <v>598</v>
      </c>
      <c r="WLP341" s="288" t="s">
        <v>598</v>
      </c>
      <c r="WLQ341" s="288" t="s">
        <v>598</v>
      </c>
      <c r="WLR341" s="288" t="s">
        <v>598</v>
      </c>
      <c r="WLS341" s="288" t="s">
        <v>598</v>
      </c>
      <c r="WLT341" s="288" t="s">
        <v>598</v>
      </c>
      <c r="WLU341" s="288" t="s">
        <v>598</v>
      </c>
      <c r="WLV341" s="288" t="s">
        <v>598</v>
      </c>
      <c r="WLW341" s="288" t="s">
        <v>598</v>
      </c>
      <c r="WLX341" s="288" t="s">
        <v>598</v>
      </c>
      <c r="WLY341" s="288" t="s">
        <v>598</v>
      </c>
      <c r="WLZ341" s="288" t="s">
        <v>598</v>
      </c>
      <c r="WMA341" s="288" t="s">
        <v>598</v>
      </c>
      <c r="WMB341" s="288" t="s">
        <v>598</v>
      </c>
      <c r="WMC341" s="288" t="s">
        <v>598</v>
      </c>
      <c r="WMD341" s="288" t="s">
        <v>598</v>
      </c>
      <c r="WME341" s="288" t="s">
        <v>598</v>
      </c>
      <c r="WMF341" s="288" t="s">
        <v>598</v>
      </c>
      <c r="WMG341" s="288" t="s">
        <v>598</v>
      </c>
      <c r="WMH341" s="288" t="s">
        <v>598</v>
      </c>
      <c r="WMI341" s="288" t="s">
        <v>598</v>
      </c>
      <c r="WMJ341" s="288" t="s">
        <v>598</v>
      </c>
      <c r="WMK341" s="288" t="s">
        <v>598</v>
      </c>
      <c r="WML341" s="288" t="s">
        <v>598</v>
      </c>
      <c r="WMM341" s="288" t="s">
        <v>598</v>
      </c>
      <c r="WMN341" s="288" t="s">
        <v>598</v>
      </c>
      <c r="WMO341" s="288" t="s">
        <v>598</v>
      </c>
      <c r="WMP341" s="288" t="s">
        <v>598</v>
      </c>
      <c r="WMQ341" s="288" t="s">
        <v>598</v>
      </c>
      <c r="WMR341" s="288" t="s">
        <v>598</v>
      </c>
      <c r="WMS341" s="288" t="s">
        <v>598</v>
      </c>
      <c r="WMT341" s="288" t="s">
        <v>598</v>
      </c>
      <c r="WMU341" s="288" t="s">
        <v>598</v>
      </c>
      <c r="WMV341" s="288" t="s">
        <v>598</v>
      </c>
      <c r="WMW341" s="288" t="s">
        <v>598</v>
      </c>
      <c r="WMX341" s="288" t="s">
        <v>598</v>
      </c>
      <c r="WMY341" s="288" t="s">
        <v>598</v>
      </c>
      <c r="WMZ341" s="288" t="s">
        <v>598</v>
      </c>
      <c r="WNA341" s="288" t="s">
        <v>598</v>
      </c>
      <c r="WNB341" s="288" t="s">
        <v>598</v>
      </c>
      <c r="WNC341" s="288" t="s">
        <v>598</v>
      </c>
      <c r="WND341" s="288" t="s">
        <v>598</v>
      </c>
      <c r="WNE341" s="288" t="s">
        <v>598</v>
      </c>
      <c r="WNF341" s="288" t="s">
        <v>598</v>
      </c>
      <c r="WNG341" s="288" t="s">
        <v>598</v>
      </c>
      <c r="WNH341" s="288" t="s">
        <v>598</v>
      </c>
      <c r="WNI341" s="288" t="s">
        <v>598</v>
      </c>
      <c r="WNJ341" s="288" t="s">
        <v>598</v>
      </c>
      <c r="WNK341" s="288" t="s">
        <v>598</v>
      </c>
      <c r="WNL341" s="288" t="s">
        <v>598</v>
      </c>
      <c r="WNM341" s="288" t="s">
        <v>598</v>
      </c>
      <c r="WNN341" s="288" t="s">
        <v>598</v>
      </c>
      <c r="WNO341" s="288" t="s">
        <v>598</v>
      </c>
      <c r="WNP341" s="288" t="s">
        <v>598</v>
      </c>
      <c r="WNQ341" s="288" t="s">
        <v>598</v>
      </c>
      <c r="WNR341" s="288" t="s">
        <v>598</v>
      </c>
      <c r="WNS341" s="288" t="s">
        <v>598</v>
      </c>
      <c r="WNT341" s="288" t="s">
        <v>598</v>
      </c>
      <c r="WNU341" s="288" t="s">
        <v>598</v>
      </c>
      <c r="WNV341" s="288" t="s">
        <v>598</v>
      </c>
      <c r="WNW341" s="288" t="s">
        <v>598</v>
      </c>
      <c r="WNX341" s="288" t="s">
        <v>598</v>
      </c>
      <c r="WNY341" s="288" t="s">
        <v>598</v>
      </c>
      <c r="WNZ341" s="288" t="s">
        <v>598</v>
      </c>
      <c r="WOA341" s="288" t="s">
        <v>598</v>
      </c>
      <c r="WOB341" s="288" t="s">
        <v>598</v>
      </c>
      <c r="WOC341" s="288" t="s">
        <v>598</v>
      </c>
      <c r="WOD341" s="288" t="s">
        <v>598</v>
      </c>
      <c r="WOE341" s="288" t="s">
        <v>598</v>
      </c>
      <c r="WOF341" s="288" t="s">
        <v>598</v>
      </c>
      <c r="WOG341" s="288" t="s">
        <v>598</v>
      </c>
      <c r="WOH341" s="288" t="s">
        <v>598</v>
      </c>
      <c r="WOI341" s="288" t="s">
        <v>598</v>
      </c>
      <c r="WOJ341" s="288" t="s">
        <v>598</v>
      </c>
      <c r="WOK341" s="288" t="s">
        <v>598</v>
      </c>
      <c r="WOL341" s="288" t="s">
        <v>598</v>
      </c>
      <c r="WOM341" s="288" t="s">
        <v>598</v>
      </c>
      <c r="WON341" s="288" t="s">
        <v>598</v>
      </c>
      <c r="WOO341" s="288" t="s">
        <v>598</v>
      </c>
      <c r="WOP341" s="288" t="s">
        <v>598</v>
      </c>
      <c r="WOQ341" s="288" t="s">
        <v>598</v>
      </c>
      <c r="WOR341" s="288" t="s">
        <v>598</v>
      </c>
      <c r="WOS341" s="288" t="s">
        <v>598</v>
      </c>
      <c r="WOT341" s="288" t="s">
        <v>598</v>
      </c>
      <c r="WOU341" s="288" t="s">
        <v>598</v>
      </c>
      <c r="WOV341" s="288" t="s">
        <v>598</v>
      </c>
      <c r="WOW341" s="288" t="s">
        <v>598</v>
      </c>
      <c r="WOX341" s="288" t="s">
        <v>598</v>
      </c>
      <c r="WOY341" s="288" t="s">
        <v>598</v>
      </c>
      <c r="WOZ341" s="288" t="s">
        <v>598</v>
      </c>
      <c r="WPA341" s="288" t="s">
        <v>598</v>
      </c>
      <c r="WPB341" s="288" t="s">
        <v>598</v>
      </c>
      <c r="WPC341" s="288" t="s">
        <v>598</v>
      </c>
      <c r="WPD341" s="288" t="s">
        <v>598</v>
      </c>
      <c r="WPE341" s="288" t="s">
        <v>598</v>
      </c>
      <c r="WPF341" s="288" t="s">
        <v>598</v>
      </c>
      <c r="WPG341" s="288" t="s">
        <v>598</v>
      </c>
      <c r="WPH341" s="288" t="s">
        <v>598</v>
      </c>
      <c r="WPI341" s="288" t="s">
        <v>598</v>
      </c>
      <c r="WPJ341" s="288" t="s">
        <v>598</v>
      </c>
      <c r="WPK341" s="288" t="s">
        <v>598</v>
      </c>
      <c r="WPL341" s="288" t="s">
        <v>598</v>
      </c>
      <c r="WPM341" s="288" t="s">
        <v>598</v>
      </c>
      <c r="WPN341" s="288" t="s">
        <v>598</v>
      </c>
      <c r="WPO341" s="288" t="s">
        <v>598</v>
      </c>
      <c r="WPP341" s="288" t="s">
        <v>598</v>
      </c>
      <c r="WPQ341" s="288" t="s">
        <v>598</v>
      </c>
      <c r="WPR341" s="288" t="s">
        <v>598</v>
      </c>
      <c r="WPS341" s="288" t="s">
        <v>598</v>
      </c>
      <c r="WPT341" s="288" t="s">
        <v>598</v>
      </c>
      <c r="WPU341" s="288" t="s">
        <v>598</v>
      </c>
      <c r="WPV341" s="288" t="s">
        <v>598</v>
      </c>
      <c r="WPW341" s="288" t="s">
        <v>598</v>
      </c>
      <c r="WPX341" s="288" t="s">
        <v>598</v>
      </c>
      <c r="WPY341" s="288" t="s">
        <v>598</v>
      </c>
      <c r="WPZ341" s="288" t="s">
        <v>598</v>
      </c>
      <c r="WQA341" s="288" t="s">
        <v>598</v>
      </c>
      <c r="WQB341" s="288" t="s">
        <v>598</v>
      </c>
      <c r="WQC341" s="288" t="s">
        <v>598</v>
      </c>
      <c r="WQD341" s="288" t="s">
        <v>598</v>
      </c>
      <c r="WQE341" s="288" t="s">
        <v>598</v>
      </c>
      <c r="WQF341" s="288" t="s">
        <v>598</v>
      </c>
      <c r="WQG341" s="288" t="s">
        <v>598</v>
      </c>
      <c r="WQH341" s="288" t="s">
        <v>598</v>
      </c>
      <c r="WQI341" s="288" t="s">
        <v>598</v>
      </c>
      <c r="WQJ341" s="288" t="s">
        <v>598</v>
      </c>
      <c r="WQK341" s="288" t="s">
        <v>598</v>
      </c>
      <c r="WQL341" s="288" t="s">
        <v>598</v>
      </c>
      <c r="WQM341" s="288" t="s">
        <v>598</v>
      </c>
      <c r="WQN341" s="288" t="s">
        <v>598</v>
      </c>
      <c r="WQO341" s="288" t="s">
        <v>598</v>
      </c>
      <c r="WQP341" s="288" t="s">
        <v>598</v>
      </c>
      <c r="WQQ341" s="288" t="s">
        <v>598</v>
      </c>
      <c r="WQR341" s="288" t="s">
        <v>598</v>
      </c>
      <c r="WQS341" s="288" t="s">
        <v>598</v>
      </c>
      <c r="WQT341" s="288" t="s">
        <v>598</v>
      </c>
      <c r="WQU341" s="288" t="s">
        <v>598</v>
      </c>
      <c r="WQV341" s="288" t="s">
        <v>598</v>
      </c>
      <c r="WQW341" s="288" t="s">
        <v>598</v>
      </c>
      <c r="WQX341" s="288" t="s">
        <v>598</v>
      </c>
      <c r="WQY341" s="288" t="s">
        <v>598</v>
      </c>
      <c r="WQZ341" s="288" t="s">
        <v>598</v>
      </c>
      <c r="WRA341" s="288" t="s">
        <v>598</v>
      </c>
      <c r="WRB341" s="288" t="s">
        <v>598</v>
      </c>
      <c r="WRC341" s="288" t="s">
        <v>598</v>
      </c>
      <c r="WRD341" s="288" t="s">
        <v>598</v>
      </c>
      <c r="WRE341" s="288" t="s">
        <v>598</v>
      </c>
      <c r="WRF341" s="288" t="s">
        <v>598</v>
      </c>
      <c r="WRG341" s="288" t="s">
        <v>598</v>
      </c>
      <c r="WRH341" s="288" t="s">
        <v>598</v>
      </c>
      <c r="WRI341" s="288" t="s">
        <v>598</v>
      </c>
      <c r="WRJ341" s="288" t="s">
        <v>598</v>
      </c>
      <c r="WRK341" s="288" t="s">
        <v>598</v>
      </c>
      <c r="WRL341" s="288" t="s">
        <v>598</v>
      </c>
      <c r="WRM341" s="288" t="s">
        <v>598</v>
      </c>
      <c r="WRN341" s="288" t="s">
        <v>598</v>
      </c>
      <c r="WRO341" s="288" t="s">
        <v>598</v>
      </c>
      <c r="WRP341" s="288" t="s">
        <v>598</v>
      </c>
      <c r="WRQ341" s="288" t="s">
        <v>598</v>
      </c>
      <c r="WRR341" s="288" t="s">
        <v>598</v>
      </c>
      <c r="WRS341" s="288" t="s">
        <v>598</v>
      </c>
      <c r="WRT341" s="288" t="s">
        <v>598</v>
      </c>
      <c r="WRU341" s="288" t="s">
        <v>598</v>
      </c>
      <c r="WRV341" s="288" t="s">
        <v>598</v>
      </c>
      <c r="WRW341" s="288" t="s">
        <v>598</v>
      </c>
      <c r="WRX341" s="288" t="s">
        <v>598</v>
      </c>
      <c r="WRY341" s="288" t="s">
        <v>598</v>
      </c>
      <c r="WRZ341" s="288" t="s">
        <v>598</v>
      </c>
      <c r="WSA341" s="288" t="s">
        <v>598</v>
      </c>
      <c r="WSB341" s="288" t="s">
        <v>598</v>
      </c>
      <c r="WSC341" s="288" t="s">
        <v>598</v>
      </c>
      <c r="WSD341" s="288" t="s">
        <v>598</v>
      </c>
      <c r="WSE341" s="288" t="s">
        <v>598</v>
      </c>
      <c r="WSF341" s="288" t="s">
        <v>598</v>
      </c>
      <c r="WSG341" s="288" t="s">
        <v>598</v>
      </c>
      <c r="WSH341" s="288" t="s">
        <v>598</v>
      </c>
      <c r="WSI341" s="288" t="s">
        <v>598</v>
      </c>
      <c r="WSJ341" s="288" t="s">
        <v>598</v>
      </c>
      <c r="WSK341" s="288" t="s">
        <v>598</v>
      </c>
      <c r="WSL341" s="288" t="s">
        <v>598</v>
      </c>
      <c r="WSM341" s="288" t="s">
        <v>598</v>
      </c>
      <c r="WSN341" s="288" t="s">
        <v>598</v>
      </c>
      <c r="WSO341" s="288" t="s">
        <v>598</v>
      </c>
      <c r="WSP341" s="288" t="s">
        <v>598</v>
      </c>
      <c r="WSQ341" s="288" t="s">
        <v>598</v>
      </c>
      <c r="WSR341" s="288" t="s">
        <v>598</v>
      </c>
      <c r="WSS341" s="288" t="s">
        <v>598</v>
      </c>
      <c r="WST341" s="288" t="s">
        <v>598</v>
      </c>
      <c r="WSU341" s="288" t="s">
        <v>598</v>
      </c>
      <c r="WSV341" s="288" t="s">
        <v>598</v>
      </c>
      <c r="WSW341" s="288" t="s">
        <v>598</v>
      </c>
      <c r="WSX341" s="288" t="s">
        <v>598</v>
      </c>
      <c r="WSY341" s="288" t="s">
        <v>598</v>
      </c>
      <c r="WSZ341" s="288" t="s">
        <v>598</v>
      </c>
      <c r="WTA341" s="288" t="s">
        <v>598</v>
      </c>
      <c r="WTB341" s="288" t="s">
        <v>598</v>
      </c>
      <c r="WTC341" s="288" t="s">
        <v>598</v>
      </c>
      <c r="WTD341" s="288" t="s">
        <v>598</v>
      </c>
      <c r="WTE341" s="288" t="s">
        <v>598</v>
      </c>
      <c r="WTF341" s="288" t="s">
        <v>598</v>
      </c>
      <c r="WTG341" s="288" t="s">
        <v>598</v>
      </c>
      <c r="WTH341" s="288" t="s">
        <v>598</v>
      </c>
      <c r="WTI341" s="288" t="s">
        <v>598</v>
      </c>
      <c r="WTJ341" s="288" t="s">
        <v>598</v>
      </c>
      <c r="WTK341" s="288" t="s">
        <v>598</v>
      </c>
      <c r="WTL341" s="288" t="s">
        <v>598</v>
      </c>
      <c r="WTM341" s="288" t="s">
        <v>598</v>
      </c>
      <c r="WTN341" s="288" t="s">
        <v>598</v>
      </c>
      <c r="WTO341" s="288" t="s">
        <v>598</v>
      </c>
      <c r="WTP341" s="288" t="s">
        <v>598</v>
      </c>
      <c r="WTQ341" s="288" t="s">
        <v>598</v>
      </c>
      <c r="WTR341" s="288" t="s">
        <v>598</v>
      </c>
      <c r="WTS341" s="288" t="s">
        <v>598</v>
      </c>
      <c r="WTT341" s="288" t="s">
        <v>598</v>
      </c>
      <c r="WTU341" s="288" t="s">
        <v>598</v>
      </c>
      <c r="WTV341" s="288" t="s">
        <v>598</v>
      </c>
      <c r="WTW341" s="288" t="s">
        <v>598</v>
      </c>
      <c r="WTX341" s="288" t="s">
        <v>598</v>
      </c>
      <c r="WTY341" s="288" t="s">
        <v>598</v>
      </c>
      <c r="WTZ341" s="288" t="s">
        <v>598</v>
      </c>
      <c r="WUA341" s="288" t="s">
        <v>598</v>
      </c>
      <c r="WUB341" s="288" t="s">
        <v>598</v>
      </c>
      <c r="WUC341" s="288" t="s">
        <v>598</v>
      </c>
      <c r="WUD341" s="288" t="s">
        <v>598</v>
      </c>
      <c r="WUE341" s="288" t="s">
        <v>598</v>
      </c>
      <c r="WUF341" s="288" t="s">
        <v>598</v>
      </c>
      <c r="WUG341" s="288" t="s">
        <v>598</v>
      </c>
      <c r="WUH341" s="288" t="s">
        <v>598</v>
      </c>
      <c r="WUI341" s="288" t="s">
        <v>598</v>
      </c>
      <c r="WUJ341" s="288" t="s">
        <v>598</v>
      </c>
      <c r="WUK341" s="288" t="s">
        <v>598</v>
      </c>
      <c r="WUL341" s="288" t="s">
        <v>598</v>
      </c>
      <c r="WUM341" s="288" t="s">
        <v>598</v>
      </c>
      <c r="WUN341" s="288" t="s">
        <v>598</v>
      </c>
      <c r="WUO341" s="288" t="s">
        <v>598</v>
      </c>
      <c r="WUP341" s="288" t="s">
        <v>598</v>
      </c>
      <c r="WUQ341" s="288" t="s">
        <v>598</v>
      </c>
      <c r="WUR341" s="288" t="s">
        <v>598</v>
      </c>
      <c r="WUS341" s="288" t="s">
        <v>598</v>
      </c>
      <c r="WUT341" s="288" t="s">
        <v>598</v>
      </c>
      <c r="WUU341" s="288" t="s">
        <v>598</v>
      </c>
      <c r="WUV341" s="288" t="s">
        <v>598</v>
      </c>
      <c r="WUW341" s="288" t="s">
        <v>598</v>
      </c>
      <c r="WUX341" s="288" t="s">
        <v>598</v>
      </c>
      <c r="WUY341" s="288" t="s">
        <v>598</v>
      </c>
      <c r="WUZ341" s="288" t="s">
        <v>598</v>
      </c>
      <c r="WVA341" s="288" t="s">
        <v>598</v>
      </c>
      <c r="WVB341" s="288" t="s">
        <v>598</v>
      </c>
      <c r="WVC341" s="288" t="s">
        <v>598</v>
      </c>
      <c r="WVD341" s="288" t="s">
        <v>598</v>
      </c>
      <c r="WVE341" s="288" t="s">
        <v>598</v>
      </c>
      <c r="WVF341" s="288" t="s">
        <v>598</v>
      </c>
      <c r="WVG341" s="288" t="s">
        <v>598</v>
      </c>
      <c r="WVH341" s="288" t="s">
        <v>598</v>
      </c>
      <c r="WVI341" s="288" t="s">
        <v>598</v>
      </c>
      <c r="WVJ341" s="288" t="s">
        <v>598</v>
      </c>
      <c r="WVK341" s="288" t="s">
        <v>598</v>
      </c>
      <c r="WVL341" s="288" t="s">
        <v>598</v>
      </c>
      <c r="WVM341" s="288" t="s">
        <v>598</v>
      </c>
      <c r="WVN341" s="288" t="s">
        <v>598</v>
      </c>
      <c r="WVO341" s="288" t="s">
        <v>598</v>
      </c>
      <c r="WVP341" s="288" t="s">
        <v>598</v>
      </c>
      <c r="WVQ341" s="288" t="s">
        <v>598</v>
      </c>
      <c r="WVR341" s="288" t="s">
        <v>598</v>
      </c>
      <c r="WVS341" s="288" t="s">
        <v>598</v>
      </c>
      <c r="WVT341" s="288" t="s">
        <v>598</v>
      </c>
      <c r="WVU341" s="288" t="s">
        <v>598</v>
      </c>
      <c r="WVV341" s="288" t="s">
        <v>598</v>
      </c>
      <c r="WVW341" s="288" t="s">
        <v>598</v>
      </c>
      <c r="WVX341" s="288" t="s">
        <v>598</v>
      </c>
      <c r="WVY341" s="288" t="s">
        <v>598</v>
      </c>
      <c r="WVZ341" s="288" t="s">
        <v>598</v>
      </c>
      <c r="WWA341" s="288" t="s">
        <v>598</v>
      </c>
      <c r="WWB341" s="288" t="s">
        <v>598</v>
      </c>
      <c r="WWC341" s="288" t="s">
        <v>598</v>
      </c>
      <c r="WWD341" s="288" t="s">
        <v>598</v>
      </c>
      <c r="WWE341" s="288" t="s">
        <v>598</v>
      </c>
      <c r="WWF341" s="288" t="s">
        <v>598</v>
      </c>
      <c r="WWG341" s="288" t="s">
        <v>598</v>
      </c>
      <c r="WWH341" s="288" t="s">
        <v>598</v>
      </c>
      <c r="WWI341" s="288" t="s">
        <v>598</v>
      </c>
      <c r="WWJ341" s="288" t="s">
        <v>598</v>
      </c>
      <c r="WWK341" s="288" t="s">
        <v>598</v>
      </c>
      <c r="WWL341" s="288" t="s">
        <v>598</v>
      </c>
      <c r="WWM341" s="288" t="s">
        <v>598</v>
      </c>
      <c r="WWN341" s="288" t="s">
        <v>598</v>
      </c>
      <c r="WWO341" s="288" t="s">
        <v>598</v>
      </c>
      <c r="WWP341" s="288" t="s">
        <v>598</v>
      </c>
      <c r="WWQ341" s="288" t="s">
        <v>598</v>
      </c>
      <c r="WWR341" s="288" t="s">
        <v>598</v>
      </c>
      <c r="WWS341" s="288" t="s">
        <v>598</v>
      </c>
      <c r="WWT341" s="288" t="s">
        <v>598</v>
      </c>
      <c r="WWU341" s="288" t="s">
        <v>598</v>
      </c>
      <c r="WWV341" s="288" t="s">
        <v>598</v>
      </c>
      <c r="WWW341" s="288" t="s">
        <v>598</v>
      </c>
      <c r="WWX341" s="288" t="s">
        <v>598</v>
      </c>
      <c r="WWY341" s="288" t="s">
        <v>598</v>
      </c>
      <c r="WWZ341" s="288" t="s">
        <v>598</v>
      </c>
      <c r="WXA341" s="288" t="s">
        <v>598</v>
      </c>
      <c r="WXB341" s="288" t="s">
        <v>598</v>
      </c>
      <c r="WXC341" s="288" t="s">
        <v>598</v>
      </c>
      <c r="WXD341" s="288" t="s">
        <v>598</v>
      </c>
      <c r="WXE341" s="288" t="s">
        <v>598</v>
      </c>
      <c r="WXF341" s="288" t="s">
        <v>598</v>
      </c>
      <c r="WXG341" s="288" t="s">
        <v>598</v>
      </c>
      <c r="WXH341" s="288" t="s">
        <v>598</v>
      </c>
      <c r="WXI341" s="288" t="s">
        <v>598</v>
      </c>
      <c r="WXJ341" s="288" t="s">
        <v>598</v>
      </c>
      <c r="WXK341" s="288" t="s">
        <v>598</v>
      </c>
      <c r="WXL341" s="288" t="s">
        <v>598</v>
      </c>
      <c r="WXM341" s="288" t="s">
        <v>598</v>
      </c>
      <c r="WXN341" s="288" t="s">
        <v>598</v>
      </c>
      <c r="WXO341" s="288" t="s">
        <v>598</v>
      </c>
      <c r="WXP341" s="288" t="s">
        <v>598</v>
      </c>
      <c r="WXQ341" s="288" t="s">
        <v>598</v>
      </c>
      <c r="WXR341" s="288" t="s">
        <v>598</v>
      </c>
      <c r="WXS341" s="288" t="s">
        <v>598</v>
      </c>
      <c r="WXT341" s="288" t="s">
        <v>598</v>
      </c>
      <c r="WXU341" s="288" t="s">
        <v>598</v>
      </c>
      <c r="WXV341" s="288" t="s">
        <v>598</v>
      </c>
      <c r="WXW341" s="288" t="s">
        <v>598</v>
      </c>
      <c r="WXX341" s="288" t="s">
        <v>598</v>
      </c>
      <c r="WXY341" s="288" t="s">
        <v>598</v>
      </c>
      <c r="WXZ341" s="288" t="s">
        <v>598</v>
      </c>
      <c r="WYA341" s="288" t="s">
        <v>598</v>
      </c>
      <c r="WYB341" s="288" t="s">
        <v>598</v>
      </c>
      <c r="WYC341" s="288" t="s">
        <v>598</v>
      </c>
      <c r="WYD341" s="288" t="s">
        <v>598</v>
      </c>
      <c r="WYE341" s="288" t="s">
        <v>598</v>
      </c>
      <c r="WYF341" s="288" t="s">
        <v>598</v>
      </c>
      <c r="WYG341" s="288" t="s">
        <v>598</v>
      </c>
      <c r="WYH341" s="288" t="s">
        <v>598</v>
      </c>
      <c r="WYI341" s="288" t="s">
        <v>598</v>
      </c>
      <c r="WYJ341" s="288" t="s">
        <v>598</v>
      </c>
      <c r="WYK341" s="288" t="s">
        <v>598</v>
      </c>
      <c r="WYL341" s="288" t="s">
        <v>598</v>
      </c>
      <c r="WYM341" s="288" t="s">
        <v>598</v>
      </c>
      <c r="WYN341" s="288" t="s">
        <v>598</v>
      </c>
      <c r="WYO341" s="288" t="s">
        <v>598</v>
      </c>
      <c r="WYP341" s="288" t="s">
        <v>598</v>
      </c>
      <c r="WYQ341" s="288" t="s">
        <v>598</v>
      </c>
      <c r="WYR341" s="288" t="s">
        <v>598</v>
      </c>
      <c r="WYS341" s="288" t="s">
        <v>598</v>
      </c>
      <c r="WYT341" s="288" t="s">
        <v>598</v>
      </c>
      <c r="WYU341" s="288" t="s">
        <v>598</v>
      </c>
      <c r="WYV341" s="288" t="s">
        <v>598</v>
      </c>
      <c r="WYW341" s="288" t="s">
        <v>598</v>
      </c>
      <c r="WYX341" s="288" t="s">
        <v>598</v>
      </c>
      <c r="WYY341" s="288" t="s">
        <v>598</v>
      </c>
      <c r="WYZ341" s="288" t="s">
        <v>598</v>
      </c>
      <c r="WZA341" s="288" t="s">
        <v>598</v>
      </c>
      <c r="WZB341" s="288" t="s">
        <v>598</v>
      </c>
      <c r="WZC341" s="288" t="s">
        <v>598</v>
      </c>
      <c r="WZD341" s="288" t="s">
        <v>598</v>
      </c>
      <c r="WZE341" s="288" t="s">
        <v>598</v>
      </c>
      <c r="WZF341" s="288" t="s">
        <v>598</v>
      </c>
      <c r="WZG341" s="288" t="s">
        <v>598</v>
      </c>
      <c r="WZH341" s="288" t="s">
        <v>598</v>
      </c>
      <c r="WZI341" s="288" t="s">
        <v>598</v>
      </c>
      <c r="WZJ341" s="288" t="s">
        <v>598</v>
      </c>
      <c r="WZK341" s="288" t="s">
        <v>598</v>
      </c>
      <c r="WZL341" s="288" t="s">
        <v>598</v>
      </c>
      <c r="WZM341" s="288" t="s">
        <v>598</v>
      </c>
      <c r="WZN341" s="288" t="s">
        <v>598</v>
      </c>
      <c r="WZO341" s="288" t="s">
        <v>598</v>
      </c>
      <c r="WZP341" s="288" t="s">
        <v>598</v>
      </c>
      <c r="WZQ341" s="288" t="s">
        <v>598</v>
      </c>
      <c r="WZR341" s="288" t="s">
        <v>598</v>
      </c>
      <c r="WZS341" s="288" t="s">
        <v>598</v>
      </c>
      <c r="WZT341" s="288" t="s">
        <v>598</v>
      </c>
      <c r="WZU341" s="288" t="s">
        <v>598</v>
      </c>
      <c r="WZV341" s="288" t="s">
        <v>598</v>
      </c>
      <c r="WZW341" s="288" t="s">
        <v>598</v>
      </c>
      <c r="WZX341" s="288" t="s">
        <v>598</v>
      </c>
      <c r="WZY341" s="288" t="s">
        <v>598</v>
      </c>
      <c r="WZZ341" s="288" t="s">
        <v>598</v>
      </c>
      <c r="XAA341" s="288" t="s">
        <v>598</v>
      </c>
      <c r="XAB341" s="288" t="s">
        <v>598</v>
      </c>
      <c r="XAC341" s="288" t="s">
        <v>598</v>
      </c>
      <c r="XAD341" s="288" t="s">
        <v>598</v>
      </c>
      <c r="XAE341" s="288" t="s">
        <v>598</v>
      </c>
      <c r="XAF341" s="288" t="s">
        <v>598</v>
      </c>
      <c r="XAG341" s="288" t="s">
        <v>598</v>
      </c>
      <c r="XAH341" s="288" t="s">
        <v>598</v>
      </c>
      <c r="XAI341" s="288" t="s">
        <v>598</v>
      </c>
      <c r="XAJ341" s="288" t="s">
        <v>598</v>
      </c>
      <c r="XAK341" s="288" t="s">
        <v>598</v>
      </c>
      <c r="XAL341" s="288" t="s">
        <v>598</v>
      </c>
      <c r="XAM341" s="288" t="s">
        <v>598</v>
      </c>
      <c r="XAN341" s="288" t="s">
        <v>598</v>
      </c>
      <c r="XAO341" s="288" t="s">
        <v>598</v>
      </c>
      <c r="XAP341" s="288" t="s">
        <v>598</v>
      </c>
      <c r="XAQ341" s="288" t="s">
        <v>598</v>
      </c>
      <c r="XAR341" s="288" t="s">
        <v>598</v>
      </c>
      <c r="XAS341" s="288" t="s">
        <v>598</v>
      </c>
      <c r="XAT341" s="288" t="s">
        <v>598</v>
      </c>
      <c r="XAU341" s="288" t="s">
        <v>598</v>
      </c>
      <c r="XAV341" s="288" t="s">
        <v>598</v>
      </c>
      <c r="XAW341" s="288" t="s">
        <v>598</v>
      </c>
      <c r="XAX341" s="288" t="s">
        <v>598</v>
      </c>
      <c r="XAY341" s="288" t="s">
        <v>598</v>
      </c>
      <c r="XAZ341" s="288" t="s">
        <v>598</v>
      </c>
      <c r="XBA341" s="288" t="s">
        <v>598</v>
      </c>
      <c r="XBB341" s="288" t="s">
        <v>598</v>
      </c>
      <c r="XBC341" s="288" t="s">
        <v>598</v>
      </c>
      <c r="XBD341" s="288" t="s">
        <v>598</v>
      </c>
      <c r="XBE341" s="288" t="s">
        <v>598</v>
      </c>
      <c r="XBF341" s="288" t="s">
        <v>598</v>
      </c>
      <c r="XBG341" s="288" t="s">
        <v>598</v>
      </c>
      <c r="XBH341" s="288" t="s">
        <v>598</v>
      </c>
      <c r="XBI341" s="288" t="s">
        <v>598</v>
      </c>
      <c r="XBJ341" s="288" t="s">
        <v>598</v>
      </c>
      <c r="XBK341" s="288" t="s">
        <v>598</v>
      </c>
      <c r="XBL341" s="288" t="s">
        <v>598</v>
      </c>
      <c r="XBM341" s="288" t="s">
        <v>598</v>
      </c>
      <c r="XBN341" s="288" t="s">
        <v>598</v>
      </c>
      <c r="XBO341" s="288" t="s">
        <v>598</v>
      </c>
      <c r="XBP341" s="288" t="s">
        <v>598</v>
      </c>
      <c r="XBQ341" s="288" t="s">
        <v>598</v>
      </c>
      <c r="XBR341" s="288" t="s">
        <v>598</v>
      </c>
      <c r="XBS341" s="288" t="s">
        <v>598</v>
      </c>
      <c r="XBT341" s="288" t="s">
        <v>598</v>
      </c>
      <c r="XBU341" s="288" t="s">
        <v>598</v>
      </c>
      <c r="XBV341" s="288" t="s">
        <v>598</v>
      </c>
      <c r="XBW341" s="288" t="s">
        <v>598</v>
      </c>
      <c r="XBX341" s="288" t="s">
        <v>598</v>
      </c>
      <c r="XBY341" s="288" t="s">
        <v>598</v>
      </c>
      <c r="XBZ341" s="288" t="s">
        <v>598</v>
      </c>
      <c r="XCA341" s="288" t="s">
        <v>598</v>
      </c>
      <c r="XCB341" s="288" t="s">
        <v>598</v>
      </c>
      <c r="XCC341" s="288" t="s">
        <v>598</v>
      </c>
      <c r="XCD341" s="288" t="s">
        <v>598</v>
      </c>
      <c r="XCE341" s="288" t="s">
        <v>598</v>
      </c>
      <c r="XCF341" s="288" t="s">
        <v>598</v>
      </c>
      <c r="XCG341" s="288" t="s">
        <v>598</v>
      </c>
      <c r="XCH341" s="288" t="s">
        <v>598</v>
      </c>
      <c r="XCI341" s="288" t="s">
        <v>598</v>
      </c>
      <c r="XCJ341" s="288" t="s">
        <v>598</v>
      </c>
      <c r="XCK341" s="288" t="s">
        <v>598</v>
      </c>
      <c r="XCL341" s="288" t="s">
        <v>598</v>
      </c>
      <c r="XCM341" s="288" t="s">
        <v>598</v>
      </c>
      <c r="XCN341" s="288" t="s">
        <v>598</v>
      </c>
      <c r="XCO341" s="288" t="s">
        <v>598</v>
      </c>
      <c r="XCP341" s="288" t="s">
        <v>598</v>
      </c>
      <c r="XCQ341" s="288" t="s">
        <v>598</v>
      </c>
      <c r="XCR341" s="288" t="s">
        <v>598</v>
      </c>
      <c r="XCS341" s="288" t="s">
        <v>598</v>
      </c>
      <c r="XCT341" s="288" t="s">
        <v>598</v>
      </c>
      <c r="XCU341" s="288" t="s">
        <v>598</v>
      </c>
      <c r="XCV341" s="288" t="s">
        <v>598</v>
      </c>
      <c r="XCW341" s="288" t="s">
        <v>598</v>
      </c>
      <c r="XCX341" s="288" t="s">
        <v>598</v>
      </c>
      <c r="XCY341" s="288" t="s">
        <v>598</v>
      </c>
      <c r="XCZ341" s="288" t="s">
        <v>598</v>
      </c>
      <c r="XDA341" s="288" t="s">
        <v>598</v>
      </c>
      <c r="XDB341" s="288" t="s">
        <v>598</v>
      </c>
      <c r="XDC341" s="288" t="s">
        <v>598</v>
      </c>
      <c r="XDD341" s="288" t="s">
        <v>598</v>
      </c>
      <c r="XDE341" s="288" t="s">
        <v>598</v>
      </c>
      <c r="XDF341" s="288" t="s">
        <v>598</v>
      </c>
      <c r="XDG341" s="288" t="s">
        <v>598</v>
      </c>
      <c r="XDH341" s="288" t="s">
        <v>598</v>
      </c>
      <c r="XDI341" s="288" t="s">
        <v>598</v>
      </c>
      <c r="XDJ341" s="288" t="s">
        <v>598</v>
      </c>
      <c r="XDK341" s="288" t="s">
        <v>598</v>
      </c>
      <c r="XDL341" s="288" t="s">
        <v>598</v>
      </c>
      <c r="XDM341" s="288" t="s">
        <v>598</v>
      </c>
      <c r="XDN341" s="288" t="s">
        <v>598</v>
      </c>
      <c r="XDO341" s="288" t="s">
        <v>598</v>
      </c>
      <c r="XDP341" s="288" t="s">
        <v>598</v>
      </c>
      <c r="XDQ341" s="288" t="s">
        <v>598</v>
      </c>
      <c r="XDR341" s="288" t="s">
        <v>598</v>
      </c>
      <c r="XDS341" s="288" t="s">
        <v>598</v>
      </c>
      <c r="XDT341" s="288" t="s">
        <v>598</v>
      </c>
      <c r="XDU341" s="288" t="s">
        <v>598</v>
      </c>
      <c r="XDV341" s="288" t="s">
        <v>598</v>
      </c>
      <c r="XDW341" s="288" t="s">
        <v>598</v>
      </c>
      <c r="XDX341" s="288" t="s">
        <v>598</v>
      </c>
      <c r="XDY341" s="288" t="s">
        <v>598</v>
      </c>
      <c r="XDZ341" s="288" t="s">
        <v>598</v>
      </c>
      <c r="XEA341" s="288" t="s">
        <v>598</v>
      </c>
      <c r="XEB341" s="288" t="s">
        <v>598</v>
      </c>
      <c r="XEC341" s="288" t="s">
        <v>598</v>
      </c>
      <c r="XED341" s="288" t="s">
        <v>598</v>
      </c>
      <c r="XEE341" s="288" t="s">
        <v>598</v>
      </c>
      <c r="XEF341" s="288" t="s">
        <v>598</v>
      </c>
      <c r="XEG341" s="288" t="s">
        <v>598</v>
      </c>
      <c r="XEH341" s="288" t="s">
        <v>598</v>
      </c>
      <c r="XEI341" s="288" t="s">
        <v>598</v>
      </c>
      <c r="XEJ341" s="288" t="s">
        <v>598</v>
      </c>
      <c r="XEK341" s="288" t="s">
        <v>598</v>
      </c>
      <c r="XEL341" s="288" t="s">
        <v>598</v>
      </c>
      <c r="XEM341" s="288" t="s">
        <v>598</v>
      </c>
      <c r="XEN341" s="288" t="s">
        <v>598</v>
      </c>
      <c r="XEO341" s="288" t="s">
        <v>598</v>
      </c>
      <c r="XEP341" s="288" t="s">
        <v>598</v>
      </c>
      <c r="XEQ341" s="288" t="s">
        <v>598</v>
      </c>
      <c r="XER341" s="288" t="s">
        <v>598</v>
      </c>
      <c r="XES341" s="288" t="s">
        <v>598</v>
      </c>
      <c r="XET341" s="288" t="s">
        <v>598</v>
      </c>
      <c r="XEU341" s="288" t="s">
        <v>598</v>
      </c>
      <c r="XEV341" s="288" t="s">
        <v>598</v>
      </c>
      <c r="XEW341" s="288" t="s">
        <v>598</v>
      </c>
      <c r="XEX341" s="288" t="s">
        <v>598</v>
      </c>
      <c r="XEY341" s="288" t="s">
        <v>598</v>
      </c>
      <c r="XEZ341" s="288" t="s">
        <v>598</v>
      </c>
      <c r="XFA341" s="288" t="s">
        <v>598</v>
      </c>
      <c r="XFB341" s="288" t="s">
        <v>598</v>
      </c>
      <c r="XFC341" s="288" t="s">
        <v>598</v>
      </c>
      <c r="XFD341" s="288" t="s">
        <v>598</v>
      </c>
    </row>
    <row r="342" spans="1:16384">
      <c r="I342" s="312"/>
    </row>
    <row r="343" spans="1:16384">
      <c r="I343" s="312"/>
    </row>
    <row r="344" spans="1:16384">
      <c r="I344" s="312"/>
    </row>
    <row r="345" spans="1:16384">
      <c r="I345" s="312"/>
    </row>
    <row r="346" spans="1:16384">
      <c r="I346" s="312"/>
    </row>
    <row r="347" spans="1:16384">
      <c r="I347" s="312"/>
    </row>
    <row r="348" spans="1:16384">
      <c r="I348" s="312"/>
    </row>
    <row r="349" spans="1:16384">
      <c r="I349" s="312"/>
    </row>
    <row r="350" spans="1:16384">
      <c r="I350" s="312"/>
    </row>
    <row r="351" spans="1:16384">
      <c r="I351" s="312"/>
    </row>
    <row r="352" spans="1:16384" s="316" customFormat="1">
      <c r="A352" s="288"/>
      <c r="B352" s="284"/>
      <c r="C352" s="263"/>
      <c r="D352" s="311"/>
      <c r="E352" s="262"/>
      <c r="F352" s="262"/>
      <c r="G352" s="302"/>
      <c r="H352" s="302"/>
      <c r="I352" s="312"/>
      <c r="J352" s="315"/>
      <c r="K352" s="315"/>
      <c r="L352" s="315"/>
      <c r="M352" s="315"/>
      <c r="N352" s="315"/>
      <c r="O352" s="315"/>
      <c r="P352" s="315"/>
      <c r="Q352" s="315"/>
    </row>
    <row r="353" spans="1:17" s="316" customFormat="1">
      <c r="A353" s="288"/>
      <c r="B353" s="284"/>
      <c r="C353" s="263"/>
      <c r="D353" s="311"/>
      <c r="E353" s="262"/>
      <c r="F353" s="262"/>
      <c r="G353" s="302"/>
      <c r="H353" s="302"/>
      <c r="I353" s="312"/>
      <c r="J353" s="315"/>
      <c r="K353" s="315"/>
      <c r="L353" s="315"/>
      <c r="M353" s="315"/>
      <c r="N353" s="315"/>
      <c r="O353" s="315"/>
      <c r="P353" s="315"/>
      <c r="Q353" s="315"/>
    </row>
    <row r="354" spans="1:17" s="316" customFormat="1">
      <c r="A354" s="288"/>
      <c r="B354" s="284"/>
      <c r="C354" s="263"/>
      <c r="D354" s="311"/>
      <c r="E354" s="262"/>
      <c r="F354" s="262"/>
      <c r="G354" s="302"/>
      <c r="H354" s="302"/>
      <c r="I354" s="312"/>
      <c r="J354" s="315"/>
      <c r="K354" s="315"/>
      <c r="L354" s="315"/>
      <c r="M354" s="315"/>
      <c r="N354" s="315"/>
      <c r="O354" s="315"/>
      <c r="P354" s="315"/>
      <c r="Q354" s="315"/>
    </row>
    <row r="355" spans="1:17" s="316" customFormat="1">
      <c r="A355" s="288"/>
      <c r="B355" s="284"/>
      <c r="C355" s="263"/>
      <c r="D355" s="311"/>
      <c r="E355" s="262"/>
      <c r="F355" s="262"/>
      <c r="G355" s="302"/>
      <c r="H355" s="302"/>
      <c r="I355" s="312"/>
      <c r="J355" s="315"/>
      <c r="K355" s="315"/>
      <c r="L355" s="315"/>
      <c r="M355" s="315"/>
      <c r="N355" s="315"/>
      <c r="O355" s="315"/>
      <c r="P355" s="315"/>
      <c r="Q355" s="315"/>
    </row>
    <row r="356" spans="1:17" s="316" customFormat="1">
      <c r="A356" s="288"/>
      <c r="B356" s="284"/>
      <c r="C356" s="263"/>
      <c r="D356" s="311"/>
      <c r="E356" s="262"/>
      <c r="F356" s="262"/>
      <c r="G356" s="302"/>
      <c r="H356" s="302"/>
      <c r="I356" s="312"/>
      <c r="J356" s="315"/>
      <c r="K356" s="315"/>
      <c r="L356" s="315"/>
      <c r="M356" s="315"/>
      <c r="N356" s="315"/>
      <c r="O356" s="315"/>
      <c r="P356" s="315"/>
      <c r="Q356" s="315"/>
    </row>
    <row r="357" spans="1:17" s="316" customFormat="1">
      <c r="A357" s="288"/>
      <c r="B357" s="284"/>
      <c r="C357" s="263"/>
      <c r="D357" s="311"/>
      <c r="E357" s="262"/>
      <c r="F357" s="262"/>
      <c r="G357" s="302"/>
      <c r="H357" s="302"/>
      <c r="I357" s="312"/>
      <c r="J357" s="315"/>
      <c r="K357" s="315"/>
      <c r="L357" s="315"/>
      <c r="M357" s="315"/>
      <c r="N357" s="315"/>
      <c r="O357" s="315"/>
      <c r="P357" s="315"/>
      <c r="Q357" s="315"/>
    </row>
    <row r="358" spans="1:17" s="316" customFormat="1">
      <c r="A358" s="288"/>
      <c r="B358" s="284"/>
      <c r="C358" s="263"/>
      <c r="D358" s="311"/>
      <c r="E358" s="262"/>
      <c r="F358" s="262"/>
      <c r="G358" s="302"/>
      <c r="H358" s="302"/>
      <c r="I358" s="312"/>
      <c r="J358" s="315"/>
      <c r="K358" s="315"/>
      <c r="L358" s="315"/>
      <c r="M358" s="315"/>
      <c r="N358" s="315"/>
      <c r="O358" s="315"/>
      <c r="P358" s="315"/>
      <c r="Q358" s="315"/>
    </row>
    <row r="359" spans="1:17" s="316" customFormat="1">
      <c r="A359" s="288"/>
      <c r="B359" s="284"/>
      <c r="C359" s="263"/>
      <c r="D359" s="311"/>
      <c r="E359" s="262"/>
      <c r="F359" s="262"/>
      <c r="G359" s="302"/>
      <c r="H359" s="302"/>
      <c r="I359" s="312"/>
      <c r="J359" s="315"/>
      <c r="K359" s="315"/>
      <c r="L359" s="315"/>
      <c r="M359" s="315"/>
      <c r="N359" s="315"/>
      <c r="O359" s="315"/>
      <c r="P359" s="315"/>
      <c r="Q359" s="315"/>
    </row>
    <row r="360" spans="1:17" s="316" customFormat="1">
      <c r="A360" s="288"/>
      <c r="B360" s="284"/>
      <c r="C360" s="263"/>
      <c r="D360" s="311"/>
      <c r="E360" s="262"/>
      <c r="F360" s="262"/>
      <c r="G360" s="302"/>
      <c r="H360" s="302"/>
      <c r="I360" s="312"/>
      <c r="J360" s="315"/>
      <c r="K360" s="315"/>
      <c r="L360" s="315"/>
      <c r="M360" s="315"/>
      <c r="N360" s="315"/>
      <c r="O360" s="315"/>
      <c r="P360" s="315"/>
      <c r="Q360" s="315"/>
    </row>
    <row r="361" spans="1:17" s="316" customFormat="1">
      <c r="A361" s="288"/>
      <c r="B361" s="284"/>
      <c r="C361" s="263"/>
      <c r="D361" s="311"/>
      <c r="E361" s="262"/>
      <c r="F361" s="262"/>
      <c r="G361" s="302"/>
      <c r="H361" s="302"/>
      <c r="I361" s="312"/>
      <c r="J361" s="315"/>
      <c r="K361" s="315"/>
      <c r="L361" s="315"/>
      <c r="M361" s="315"/>
      <c r="N361" s="315"/>
      <c r="O361" s="315"/>
      <c r="P361" s="315"/>
      <c r="Q361" s="315"/>
    </row>
    <row r="362" spans="1:17" s="316" customFormat="1">
      <c r="A362" s="288"/>
      <c r="B362" s="284"/>
      <c r="C362" s="263"/>
      <c r="D362" s="311"/>
      <c r="E362" s="262"/>
      <c r="F362" s="262"/>
      <c r="G362" s="302"/>
      <c r="H362" s="302"/>
      <c r="I362" s="312"/>
      <c r="J362" s="315"/>
      <c r="K362" s="315"/>
      <c r="L362" s="315"/>
      <c r="M362" s="315"/>
      <c r="N362" s="315"/>
      <c r="O362" s="315"/>
      <c r="P362" s="315"/>
      <c r="Q362" s="315"/>
    </row>
    <row r="363" spans="1:17" s="316" customFormat="1">
      <c r="A363" s="288"/>
      <c r="B363" s="284"/>
      <c r="C363" s="263"/>
      <c r="D363" s="311"/>
      <c r="E363" s="262"/>
      <c r="F363" s="262"/>
      <c r="G363" s="302"/>
      <c r="H363" s="302"/>
      <c r="I363" s="312"/>
      <c r="J363" s="315"/>
      <c r="K363" s="315"/>
      <c r="L363" s="315"/>
      <c r="M363" s="315"/>
      <c r="N363" s="315"/>
      <c r="O363" s="315"/>
      <c r="P363" s="315"/>
      <c r="Q363" s="315"/>
    </row>
    <row r="364" spans="1:17" s="316" customFormat="1">
      <c r="A364" s="288"/>
      <c r="B364" s="284"/>
      <c r="C364" s="263"/>
      <c r="D364" s="311"/>
      <c r="E364" s="262"/>
      <c r="F364" s="262"/>
      <c r="G364" s="302"/>
      <c r="H364" s="302"/>
      <c r="I364" s="312"/>
      <c r="J364" s="315"/>
      <c r="K364" s="315"/>
      <c r="L364" s="315"/>
      <c r="M364" s="315"/>
      <c r="N364" s="315"/>
      <c r="O364" s="315"/>
      <c r="P364" s="315"/>
      <c r="Q364" s="315"/>
    </row>
    <row r="365" spans="1:17" s="316" customFormat="1">
      <c r="A365" s="288"/>
      <c r="B365" s="284"/>
      <c r="C365" s="263"/>
      <c r="D365" s="311"/>
      <c r="E365" s="262"/>
      <c r="F365" s="262"/>
      <c r="G365" s="302"/>
      <c r="H365" s="302"/>
      <c r="I365" s="312"/>
      <c r="J365" s="315"/>
      <c r="K365" s="315"/>
      <c r="L365" s="315"/>
      <c r="M365" s="315"/>
      <c r="N365" s="315"/>
      <c r="O365" s="315"/>
      <c r="P365" s="315"/>
      <c r="Q365" s="315"/>
    </row>
    <row r="366" spans="1:17" s="316" customFormat="1">
      <c r="A366" s="288"/>
      <c r="B366" s="284"/>
      <c r="C366" s="263"/>
      <c r="D366" s="311"/>
      <c r="E366" s="262"/>
      <c r="F366" s="262"/>
      <c r="G366" s="302"/>
      <c r="H366" s="302"/>
      <c r="I366" s="312"/>
      <c r="J366" s="315"/>
      <c r="K366" s="315"/>
      <c r="L366" s="315"/>
      <c r="M366" s="315"/>
      <c r="N366" s="315"/>
      <c r="O366" s="315"/>
      <c r="P366" s="315"/>
      <c r="Q366" s="315"/>
    </row>
    <row r="367" spans="1:17" s="316" customFormat="1">
      <c r="A367" s="288"/>
      <c r="B367" s="284"/>
      <c r="C367" s="263"/>
      <c r="D367" s="311"/>
      <c r="E367" s="262"/>
      <c r="F367" s="262"/>
      <c r="G367" s="302"/>
      <c r="H367" s="302"/>
      <c r="I367" s="312"/>
      <c r="J367" s="315"/>
      <c r="K367" s="315"/>
      <c r="L367" s="315"/>
      <c r="M367" s="315"/>
      <c r="N367" s="315"/>
      <c r="O367" s="315"/>
      <c r="P367" s="315"/>
      <c r="Q367" s="315"/>
    </row>
    <row r="368" spans="1:17" s="316" customFormat="1">
      <c r="A368" s="288"/>
      <c r="B368" s="284"/>
      <c r="C368" s="263"/>
      <c r="D368" s="311"/>
      <c r="E368" s="262"/>
      <c r="F368" s="262"/>
      <c r="G368" s="302"/>
      <c r="H368" s="302"/>
      <c r="I368" s="312"/>
      <c r="J368" s="315"/>
      <c r="K368" s="315"/>
      <c r="L368" s="315"/>
      <c r="M368" s="315"/>
      <c r="N368" s="315"/>
      <c r="O368" s="315"/>
      <c r="P368" s="315"/>
      <c r="Q368" s="315"/>
    </row>
    <row r="369" spans="1:17" s="316" customFormat="1">
      <c r="A369" s="288"/>
      <c r="B369" s="284"/>
      <c r="C369" s="263"/>
      <c r="D369" s="311"/>
      <c r="E369" s="262"/>
      <c r="F369" s="262"/>
      <c r="G369" s="302"/>
      <c r="H369" s="302"/>
      <c r="I369" s="312"/>
      <c r="J369" s="315"/>
      <c r="K369" s="315"/>
      <c r="L369" s="315"/>
      <c r="M369" s="315"/>
      <c r="N369" s="315"/>
      <c r="O369" s="315"/>
      <c r="P369" s="315"/>
      <c r="Q369" s="315"/>
    </row>
    <row r="370" spans="1:17" s="316" customFormat="1">
      <c r="A370" s="288"/>
      <c r="B370" s="284"/>
      <c r="C370" s="263"/>
      <c r="D370" s="311"/>
      <c r="E370" s="262"/>
      <c r="F370" s="262"/>
      <c r="G370" s="302"/>
      <c r="H370" s="302"/>
      <c r="I370" s="312"/>
      <c r="J370" s="315"/>
      <c r="K370" s="315"/>
      <c r="L370" s="315"/>
      <c r="M370" s="315"/>
      <c r="N370" s="315"/>
      <c r="O370" s="315"/>
      <c r="P370" s="315"/>
      <c r="Q370" s="315"/>
    </row>
    <row r="371" spans="1:17" s="316" customFormat="1">
      <c r="A371" s="288"/>
      <c r="B371" s="284"/>
      <c r="C371" s="263"/>
      <c r="D371" s="311"/>
      <c r="E371" s="262"/>
      <c r="F371" s="262"/>
      <c r="G371" s="302"/>
      <c r="H371" s="302"/>
      <c r="I371" s="312"/>
      <c r="J371" s="315"/>
      <c r="K371" s="315"/>
      <c r="L371" s="315"/>
      <c r="M371" s="315"/>
      <c r="N371" s="315"/>
      <c r="O371" s="315"/>
      <c r="P371" s="315"/>
      <c r="Q371" s="315"/>
    </row>
    <row r="372" spans="1:17" s="316" customFormat="1">
      <c r="A372" s="288"/>
      <c r="B372" s="284"/>
      <c r="C372" s="263"/>
      <c r="D372" s="311"/>
      <c r="E372" s="262"/>
      <c r="F372" s="262"/>
      <c r="G372" s="302"/>
      <c r="H372" s="302"/>
      <c r="I372" s="312"/>
      <c r="J372" s="315"/>
      <c r="K372" s="315"/>
      <c r="L372" s="315"/>
      <c r="M372" s="315"/>
      <c r="N372" s="315"/>
      <c r="O372" s="315"/>
      <c r="P372" s="315"/>
      <c r="Q372" s="315"/>
    </row>
    <row r="373" spans="1:17" s="316" customFormat="1">
      <c r="A373" s="288"/>
      <c r="B373" s="284"/>
      <c r="C373" s="263"/>
      <c r="D373" s="311"/>
      <c r="E373" s="262"/>
      <c r="F373" s="262"/>
      <c r="G373" s="302"/>
      <c r="H373" s="302"/>
      <c r="I373" s="312"/>
      <c r="J373" s="315"/>
      <c r="K373" s="315"/>
      <c r="L373" s="315"/>
      <c r="M373" s="315"/>
      <c r="N373" s="315"/>
      <c r="O373" s="315"/>
      <c r="P373" s="315"/>
      <c r="Q373" s="315"/>
    </row>
    <row r="374" spans="1:17" s="316" customFormat="1">
      <c r="A374" s="288"/>
      <c r="B374" s="284"/>
      <c r="C374" s="263"/>
      <c r="D374" s="311"/>
      <c r="E374" s="262"/>
      <c r="F374" s="262"/>
      <c r="G374" s="302"/>
      <c r="H374" s="302"/>
      <c r="I374" s="312"/>
      <c r="J374" s="315"/>
      <c r="K374" s="315"/>
      <c r="L374" s="315"/>
      <c r="M374" s="315"/>
      <c r="N374" s="315"/>
      <c r="O374" s="315"/>
      <c r="P374" s="315"/>
      <c r="Q374" s="315"/>
    </row>
    <row r="375" spans="1:17" s="316" customFormat="1">
      <c r="A375" s="288"/>
      <c r="B375" s="284"/>
      <c r="C375" s="263"/>
      <c r="D375" s="311"/>
      <c r="E375" s="262"/>
      <c r="F375" s="262"/>
      <c r="G375" s="302"/>
      <c r="H375" s="302"/>
      <c r="I375" s="312"/>
      <c r="J375" s="315"/>
      <c r="K375" s="315"/>
      <c r="L375" s="315"/>
      <c r="M375" s="315"/>
      <c r="N375" s="315"/>
      <c r="O375" s="315"/>
      <c r="P375" s="315"/>
      <c r="Q375" s="315"/>
    </row>
    <row r="376" spans="1:17" s="316" customFormat="1">
      <c r="A376" s="288"/>
      <c r="B376" s="284"/>
      <c r="C376" s="263"/>
      <c r="D376" s="311"/>
      <c r="E376" s="262"/>
      <c r="F376" s="262"/>
      <c r="G376" s="302"/>
      <c r="H376" s="302"/>
      <c r="I376" s="312"/>
      <c r="J376" s="315"/>
      <c r="K376" s="315"/>
      <c r="L376" s="315"/>
      <c r="M376" s="315"/>
      <c r="N376" s="315"/>
      <c r="O376" s="315"/>
      <c r="P376" s="315"/>
      <c r="Q376" s="315"/>
    </row>
    <row r="377" spans="1:17" s="316" customFormat="1">
      <c r="A377" s="288"/>
      <c r="B377" s="284"/>
      <c r="C377" s="263"/>
      <c r="D377" s="311"/>
      <c r="E377" s="262"/>
      <c r="F377" s="262"/>
      <c r="G377" s="302"/>
      <c r="H377" s="302"/>
      <c r="I377" s="312"/>
      <c r="J377" s="315"/>
      <c r="K377" s="315"/>
      <c r="L377" s="315"/>
      <c r="M377" s="315"/>
      <c r="N377" s="315"/>
      <c r="O377" s="315"/>
      <c r="P377" s="315"/>
      <c r="Q377" s="315"/>
    </row>
    <row r="378" spans="1:17" s="316" customFormat="1">
      <c r="A378" s="288"/>
      <c r="B378" s="284"/>
      <c r="C378" s="263"/>
      <c r="D378" s="311"/>
      <c r="E378" s="262"/>
      <c r="F378" s="262"/>
      <c r="G378" s="302"/>
      <c r="H378" s="302"/>
      <c r="I378" s="312"/>
      <c r="J378" s="315"/>
      <c r="K378" s="315"/>
      <c r="L378" s="315"/>
      <c r="M378" s="315"/>
      <c r="N378" s="315"/>
      <c r="O378" s="315"/>
      <c r="P378" s="315"/>
      <c r="Q378" s="315"/>
    </row>
    <row r="379" spans="1:17" s="316" customFormat="1">
      <c r="A379" s="288"/>
      <c r="B379" s="284"/>
      <c r="C379" s="263"/>
      <c r="D379" s="311"/>
      <c r="E379" s="262"/>
      <c r="F379" s="262"/>
      <c r="G379" s="302"/>
      <c r="H379" s="302"/>
      <c r="I379" s="312"/>
      <c r="J379" s="315"/>
      <c r="K379" s="315"/>
      <c r="L379" s="315"/>
      <c r="M379" s="315"/>
      <c r="N379" s="315"/>
      <c r="O379" s="315"/>
      <c r="P379" s="315"/>
      <c r="Q379" s="315"/>
    </row>
    <row r="380" spans="1:17" s="316" customFormat="1">
      <c r="A380" s="288"/>
      <c r="B380" s="284"/>
      <c r="C380" s="263"/>
      <c r="D380" s="311"/>
      <c r="E380" s="262"/>
      <c r="F380" s="262"/>
      <c r="G380" s="302"/>
      <c r="H380" s="302"/>
      <c r="I380" s="312"/>
      <c r="J380" s="315"/>
      <c r="K380" s="315"/>
      <c r="L380" s="315"/>
      <c r="M380" s="315"/>
      <c r="N380" s="315"/>
      <c r="O380" s="315"/>
      <c r="P380" s="315"/>
      <c r="Q380" s="315"/>
    </row>
    <row r="381" spans="1:17" s="316" customFormat="1">
      <c r="A381" s="288"/>
      <c r="B381" s="284"/>
      <c r="C381" s="263"/>
      <c r="D381" s="311"/>
      <c r="E381" s="262"/>
      <c r="F381" s="262"/>
      <c r="G381" s="302"/>
      <c r="H381" s="302"/>
      <c r="I381" s="312"/>
      <c r="J381" s="315"/>
      <c r="K381" s="315"/>
      <c r="L381" s="315"/>
      <c r="M381" s="315"/>
      <c r="N381" s="315"/>
      <c r="O381" s="315"/>
      <c r="P381" s="315"/>
      <c r="Q381" s="315"/>
    </row>
    <row r="382" spans="1:17" s="316" customFormat="1">
      <c r="A382" s="288"/>
      <c r="B382" s="284"/>
      <c r="C382" s="263"/>
      <c r="D382" s="311"/>
      <c r="E382" s="262"/>
      <c r="F382" s="262"/>
      <c r="G382" s="302"/>
      <c r="H382" s="302"/>
      <c r="I382" s="312"/>
      <c r="J382" s="315"/>
      <c r="K382" s="315"/>
      <c r="L382" s="315"/>
      <c r="M382" s="315"/>
      <c r="N382" s="315"/>
      <c r="O382" s="315"/>
      <c r="P382" s="315"/>
      <c r="Q382" s="315"/>
    </row>
    <row r="383" spans="1:17" s="316" customFormat="1">
      <c r="A383" s="288"/>
      <c r="B383" s="284"/>
      <c r="C383" s="263"/>
      <c r="D383" s="311"/>
      <c r="E383" s="262"/>
      <c r="F383" s="262"/>
      <c r="G383" s="302"/>
      <c r="H383" s="302"/>
      <c r="I383" s="312"/>
      <c r="J383" s="315"/>
      <c r="K383" s="315"/>
      <c r="L383" s="315"/>
      <c r="M383" s="315"/>
      <c r="N383" s="315"/>
      <c r="O383" s="315"/>
      <c r="P383" s="315"/>
      <c r="Q383" s="315"/>
    </row>
    <row r="384" spans="1:17" s="316" customFormat="1">
      <c r="A384" s="288"/>
      <c r="B384" s="284"/>
      <c r="C384" s="263"/>
      <c r="D384" s="311"/>
      <c r="E384" s="262"/>
      <c r="F384" s="262"/>
      <c r="G384" s="302"/>
      <c r="H384" s="302"/>
      <c r="I384" s="312"/>
      <c r="J384" s="315"/>
      <c r="K384" s="315"/>
      <c r="L384" s="315"/>
      <c r="M384" s="315"/>
      <c r="N384" s="315"/>
      <c r="O384" s="315"/>
      <c r="P384" s="315"/>
      <c r="Q384" s="315"/>
    </row>
    <row r="385" spans="1:17" s="316" customFormat="1">
      <c r="A385" s="288"/>
      <c r="B385" s="284"/>
      <c r="C385" s="263"/>
      <c r="D385" s="311"/>
      <c r="E385" s="262"/>
      <c r="F385" s="262"/>
      <c r="G385" s="302"/>
      <c r="H385" s="302"/>
      <c r="I385" s="312"/>
      <c r="J385" s="315"/>
      <c r="K385" s="315"/>
      <c r="L385" s="315"/>
      <c r="M385" s="315"/>
      <c r="N385" s="315"/>
      <c r="O385" s="315"/>
      <c r="P385" s="315"/>
      <c r="Q385" s="315"/>
    </row>
    <row r="386" spans="1:17" s="316" customFormat="1">
      <c r="A386" s="288"/>
      <c r="B386" s="284"/>
      <c r="C386" s="263"/>
      <c r="D386" s="311"/>
      <c r="E386" s="262"/>
      <c r="F386" s="262"/>
      <c r="G386" s="302"/>
      <c r="H386" s="302"/>
      <c r="I386" s="312"/>
      <c r="J386" s="315"/>
      <c r="K386" s="315"/>
      <c r="L386" s="315"/>
      <c r="M386" s="315"/>
      <c r="N386" s="315"/>
      <c r="O386" s="315"/>
      <c r="P386" s="315"/>
      <c r="Q386" s="315"/>
    </row>
    <row r="387" spans="1:17" s="316" customFormat="1">
      <c r="A387" s="288"/>
      <c r="B387" s="284"/>
      <c r="C387" s="263"/>
      <c r="D387" s="311"/>
      <c r="E387" s="262"/>
      <c r="F387" s="262"/>
      <c r="G387" s="302"/>
      <c r="H387" s="302"/>
      <c r="I387" s="312"/>
      <c r="J387" s="315"/>
      <c r="K387" s="315"/>
      <c r="L387" s="315"/>
      <c r="M387" s="315"/>
      <c r="N387" s="315"/>
      <c r="O387" s="315"/>
      <c r="P387" s="315"/>
      <c r="Q387" s="315"/>
    </row>
    <row r="388" spans="1:17" s="316" customFormat="1">
      <c r="A388" s="288"/>
      <c r="B388" s="284"/>
      <c r="C388" s="263"/>
      <c r="D388" s="311"/>
      <c r="E388" s="262"/>
      <c r="F388" s="262"/>
      <c r="G388" s="302"/>
      <c r="H388" s="302"/>
      <c r="I388" s="312"/>
      <c r="J388" s="315"/>
      <c r="K388" s="315"/>
      <c r="L388" s="315"/>
      <c r="M388" s="315"/>
      <c r="N388" s="315"/>
      <c r="O388" s="315"/>
      <c r="P388" s="315"/>
      <c r="Q388" s="315"/>
    </row>
    <row r="389" spans="1:17" s="316" customFormat="1">
      <c r="A389" s="288"/>
      <c r="B389" s="284"/>
      <c r="C389" s="263"/>
      <c r="D389" s="311"/>
      <c r="E389" s="262"/>
      <c r="F389" s="262"/>
      <c r="G389" s="302"/>
      <c r="H389" s="302"/>
      <c r="I389" s="312"/>
      <c r="J389" s="315"/>
      <c r="K389" s="315"/>
      <c r="L389" s="315"/>
      <c r="M389" s="315"/>
      <c r="N389" s="315"/>
      <c r="O389" s="315"/>
      <c r="P389" s="315"/>
      <c r="Q389" s="315"/>
    </row>
    <row r="390" spans="1:17" s="316" customFormat="1">
      <c r="A390" s="288"/>
      <c r="B390" s="284"/>
      <c r="C390" s="263"/>
      <c r="D390" s="311"/>
      <c r="E390" s="262"/>
      <c r="F390" s="262"/>
      <c r="G390" s="302"/>
      <c r="H390" s="302"/>
      <c r="I390" s="312"/>
      <c r="J390" s="315"/>
      <c r="K390" s="315"/>
      <c r="L390" s="315"/>
      <c r="M390" s="315"/>
      <c r="N390" s="315"/>
      <c r="O390" s="315"/>
      <c r="P390" s="315"/>
      <c r="Q390" s="315"/>
    </row>
    <row r="391" spans="1:17" s="316" customFormat="1">
      <c r="A391" s="288"/>
      <c r="B391" s="284"/>
      <c r="C391" s="263"/>
      <c r="D391" s="311"/>
      <c r="E391" s="262"/>
      <c r="F391" s="262"/>
      <c r="G391" s="302"/>
      <c r="H391" s="302"/>
      <c r="I391" s="312"/>
      <c r="J391" s="315"/>
      <c r="K391" s="315"/>
      <c r="L391" s="315"/>
      <c r="M391" s="315"/>
      <c r="N391" s="315"/>
      <c r="O391" s="315"/>
      <c r="P391" s="315"/>
      <c r="Q391" s="315"/>
    </row>
    <row r="392" spans="1:17" s="316" customFormat="1">
      <c r="A392" s="288"/>
      <c r="B392" s="284"/>
      <c r="C392" s="263"/>
      <c r="D392" s="311"/>
      <c r="E392" s="262"/>
      <c r="F392" s="262"/>
      <c r="G392" s="302"/>
      <c r="H392" s="302"/>
      <c r="I392" s="312"/>
      <c r="J392" s="315"/>
      <c r="K392" s="315"/>
      <c r="L392" s="315"/>
      <c r="M392" s="315"/>
      <c r="N392" s="315"/>
      <c r="O392" s="315"/>
      <c r="P392" s="315"/>
      <c r="Q392" s="315"/>
    </row>
    <row r="393" spans="1:17" s="316" customFormat="1">
      <c r="A393" s="288"/>
      <c r="B393" s="284"/>
      <c r="C393" s="263"/>
      <c r="D393" s="311"/>
      <c r="E393" s="262"/>
      <c r="F393" s="262"/>
      <c r="G393" s="302"/>
      <c r="H393" s="302"/>
      <c r="I393" s="312"/>
      <c r="J393" s="315"/>
      <c r="K393" s="315"/>
      <c r="L393" s="315"/>
      <c r="M393" s="315"/>
      <c r="N393" s="315"/>
      <c r="O393" s="315"/>
      <c r="P393" s="315"/>
      <c r="Q393" s="315"/>
    </row>
    <row r="394" spans="1:17" s="316" customFormat="1">
      <c r="A394" s="288"/>
      <c r="B394" s="284"/>
      <c r="C394" s="263"/>
      <c r="D394" s="311"/>
      <c r="E394" s="262"/>
      <c r="F394" s="262"/>
      <c r="G394" s="302"/>
      <c r="H394" s="302"/>
      <c r="I394" s="312"/>
      <c r="J394" s="315"/>
      <c r="K394" s="315"/>
      <c r="L394" s="315"/>
      <c r="M394" s="315"/>
      <c r="N394" s="315"/>
      <c r="O394" s="315"/>
      <c r="P394" s="315"/>
      <c r="Q394" s="315"/>
    </row>
    <row r="395" spans="1:17" s="316" customFormat="1">
      <c r="A395" s="288"/>
      <c r="B395" s="284"/>
      <c r="C395" s="263"/>
      <c r="D395" s="311"/>
      <c r="E395" s="262"/>
      <c r="F395" s="262"/>
      <c r="G395" s="302"/>
      <c r="H395" s="302"/>
      <c r="I395" s="312"/>
      <c r="J395" s="315"/>
      <c r="K395" s="315"/>
      <c r="L395" s="315"/>
      <c r="M395" s="315"/>
      <c r="N395" s="315"/>
      <c r="O395" s="315"/>
      <c r="P395" s="315"/>
      <c r="Q395" s="315"/>
    </row>
    <row r="396" spans="1:17" s="316" customFormat="1">
      <c r="A396" s="288"/>
      <c r="B396" s="284"/>
      <c r="C396" s="263"/>
      <c r="D396" s="311"/>
      <c r="E396" s="262"/>
      <c r="F396" s="262"/>
      <c r="G396" s="302"/>
      <c r="H396" s="302"/>
      <c r="I396" s="312"/>
      <c r="J396" s="315"/>
      <c r="K396" s="315"/>
      <c r="L396" s="315"/>
      <c r="M396" s="315"/>
      <c r="N396" s="315"/>
      <c r="O396" s="315"/>
      <c r="P396" s="315"/>
      <c r="Q396" s="315"/>
    </row>
    <row r="397" spans="1:17" s="316" customFormat="1">
      <c r="A397" s="288"/>
      <c r="B397" s="284"/>
      <c r="C397" s="263"/>
      <c r="D397" s="311"/>
      <c r="E397" s="262"/>
      <c r="F397" s="262"/>
      <c r="G397" s="302"/>
      <c r="H397" s="302"/>
      <c r="I397" s="312"/>
      <c r="J397" s="315"/>
      <c r="K397" s="315"/>
      <c r="L397" s="315"/>
      <c r="M397" s="315"/>
      <c r="N397" s="315"/>
      <c r="O397" s="315"/>
      <c r="P397" s="315"/>
      <c r="Q397" s="315"/>
    </row>
    <row r="398" spans="1:17" s="316" customFormat="1">
      <c r="A398" s="288"/>
      <c r="B398" s="284"/>
      <c r="C398" s="263"/>
      <c r="D398" s="311"/>
      <c r="E398" s="262"/>
      <c r="F398" s="262"/>
      <c r="G398" s="302"/>
      <c r="H398" s="302"/>
      <c r="I398" s="312"/>
      <c r="J398" s="315"/>
      <c r="K398" s="315"/>
      <c r="L398" s="315"/>
      <c r="M398" s="315"/>
      <c r="N398" s="315"/>
      <c r="O398" s="315"/>
      <c r="P398" s="315"/>
      <c r="Q398" s="315"/>
    </row>
    <row r="399" spans="1:17" s="316" customFormat="1">
      <c r="A399" s="288"/>
      <c r="B399" s="284"/>
      <c r="C399" s="263"/>
      <c r="D399" s="311"/>
      <c r="E399" s="262"/>
      <c r="F399" s="262"/>
      <c r="G399" s="302"/>
      <c r="H399" s="302"/>
      <c r="I399" s="312"/>
      <c r="J399" s="315"/>
      <c r="K399" s="315"/>
      <c r="L399" s="315"/>
      <c r="M399" s="315"/>
      <c r="N399" s="315"/>
      <c r="O399" s="315"/>
      <c r="P399" s="315"/>
      <c r="Q399" s="315"/>
    </row>
    <row r="400" spans="1:17" s="316" customFormat="1">
      <c r="A400" s="288"/>
      <c r="B400" s="284"/>
      <c r="C400" s="263"/>
      <c r="D400" s="311"/>
      <c r="E400" s="262"/>
      <c r="F400" s="262"/>
      <c r="G400" s="302"/>
      <c r="H400" s="302"/>
      <c r="I400" s="312"/>
      <c r="J400" s="315"/>
      <c r="K400" s="315"/>
      <c r="L400" s="315"/>
      <c r="M400" s="315"/>
      <c r="N400" s="315"/>
      <c r="O400" s="315"/>
      <c r="P400" s="315"/>
      <c r="Q400" s="315"/>
    </row>
    <row r="401" spans="1:17" s="316" customFormat="1">
      <c r="A401" s="288"/>
      <c r="B401" s="284"/>
      <c r="C401" s="263"/>
      <c r="D401" s="311"/>
      <c r="E401" s="262"/>
      <c r="F401" s="262"/>
      <c r="G401" s="302"/>
      <c r="H401" s="302"/>
      <c r="I401" s="312"/>
      <c r="J401" s="315"/>
      <c r="K401" s="315"/>
      <c r="L401" s="315"/>
      <c r="M401" s="315"/>
      <c r="N401" s="315"/>
      <c r="O401" s="315"/>
      <c r="P401" s="315"/>
      <c r="Q401" s="315"/>
    </row>
    <row r="402" spans="1:17" s="316" customFormat="1">
      <c r="A402" s="288"/>
      <c r="B402" s="284"/>
      <c r="C402" s="263"/>
      <c r="D402" s="311"/>
      <c r="E402" s="262"/>
      <c r="F402" s="262"/>
      <c r="G402" s="302"/>
      <c r="H402" s="302"/>
      <c r="I402" s="312"/>
      <c r="J402" s="315"/>
      <c r="K402" s="315"/>
      <c r="L402" s="315"/>
      <c r="M402" s="315"/>
      <c r="N402" s="315"/>
      <c r="O402" s="315"/>
      <c r="P402" s="315"/>
      <c r="Q402" s="315"/>
    </row>
    <row r="403" spans="1:17" s="316" customFormat="1">
      <c r="A403" s="288"/>
      <c r="B403" s="284"/>
      <c r="C403" s="263"/>
      <c r="D403" s="311"/>
      <c r="E403" s="262"/>
      <c r="F403" s="262"/>
      <c r="G403" s="302"/>
      <c r="H403" s="302"/>
      <c r="I403" s="312"/>
      <c r="J403" s="315"/>
      <c r="K403" s="315"/>
      <c r="L403" s="315"/>
      <c r="M403" s="315"/>
      <c r="N403" s="315"/>
      <c r="O403" s="315"/>
      <c r="P403" s="315"/>
      <c r="Q403" s="315"/>
    </row>
    <row r="404" spans="1:17" s="316" customFormat="1">
      <c r="A404" s="288"/>
      <c r="B404" s="284"/>
      <c r="C404" s="263"/>
      <c r="D404" s="311"/>
      <c r="E404" s="262"/>
      <c r="F404" s="262"/>
      <c r="G404" s="302"/>
      <c r="H404" s="302"/>
      <c r="I404" s="312"/>
      <c r="J404" s="315"/>
      <c r="K404" s="315"/>
      <c r="L404" s="315"/>
      <c r="M404" s="315"/>
      <c r="N404" s="315"/>
      <c r="O404" s="315"/>
      <c r="P404" s="315"/>
      <c r="Q404" s="315"/>
    </row>
    <row r="405" spans="1:17" s="316" customFormat="1">
      <c r="A405" s="288"/>
      <c r="B405" s="284"/>
      <c r="C405" s="263"/>
      <c r="D405" s="311"/>
      <c r="E405" s="262"/>
      <c r="F405" s="262"/>
      <c r="G405" s="302"/>
      <c r="H405" s="302"/>
      <c r="I405" s="312"/>
      <c r="J405" s="315"/>
      <c r="K405" s="315"/>
      <c r="L405" s="315"/>
      <c r="M405" s="315"/>
      <c r="N405" s="315"/>
      <c r="O405" s="315"/>
      <c r="P405" s="315"/>
      <c r="Q405" s="315"/>
    </row>
    <row r="406" spans="1:17" s="316" customFormat="1">
      <c r="A406" s="288"/>
      <c r="B406" s="284"/>
      <c r="C406" s="263"/>
      <c r="D406" s="311"/>
      <c r="E406" s="262"/>
      <c r="F406" s="262"/>
      <c r="G406" s="302"/>
      <c r="H406" s="302"/>
      <c r="I406" s="312"/>
      <c r="J406" s="315"/>
      <c r="K406" s="315"/>
      <c r="L406" s="315"/>
      <c r="M406" s="315"/>
      <c r="N406" s="315"/>
      <c r="O406" s="315"/>
      <c r="P406" s="315"/>
      <c r="Q406" s="315"/>
    </row>
    <row r="407" spans="1:17" s="316" customFormat="1">
      <c r="A407" s="288"/>
      <c r="B407" s="284"/>
      <c r="C407" s="263"/>
      <c r="D407" s="311"/>
      <c r="E407" s="262"/>
      <c r="F407" s="262"/>
      <c r="G407" s="302"/>
      <c r="H407" s="302"/>
      <c r="I407" s="312"/>
      <c r="J407" s="315"/>
      <c r="K407" s="315"/>
      <c r="L407" s="315"/>
      <c r="M407" s="315"/>
      <c r="N407" s="315"/>
      <c r="O407" s="315"/>
      <c r="P407" s="315"/>
      <c r="Q407" s="315"/>
    </row>
    <row r="408" spans="1:17" s="316" customFormat="1">
      <c r="A408" s="288"/>
      <c r="B408" s="284"/>
      <c r="C408" s="263"/>
      <c r="D408" s="311"/>
      <c r="E408" s="262"/>
      <c r="F408" s="262"/>
      <c r="G408" s="302"/>
      <c r="H408" s="302"/>
      <c r="I408" s="312"/>
      <c r="J408" s="315"/>
      <c r="K408" s="315"/>
      <c r="L408" s="315"/>
      <c r="M408" s="315"/>
      <c r="N408" s="315"/>
      <c r="O408" s="315"/>
      <c r="P408" s="315"/>
      <c r="Q408" s="315"/>
    </row>
    <row r="409" spans="1:17" s="316" customFormat="1">
      <c r="A409" s="288"/>
      <c r="B409" s="284"/>
      <c r="C409" s="263"/>
      <c r="D409" s="311"/>
      <c r="E409" s="262"/>
      <c r="F409" s="262"/>
      <c r="G409" s="302"/>
      <c r="H409" s="302"/>
      <c r="I409" s="312"/>
      <c r="J409" s="315"/>
      <c r="K409" s="315"/>
      <c r="L409" s="315"/>
      <c r="M409" s="315"/>
      <c r="N409" s="315"/>
      <c r="O409" s="315"/>
      <c r="P409" s="315"/>
      <c r="Q409" s="315"/>
    </row>
    <row r="410" spans="1:17" s="316" customFormat="1">
      <c r="A410" s="288"/>
      <c r="B410" s="284"/>
      <c r="C410" s="263"/>
      <c r="D410" s="311"/>
      <c r="E410" s="262"/>
      <c r="F410" s="262"/>
      <c r="G410" s="302"/>
      <c r="H410" s="302"/>
      <c r="I410" s="312"/>
      <c r="J410" s="315"/>
      <c r="K410" s="315"/>
      <c r="L410" s="315"/>
      <c r="M410" s="315"/>
      <c r="N410" s="315"/>
      <c r="O410" s="315"/>
      <c r="P410" s="315"/>
      <c r="Q410" s="315"/>
    </row>
    <row r="411" spans="1:17" s="316" customFormat="1">
      <c r="A411" s="288"/>
      <c r="B411" s="284"/>
      <c r="C411" s="263"/>
      <c r="D411" s="311"/>
      <c r="E411" s="262"/>
      <c r="F411" s="262"/>
      <c r="G411" s="302"/>
      <c r="H411" s="302"/>
      <c r="I411" s="312"/>
      <c r="J411" s="315"/>
      <c r="K411" s="315"/>
      <c r="L411" s="315"/>
      <c r="M411" s="315"/>
      <c r="N411" s="315"/>
      <c r="O411" s="315"/>
      <c r="P411" s="315"/>
      <c r="Q411" s="315"/>
    </row>
    <row r="412" spans="1:17" s="316" customFormat="1">
      <c r="A412" s="288"/>
      <c r="B412" s="284"/>
      <c r="C412" s="263"/>
      <c r="D412" s="311"/>
      <c r="E412" s="262"/>
      <c r="F412" s="262"/>
      <c r="G412" s="302"/>
      <c r="H412" s="302"/>
      <c r="I412" s="312"/>
      <c r="J412" s="315"/>
      <c r="K412" s="315"/>
      <c r="L412" s="315"/>
      <c r="M412" s="315"/>
      <c r="N412" s="315"/>
      <c r="O412" s="315"/>
      <c r="P412" s="315"/>
      <c r="Q412" s="315"/>
    </row>
    <row r="413" spans="1:17" s="316" customFormat="1">
      <c r="A413" s="288"/>
      <c r="B413" s="284"/>
      <c r="C413" s="263"/>
      <c r="D413" s="311"/>
      <c r="E413" s="262"/>
      <c r="F413" s="262"/>
      <c r="G413" s="302"/>
      <c r="H413" s="302"/>
      <c r="I413" s="312"/>
      <c r="J413" s="315"/>
      <c r="K413" s="315"/>
      <c r="L413" s="315"/>
      <c r="M413" s="315"/>
      <c r="N413" s="315"/>
      <c r="O413" s="315"/>
      <c r="P413" s="315"/>
      <c r="Q413" s="315"/>
    </row>
    <row r="414" spans="1:17" s="316" customFormat="1">
      <c r="A414" s="288"/>
      <c r="B414" s="284"/>
      <c r="C414" s="263"/>
      <c r="D414" s="311"/>
      <c r="E414" s="262"/>
      <c r="F414" s="262"/>
      <c r="G414" s="302"/>
      <c r="H414" s="302"/>
      <c r="I414" s="312"/>
      <c r="J414" s="315"/>
      <c r="K414" s="315"/>
      <c r="L414" s="315"/>
      <c r="M414" s="315"/>
      <c r="N414" s="315"/>
      <c r="O414" s="315"/>
      <c r="P414" s="315"/>
      <c r="Q414" s="315"/>
    </row>
    <row r="415" spans="1:17" s="316" customFormat="1">
      <c r="A415" s="288"/>
      <c r="B415" s="284"/>
      <c r="C415" s="263"/>
      <c r="D415" s="311"/>
      <c r="E415" s="262"/>
      <c r="F415" s="262"/>
      <c r="G415" s="302"/>
      <c r="H415" s="302"/>
      <c r="I415" s="312"/>
      <c r="J415" s="315"/>
      <c r="K415" s="315"/>
      <c r="L415" s="315"/>
      <c r="M415" s="315"/>
      <c r="N415" s="315"/>
      <c r="O415" s="315"/>
      <c r="P415" s="315"/>
      <c r="Q415" s="315"/>
    </row>
    <row r="416" spans="1:17" s="316" customFormat="1">
      <c r="A416" s="288"/>
      <c r="B416" s="284"/>
      <c r="C416" s="263"/>
      <c r="D416" s="311"/>
      <c r="E416" s="262"/>
      <c r="F416" s="262"/>
      <c r="G416" s="302"/>
      <c r="H416" s="302"/>
      <c r="I416" s="312"/>
      <c r="J416" s="315"/>
      <c r="K416" s="315"/>
      <c r="L416" s="315"/>
      <c r="M416" s="315"/>
      <c r="N416" s="315"/>
      <c r="O416" s="315"/>
      <c r="P416" s="315"/>
      <c r="Q416" s="315"/>
    </row>
    <row r="417" spans="1:17" s="316" customFormat="1">
      <c r="A417" s="288"/>
      <c r="B417" s="284"/>
      <c r="C417" s="263"/>
      <c r="D417" s="311"/>
      <c r="E417" s="262"/>
      <c r="F417" s="262"/>
      <c r="G417" s="302"/>
      <c r="H417" s="302"/>
      <c r="I417" s="312"/>
      <c r="J417" s="315"/>
      <c r="K417" s="315"/>
      <c r="L417" s="315"/>
      <c r="M417" s="315"/>
      <c r="N417" s="315"/>
      <c r="O417" s="315"/>
      <c r="P417" s="315"/>
      <c r="Q417" s="315"/>
    </row>
    <row r="418" spans="1:17" s="316" customFormat="1">
      <c r="A418" s="288"/>
      <c r="B418" s="284"/>
      <c r="C418" s="263"/>
      <c r="D418" s="311"/>
      <c r="E418" s="262"/>
      <c r="F418" s="262"/>
      <c r="G418" s="302"/>
      <c r="H418" s="302"/>
      <c r="I418" s="312"/>
      <c r="J418" s="315"/>
      <c r="K418" s="315"/>
      <c r="L418" s="315"/>
      <c r="M418" s="315"/>
      <c r="N418" s="315"/>
      <c r="O418" s="315"/>
      <c r="P418" s="315"/>
      <c r="Q418" s="315"/>
    </row>
    <row r="419" spans="1:17" s="316" customFormat="1">
      <c r="A419" s="288"/>
      <c r="B419" s="284"/>
      <c r="C419" s="263"/>
      <c r="D419" s="311"/>
      <c r="E419" s="262"/>
      <c r="F419" s="262"/>
      <c r="G419" s="302"/>
      <c r="H419" s="302"/>
      <c r="I419" s="312"/>
      <c r="J419" s="315"/>
      <c r="K419" s="315"/>
      <c r="L419" s="315"/>
      <c r="M419" s="315"/>
      <c r="N419" s="315"/>
      <c r="O419" s="315"/>
      <c r="P419" s="315"/>
      <c r="Q419" s="315"/>
    </row>
    <row r="420" spans="1:17" s="316" customFormat="1">
      <c r="A420" s="288"/>
      <c r="B420" s="284"/>
      <c r="C420" s="263"/>
      <c r="D420" s="311"/>
      <c r="E420" s="262"/>
      <c r="F420" s="262"/>
      <c r="G420" s="302"/>
      <c r="H420" s="302"/>
      <c r="I420" s="312"/>
      <c r="J420" s="315"/>
      <c r="K420" s="315"/>
      <c r="L420" s="315"/>
      <c r="M420" s="315"/>
      <c r="N420" s="315"/>
      <c r="O420" s="315"/>
      <c r="P420" s="315"/>
      <c r="Q420" s="315"/>
    </row>
    <row r="421" spans="1:17" s="316" customFormat="1">
      <c r="A421" s="288"/>
      <c r="B421" s="284"/>
      <c r="C421" s="263"/>
      <c r="D421" s="311"/>
      <c r="E421" s="262"/>
      <c r="F421" s="262"/>
      <c r="G421" s="302"/>
      <c r="H421" s="302"/>
      <c r="I421" s="312"/>
      <c r="J421" s="315"/>
      <c r="K421" s="315"/>
      <c r="L421" s="315"/>
      <c r="M421" s="315"/>
      <c r="N421" s="315"/>
      <c r="O421" s="315"/>
      <c r="P421" s="315"/>
      <c r="Q421" s="315"/>
    </row>
    <row r="422" spans="1:17" s="316" customFormat="1">
      <c r="A422" s="288"/>
      <c r="B422" s="284"/>
      <c r="C422" s="263"/>
      <c r="D422" s="311"/>
      <c r="E422" s="262"/>
      <c r="F422" s="262"/>
      <c r="G422" s="302"/>
      <c r="H422" s="302"/>
      <c r="I422" s="312"/>
      <c r="J422" s="315"/>
      <c r="K422" s="315"/>
      <c r="L422" s="315"/>
      <c r="M422" s="315"/>
      <c r="N422" s="315"/>
      <c r="O422" s="315"/>
      <c r="P422" s="315"/>
      <c r="Q422" s="315"/>
    </row>
    <row r="423" spans="1:17" s="316" customFormat="1">
      <c r="A423" s="288"/>
      <c r="B423" s="284"/>
      <c r="C423" s="263"/>
      <c r="D423" s="311"/>
      <c r="E423" s="262"/>
      <c r="F423" s="262"/>
      <c r="G423" s="302"/>
      <c r="H423" s="302"/>
      <c r="I423" s="312"/>
      <c r="J423" s="315"/>
      <c r="K423" s="315"/>
      <c r="L423" s="315"/>
      <c r="M423" s="315"/>
      <c r="N423" s="315"/>
      <c r="O423" s="315"/>
      <c r="P423" s="315"/>
      <c r="Q423" s="315"/>
    </row>
    <row r="424" spans="1:17" s="316" customFormat="1">
      <c r="A424" s="288"/>
      <c r="B424" s="284"/>
      <c r="C424" s="263"/>
      <c r="D424" s="311"/>
      <c r="E424" s="262"/>
      <c r="F424" s="262"/>
      <c r="G424" s="302"/>
      <c r="H424" s="302"/>
      <c r="I424" s="312"/>
      <c r="J424" s="315"/>
      <c r="K424" s="315"/>
      <c r="L424" s="315"/>
      <c r="M424" s="315"/>
      <c r="N424" s="315"/>
      <c r="O424" s="315"/>
      <c r="P424" s="315"/>
      <c r="Q424" s="315"/>
    </row>
    <row r="425" spans="1:17" s="316" customFormat="1">
      <c r="A425" s="288"/>
      <c r="B425" s="284"/>
      <c r="C425" s="263"/>
      <c r="D425" s="311"/>
      <c r="E425" s="262"/>
      <c r="F425" s="262"/>
      <c r="G425" s="302"/>
      <c r="H425" s="302"/>
      <c r="I425" s="312"/>
      <c r="J425" s="315"/>
      <c r="K425" s="315"/>
      <c r="L425" s="315"/>
      <c r="M425" s="315"/>
      <c r="N425" s="315"/>
      <c r="O425" s="315"/>
      <c r="P425" s="315"/>
      <c r="Q425" s="315"/>
    </row>
    <row r="426" spans="1:17" s="316" customFormat="1">
      <c r="A426" s="288"/>
      <c r="B426" s="284"/>
      <c r="C426" s="263"/>
      <c r="D426" s="311"/>
      <c r="E426" s="262"/>
      <c r="F426" s="262"/>
      <c r="G426" s="302"/>
      <c r="H426" s="302"/>
      <c r="I426" s="312"/>
      <c r="J426" s="315"/>
      <c r="K426" s="315"/>
      <c r="L426" s="315"/>
      <c r="M426" s="315"/>
      <c r="N426" s="315"/>
      <c r="O426" s="315"/>
      <c r="P426" s="315"/>
      <c r="Q426" s="315"/>
    </row>
    <row r="427" spans="1:17" s="316" customFormat="1">
      <c r="A427" s="288"/>
      <c r="B427" s="284"/>
      <c r="C427" s="263"/>
      <c r="D427" s="311"/>
      <c r="E427" s="262"/>
      <c r="F427" s="262"/>
      <c r="G427" s="302"/>
      <c r="H427" s="302"/>
      <c r="I427" s="312"/>
      <c r="J427" s="315"/>
      <c r="K427" s="315"/>
      <c r="L427" s="315"/>
      <c r="M427" s="315"/>
      <c r="N427" s="315"/>
      <c r="O427" s="315"/>
      <c r="P427" s="315"/>
      <c r="Q427" s="315"/>
    </row>
    <row r="428" spans="1:17" s="316" customFormat="1">
      <c r="A428" s="288"/>
      <c r="B428" s="284"/>
      <c r="C428" s="263"/>
      <c r="D428" s="311"/>
      <c r="E428" s="262"/>
      <c r="F428" s="262"/>
      <c r="G428" s="302"/>
      <c r="H428" s="302"/>
      <c r="I428" s="312"/>
      <c r="J428" s="315"/>
      <c r="K428" s="315"/>
      <c r="L428" s="315"/>
      <c r="M428" s="315"/>
      <c r="N428" s="315"/>
      <c r="O428" s="315"/>
      <c r="P428" s="315"/>
      <c r="Q428" s="315"/>
    </row>
    <row r="429" spans="1:17" s="316" customFormat="1">
      <c r="A429" s="288"/>
      <c r="B429" s="284"/>
      <c r="C429" s="263"/>
      <c r="D429" s="311"/>
      <c r="E429" s="262"/>
      <c r="F429" s="262"/>
      <c r="G429" s="302"/>
      <c r="H429" s="302"/>
      <c r="I429" s="312"/>
      <c r="J429" s="315"/>
      <c r="K429" s="315"/>
      <c r="L429" s="315"/>
      <c r="M429" s="315"/>
      <c r="N429" s="315"/>
      <c r="O429" s="315"/>
      <c r="P429" s="315"/>
      <c r="Q429" s="315"/>
    </row>
    <row r="430" spans="1:17" s="316" customFormat="1">
      <c r="A430" s="288"/>
      <c r="B430" s="284"/>
      <c r="C430" s="263"/>
      <c r="D430" s="311"/>
      <c r="E430" s="262"/>
      <c r="F430" s="262"/>
      <c r="G430" s="302"/>
      <c r="H430" s="302"/>
      <c r="I430" s="312"/>
      <c r="J430" s="315"/>
      <c r="K430" s="315"/>
      <c r="L430" s="315"/>
      <c r="M430" s="315"/>
      <c r="N430" s="315"/>
      <c r="O430" s="315"/>
      <c r="P430" s="315"/>
      <c r="Q430" s="315"/>
    </row>
    <row r="431" spans="1:17" s="316" customFormat="1">
      <c r="A431" s="288"/>
      <c r="B431" s="284"/>
      <c r="C431" s="263"/>
      <c r="D431" s="311"/>
      <c r="E431" s="262"/>
      <c r="F431" s="262"/>
      <c r="G431" s="302"/>
      <c r="H431" s="302"/>
      <c r="I431" s="312"/>
      <c r="J431" s="315"/>
      <c r="K431" s="315"/>
      <c r="L431" s="315"/>
      <c r="M431" s="315"/>
      <c r="N431" s="315"/>
      <c r="O431" s="315"/>
      <c r="P431" s="315"/>
      <c r="Q431" s="315"/>
    </row>
    <row r="432" spans="1:17" s="316" customFormat="1">
      <c r="A432" s="288"/>
      <c r="B432" s="284"/>
      <c r="C432" s="263"/>
      <c r="D432" s="311"/>
      <c r="E432" s="262"/>
      <c r="F432" s="262"/>
      <c r="G432" s="302"/>
      <c r="H432" s="302"/>
      <c r="I432" s="312"/>
      <c r="J432" s="315"/>
      <c r="K432" s="315"/>
      <c r="L432" s="315"/>
      <c r="M432" s="315"/>
      <c r="N432" s="315"/>
      <c r="O432" s="315"/>
      <c r="P432" s="315"/>
      <c r="Q432" s="315"/>
    </row>
    <row r="433" spans="1:17" s="316" customFormat="1">
      <c r="A433" s="288"/>
      <c r="B433" s="284"/>
      <c r="C433" s="263"/>
      <c r="D433" s="311"/>
      <c r="E433" s="262"/>
      <c r="F433" s="262"/>
      <c r="G433" s="302"/>
      <c r="H433" s="302"/>
      <c r="I433" s="312"/>
      <c r="J433" s="315"/>
      <c r="K433" s="315"/>
      <c r="L433" s="315"/>
      <c r="M433" s="315"/>
      <c r="N433" s="315"/>
      <c r="O433" s="315"/>
      <c r="P433" s="315"/>
      <c r="Q433" s="315"/>
    </row>
    <row r="434" spans="1:17" s="316" customFormat="1">
      <c r="A434" s="288"/>
      <c r="B434" s="284"/>
      <c r="C434" s="263"/>
      <c r="D434" s="311"/>
      <c r="E434" s="262"/>
      <c r="F434" s="262"/>
      <c r="G434" s="302"/>
      <c r="H434" s="302"/>
      <c r="I434" s="312"/>
      <c r="J434" s="315"/>
      <c r="K434" s="315"/>
      <c r="L434" s="315"/>
      <c r="M434" s="315"/>
      <c r="N434" s="315"/>
      <c r="O434" s="315"/>
      <c r="P434" s="315"/>
      <c r="Q434" s="315"/>
    </row>
    <row r="435" spans="1:17" s="316" customFormat="1">
      <c r="A435" s="288"/>
      <c r="B435" s="284"/>
      <c r="C435" s="263"/>
      <c r="D435" s="311"/>
      <c r="E435" s="262"/>
      <c r="F435" s="262"/>
      <c r="G435" s="302"/>
      <c r="H435" s="302"/>
      <c r="I435" s="312"/>
      <c r="J435" s="315"/>
      <c r="K435" s="315"/>
      <c r="L435" s="315"/>
      <c r="M435" s="315"/>
      <c r="N435" s="315"/>
      <c r="O435" s="315"/>
      <c r="P435" s="315"/>
      <c r="Q435" s="315"/>
    </row>
    <row r="436" spans="1:17" s="316" customFormat="1">
      <c r="A436" s="288"/>
      <c r="B436" s="284"/>
      <c r="C436" s="263"/>
      <c r="D436" s="311"/>
      <c r="E436" s="262"/>
      <c r="F436" s="262"/>
      <c r="G436" s="302"/>
      <c r="H436" s="302"/>
      <c r="I436" s="312"/>
      <c r="J436" s="315"/>
      <c r="K436" s="315"/>
      <c r="L436" s="315"/>
      <c r="M436" s="315"/>
      <c r="N436" s="315"/>
      <c r="O436" s="315"/>
      <c r="P436" s="315"/>
      <c r="Q436" s="315"/>
    </row>
    <row r="437" spans="1:17" s="316" customFormat="1">
      <c r="A437" s="288"/>
      <c r="B437" s="284"/>
      <c r="C437" s="263"/>
      <c r="D437" s="311"/>
      <c r="E437" s="262"/>
      <c r="F437" s="262"/>
      <c r="G437" s="302"/>
      <c r="H437" s="302"/>
      <c r="I437" s="312"/>
      <c r="J437" s="315"/>
      <c r="K437" s="315"/>
      <c r="L437" s="315"/>
      <c r="M437" s="315"/>
      <c r="N437" s="315"/>
      <c r="O437" s="315"/>
      <c r="P437" s="315"/>
      <c r="Q437" s="315"/>
    </row>
    <row r="438" spans="1:17" s="316" customFormat="1">
      <c r="A438" s="288"/>
      <c r="B438" s="284"/>
      <c r="C438" s="263"/>
      <c r="D438" s="311"/>
      <c r="E438" s="262"/>
      <c r="F438" s="262"/>
      <c r="G438" s="302"/>
      <c r="H438" s="302"/>
      <c r="I438" s="312"/>
      <c r="J438" s="315"/>
      <c r="K438" s="315"/>
      <c r="L438" s="315"/>
      <c r="M438" s="315"/>
      <c r="N438" s="315"/>
      <c r="O438" s="315"/>
      <c r="P438" s="315"/>
      <c r="Q438" s="315"/>
    </row>
    <row r="439" spans="1:17" s="316" customFormat="1">
      <c r="A439" s="288"/>
      <c r="B439" s="284"/>
      <c r="C439" s="263"/>
      <c r="D439" s="311"/>
      <c r="E439" s="262"/>
      <c r="F439" s="262"/>
      <c r="G439" s="302"/>
      <c r="H439" s="302"/>
      <c r="I439" s="312"/>
      <c r="J439" s="315"/>
      <c r="K439" s="315"/>
      <c r="L439" s="315"/>
      <c r="M439" s="315"/>
      <c r="N439" s="315"/>
      <c r="O439" s="315"/>
      <c r="P439" s="315"/>
      <c r="Q439" s="315"/>
    </row>
    <row r="440" spans="1:17" s="316" customFormat="1">
      <c r="A440" s="288"/>
      <c r="B440" s="284"/>
      <c r="C440" s="263"/>
      <c r="D440" s="311"/>
      <c r="E440" s="262"/>
      <c r="F440" s="262"/>
      <c r="G440" s="302"/>
      <c r="H440" s="302"/>
      <c r="I440" s="312"/>
      <c r="J440" s="315"/>
      <c r="K440" s="315"/>
      <c r="L440" s="315"/>
      <c r="M440" s="315"/>
      <c r="N440" s="315"/>
      <c r="O440" s="315"/>
      <c r="P440" s="315"/>
      <c r="Q440" s="315"/>
    </row>
    <row r="441" spans="1:17" s="316" customFormat="1">
      <c r="A441" s="288"/>
      <c r="B441" s="284"/>
      <c r="C441" s="263"/>
      <c r="D441" s="311"/>
      <c r="E441" s="262"/>
      <c r="F441" s="262"/>
      <c r="G441" s="302"/>
      <c r="H441" s="302"/>
      <c r="I441" s="312"/>
      <c r="J441" s="315"/>
      <c r="K441" s="315"/>
      <c r="L441" s="315"/>
      <c r="M441" s="315"/>
      <c r="N441" s="315"/>
      <c r="O441" s="315"/>
      <c r="P441" s="315"/>
      <c r="Q441" s="315"/>
    </row>
    <row r="442" spans="1:17" s="316" customFormat="1">
      <c r="A442" s="288"/>
      <c r="B442" s="284"/>
      <c r="C442" s="263"/>
      <c r="D442" s="311"/>
      <c r="E442" s="262"/>
      <c r="F442" s="262"/>
      <c r="G442" s="302"/>
      <c r="H442" s="302"/>
      <c r="I442" s="312"/>
      <c r="J442" s="315"/>
      <c r="K442" s="315"/>
      <c r="L442" s="315"/>
      <c r="M442" s="315"/>
      <c r="N442" s="315"/>
      <c r="O442" s="315"/>
      <c r="P442" s="315"/>
      <c r="Q442" s="315"/>
    </row>
    <row r="443" spans="1:17" s="316" customFormat="1">
      <c r="A443" s="288"/>
      <c r="B443" s="284"/>
      <c r="C443" s="263"/>
      <c r="D443" s="311"/>
      <c r="E443" s="262"/>
      <c r="F443" s="262"/>
      <c r="G443" s="302"/>
      <c r="H443" s="302"/>
      <c r="I443" s="312"/>
      <c r="J443" s="315"/>
      <c r="K443" s="315"/>
      <c r="L443" s="315"/>
      <c r="M443" s="315"/>
      <c r="N443" s="315"/>
      <c r="O443" s="315"/>
      <c r="P443" s="315"/>
      <c r="Q443" s="315"/>
    </row>
    <row r="444" spans="1:17" s="316" customFormat="1">
      <c r="A444" s="288"/>
      <c r="B444" s="284"/>
      <c r="C444" s="263"/>
      <c r="D444" s="311"/>
      <c r="E444" s="262"/>
      <c r="F444" s="262"/>
      <c r="G444" s="302"/>
      <c r="H444" s="302"/>
      <c r="I444" s="312"/>
      <c r="J444" s="315"/>
      <c r="K444" s="315"/>
      <c r="L444" s="315"/>
      <c r="M444" s="315"/>
      <c r="N444" s="315"/>
      <c r="O444" s="315"/>
      <c r="P444" s="315"/>
      <c r="Q444" s="315"/>
    </row>
    <row r="445" spans="1:17" s="316" customFormat="1">
      <c r="A445" s="288"/>
      <c r="B445" s="284"/>
      <c r="C445" s="263"/>
      <c r="D445" s="311"/>
      <c r="E445" s="262"/>
      <c r="F445" s="262"/>
      <c r="G445" s="302"/>
      <c r="H445" s="302"/>
      <c r="I445" s="312"/>
      <c r="J445" s="315"/>
      <c r="K445" s="315"/>
      <c r="L445" s="315"/>
      <c r="M445" s="315"/>
      <c r="N445" s="315"/>
      <c r="O445" s="315"/>
      <c r="P445" s="315"/>
      <c r="Q445" s="315"/>
    </row>
    <row r="446" spans="1:17" s="316" customFormat="1">
      <c r="A446" s="288"/>
      <c r="B446" s="284"/>
      <c r="C446" s="263"/>
      <c r="D446" s="311"/>
      <c r="E446" s="262"/>
      <c r="F446" s="262"/>
      <c r="G446" s="302"/>
      <c r="H446" s="302"/>
      <c r="I446" s="312"/>
      <c r="J446" s="315"/>
      <c r="K446" s="315"/>
      <c r="L446" s="315"/>
      <c r="M446" s="315"/>
      <c r="N446" s="315"/>
      <c r="O446" s="315"/>
      <c r="P446" s="315"/>
      <c r="Q446" s="315"/>
    </row>
    <row r="447" spans="1:17" s="316" customFormat="1">
      <c r="A447" s="288"/>
      <c r="B447" s="284"/>
      <c r="C447" s="263"/>
      <c r="D447" s="311"/>
      <c r="E447" s="262"/>
      <c r="F447" s="262"/>
      <c r="G447" s="302"/>
      <c r="H447" s="302"/>
      <c r="I447" s="312"/>
      <c r="J447" s="315"/>
      <c r="K447" s="315"/>
      <c r="L447" s="315"/>
      <c r="M447" s="315"/>
      <c r="N447" s="315"/>
      <c r="O447" s="315"/>
      <c r="P447" s="315"/>
      <c r="Q447" s="315"/>
    </row>
    <row r="448" spans="1:17" s="316" customFormat="1">
      <c r="A448" s="288"/>
      <c r="B448" s="284"/>
      <c r="C448" s="263"/>
      <c r="D448" s="311"/>
      <c r="E448" s="262"/>
      <c r="F448" s="262"/>
      <c r="G448" s="302"/>
      <c r="H448" s="302"/>
      <c r="I448" s="312"/>
      <c r="J448" s="315"/>
      <c r="K448" s="315"/>
      <c r="L448" s="315"/>
      <c r="M448" s="315"/>
      <c r="N448" s="315"/>
      <c r="O448" s="315"/>
      <c r="P448" s="315"/>
      <c r="Q448" s="315"/>
    </row>
    <row r="449" spans="1:17" s="316" customFormat="1">
      <c r="A449" s="288"/>
      <c r="B449" s="284"/>
      <c r="C449" s="263"/>
      <c r="D449" s="311"/>
      <c r="E449" s="262"/>
      <c r="F449" s="262"/>
      <c r="G449" s="302"/>
      <c r="H449" s="302"/>
      <c r="I449" s="312"/>
      <c r="J449" s="315"/>
      <c r="K449" s="315"/>
      <c r="L449" s="315"/>
      <c r="M449" s="315"/>
      <c r="N449" s="315"/>
      <c r="O449" s="315"/>
      <c r="P449" s="315"/>
      <c r="Q449" s="315"/>
    </row>
    <row r="450" spans="1:17" s="316" customFormat="1">
      <c r="A450" s="288"/>
      <c r="B450" s="284"/>
      <c r="C450" s="263"/>
      <c r="D450" s="311"/>
      <c r="E450" s="262"/>
      <c r="F450" s="262"/>
      <c r="G450" s="302"/>
      <c r="H450" s="302"/>
      <c r="I450" s="312"/>
      <c r="J450" s="315"/>
      <c r="K450" s="315"/>
      <c r="L450" s="315"/>
      <c r="M450" s="315"/>
      <c r="N450" s="315"/>
      <c r="O450" s="315"/>
      <c r="P450" s="315"/>
      <c r="Q450" s="315"/>
    </row>
    <row r="451" spans="1:17" s="316" customFormat="1">
      <c r="A451" s="288"/>
      <c r="B451" s="284"/>
      <c r="C451" s="263"/>
      <c r="D451" s="311"/>
      <c r="E451" s="262"/>
      <c r="F451" s="262"/>
      <c r="G451" s="302"/>
      <c r="H451" s="302"/>
      <c r="I451" s="312"/>
      <c r="J451" s="315"/>
      <c r="K451" s="315"/>
      <c r="L451" s="315"/>
      <c r="M451" s="315"/>
      <c r="N451" s="315"/>
      <c r="O451" s="315"/>
      <c r="P451" s="315"/>
      <c r="Q451" s="315"/>
    </row>
    <row r="452" spans="1:17" s="316" customFormat="1">
      <c r="A452" s="288"/>
      <c r="B452" s="284"/>
      <c r="C452" s="263"/>
      <c r="D452" s="311"/>
      <c r="E452" s="262"/>
      <c r="F452" s="262"/>
      <c r="G452" s="302"/>
      <c r="H452" s="302"/>
      <c r="I452" s="312"/>
      <c r="J452" s="315"/>
      <c r="K452" s="315"/>
      <c r="L452" s="315"/>
      <c r="M452" s="315"/>
      <c r="N452" s="315"/>
      <c r="O452" s="315"/>
      <c r="P452" s="315"/>
      <c r="Q452" s="315"/>
    </row>
    <row r="453" spans="1:17" s="316" customFormat="1">
      <c r="A453" s="288"/>
      <c r="B453" s="284"/>
      <c r="C453" s="263"/>
      <c r="D453" s="311"/>
      <c r="E453" s="262"/>
      <c r="F453" s="262"/>
      <c r="G453" s="302"/>
      <c r="H453" s="302"/>
      <c r="I453" s="312"/>
      <c r="J453" s="315"/>
      <c r="K453" s="315"/>
      <c r="L453" s="315"/>
      <c r="M453" s="315"/>
      <c r="N453" s="315"/>
      <c r="O453" s="315"/>
      <c r="P453" s="315"/>
      <c r="Q453" s="315"/>
    </row>
    <row r="454" spans="1:17" s="316" customFormat="1">
      <c r="A454" s="288"/>
      <c r="B454" s="284"/>
      <c r="C454" s="263"/>
      <c r="D454" s="311"/>
      <c r="E454" s="262"/>
      <c r="F454" s="262"/>
      <c r="G454" s="302"/>
      <c r="H454" s="302"/>
      <c r="I454" s="312"/>
      <c r="J454" s="315"/>
      <c r="K454" s="315"/>
      <c r="L454" s="315"/>
      <c r="M454" s="315"/>
      <c r="N454" s="315"/>
      <c r="O454" s="315"/>
      <c r="P454" s="315"/>
      <c r="Q454" s="315"/>
    </row>
    <row r="455" spans="1:17" s="316" customFormat="1">
      <c r="A455" s="288"/>
      <c r="B455" s="284"/>
      <c r="C455" s="263"/>
      <c r="D455" s="311"/>
      <c r="E455" s="262"/>
      <c r="F455" s="262"/>
      <c r="G455" s="302"/>
      <c r="H455" s="302"/>
      <c r="I455" s="312"/>
      <c r="J455" s="315"/>
      <c r="K455" s="315"/>
      <c r="L455" s="315"/>
      <c r="M455" s="315"/>
      <c r="N455" s="315"/>
      <c r="O455" s="315"/>
      <c r="P455" s="315"/>
      <c r="Q455" s="315"/>
    </row>
    <row r="456" spans="1:17" s="316" customFormat="1">
      <c r="A456" s="288"/>
      <c r="B456" s="284"/>
      <c r="C456" s="263"/>
      <c r="D456" s="311"/>
      <c r="E456" s="262"/>
      <c r="F456" s="262"/>
      <c r="G456" s="302"/>
      <c r="H456" s="302"/>
      <c r="I456" s="312"/>
      <c r="J456" s="315"/>
      <c r="K456" s="315"/>
      <c r="L456" s="315"/>
      <c r="M456" s="315"/>
      <c r="N456" s="315"/>
      <c r="O456" s="315"/>
      <c r="P456" s="315"/>
      <c r="Q456" s="315"/>
    </row>
    <row r="457" spans="1:17" s="316" customFormat="1">
      <c r="A457" s="288"/>
      <c r="B457" s="284"/>
      <c r="C457" s="263"/>
      <c r="D457" s="311"/>
      <c r="E457" s="262"/>
      <c r="F457" s="262"/>
      <c r="G457" s="302"/>
      <c r="H457" s="302"/>
      <c r="I457" s="312"/>
      <c r="J457" s="315"/>
      <c r="K457" s="315"/>
      <c r="L457" s="315"/>
      <c r="M457" s="315"/>
      <c r="N457" s="315"/>
      <c r="O457" s="315"/>
      <c r="P457" s="315"/>
      <c r="Q457" s="315"/>
    </row>
    <row r="458" spans="1:17" s="316" customFormat="1">
      <c r="A458" s="288"/>
      <c r="B458" s="284"/>
      <c r="C458" s="263"/>
      <c r="D458" s="311"/>
      <c r="E458" s="262"/>
      <c r="F458" s="262"/>
      <c r="G458" s="302"/>
      <c r="H458" s="302"/>
      <c r="I458" s="312"/>
      <c r="J458" s="315"/>
      <c r="K458" s="315"/>
      <c r="L458" s="315"/>
      <c r="M458" s="315"/>
      <c r="N458" s="315"/>
      <c r="O458" s="315"/>
      <c r="P458" s="315"/>
      <c r="Q458" s="315"/>
    </row>
    <row r="459" spans="1:17" s="316" customFormat="1">
      <c r="A459" s="288"/>
      <c r="B459" s="284"/>
      <c r="C459" s="263"/>
      <c r="D459" s="311"/>
      <c r="E459" s="262"/>
      <c r="F459" s="262"/>
      <c r="G459" s="302"/>
      <c r="H459" s="302"/>
      <c r="I459" s="312"/>
      <c r="J459" s="315"/>
      <c r="K459" s="315"/>
      <c r="L459" s="315"/>
      <c r="M459" s="315"/>
      <c r="N459" s="315"/>
      <c r="O459" s="315"/>
      <c r="P459" s="315"/>
      <c r="Q459" s="315"/>
    </row>
    <row r="460" spans="1:17" s="316" customFormat="1">
      <c r="A460" s="288"/>
      <c r="B460" s="284"/>
      <c r="C460" s="263"/>
      <c r="D460" s="311"/>
      <c r="E460" s="262"/>
      <c r="F460" s="262"/>
      <c r="G460" s="302"/>
      <c r="H460" s="302"/>
      <c r="I460" s="312"/>
      <c r="J460" s="315"/>
      <c r="K460" s="315"/>
      <c r="L460" s="315"/>
      <c r="M460" s="315"/>
      <c r="N460" s="315"/>
      <c r="O460" s="315"/>
      <c r="P460" s="315"/>
      <c r="Q460" s="315"/>
    </row>
    <row r="461" spans="1:17" s="316" customFormat="1">
      <c r="A461" s="288"/>
      <c r="B461" s="284"/>
      <c r="C461" s="263"/>
      <c r="D461" s="311"/>
      <c r="E461" s="262"/>
      <c r="F461" s="262"/>
      <c r="G461" s="302"/>
      <c r="H461" s="302"/>
      <c r="I461" s="312"/>
      <c r="J461" s="315"/>
      <c r="K461" s="315"/>
      <c r="L461" s="315"/>
      <c r="M461" s="315"/>
      <c r="N461" s="315"/>
      <c r="O461" s="315"/>
      <c r="P461" s="315"/>
      <c r="Q461" s="315"/>
    </row>
    <row r="462" spans="1:17" s="316" customFormat="1">
      <c r="A462" s="288"/>
      <c r="B462" s="284"/>
      <c r="C462" s="263"/>
      <c r="D462" s="311"/>
      <c r="E462" s="262"/>
      <c r="F462" s="262"/>
      <c r="G462" s="302"/>
      <c r="H462" s="302"/>
      <c r="I462" s="312"/>
      <c r="J462" s="315"/>
      <c r="K462" s="315"/>
      <c r="L462" s="315"/>
      <c r="M462" s="315"/>
      <c r="N462" s="315"/>
      <c r="O462" s="315"/>
      <c r="P462" s="315"/>
      <c r="Q462" s="315"/>
    </row>
    <row r="463" spans="1:17" s="316" customFormat="1">
      <c r="A463" s="288"/>
      <c r="B463" s="284"/>
      <c r="C463" s="263"/>
      <c r="D463" s="311"/>
      <c r="E463" s="262"/>
      <c r="F463" s="262"/>
      <c r="G463" s="302"/>
      <c r="H463" s="302"/>
      <c r="I463" s="312"/>
      <c r="J463" s="315"/>
      <c r="K463" s="315"/>
      <c r="L463" s="315"/>
      <c r="M463" s="315"/>
      <c r="N463" s="315"/>
      <c r="O463" s="315"/>
      <c r="P463" s="315"/>
      <c r="Q463" s="315"/>
    </row>
    <row r="464" spans="1:17" s="316" customFormat="1">
      <c r="A464" s="288"/>
      <c r="B464" s="284"/>
      <c r="C464" s="263"/>
      <c r="D464" s="311"/>
      <c r="E464" s="262"/>
      <c r="F464" s="262"/>
      <c r="G464" s="302"/>
      <c r="H464" s="302"/>
      <c r="I464" s="312"/>
      <c r="J464" s="315"/>
      <c r="K464" s="315"/>
      <c r="L464" s="315"/>
      <c r="M464" s="315"/>
      <c r="N464" s="315"/>
      <c r="O464" s="315"/>
      <c r="P464" s="315"/>
      <c r="Q464" s="315"/>
    </row>
    <row r="465" spans="1:17" s="316" customFormat="1">
      <c r="A465" s="288"/>
      <c r="B465" s="284"/>
      <c r="C465" s="263"/>
      <c r="D465" s="311"/>
      <c r="E465" s="262"/>
      <c r="F465" s="262"/>
      <c r="G465" s="302"/>
      <c r="H465" s="302"/>
      <c r="I465" s="312"/>
      <c r="J465" s="315"/>
      <c r="K465" s="315"/>
      <c r="L465" s="315"/>
      <c r="M465" s="315"/>
      <c r="N465" s="315"/>
      <c r="O465" s="315"/>
      <c r="P465" s="315"/>
      <c r="Q465" s="315"/>
    </row>
    <row r="466" spans="1:17" s="316" customFormat="1">
      <c r="A466" s="288"/>
      <c r="B466" s="284"/>
      <c r="C466" s="263"/>
      <c r="D466" s="311"/>
      <c r="E466" s="262"/>
      <c r="F466" s="262"/>
      <c r="G466" s="302"/>
      <c r="H466" s="302"/>
      <c r="I466" s="312"/>
      <c r="J466" s="315"/>
      <c r="K466" s="315"/>
      <c r="L466" s="315"/>
      <c r="M466" s="315"/>
      <c r="N466" s="315"/>
      <c r="O466" s="315"/>
      <c r="P466" s="315"/>
      <c r="Q466" s="315"/>
    </row>
    <row r="467" spans="1:17" s="316" customFormat="1">
      <c r="A467" s="288"/>
      <c r="B467" s="284"/>
      <c r="C467" s="263"/>
      <c r="D467" s="311"/>
      <c r="E467" s="262"/>
      <c r="F467" s="262"/>
      <c r="G467" s="302"/>
      <c r="H467" s="302"/>
      <c r="I467" s="312"/>
      <c r="J467" s="315"/>
      <c r="K467" s="315"/>
      <c r="L467" s="315"/>
      <c r="M467" s="315"/>
      <c r="N467" s="315"/>
      <c r="O467" s="315"/>
      <c r="P467" s="315"/>
      <c r="Q467" s="315"/>
    </row>
    <row r="468" spans="1:17" s="316" customFormat="1">
      <c r="A468" s="288"/>
      <c r="B468" s="284"/>
      <c r="C468" s="263"/>
      <c r="D468" s="311"/>
      <c r="E468" s="262"/>
      <c r="F468" s="262"/>
      <c r="G468" s="302"/>
      <c r="H468" s="302"/>
      <c r="I468" s="312"/>
      <c r="J468" s="315"/>
      <c r="K468" s="315"/>
      <c r="L468" s="315"/>
      <c r="M468" s="315"/>
      <c r="N468" s="315"/>
      <c r="O468" s="315"/>
      <c r="P468" s="315"/>
      <c r="Q468" s="315"/>
    </row>
    <row r="469" spans="1:17" s="316" customFormat="1">
      <c r="A469" s="288"/>
      <c r="B469" s="284"/>
      <c r="C469" s="263"/>
      <c r="D469" s="311"/>
      <c r="E469" s="262"/>
      <c r="F469" s="262"/>
      <c r="G469" s="302"/>
      <c r="H469" s="302"/>
      <c r="I469" s="312"/>
      <c r="J469" s="315"/>
      <c r="K469" s="315"/>
      <c r="L469" s="315"/>
      <c r="M469" s="315"/>
      <c r="N469" s="315"/>
      <c r="O469" s="315"/>
      <c r="P469" s="315"/>
      <c r="Q469" s="315"/>
    </row>
    <row r="470" spans="1:17" s="316" customFormat="1">
      <c r="A470" s="288"/>
      <c r="B470" s="284"/>
      <c r="C470" s="263"/>
      <c r="D470" s="311"/>
      <c r="E470" s="262"/>
      <c r="F470" s="262"/>
      <c r="G470" s="302"/>
      <c r="H470" s="302"/>
      <c r="I470" s="312"/>
      <c r="J470" s="315"/>
      <c r="K470" s="315"/>
      <c r="L470" s="315"/>
      <c r="M470" s="315"/>
      <c r="N470" s="315"/>
      <c r="O470" s="315"/>
      <c r="P470" s="315"/>
      <c r="Q470" s="315"/>
    </row>
    <row r="471" spans="1:17" s="316" customFormat="1">
      <c r="A471" s="288"/>
      <c r="B471" s="284"/>
      <c r="C471" s="263"/>
      <c r="D471" s="311"/>
      <c r="E471" s="262"/>
      <c r="F471" s="262"/>
      <c r="G471" s="302"/>
      <c r="H471" s="302"/>
      <c r="I471" s="312"/>
      <c r="J471" s="315"/>
      <c r="K471" s="315"/>
      <c r="L471" s="315"/>
      <c r="M471" s="315"/>
      <c r="N471" s="315"/>
      <c r="O471" s="315"/>
      <c r="P471" s="315"/>
      <c r="Q471" s="315"/>
    </row>
    <row r="472" spans="1:17" s="316" customFormat="1">
      <c r="A472" s="288"/>
      <c r="B472" s="284"/>
      <c r="C472" s="263"/>
      <c r="D472" s="311"/>
      <c r="E472" s="262"/>
      <c r="F472" s="262"/>
      <c r="G472" s="302"/>
      <c r="H472" s="302"/>
      <c r="I472" s="312"/>
      <c r="J472" s="315"/>
      <c r="K472" s="315"/>
      <c r="L472" s="315"/>
      <c r="M472" s="315"/>
      <c r="N472" s="315"/>
      <c r="O472" s="315"/>
      <c r="P472" s="315"/>
      <c r="Q472" s="315"/>
    </row>
    <row r="473" spans="1:17" s="316" customFormat="1">
      <c r="A473" s="288"/>
      <c r="B473" s="284"/>
      <c r="C473" s="263"/>
      <c r="D473" s="311"/>
      <c r="E473" s="262"/>
      <c r="F473" s="262"/>
      <c r="G473" s="302"/>
      <c r="H473" s="302"/>
      <c r="I473" s="312"/>
      <c r="J473" s="315"/>
      <c r="K473" s="315"/>
      <c r="L473" s="315"/>
      <c r="M473" s="315"/>
      <c r="N473" s="315"/>
      <c r="O473" s="315"/>
      <c r="P473" s="315"/>
      <c r="Q473" s="315"/>
    </row>
    <row r="474" spans="1:17" s="316" customFormat="1">
      <c r="A474" s="288"/>
      <c r="B474" s="284"/>
      <c r="C474" s="263"/>
      <c r="D474" s="311"/>
      <c r="E474" s="262"/>
      <c r="F474" s="262"/>
      <c r="G474" s="302"/>
      <c r="H474" s="302"/>
      <c r="I474" s="312"/>
      <c r="J474" s="315"/>
      <c r="K474" s="315"/>
      <c r="L474" s="315"/>
      <c r="M474" s="315"/>
      <c r="N474" s="315"/>
      <c r="O474" s="315"/>
      <c r="P474" s="315"/>
      <c r="Q474" s="315"/>
    </row>
    <row r="475" spans="1:17" s="316" customFormat="1">
      <c r="A475" s="288"/>
      <c r="B475" s="284"/>
      <c r="C475" s="263"/>
      <c r="D475" s="311"/>
      <c r="E475" s="262"/>
      <c r="F475" s="262"/>
      <c r="G475" s="302"/>
      <c r="H475" s="302"/>
      <c r="I475" s="312"/>
      <c r="J475" s="315"/>
      <c r="K475" s="315"/>
      <c r="L475" s="315"/>
      <c r="M475" s="315"/>
      <c r="N475" s="315"/>
      <c r="O475" s="315"/>
      <c r="P475" s="315"/>
      <c r="Q475" s="315"/>
    </row>
    <row r="476" spans="1:17" s="316" customFormat="1">
      <c r="A476" s="288"/>
      <c r="B476" s="284"/>
      <c r="C476" s="263"/>
      <c r="D476" s="311"/>
      <c r="E476" s="262"/>
      <c r="F476" s="262"/>
      <c r="G476" s="302"/>
      <c r="H476" s="302"/>
      <c r="I476" s="312"/>
      <c r="J476" s="315"/>
      <c r="K476" s="315"/>
      <c r="L476" s="315"/>
      <c r="M476" s="315"/>
      <c r="N476" s="315"/>
      <c r="O476" s="315"/>
      <c r="P476" s="315"/>
      <c r="Q476" s="315"/>
    </row>
    <row r="477" spans="1:17" s="316" customFormat="1">
      <c r="A477" s="288"/>
      <c r="B477" s="284"/>
      <c r="C477" s="263"/>
      <c r="D477" s="311"/>
      <c r="E477" s="262"/>
      <c r="F477" s="262"/>
      <c r="G477" s="302"/>
      <c r="H477" s="302"/>
      <c r="I477" s="312"/>
      <c r="J477" s="315"/>
      <c r="K477" s="315"/>
      <c r="L477" s="315"/>
      <c r="M477" s="315"/>
      <c r="N477" s="315"/>
      <c r="O477" s="315"/>
      <c r="P477" s="315"/>
      <c r="Q477" s="315"/>
    </row>
    <row r="478" spans="1:17" s="316" customFormat="1">
      <c r="A478" s="288"/>
      <c r="B478" s="284"/>
      <c r="C478" s="263"/>
      <c r="D478" s="311"/>
      <c r="E478" s="262"/>
      <c r="F478" s="262"/>
      <c r="G478" s="302"/>
      <c r="H478" s="302"/>
      <c r="I478" s="312"/>
      <c r="J478" s="315"/>
      <c r="K478" s="315"/>
      <c r="L478" s="315"/>
      <c r="M478" s="315"/>
      <c r="N478" s="315"/>
      <c r="O478" s="315"/>
      <c r="P478" s="315"/>
      <c r="Q478" s="315"/>
    </row>
    <row r="479" spans="1:17" s="316" customFormat="1">
      <c r="A479" s="288"/>
      <c r="B479" s="284"/>
      <c r="C479" s="263"/>
      <c r="D479" s="311"/>
      <c r="E479" s="262"/>
      <c r="F479" s="262"/>
      <c r="G479" s="302"/>
      <c r="H479" s="302"/>
      <c r="I479" s="312"/>
      <c r="J479" s="315"/>
      <c r="K479" s="315"/>
      <c r="L479" s="315"/>
      <c r="M479" s="315"/>
      <c r="N479" s="315"/>
      <c r="O479" s="315"/>
      <c r="P479" s="315"/>
      <c r="Q479" s="315"/>
    </row>
    <row r="480" spans="1:17" s="316" customFormat="1">
      <c r="A480" s="288"/>
      <c r="B480" s="284"/>
      <c r="C480" s="263"/>
      <c r="D480" s="311"/>
      <c r="E480" s="262"/>
      <c r="F480" s="262"/>
      <c r="G480" s="302"/>
      <c r="H480" s="302"/>
      <c r="I480" s="312"/>
      <c r="J480" s="315"/>
      <c r="K480" s="315"/>
      <c r="L480" s="315"/>
      <c r="M480" s="315"/>
      <c r="N480" s="315"/>
      <c r="O480" s="315"/>
      <c r="P480" s="315"/>
      <c r="Q480" s="315"/>
    </row>
    <row r="481" spans="1:17" s="316" customFormat="1">
      <c r="A481" s="288"/>
      <c r="B481" s="284"/>
      <c r="C481" s="263"/>
      <c r="D481" s="311"/>
      <c r="E481" s="262"/>
      <c r="F481" s="262"/>
      <c r="G481" s="302"/>
      <c r="H481" s="302"/>
      <c r="I481" s="312"/>
      <c r="J481" s="315"/>
      <c r="K481" s="315"/>
      <c r="L481" s="315"/>
      <c r="M481" s="315"/>
      <c r="N481" s="315"/>
      <c r="O481" s="315"/>
      <c r="P481" s="315"/>
      <c r="Q481" s="315"/>
    </row>
    <row r="482" spans="1:17" s="316" customFormat="1">
      <c r="A482" s="288"/>
      <c r="B482" s="284"/>
      <c r="C482" s="263"/>
      <c r="D482" s="311"/>
      <c r="E482" s="262"/>
      <c r="F482" s="262"/>
      <c r="G482" s="302"/>
      <c r="H482" s="302"/>
      <c r="I482" s="312"/>
      <c r="J482" s="315"/>
      <c r="K482" s="315"/>
      <c r="L482" s="315"/>
      <c r="M482" s="315"/>
      <c r="N482" s="315"/>
      <c r="O482" s="315"/>
      <c r="P482" s="315"/>
      <c r="Q482" s="315"/>
    </row>
    <row r="483" spans="1:17" s="316" customFormat="1">
      <c r="A483" s="288"/>
      <c r="B483" s="284"/>
      <c r="C483" s="263"/>
      <c r="D483" s="311"/>
      <c r="E483" s="262"/>
      <c r="F483" s="262"/>
      <c r="G483" s="302"/>
      <c r="H483" s="302"/>
      <c r="I483" s="312"/>
      <c r="J483" s="315"/>
      <c r="K483" s="315"/>
      <c r="L483" s="315"/>
      <c r="M483" s="315"/>
      <c r="N483" s="315"/>
      <c r="O483" s="315"/>
      <c r="P483" s="315"/>
      <c r="Q483" s="315"/>
    </row>
    <row r="484" spans="1:17" s="316" customFormat="1">
      <c r="A484" s="288"/>
      <c r="B484" s="284"/>
      <c r="C484" s="263"/>
      <c r="D484" s="311"/>
      <c r="E484" s="262"/>
      <c r="F484" s="262"/>
      <c r="G484" s="302"/>
      <c r="H484" s="302"/>
      <c r="I484" s="312"/>
      <c r="J484" s="315"/>
      <c r="K484" s="315"/>
      <c r="L484" s="315"/>
      <c r="M484" s="315"/>
      <c r="N484" s="315"/>
      <c r="O484" s="315"/>
      <c r="P484" s="315"/>
      <c r="Q484" s="315"/>
    </row>
    <row r="485" spans="1:17" s="316" customFormat="1">
      <c r="A485" s="288"/>
      <c r="B485" s="284"/>
      <c r="C485" s="263"/>
      <c r="D485" s="311"/>
      <c r="E485" s="262"/>
      <c r="F485" s="262"/>
      <c r="G485" s="302"/>
      <c r="H485" s="302"/>
      <c r="I485" s="312"/>
      <c r="J485" s="315"/>
      <c r="K485" s="315"/>
      <c r="L485" s="315"/>
      <c r="M485" s="315"/>
      <c r="N485" s="315"/>
      <c r="O485" s="315"/>
      <c r="P485" s="315"/>
      <c r="Q485" s="315"/>
    </row>
    <row r="486" spans="1:17" s="316" customFormat="1">
      <c r="A486" s="288"/>
      <c r="B486" s="284"/>
      <c r="C486" s="263"/>
      <c r="D486" s="311"/>
      <c r="E486" s="262"/>
      <c r="F486" s="262"/>
      <c r="G486" s="302"/>
      <c r="H486" s="302"/>
      <c r="I486" s="312"/>
      <c r="J486" s="315"/>
      <c r="K486" s="315"/>
      <c r="L486" s="315"/>
      <c r="M486" s="315"/>
      <c r="N486" s="315"/>
      <c r="O486" s="315"/>
      <c r="P486" s="315"/>
      <c r="Q486" s="315"/>
    </row>
    <row r="487" spans="1:17" s="316" customFormat="1">
      <c r="A487" s="288"/>
      <c r="B487" s="284"/>
      <c r="C487" s="263"/>
      <c r="D487" s="311"/>
      <c r="E487" s="262"/>
      <c r="F487" s="262"/>
      <c r="G487" s="302"/>
      <c r="H487" s="302"/>
      <c r="I487" s="312"/>
      <c r="J487" s="315"/>
      <c r="K487" s="315"/>
      <c r="L487" s="315"/>
      <c r="M487" s="315"/>
      <c r="N487" s="315"/>
      <c r="O487" s="315"/>
      <c r="P487" s="315"/>
      <c r="Q487" s="315"/>
    </row>
    <row r="488" spans="1:17" s="316" customFormat="1">
      <c r="A488" s="288"/>
      <c r="B488" s="284"/>
      <c r="C488" s="263"/>
      <c r="D488" s="311"/>
      <c r="E488" s="262"/>
      <c r="F488" s="262"/>
      <c r="G488" s="302"/>
      <c r="H488" s="302"/>
      <c r="I488" s="312"/>
      <c r="J488" s="315"/>
      <c r="K488" s="315"/>
      <c r="L488" s="315"/>
      <c r="M488" s="315"/>
      <c r="N488" s="315"/>
      <c r="O488" s="315"/>
      <c r="P488" s="315"/>
      <c r="Q488" s="315"/>
    </row>
    <row r="489" spans="1:17" s="316" customFormat="1">
      <c r="A489" s="288"/>
      <c r="B489" s="284"/>
      <c r="C489" s="263"/>
      <c r="D489" s="311"/>
      <c r="E489" s="262"/>
      <c r="F489" s="262"/>
      <c r="G489" s="302"/>
      <c r="H489" s="302"/>
      <c r="I489" s="312"/>
      <c r="J489" s="315"/>
      <c r="K489" s="315"/>
      <c r="L489" s="315"/>
      <c r="M489" s="315"/>
      <c r="N489" s="315"/>
      <c r="O489" s="315"/>
      <c r="P489" s="315"/>
      <c r="Q489" s="315"/>
    </row>
    <row r="490" spans="1:17" s="316" customFormat="1">
      <c r="A490" s="288"/>
      <c r="B490" s="284"/>
      <c r="C490" s="263"/>
      <c r="D490" s="311"/>
      <c r="E490" s="262"/>
      <c r="F490" s="262"/>
      <c r="G490" s="302"/>
      <c r="H490" s="302"/>
      <c r="I490" s="312"/>
      <c r="J490" s="315"/>
      <c r="K490" s="315"/>
      <c r="L490" s="315"/>
      <c r="M490" s="315"/>
      <c r="N490" s="315"/>
      <c r="O490" s="315"/>
      <c r="P490" s="315"/>
      <c r="Q490" s="315"/>
    </row>
    <row r="491" spans="1:17" s="316" customFormat="1">
      <c r="A491" s="288"/>
      <c r="B491" s="284"/>
      <c r="C491" s="263"/>
      <c r="D491" s="311"/>
      <c r="E491" s="262"/>
      <c r="F491" s="262"/>
      <c r="G491" s="302"/>
      <c r="H491" s="302"/>
      <c r="I491" s="312"/>
      <c r="J491" s="315"/>
      <c r="K491" s="315"/>
      <c r="L491" s="315"/>
      <c r="M491" s="315"/>
      <c r="N491" s="315"/>
      <c r="O491" s="315"/>
      <c r="P491" s="315"/>
      <c r="Q491" s="315"/>
    </row>
    <row r="492" spans="1:17" s="316" customFormat="1">
      <c r="A492" s="288"/>
      <c r="B492" s="284"/>
      <c r="C492" s="263"/>
      <c r="D492" s="311"/>
      <c r="E492" s="262"/>
      <c r="F492" s="262"/>
      <c r="G492" s="302"/>
      <c r="H492" s="302"/>
      <c r="I492" s="312"/>
      <c r="J492" s="315"/>
      <c r="K492" s="315"/>
      <c r="L492" s="315"/>
      <c r="M492" s="315"/>
      <c r="N492" s="315"/>
      <c r="O492" s="315"/>
      <c r="P492" s="315"/>
      <c r="Q492" s="315"/>
    </row>
    <row r="493" spans="1:17" s="316" customFormat="1">
      <c r="A493" s="288"/>
      <c r="B493" s="284"/>
      <c r="C493" s="263"/>
      <c r="D493" s="311"/>
      <c r="E493" s="262"/>
      <c r="F493" s="262"/>
      <c r="G493" s="302"/>
      <c r="H493" s="302"/>
      <c r="I493" s="312"/>
      <c r="J493" s="315"/>
      <c r="K493" s="315"/>
      <c r="L493" s="315"/>
      <c r="M493" s="315"/>
      <c r="N493" s="315"/>
      <c r="O493" s="315"/>
      <c r="P493" s="315"/>
      <c r="Q493" s="315"/>
    </row>
    <row r="494" spans="1:17" s="316" customFormat="1">
      <c r="A494" s="288"/>
      <c r="B494" s="284"/>
      <c r="C494" s="263"/>
      <c r="D494" s="311"/>
      <c r="E494" s="262"/>
      <c r="F494" s="262"/>
      <c r="G494" s="302"/>
      <c r="H494" s="302"/>
      <c r="I494" s="312"/>
      <c r="J494" s="315"/>
      <c r="K494" s="315"/>
      <c r="L494" s="315"/>
      <c r="M494" s="315"/>
      <c r="N494" s="315"/>
      <c r="O494" s="315"/>
      <c r="P494" s="315"/>
      <c r="Q494" s="315"/>
    </row>
    <row r="495" spans="1:17" s="316" customFormat="1">
      <c r="A495" s="288"/>
      <c r="B495" s="284"/>
      <c r="C495" s="263"/>
      <c r="D495" s="311"/>
      <c r="E495" s="262"/>
      <c r="F495" s="262"/>
      <c r="G495" s="302"/>
      <c r="H495" s="302"/>
      <c r="I495" s="312"/>
      <c r="J495" s="315"/>
      <c r="K495" s="315"/>
      <c r="L495" s="315"/>
      <c r="M495" s="315"/>
      <c r="N495" s="315"/>
      <c r="O495" s="315"/>
      <c r="P495" s="315"/>
      <c r="Q495" s="315"/>
    </row>
    <row r="496" spans="1:17" s="316" customFormat="1">
      <c r="A496" s="288"/>
      <c r="B496" s="284"/>
      <c r="C496" s="263"/>
      <c r="D496" s="311"/>
      <c r="E496" s="262"/>
      <c r="F496" s="262"/>
      <c r="G496" s="302"/>
      <c r="H496" s="302"/>
      <c r="I496" s="312"/>
      <c r="J496" s="315"/>
      <c r="K496" s="315"/>
      <c r="L496" s="315"/>
      <c r="M496" s="315"/>
      <c r="N496" s="315"/>
      <c r="O496" s="315"/>
      <c r="P496" s="315"/>
      <c r="Q496" s="315"/>
    </row>
    <row r="497" spans="1:17" s="316" customFormat="1">
      <c r="A497" s="288"/>
      <c r="B497" s="284"/>
      <c r="C497" s="263"/>
      <c r="D497" s="311"/>
      <c r="E497" s="262"/>
      <c r="F497" s="262"/>
      <c r="G497" s="302"/>
      <c r="H497" s="302"/>
      <c r="I497" s="312"/>
      <c r="J497" s="315"/>
      <c r="K497" s="315"/>
      <c r="L497" s="315"/>
      <c r="M497" s="315"/>
      <c r="N497" s="315"/>
      <c r="O497" s="315"/>
      <c r="P497" s="315"/>
      <c r="Q497" s="315"/>
    </row>
    <row r="498" spans="1:17" s="316" customFormat="1">
      <c r="A498" s="288"/>
      <c r="B498" s="284"/>
      <c r="C498" s="263"/>
      <c r="D498" s="311"/>
      <c r="E498" s="262"/>
      <c r="F498" s="262"/>
      <c r="G498" s="302"/>
      <c r="H498" s="302"/>
      <c r="I498" s="312"/>
      <c r="J498" s="315"/>
      <c r="K498" s="315"/>
      <c r="L498" s="315"/>
      <c r="M498" s="315"/>
      <c r="N498" s="315"/>
      <c r="O498" s="315"/>
      <c r="P498" s="315"/>
      <c r="Q498" s="315"/>
    </row>
    <row r="499" spans="1:17" s="316" customFormat="1">
      <c r="A499" s="288"/>
      <c r="B499" s="284"/>
      <c r="C499" s="263"/>
      <c r="D499" s="311"/>
      <c r="E499" s="262"/>
      <c r="F499" s="262"/>
      <c r="G499" s="302"/>
      <c r="H499" s="302"/>
      <c r="I499" s="312"/>
      <c r="J499" s="315"/>
      <c r="K499" s="315"/>
      <c r="L499" s="315"/>
      <c r="M499" s="315"/>
      <c r="N499" s="315"/>
      <c r="O499" s="315"/>
      <c r="P499" s="315"/>
      <c r="Q499" s="315"/>
    </row>
    <row r="500" spans="1:17" s="316" customFormat="1">
      <c r="A500" s="288"/>
      <c r="B500" s="284"/>
      <c r="C500" s="263"/>
      <c r="D500" s="311"/>
      <c r="E500" s="262"/>
      <c r="F500" s="262"/>
      <c r="G500" s="302"/>
      <c r="H500" s="302"/>
      <c r="I500" s="312"/>
      <c r="J500" s="315"/>
      <c r="K500" s="315"/>
      <c r="L500" s="315"/>
      <c r="M500" s="315"/>
      <c r="N500" s="315"/>
      <c r="O500" s="315"/>
      <c r="P500" s="315"/>
      <c r="Q500" s="315"/>
    </row>
    <row r="501" spans="1:17" s="316" customFormat="1">
      <c r="A501" s="288"/>
      <c r="B501" s="284"/>
      <c r="C501" s="263"/>
      <c r="D501" s="311"/>
      <c r="E501" s="262"/>
      <c r="F501" s="262"/>
      <c r="G501" s="302"/>
      <c r="H501" s="302"/>
      <c r="I501" s="312"/>
      <c r="J501" s="315"/>
      <c r="K501" s="315"/>
      <c r="L501" s="315"/>
      <c r="M501" s="315"/>
      <c r="N501" s="315"/>
      <c r="O501" s="315"/>
      <c r="P501" s="315"/>
      <c r="Q501" s="315"/>
    </row>
    <row r="502" spans="1:17" s="316" customFormat="1">
      <c r="A502" s="288"/>
      <c r="B502" s="284"/>
      <c r="C502" s="263"/>
      <c r="D502" s="311"/>
      <c r="E502" s="262"/>
      <c r="F502" s="262"/>
      <c r="G502" s="302"/>
      <c r="H502" s="302"/>
      <c r="I502" s="312"/>
      <c r="J502" s="315"/>
      <c r="K502" s="315"/>
      <c r="L502" s="315"/>
      <c r="M502" s="315"/>
      <c r="N502" s="315"/>
      <c r="O502" s="315"/>
      <c r="P502" s="315"/>
      <c r="Q502" s="315"/>
    </row>
    <row r="503" spans="1:17" s="316" customFormat="1">
      <c r="A503" s="288"/>
      <c r="B503" s="284"/>
      <c r="C503" s="263"/>
      <c r="D503" s="311"/>
      <c r="E503" s="262"/>
      <c r="F503" s="262"/>
      <c r="G503" s="302"/>
      <c r="H503" s="302"/>
      <c r="I503" s="312"/>
      <c r="J503" s="315"/>
      <c r="K503" s="315"/>
      <c r="L503" s="315"/>
      <c r="M503" s="315"/>
      <c r="N503" s="315"/>
      <c r="O503" s="315"/>
      <c r="P503" s="315"/>
      <c r="Q503" s="315"/>
    </row>
    <row r="504" spans="1:17" s="316" customFormat="1">
      <c r="A504" s="288"/>
      <c r="B504" s="284"/>
      <c r="C504" s="263"/>
      <c r="D504" s="311"/>
      <c r="E504" s="262"/>
      <c r="F504" s="262"/>
      <c r="G504" s="302"/>
      <c r="H504" s="302"/>
      <c r="I504" s="312"/>
      <c r="J504" s="315"/>
      <c r="K504" s="315"/>
      <c r="L504" s="315"/>
      <c r="M504" s="315"/>
      <c r="N504" s="315"/>
      <c r="O504" s="315"/>
      <c r="P504" s="315"/>
      <c r="Q504" s="315"/>
    </row>
    <row r="505" spans="1:17" s="316" customFormat="1">
      <c r="A505" s="288"/>
      <c r="B505" s="284"/>
      <c r="C505" s="263"/>
      <c r="D505" s="311"/>
      <c r="E505" s="262"/>
      <c r="F505" s="262"/>
      <c r="G505" s="302"/>
      <c r="H505" s="302"/>
      <c r="I505" s="312"/>
      <c r="J505" s="315"/>
      <c r="K505" s="315"/>
      <c r="L505" s="315"/>
      <c r="M505" s="315"/>
      <c r="N505" s="315"/>
      <c r="O505" s="315"/>
      <c r="P505" s="315"/>
      <c r="Q505" s="315"/>
    </row>
    <row r="506" spans="1:17" s="316" customFormat="1">
      <c r="A506" s="288"/>
      <c r="B506" s="284"/>
      <c r="C506" s="263"/>
      <c r="D506" s="311"/>
      <c r="E506" s="262"/>
      <c r="F506" s="262"/>
      <c r="G506" s="302"/>
      <c r="H506" s="302"/>
      <c r="I506" s="312"/>
      <c r="J506" s="315"/>
      <c r="K506" s="315"/>
      <c r="L506" s="315"/>
      <c r="M506" s="315"/>
      <c r="N506" s="315"/>
      <c r="O506" s="315"/>
      <c r="P506" s="315"/>
      <c r="Q506" s="315"/>
    </row>
    <row r="507" spans="1:17" s="316" customFormat="1">
      <c r="A507" s="288"/>
      <c r="B507" s="284"/>
      <c r="C507" s="263"/>
      <c r="D507" s="311"/>
      <c r="E507" s="262"/>
      <c r="F507" s="262"/>
      <c r="G507" s="302"/>
      <c r="H507" s="302"/>
      <c r="I507" s="312"/>
      <c r="J507" s="315"/>
      <c r="K507" s="315"/>
      <c r="L507" s="315"/>
      <c r="M507" s="315"/>
      <c r="N507" s="315"/>
      <c r="O507" s="315"/>
      <c r="P507" s="315"/>
      <c r="Q507" s="315"/>
    </row>
    <row r="508" spans="1:17" s="316" customFormat="1">
      <c r="A508" s="288"/>
      <c r="B508" s="284"/>
      <c r="C508" s="263"/>
      <c r="D508" s="311"/>
      <c r="E508" s="262"/>
      <c r="F508" s="262"/>
      <c r="G508" s="302"/>
      <c r="H508" s="302"/>
      <c r="I508" s="312"/>
      <c r="J508" s="315"/>
      <c r="K508" s="315"/>
      <c r="L508" s="315"/>
      <c r="M508" s="315"/>
      <c r="N508" s="315"/>
      <c r="O508" s="315"/>
      <c r="P508" s="315"/>
      <c r="Q508" s="315"/>
    </row>
    <row r="509" spans="1:17" s="316" customFormat="1">
      <c r="A509" s="288"/>
      <c r="B509" s="284"/>
      <c r="C509" s="263"/>
      <c r="D509" s="311"/>
      <c r="E509" s="262"/>
      <c r="F509" s="262"/>
      <c r="G509" s="302"/>
      <c r="H509" s="302"/>
      <c r="I509" s="312"/>
      <c r="J509" s="315"/>
      <c r="K509" s="315"/>
      <c r="L509" s="315"/>
      <c r="M509" s="315"/>
      <c r="N509" s="315"/>
      <c r="O509" s="315"/>
      <c r="P509" s="315"/>
      <c r="Q509" s="315"/>
    </row>
    <row r="510" spans="1:17" s="316" customFormat="1">
      <c r="A510" s="288"/>
      <c r="B510" s="284"/>
      <c r="C510" s="263"/>
      <c r="D510" s="311"/>
      <c r="E510" s="262"/>
      <c r="F510" s="262"/>
      <c r="G510" s="302"/>
      <c r="H510" s="302"/>
      <c r="I510" s="312"/>
      <c r="J510" s="315"/>
      <c r="K510" s="315"/>
      <c r="L510" s="315"/>
      <c r="M510" s="315"/>
      <c r="N510" s="315"/>
      <c r="O510" s="315"/>
      <c r="P510" s="315"/>
      <c r="Q510" s="315"/>
    </row>
    <row r="511" spans="1:17" s="316" customFormat="1">
      <c r="A511" s="288"/>
      <c r="B511" s="284"/>
      <c r="C511" s="263"/>
      <c r="D511" s="311"/>
      <c r="E511" s="262"/>
      <c r="F511" s="262"/>
      <c r="G511" s="302"/>
      <c r="H511" s="302"/>
      <c r="I511" s="312"/>
      <c r="J511" s="315"/>
      <c r="K511" s="315"/>
      <c r="L511" s="315"/>
      <c r="M511" s="315"/>
      <c r="N511" s="315"/>
      <c r="O511" s="315"/>
      <c r="P511" s="315"/>
      <c r="Q511" s="315"/>
    </row>
    <row r="512" spans="1:17" s="316" customFormat="1">
      <c r="A512" s="288"/>
      <c r="B512" s="284"/>
      <c r="C512" s="263"/>
      <c r="D512" s="311"/>
      <c r="E512" s="262"/>
      <c r="F512" s="262"/>
      <c r="G512" s="302"/>
      <c r="H512" s="302"/>
      <c r="I512" s="312"/>
      <c r="J512" s="315"/>
      <c r="K512" s="315"/>
      <c r="L512" s="315"/>
      <c r="M512" s="315"/>
      <c r="N512" s="315"/>
      <c r="O512" s="315"/>
      <c r="P512" s="315"/>
      <c r="Q512" s="315"/>
    </row>
    <row r="513" spans="1:17">
      <c r="I513" s="312"/>
    </row>
    <row r="514" spans="1:17">
      <c r="I514" s="312"/>
    </row>
    <row r="515" spans="1:17">
      <c r="I515" s="312"/>
    </row>
    <row r="516" spans="1:17">
      <c r="I516" s="312"/>
    </row>
    <row r="517" spans="1:17">
      <c r="I517" s="312"/>
    </row>
    <row r="518" spans="1:17">
      <c r="I518" s="312"/>
    </row>
    <row r="519" spans="1:17">
      <c r="I519" s="312"/>
    </row>
    <row r="520" spans="1:17">
      <c r="I520" s="312"/>
    </row>
    <row r="521" spans="1:17">
      <c r="I521" s="312"/>
    </row>
    <row r="522" spans="1:17">
      <c r="I522" s="312"/>
    </row>
    <row r="523" spans="1:17">
      <c r="I523" s="312"/>
    </row>
    <row r="524" spans="1:17">
      <c r="I524" s="312"/>
    </row>
    <row r="525" spans="1:17">
      <c r="A525" s="301"/>
      <c r="B525" s="301"/>
      <c r="C525" s="301"/>
      <c r="D525" s="301"/>
      <c r="E525" s="301"/>
      <c r="F525" s="301"/>
      <c r="G525" s="301"/>
      <c r="H525" s="301"/>
      <c r="I525" s="312"/>
      <c r="J525" s="301"/>
      <c r="K525" s="301"/>
      <c r="L525" s="301"/>
      <c r="M525" s="301"/>
      <c r="N525" s="301"/>
      <c r="O525" s="301"/>
      <c r="P525" s="301"/>
      <c r="Q525" s="301"/>
    </row>
    <row r="526" spans="1:17">
      <c r="A526" s="301"/>
      <c r="B526" s="301"/>
      <c r="C526" s="301"/>
      <c r="D526" s="301"/>
      <c r="E526" s="301"/>
      <c r="F526" s="301"/>
      <c r="G526" s="301"/>
      <c r="H526" s="301"/>
      <c r="I526" s="312"/>
      <c r="J526" s="301"/>
      <c r="K526" s="301"/>
      <c r="L526" s="301"/>
      <c r="M526" s="301"/>
      <c r="N526" s="301"/>
      <c r="O526" s="301"/>
      <c r="P526" s="301"/>
      <c r="Q526" s="301"/>
    </row>
    <row r="527" spans="1:17">
      <c r="A527" s="301"/>
      <c r="B527" s="301"/>
      <c r="C527" s="301"/>
      <c r="D527" s="301"/>
      <c r="E527" s="301"/>
      <c r="F527" s="301"/>
      <c r="G527" s="301"/>
      <c r="H527" s="301"/>
      <c r="I527" s="312"/>
      <c r="J527" s="301"/>
      <c r="K527" s="301"/>
      <c r="L527" s="301"/>
      <c r="M527" s="301"/>
      <c r="N527" s="301"/>
      <c r="O527" s="301"/>
      <c r="P527" s="301"/>
      <c r="Q527" s="301"/>
    </row>
    <row r="528" spans="1:17">
      <c r="A528" s="301"/>
      <c r="B528" s="301"/>
      <c r="C528" s="301"/>
      <c r="D528" s="301"/>
      <c r="E528" s="301"/>
      <c r="F528" s="301"/>
      <c r="G528" s="301"/>
      <c r="H528" s="301"/>
      <c r="I528" s="312"/>
      <c r="J528" s="301"/>
      <c r="K528" s="301"/>
      <c r="L528" s="301"/>
      <c r="M528" s="301"/>
      <c r="N528" s="301"/>
      <c r="O528" s="301"/>
      <c r="P528" s="301"/>
      <c r="Q528" s="301"/>
    </row>
    <row r="529" spans="9:9" s="301" customFormat="1">
      <c r="I529" s="312"/>
    </row>
    <row r="530" spans="9:9" s="301" customFormat="1">
      <c r="I530" s="312"/>
    </row>
    <row r="531" spans="9:9" s="301" customFormat="1">
      <c r="I531" s="312"/>
    </row>
    <row r="532" spans="9:9" s="301" customFormat="1">
      <c r="I532" s="312"/>
    </row>
    <row r="533" spans="9:9" s="301" customFormat="1">
      <c r="I533" s="312"/>
    </row>
    <row r="534" spans="9:9" s="301" customFormat="1">
      <c r="I534" s="312"/>
    </row>
    <row r="535" spans="9:9" s="301" customFormat="1">
      <c r="I535" s="312"/>
    </row>
    <row r="536" spans="9:9" s="301" customFormat="1">
      <c r="I536" s="312"/>
    </row>
    <row r="537" spans="9:9" s="301" customFormat="1">
      <c r="I537" s="312"/>
    </row>
    <row r="538" spans="9:9" s="301" customFormat="1">
      <c r="I538" s="312"/>
    </row>
    <row r="539" spans="9:9" s="301" customFormat="1">
      <c r="I539" s="312"/>
    </row>
    <row r="540" spans="9:9" s="301" customFormat="1">
      <c r="I540" s="312"/>
    </row>
    <row r="541" spans="9:9" s="301" customFormat="1">
      <c r="I541" s="312"/>
    </row>
    <row r="542" spans="9:9" s="301" customFormat="1">
      <c r="I542" s="312"/>
    </row>
    <row r="543" spans="9:9" s="301" customFormat="1">
      <c r="I543" s="312"/>
    </row>
    <row r="544" spans="9:9" s="301" customFormat="1">
      <c r="I544" s="312"/>
    </row>
    <row r="545" spans="9:9" s="301" customFormat="1">
      <c r="I545" s="312"/>
    </row>
    <row r="546" spans="9:9" s="301" customFormat="1">
      <c r="I546" s="312"/>
    </row>
    <row r="547" spans="9:9" s="301" customFormat="1">
      <c r="I547" s="312"/>
    </row>
    <row r="548" spans="9:9" s="301" customFormat="1">
      <c r="I548" s="312"/>
    </row>
    <row r="549" spans="9:9" s="301" customFormat="1">
      <c r="I549" s="312"/>
    </row>
    <row r="550" spans="9:9" s="301" customFormat="1">
      <c r="I550" s="312"/>
    </row>
    <row r="551" spans="9:9" s="301" customFormat="1">
      <c r="I551" s="312"/>
    </row>
    <row r="552" spans="9:9" s="301" customFormat="1">
      <c r="I552" s="312"/>
    </row>
    <row r="553" spans="9:9" s="301" customFormat="1">
      <c r="I553" s="312"/>
    </row>
    <row r="554" spans="9:9" s="301" customFormat="1">
      <c r="I554" s="312"/>
    </row>
    <row r="555" spans="9:9" s="301" customFormat="1">
      <c r="I555" s="312"/>
    </row>
    <row r="556" spans="9:9" s="301" customFormat="1">
      <c r="I556" s="312"/>
    </row>
    <row r="557" spans="9:9" s="301" customFormat="1">
      <c r="I557" s="312"/>
    </row>
    <row r="558" spans="9:9" s="301" customFormat="1">
      <c r="I558" s="312"/>
    </row>
    <row r="559" spans="9:9" s="301" customFormat="1">
      <c r="I559" s="312"/>
    </row>
    <row r="560" spans="9:9" s="301" customFormat="1">
      <c r="I560" s="312"/>
    </row>
    <row r="561" spans="9:9" s="301" customFormat="1">
      <c r="I561" s="312"/>
    </row>
    <row r="562" spans="9:9" s="301" customFormat="1">
      <c r="I562" s="312"/>
    </row>
    <row r="563" spans="9:9" s="301" customFormat="1">
      <c r="I563" s="312"/>
    </row>
    <row r="564" spans="9:9" s="301" customFormat="1">
      <c r="I564" s="312"/>
    </row>
    <row r="565" spans="9:9" s="301" customFormat="1">
      <c r="I565" s="312"/>
    </row>
    <row r="566" spans="9:9" s="301" customFormat="1">
      <c r="I566" s="312"/>
    </row>
    <row r="567" spans="9:9" s="301" customFormat="1">
      <c r="I567" s="312"/>
    </row>
    <row r="568" spans="9:9" s="301" customFormat="1">
      <c r="I568" s="312"/>
    </row>
    <row r="569" spans="9:9" s="301" customFormat="1">
      <c r="I569" s="312"/>
    </row>
    <row r="570" spans="9:9" s="301" customFormat="1">
      <c r="I570" s="312"/>
    </row>
    <row r="571" spans="9:9" s="301" customFormat="1">
      <c r="I571" s="312"/>
    </row>
    <row r="572" spans="9:9" s="301" customFormat="1">
      <c r="I572" s="312"/>
    </row>
    <row r="573" spans="9:9" s="301" customFormat="1">
      <c r="I573" s="312"/>
    </row>
    <row r="574" spans="9:9" s="301" customFormat="1">
      <c r="I574" s="312"/>
    </row>
    <row r="575" spans="9:9" s="301" customFormat="1">
      <c r="I575" s="312"/>
    </row>
    <row r="576" spans="9:9" s="301" customFormat="1">
      <c r="I576" s="312"/>
    </row>
    <row r="577" spans="9:9" s="301" customFormat="1">
      <c r="I577" s="312"/>
    </row>
    <row r="578" spans="9:9" s="301" customFormat="1">
      <c r="I578" s="312"/>
    </row>
    <row r="579" spans="9:9" s="301" customFormat="1">
      <c r="I579" s="312"/>
    </row>
    <row r="580" spans="9:9" s="301" customFormat="1">
      <c r="I580" s="312"/>
    </row>
    <row r="581" spans="9:9" s="301" customFormat="1">
      <c r="I581" s="312"/>
    </row>
    <row r="582" spans="9:9" s="301" customFormat="1">
      <c r="I582" s="312"/>
    </row>
    <row r="583" spans="9:9" s="301" customFormat="1">
      <c r="I583" s="312"/>
    </row>
    <row r="584" spans="9:9" s="301" customFormat="1">
      <c r="I584" s="312"/>
    </row>
    <row r="585" spans="9:9" s="301" customFormat="1">
      <c r="I585" s="312"/>
    </row>
    <row r="586" spans="9:9" s="301" customFormat="1">
      <c r="I586" s="312"/>
    </row>
    <row r="587" spans="9:9" s="301" customFormat="1">
      <c r="I587" s="312"/>
    </row>
    <row r="588" spans="9:9" s="301" customFormat="1">
      <c r="I588" s="312"/>
    </row>
    <row r="589" spans="9:9" s="301" customFormat="1">
      <c r="I589" s="312"/>
    </row>
    <row r="590" spans="9:9" s="301" customFormat="1">
      <c r="I590" s="312"/>
    </row>
    <row r="591" spans="9:9" s="301" customFormat="1">
      <c r="I591" s="312"/>
    </row>
    <row r="592" spans="9:9" s="301" customFormat="1">
      <c r="I592" s="312"/>
    </row>
    <row r="593" spans="9:9" s="301" customFormat="1">
      <c r="I593" s="312"/>
    </row>
    <row r="594" spans="9:9" s="301" customFormat="1">
      <c r="I594" s="312"/>
    </row>
  </sheetData>
  <sheetProtection selectLockedCells="1" selectUnlockedCells="1"/>
  <autoFilter ref="A5:U341" xr:uid="{D91218B4-B74A-403F-AF4E-EF46AB312A92}"/>
  <mergeCells count="7">
    <mergeCell ref="W2:W4"/>
    <mergeCell ref="AB2:AB4"/>
    <mergeCell ref="Q2:Q4"/>
    <mergeCell ref="G2:G4"/>
    <mergeCell ref="H2:H4"/>
    <mergeCell ref="I2:I4"/>
    <mergeCell ref="L2:L4"/>
  </mergeCells>
  <phoneticPr fontId="37" type="noConversion"/>
  <conditionalFormatting sqref="J14:J16 L14:L16 N14:Q16">
    <cfRule type="iconSet" priority="941">
      <iconSet iconSet="3Symbols2" showValue="0">
        <cfvo type="percent" val="0"/>
        <cfvo type="num" val="0"/>
        <cfvo type="num" val="1"/>
      </iconSet>
    </cfRule>
  </conditionalFormatting>
  <conditionalFormatting sqref="J22:J24">
    <cfRule type="iconSet" priority="329">
      <iconSet iconSet="3Symbols2" showValue="0">
        <cfvo type="percent" val="0"/>
        <cfvo type="num" val="0"/>
        <cfvo type="num" val="1"/>
      </iconSet>
    </cfRule>
  </conditionalFormatting>
  <conditionalFormatting sqref="J30:J38">
    <cfRule type="iconSet" priority="71381">
      <iconSet iconSet="3Symbols2" showValue="0">
        <cfvo type="percent" val="0"/>
        <cfvo type="num" val="0"/>
        <cfvo type="num" val="1"/>
      </iconSet>
    </cfRule>
  </conditionalFormatting>
  <conditionalFormatting sqref="J39:J62 J10:J13 J18:J20 J26:J28 J87:J98 J108:J109 J112:J120 J126:J130 J141:J146 J148:J152 J155:J156 J191:J216 J218:J226 L10:L13 L26:L28 L39:L67 L70:L72 L80:L81 L89:L98 L108:L144 L147:L149 L155:L160 L191:L201 L207:L208 L215:L216 L218:L229 L161:M161 L163:M164 L166:M189 M191:M231 J267:J268 N108:P144 N147:P149 N153:P216 N218:P231 N10:Q13 N26:Q28 Q22:Q24 Q79:Q81 Q88:Q98 Q108:Q109 Q112:Q152 Q155:Q161 Q163:Q164 Q166:Q189 Q191:Q229 Q234:Q235 J68:J85 N39:P98 L77:M77 Q70:Q72 M269:M333 N233:P233 M233:M266 J228:J235 M232:P232 Q30:Q67 M10:M76 M78:M160">
    <cfRule type="iconSet" priority="71320">
      <iconSet iconSet="3Symbols2" showValue="0">
        <cfvo type="percent" val="0"/>
        <cfvo type="num" val="0"/>
        <cfvo type="num" val="1"/>
      </iconSet>
    </cfRule>
  </conditionalFormatting>
  <conditionalFormatting sqref="J63:J67 J110:J111 J121:J125 J131:J140 J147 J157:J190 J217 J227 J276">
    <cfRule type="iconSet" priority="69706">
      <iconSet iconSet="3Symbols2" showValue="0">
        <cfvo type="percent" val="0"/>
        <cfvo type="num" val="0"/>
        <cfvo type="num" val="1"/>
      </iconSet>
    </cfRule>
  </conditionalFormatting>
  <conditionalFormatting sqref="J253:J254 L253:L254 N253:Q254">
    <cfRule type="iconSet" priority="68616">
      <iconSet iconSet="3Symbols2" showValue="0">
        <cfvo type="percent" val="0"/>
        <cfvo type="num" val="0"/>
        <cfvo type="num" val="1"/>
      </iconSet>
    </cfRule>
  </conditionalFormatting>
  <conditionalFormatting sqref="J274:J275 L274:L275 N274:Q275">
    <cfRule type="iconSet" priority="17144">
      <iconSet iconSet="3Symbols2" showValue="0">
        <cfvo type="percent" val="0"/>
        <cfvo type="num" val="0"/>
        <cfvo type="num" val="1"/>
      </iconSet>
    </cfRule>
  </conditionalFormatting>
  <conditionalFormatting sqref="L18:L20 O18:P18">
    <cfRule type="iconSet" priority="70523">
      <iconSet iconSet="3Symbols2" showValue="0">
        <cfvo type="percent" val="0"/>
        <cfvo type="num" val="0"/>
        <cfvo type="num" val="1"/>
      </iconSet>
    </cfRule>
  </conditionalFormatting>
  <conditionalFormatting sqref="L19 O19:Q19">
    <cfRule type="iconSet" priority="70525">
      <iconSet iconSet="3Symbols2" showValue="0">
        <cfvo type="percent" val="0"/>
        <cfvo type="num" val="0"/>
        <cfvo type="num" val="1"/>
      </iconSet>
    </cfRule>
  </conditionalFormatting>
  <conditionalFormatting sqref="L20 O20:Q20">
    <cfRule type="iconSet" priority="70527">
      <iconSet iconSet="3Symbols2" showValue="0">
        <cfvo type="percent" val="0"/>
        <cfvo type="num" val="0"/>
        <cfvo type="num" val="1"/>
      </iconSet>
    </cfRule>
  </conditionalFormatting>
  <conditionalFormatting sqref="L22:L24 N22:N23 O22:P24">
    <cfRule type="iconSet" priority="70529">
      <iconSet iconSet="3Symbols2" showValue="0">
        <cfvo type="percent" val="0"/>
        <cfvo type="num" val="0"/>
        <cfvo type="num" val="1"/>
      </iconSet>
    </cfRule>
  </conditionalFormatting>
  <conditionalFormatting sqref="L30:L38 N30:P38">
    <cfRule type="iconSet" priority="71397">
      <iconSet iconSet="3Symbols2" showValue="0">
        <cfvo type="percent" val="0"/>
        <cfvo type="num" val="0"/>
        <cfvo type="num" val="1"/>
      </iconSet>
    </cfRule>
  </conditionalFormatting>
  <conditionalFormatting sqref="L68:L69 L82:L88 L153:L154 L202:L206 L209:L214 L250:L252 L267:L268 L276 L73:L75 L78:L79 L271:L273 L230:L233 L99:L107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L76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L162:M162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L165:M165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L190:M190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L340:Q1048576 J236:J252 J17 J1:J9 J21 J25 J29 J255:J266 L17 L21 L25 L29 L236:L245 L255:L266 L269:L270 L1:Q9 N236:P245 N250:P252 N17:Q17 N21:Q21 N25:Q25 N29:Q29 Q236:Q249 Q251:Q252 J269:J273 N255:Q270 N277:Q333 J277:J1048576 L277:L339 N334:P339 N271:P273">
    <cfRule type="iconSet" priority="71253">
      <iconSet iconSet="3Symbols2" showValue="0">
        <cfvo type="percent" val="0"/>
        <cfvo type="num" val="0"/>
        <cfvo type="num" val="1"/>
      </iconSet>
    </cfRule>
  </conditionalFormatting>
  <conditionalFormatting sqref="M334:M337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M338:M339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N18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N19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N20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N99:P102 O103:P104 J99:J107 N105:P107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N276:P276">
    <cfRule type="iconSet" priority="69005">
      <iconSet iconSet="3Symbols2" showValue="0">
        <cfvo type="percent" val="0"/>
        <cfvo type="num" val="0"/>
        <cfvo type="num" val="1"/>
      </iconSet>
    </cfRule>
  </conditionalFormatting>
  <conditionalFormatting sqref="Q18:Q20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Q68:Q69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Q73:Q75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Q76:Q77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Q78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Q82:Q85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Q86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Q87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Q99:Q100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Q101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Q102:Q104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Q105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Q106:Q107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Q110:Q111">
    <cfRule type="iconSet" priority="224">
      <iconSet iconSet="3Symbols2" showValue="0">
        <cfvo type="percent" val="0"/>
        <cfvo type="num" val="0"/>
        <cfvo type="num" val="1"/>
      </iconSet>
    </cfRule>
  </conditionalFormatting>
  <conditionalFormatting sqref="Q153:Q154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Q230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Q231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Q232:Q233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Q250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Q271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Q272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Q273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Q276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Q334:Q339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Q162:R162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Q165:R165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Q190:R190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R18:R20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R68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R73:R77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R78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R82:R85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R86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R87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R99:R100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R101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R102:R104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R105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R106:R107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R153:R154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R230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R231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R232:R233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R250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R276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R4:U5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S69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S76:S77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S79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S102:S104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S271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S272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S273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T334:T34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W1:AB5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AC4:AF5">
    <cfRule type="iconSet" priority="1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7559055118110237" top="0.43307086614173229" bottom="0.6692913385826772" header="0.51181102362204722" footer="0.51181102362204722"/>
  <pageSetup paperSize="9" scale="73" firstPageNumber="0" fitToHeight="0" orientation="portrait" r:id="rId1"/>
  <headerFooter alignWithMargins="0"/>
  <ignoredErrors>
    <ignoredError sqref="D141:D142 D155:D156 D108:D120 D228:D229 D236:D252 D256:D270 D274:D275 D296:D337 D39:D75 D78 D191:D222 D233:D234 D342:D343 D231 D80:D98 D277:D294 D338:D33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5B23-E41E-401C-B37D-3715A912B555}">
  <sheetPr codeName="Sheet4">
    <outlinePr summaryBelow="0" summaryRight="0"/>
  </sheetPr>
  <dimension ref="A1:XFD143"/>
  <sheetViews>
    <sheetView zoomScale="68" zoomScaleNormal="70" workbookViewId="0">
      <pane xSplit="5" ySplit="4" topLeftCell="F132" activePane="bottomRight" state="frozen"/>
      <selection pane="topRight" activeCell="F1" sqref="F1"/>
      <selection pane="bottomLeft" activeCell="A5" sqref="A5"/>
      <selection pane="bottomRight" activeCell="E105" sqref="E105"/>
    </sheetView>
  </sheetViews>
  <sheetFormatPr defaultColWidth="8.5546875" defaultRowHeight="12" customHeight="1" outlineLevelRow="2"/>
  <cols>
    <col min="1" max="1" width="2.44140625" style="15" customWidth="1"/>
    <col min="2" max="2" width="4.5546875" style="17" customWidth="1"/>
    <col min="3" max="3" width="5.5546875" style="17" bestFit="1" customWidth="1"/>
    <col min="4" max="4" width="3.44140625" style="18" customWidth="1"/>
    <col min="5" max="5" width="75.6640625" style="15" customWidth="1"/>
    <col min="6" max="6" width="0.5546875" style="42" customWidth="1"/>
    <col min="7" max="7" width="8.44140625" style="15" bestFit="1" customWidth="1"/>
    <col min="8" max="8" width="10.44140625" style="15" bestFit="1" customWidth="1"/>
    <col min="9" max="9" width="5.5546875" style="86" bestFit="1" customWidth="1"/>
    <col min="10" max="10" width="10" style="16" bestFit="1" customWidth="1"/>
    <col min="11" max="11" width="8" style="16" customWidth="1"/>
    <col min="12" max="12" width="10.44140625" style="19" bestFit="1" customWidth="1"/>
    <col min="13" max="16" width="10.44140625" style="19" customWidth="1"/>
    <col min="17" max="17" width="10.44140625" style="20" customWidth="1"/>
    <col min="18" max="16384" width="8.5546875" style="15"/>
  </cols>
  <sheetData>
    <row r="1" spans="1:24" s="4" customFormat="1" ht="12" customHeight="1">
      <c r="A1" s="1"/>
      <c r="B1" s="2"/>
      <c r="C1" s="3"/>
      <c r="D1" s="5"/>
      <c r="E1" s="2"/>
      <c r="F1" s="40"/>
      <c r="G1" s="2"/>
      <c r="H1" s="6"/>
      <c r="I1" s="6"/>
      <c r="J1" s="12"/>
      <c r="K1" s="13"/>
      <c r="L1" s="14"/>
      <c r="M1" s="216"/>
      <c r="N1" s="14"/>
      <c r="O1" s="14"/>
      <c r="P1" s="14"/>
      <c r="Q1" s="13"/>
    </row>
    <row r="2" spans="1:24" s="4" customFormat="1" ht="12" customHeight="1">
      <c r="A2" s="1" t="s">
        <v>120</v>
      </c>
      <c r="B2" s="2"/>
      <c r="C2" s="3"/>
      <c r="D2" s="5"/>
      <c r="E2" s="2"/>
      <c r="F2" s="40"/>
      <c r="G2" s="520" t="s">
        <v>121</v>
      </c>
      <c r="H2" s="520" t="s">
        <v>122</v>
      </c>
      <c r="I2" s="521" t="s">
        <v>123</v>
      </c>
      <c r="J2" s="521" t="s">
        <v>124</v>
      </c>
      <c r="K2" s="521"/>
      <c r="L2" s="518" t="s">
        <v>599</v>
      </c>
      <c r="M2" s="217"/>
      <c r="N2" s="110"/>
      <c r="O2" s="110"/>
      <c r="P2" s="110"/>
      <c r="Q2" s="518" t="s">
        <v>600</v>
      </c>
    </row>
    <row r="3" spans="1:24" s="4" customFormat="1" ht="12" customHeight="1">
      <c r="A3" s="1"/>
      <c r="B3" s="2"/>
      <c r="C3" s="3"/>
      <c r="D3" s="5"/>
      <c r="E3" s="2"/>
      <c r="F3" s="40"/>
      <c r="G3" s="520"/>
      <c r="H3" s="520"/>
      <c r="I3" s="521"/>
      <c r="J3" s="13"/>
      <c r="K3" s="14"/>
      <c r="L3" s="519"/>
      <c r="M3" s="111"/>
      <c r="N3" s="111"/>
      <c r="O3" s="111"/>
      <c r="P3" s="111"/>
      <c r="Q3" s="519"/>
    </row>
    <row r="4" spans="1:24" s="4" customFormat="1" ht="12" customHeight="1">
      <c r="A4" s="7" t="s">
        <v>601</v>
      </c>
      <c r="B4" s="8"/>
      <c r="C4" s="9"/>
      <c r="D4" s="10"/>
      <c r="E4" s="8"/>
      <c r="F4" s="40"/>
      <c r="G4" s="520"/>
      <c r="H4" s="520"/>
      <c r="I4" s="521"/>
      <c r="J4" s="106" t="s">
        <v>130</v>
      </c>
      <c r="K4" s="106" t="s">
        <v>131</v>
      </c>
      <c r="L4" s="519"/>
      <c r="M4" s="111" t="s">
        <v>6</v>
      </c>
      <c r="N4" s="111" t="s">
        <v>7</v>
      </c>
      <c r="O4" s="111" t="s">
        <v>8</v>
      </c>
      <c r="P4" s="111" t="s">
        <v>9</v>
      </c>
      <c r="Q4" s="519"/>
      <c r="R4" s="111" t="s">
        <v>6</v>
      </c>
      <c r="S4" s="111" t="s">
        <v>7</v>
      </c>
      <c r="T4" s="111" t="s">
        <v>8</v>
      </c>
      <c r="U4" s="111" t="s">
        <v>9</v>
      </c>
    </row>
    <row r="5" spans="1:24" s="4" customFormat="1" ht="12" customHeight="1">
      <c r="A5" s="1"/>
      <c r="B5" s="2"/>
      <c r="C5" s="3"/>
      <c r="D5" s="5"/>
      <c r="E5" s="2"/>
      <c r="F5" s="40"/>
      <c r="G5" s="2"/>
      <c r="H5" s="6"/>
      <c r="I5" s="6"/>
      <c r="J5" s="12"/>
      <c r="K5" s="13"/>
      <c r="L5" s="14"/>
      <c r="M5" s="14"/>
      <c r="N5" s="14"/>
      <c r="O5" s="14"/>
      <c r="P5" s="14"/>
      <c r="Q5" s="13"/>
      <c r="W5" s="14"/>
    </row>
    <row r="6" spans="1:24" s="33" customFormat="1" ht="12" customHeight="1">
      <c r="A6" s="97" t="s">
        <v>132</v>
      </c>
      <c r="B6" s="101"/>
      <c r="C6" s="101"/>
      <c r="D6" s="104"/>
      <c r="E6" s="100"/>
      <c r="F6" s="83"/>
      <c r="G6" s="94" t="s">
        <v>121</v>
      </c>
      <c r="H6" s="94" t="s">
        <v>122</v>
      </c>
      <c r="I6" s="95" t="s">
        <v>123</v>
      </c>
      <c r="J6" s="31"/>
      <c r="K6" s="31"/>
      <c r="L6" s="32"/>
      <c r="M6" s="32"/>
      <c r="N6" s="32"/>
      <c r="O6" s="32"/>
      <c r="P6" s="32"/>
      <c r="Q6" s="35"/>
      <c r="W6" s="14"/>
    </row>
    <row r="7" spans="1:24" s="33" customFormat="1" ht="12" customHeight="1" outlineLevel="1">
      <c r="A7" s="28"/>
      <c r="B7" s="22" t="s">
        <v>12</v>
      </c>
      <c r="C7" s="22" t="s">
        <v>192</v>
      </c>
      <c r="D7" s="29" t="s">
        <v>12</v>
      </c>
      <c r="E7" s="82" t="s">
        <v>602</v>
      </c>
      <c r="F7" s="83"/>
      <c r="G7" s="22" t="s">
        <v>603</v>
      </c>
      <c r="H7" s="30" t="str">
        <f>CONCATENATE(B7,"-",G7,"-",I7)</f>
        <v>ST-ISS-1</v>
      </c>
      <c r="I7" s="85">
        <v>1</v>
      </c>
      <c r="J7" s="31">
        <v>1</v>
      </c>
      <c r="K7" s="31"/>
      <c r="L7" s="32"/>
      <c r="M7" s="32"/>
      <c r="N7" s="32"/>
      <c r="O7" s="32"/>
      <c r="P7" s="32"/>
      <c r="Q7" s="26"/>
      <c r="W7" s="14"/>
    </row>
    <row r="8" spans="1:24" s="33" customFormat="1" ht="12" customHeight="1" outlineLevel="1">
      <c r="A8" s="28"/>
      <c r="B8" s="22" t="s">
        <v>12</v>
      </c>
      <c r="C8" s="22" t="s">
        <v>192</v>
      </c>
      <c r="D8" s="29" t="s">
        <v>12</v>
      </c>
      <c r="E8" s="82" t="s">
        <v>604</v>
      </c>
      <c r="F8" s="83"/>
      <c r="G8" s="22" t="s">
        <v>603</v>
      </c>
      <c r="H8" s="30" t="str">
        <f>CONCATENATE(B8,"-",G8,"-",I8)</f>
        <v>ST-ISS-1</v>
      </c>
      <c r="I8" s="85">
        <v>1</v>
      </c>
      <c r="J8" s="31">
        <v>1</v>
      </c>
      <c r="K8" s="31"/>
      <c r="L8" s="32"/>
      <c r="M8" s="32"/>
      <c r="N8" s="32"/>
      <c r="O8" s="32"/>
      <c r="P8" s="32"/>
      <c r="Q8" s="26"/>
      <c r="W8" s="14"/>
    </row>
    <row r="9" spans="1:24" s="27" customFormat="1" ht="12" customHeight="1" outlineLevel="1">
      <c r="A9" s="34"/>
      <c r="B9" s="22"/>
      <c r="C9" s="22"/>
      <c r="D9" s="11" t="s">
        <v>605</v>
      </c>
      <c r="E9" s="23"/>
      <c r="F9" s="41"/>
      <c r="G9" s="22"/>
      <c r="H9" s="30"/>
      <c r="I9" s="81"/>
      <c r="J9" s="31"/>
      <c r="K9" s="31"/>
      <c r="L9" s="25"/>
      <c r="M9" s="25"/>
      <c r="N9" s="25"/>
      <c r="O9" s="25"/>
      <c r="P9" s="25"/>
      <c r="Q9" s="35"/>
      <c r="W9" s="14"/>
      <c r="X9" s="33"/>
    </row>
    <row r="10" spans="1:24" ht="12" customHeight="1" outlineLevel="2">
      <c r="A10" s="36"/>
      <c r="B10" s="22" t="s">
        <v>12</v>
      </c>
      <c r="C10" s="22" t="s">
        <v>195</v>
      </c>
      <c r="D10" s="29" t="s">
        <v>606</v>
      </c>
      <c r="E10" s="82" t="s">
        <v>607</v>
      </c>
      <c r="F10" s="83"/>
      <c r="G10" s="22" t="s">
        <v>608</v>
      </c>
      <c r="H10" s="30" t="str">
        <f t="shared" ref="H10:H19" si="0">CONCATENATE(B10,"-",G10,"-",I10)</f>
        <v>ST-SSA-1</v>
      </c>
      <c r="I10" s="85">
        <v>1</v>
      </c>
      <c r="J10" s="31">
        <v>1</v>
      </c>
      <c r="K10" s="31"/>
      <c r="L10" s="35"/>
      <c r="M10" s="35"/>
      <c r="N10" s="35"/>
      <c r="O10" s="35"/>
      <c r="P10" s="35"/>
      <c r="Q10" s="35"/>
      <c r="W10" s="14"/>
      <c r="X10" s="33"/>
    </row>
    <row r="11" spans="1:24" ht="12" customHeight="1" outlineLevel="2">
      <c r="A11" s="36"/>
      <c r="B11" s="22" t="s">
        <v>12</v>
      </c>
      <c r="C11" s="22" t="s">
        <v>195</v>
      </c>
      <c r="D11" s="29" t="s">
        <v>609</v>
      </c>
      <c r="E11" s="82" t="s">
        <v>610</v>
      </c>
      <c r="F11" s="83"/>
      <c r="G11" s="22" t="s">
        <v>608</v>
      </c>
      <c r="H11" s="30" t="str">
        <f t="shared" si="0"/>
        <v>ST-SSA-1</v>
      </c>
      <c r="I11" s="85">
        <v>1</v>
      </c>
      <c r="J11" s="31">
        <v>1</v>
      </c>
      <c r="K11" s="31"/>
      <c r="L11" s="35"/>
      <c r="M11" s="35"/>
      <c r="N11" s="35"/>
      <c r="O11" s="35"/>
      <c r="P11" s="35"/>
      <c r="Q11" s="35"/>
      <c r="W11" s="14"/>
      <c r="X11" s="33"/>
    </row>
    <row r="12" spans="1:24" ht="12" customHeight="1" outlineLevel="2">
      <c r="A12" s="36"/>
      <c r="B12" s="22" t="s">
        <v>12</v>
      </c>
      <c r="C12" s="22" t="s">
        <v>195</v>
      </c>
      <c r="D12" s="29" t="s">
        <v>611</v>
      </c>
      <c r="E12" s="82" t="s">
        <v>612</v>
      </c>
      <c r="F12" s="83"/>
      <c r="G12" s="22" t="s">
        <v>608</v>
      </c>
      <c r="H12" s="30" t="str">
        <f t="shared" si="0"/>
        <v>ST-SSA-2</v>
      </c>
      <c r="I12" s="85">
        <v>2</v>
      </c>
      <c r="J12" s="31">
        <v>1</v>
      </c>
      <c r="K12" s="24"/>
      <c r="L12" s="35"/>
      <c r="M12" s="35"/>
      <c r="N12" s="35"/>
      <c r="O12" s="35"/>
      <c r="P12" s="35"/>
      <c r="Q12" s="35"/>
      <c r="W12" s="14"/>
      <c r="X12" s="33"/>
    </row>
    <row r="13" spans="1:24" ht="12" customHeight="1" outlineLevel="2">
      <c r="A13" s="36"/>
      <c r="B13" s="22" t="s">
        <v>12</v>
      </c>
      <c r="C13" s="22" t="s">
        <v>195</v>
      </c>
      <c r="D13" s="29" t="s">
        <v>613</v>
      </c>
      <c r="E13" s="82" t="s">
        <v>614</v>
      </c>
      <c r="F13" s="83"/>
      <c r="G13" s="22" t="s">
        <v>608</v>
      </c>
      <c r="H13" s="30" t="str">
        <f>CONCATENATE(B13,"-",G13,"-",I13)</f>
        <v>ST-SSA-2</v>
      </c>
      <c r="I13" s="85">
        <v>2</v>
      </c>
      <c r="J13" s="31">
        <v>1</v>
      </c>
      <c r="K13" s="31"/>
      <c r="L13" s="35"/>
      <c r="M13" s="35"/>
      <c r="N13" s="35"/>
      <c r="O13" s="35"/>
      <c r="P13" s="35"/>
      <c r="Q13" s="35"/>
      <c r="W13" s="14"/>
      <c r="X13" s="33"/>
    </row>
    <row r="14" spans="1:24" ht="12" customHeight="1" outlineLevel="2">
      <c r="A14" s="36"/>
      <c r="B14" s="22" t="s">
        <v>12</v>
      </c>
      <c r="C14" s="22" t="s">
        <v>195</v>
      </c>
      <c r="D14" s="29" t="s">
        <v>615</v>
      </c>
      <c r="E14" s="82" t="s">
        <v>616</v>
      </c>
      <c r="F14" s="83"/>
      <c r="G14" s="22" t="s">
        <v>608</v>
      </c>
      <c r="H14" s="30" t="str">
        <f>CONCATENATE(B14,"-",G14,"-",I14)</f>
        <v>ST-SSA-2</v>
      </c>
      <c r="I14" s="85">
        <v>2</v>
      </c>
      <c r="J14" s="31">
        <v>1</v>
      </c>
      <c r="K14" s="31"/>
      <c r="L14" s="35"/>
      <c r="M14" s="35"/>
      <c r="N14" s="35"/>
      <c r="O14" s="35"/>
      <c r="P14" s="35"/>
      <c r="Q14" s="35"/>
      <c r="W14" s="14"/>
      <c r="X14" s="33"/>
    </row>
    <row r="15" spans="1:24" ht="12" customHeight="1" outlineLevel="2">
      <c r="A15" s="36"/>
      <c r="B15" s="22" t="s">
        <v>12</v>
      </c>
      <c r="C15" s="22" t="s">
        <v>195</v>
      </c>
      <c r="D15" s="29" t="s">
        <v>613</v>
      </c>
      <c r="E15" s="82" t="s">
        <v>617</v>
      </c>
      <c r="F15" s="83"/>
      <c r="G15" s="22" t="s">
        <v>608</v>
      </c>
      <c r="H15" s="30" t="str">
        <f>CONCATENATE(B15,"-",G15,"-",I15)</f>
        <v>ST-SSA-2</v>
      </c>
      <c r="I15" s="85">
        <v>2</v>
      </c>
      <c r="J15" s="31">
        <v>1</v>
      </c>
      <c r="K15" s="31"/>
      <c r="L15" s="35"/>
      <c r="M15" s="37"/>
      <c r="N15" s="35"/>
      <c r="O15" s="35"/>
      <c r="P15" s="35"/>
      <c r="Q15" s="35"/>
      <c r="R15" s="37"/>
      <c r="S15" s="35"/>
      <c r="T15" s="35"/>
      <c r="W15" s="14"/>
      <c r="X15" s="33"/>
    </row>
    <row r="16" spans="1:24" ht="12" customHeight="1" outlineLevel="2">
      <c r="A16" s="36"/>
      <c r="B16" s="22" t="s">
        <v>12</v>
      </c>
      <c r="C16" s="22" t="s">
        <v>195</v>
      </c>
      <c r="D16" s="29" t="s">
        <v>615</v>
      </c>
      <c r="E16" s="82" t="s">
        <v>618</v>
      </c>
      <c r="F16" s="83"/>
      <c r="G16" s="22" t="s">
        <v>608</v>
      </c>
      <c r="H16" s="30" t="str">
        <f>CONCATENATE(B16,"-",G16,"-",I16)</f>
        <v>ST-SSA-2</v>
      </c>
      <c r="I16" s="85">
        <v>2</v>
      </c>
      <c r="J16" s="31">
        <v>1</v>
      </c>
      <c r="K16" s="31"/>
      <c r="L16" s="35"/>
      <c r="M16" s="37"/>
      <c r="N16" s="35"/>
      <c r="O16" s="35"/>
      <c r="P16" s="35"/>
      <c r="Q16" s="35"/>
      <c r="R16" s="37"/>
      <c r="S16" s="35"/>
      <c r="T16" s="35"/>
      <c r="W16" s="14"/>
      <c r="X16" s="33"/>
    </row>
    <row r="17" spans="1:24" ht="12" customHeight="1" outlineLevel="2">
      <c r="A17" s="36"/>
      <c r="B17" s="22" t="s">
        <v>12</v>
      </c>
      <c r="C17" s="22" t="s">
        <v>195</v>
      </c>
      <c r="D17" s="29" t="s">
        <v>613</v>
      </c>
      <c r="E17" s="82" t="s">
        <v>619</v>
      </c>
      <c r="F17" s="83"/>
      <c r="G17" s="22" t="s">
        <v>608</v>
      </c>
      <c r="H17" s="30" t="str">
        <f t="shared" si="0"/>
        <v>ST-SSA-3</v>
      </c>
      <c r="I17" s="85">
        <v>3</v>
      </c>
      <c r="J17" s="31"/>
      <c r="K17" s="31"/>
      <c r="L17" s="35">
        <f>M17</f>
        <v>1</v>
      </c>
      <c r="M17" s="35">
        <v>1</v>
      </c>
      <c r="O17" s="35"/>
      <c r="P17" s="35"/>
      <c r="Q17" s="35">
        <f>R17</f>
        <v>1</v>
      </c>
      <c r="R17" s="35">
        <v>1</v>
      </c>
      <c r="W17" s="14"/>
      <c r="X17" s="33"/>
    </row>
    <row r="18" spans="1:24" ht="12" customHeight="1" outlineLevel="2">
      <c r="A18" s="36"/>
      <c r="B18" s="22" t="s">
        <v>12</v>
      </c>
      <c r="C18" s="22" t="s">
        <v>195</v>
      </c>
      <c r="D18" s="29" t="s">
        <v>615</v>
      </c>
      <c r="E18" s="82" t="s">
        <v>620</v>
      </c>
      <c r="F18" s="83"/>
      <c r="G18" s="22" t="s">
        <v>608</v>
      </c>
      <c r="H18" s="30" t="str">
        <f t="shared" si="0"/>
        <v>ST-SSA-3</v>
      </c>
      <c r="I18" s="85">
        <v>3</v>
      </c>
      <c r="J18" s="31"/>
      <c r="K18" s="31"/>
      <c r="L18" s="35">
        <f>M18</f>
        <v>1</v>
      </c>
      <c r="M18" s="35">
        <v>1</v>
      </c>
      <c r="O18" s="35"/>
      <c r="P18" s="35"/>
      <c r="Q18" s="35">
        <f>R18</f>
        <v>1</v>
      </c>
      <c r="R18" s="35">
        <v>1</v>
      </c>
      <c r="W18" s="14"/>
      <c r="X18" s="33"/>
    </row>
    <row r="19" spans="1:24" ht="12" customHeight="1" outlineLevel="2">
      <c r="A19" s="36"/>
      <c r="B19" s="22" t="s">
        <v>12</v>
      </c>
      <c r="C19" s="22" t="s">
        <v>195</v>
      </c>
      <c r="D19" s="29" t="s">
        <v>12</v>
      </c>
      <c r="E19" s="82" t="s">
        <v>621</v>
      </c>
      <c r="F19" s="83"/>
      <c r="G19" s="22" t="s">
        <v>608</v>
      </c>
      <c r="H19" s="30" t="str">
        <f t="shared" si="0"/>
        <v>ST-SSA-1</v>
      </c>
      <c r="I19" s="85">
        <v>1</v>
      </c>
      <c r="J19" s="31">
        <v>1</v>
      </c>
      <c r="K19" s="31"/>
      <c r="L19" s="35"/>
      <c r="M19" s="35"/>
      <c r="N19" s="35"/>
      <c r="O19" s="35"/>
      <c r="P19" s="35"/>
      <c r="Q19" s="35"/>
      <c r="W19" s="14"/>
      <c r="X19" s="33"/>
    </row>
    <row r="20" spans="1:24" s="27" customFormat="1" ht="12" customHeight="1" outlineLevel="1">
      <c r="A20" s="34"/>
      <c r="B20" s="22"/>
      <c r="C20" s="22"/>
      <c r="D20" s="11" t="s">
        <v>622</v>
      </c>
      <c r="E20" s="23"/>
      <c r="F20" s="41"/>
      <c r="G20" s="22"/>
      <c r="H20" s="30"/>
      <c r="I20" s="81"/>
      <c r="J20" s="31"/>
      <c r="K20" s="31"/>
      <c r="L20" s="25"/>
      <c r="M20" s="25"/>
      <c r="N20" s="25"/>
      <c r="O20" s="25"/>
      <c r="P20" s="25"/>
      <c r="Q20" s="26"/>
      <c r="W20" s="14"/>
      <c r="X20" s="33"/>
    </row>
    <row r="21" spans="1:24" ht="12" customHeight="1" outlineLevel="2">
      <c r="A21" s="36"/>
      <c r="B21" s="22" t="s">
        <v>12</v>
      </c>
      <c r="C21" s="22" t="s">
        <v>195</v>
      </c>
      <c r="D21" s="29" t="s">
        <v>606</v>
      </c>
      <c r="E21" s="82" t="s">
        <v>607</v>
      </c>
      <c r="F21" s="83"/>
      <c r="G21" s="22" t="s">
        <v>623</v>
      </c>
      <c r="H21" s="30" t="str">
        <f t="shared" ref="H21:H30" si="1">CONCATENATE(B21,"-",G21,"-",I21)</f>
        <v>ST-SSB-1</v>
      </c>
      <c r="I21" s="85">
        <v>1</v>
      </c>
      <c r="J21" s="31">
        <v>1</v>
      </c>
      <c r="K21" s="31"/>
      <c r="L21" s="32"/>
      <c r="M21" s="32"/>
      <c r="N21" s="32"/>
      <c r="O21" s="32"/>
      <c r="P21" s="32"/>
      <c r="Q21" s="35"/>
      <c r="W21" s="14"/>
      <c r="X21" s="33"/>
    </row>
    <row r="22" spans="1:24" ht="12" customHeight="1" outlineLevel="2">
      <c r="A22" s="36"/>
      <c r="B22" s="22" t="s">
        <v>12</v>
      </c>
      <c r="C22" s="22" t="s">
        <v>195</v>
      </c>
      <c r="D22" s="29" t="s">
        <v>609</v>
      </c>
      <c r="E22" s="82" t="s">
        <v>610</v>
      </c>
      <c r="F22" s="83"/>
      <c r="G22" s="22" t="s">
        <v>623</v>
      </c>
      <c r="H22" s="30" t="str">
        <f t="shared" si="1"/>
        <v>ST-SSB-1</v>
      </c>
      <c r="I22" s="85">
        <v>1</v>
      </c>
      <c r="J22" s="31">
        <v>1</v>
      </c>
      <c r="K22" s="31"/>
      <c r="L22" s="32"/>
      <c r="M22" s="32"/>
      <c r="N22" s="32"/>
      <c r="O22" s="32"/>
      <c r="P22" s="32"/>
      <c r="Q22" s="35"/>
      <c r="W22" s="14"/>
      <c r="X22" s="33"/>
    </row>
    <row r="23" spans="1:24" ht="12" customHeight="1" outlineLevel="2">
      <c r="A23" s="36"/>
      <c r="B23" s="22" t="s">
        <v>12</v>
      </c>
      <c r="C23" s="22" t="s">
        <v>195</v>
      </c>
      <c r="D23" s="29" t="s">
        <v>611</v>
      </c>
      <c r="E23" s="82" t="s">
        <v>612</v>
      </c>
      <c r="F23" s="83"/>
      <c r="G23" s="22" t="s">
        <v>623</v>
      </c>
      <c r="H23" s="30" t="str">
        <f t="shared" si="1"/>
        <v>ST-SSB-2</v>
      </c>
      <c r="I23" s="85">
        <v>2</v>
      </c>
      <c r="J23" s="31">
        <v>1</v>
      </c>
      <c r="K23" s="24"/>
      <c r="L23" s="32"/>
      <c r="M23" s="32"/>
      <c r="N23" s="32"/>
      <c r="O23" s="32"/>
      <c r="P23" s="32"/>
      <c r="Q23" s="35"/>
      <c r="W23" s="14"/>
      <c r="X23" s="33"/>
    </row>
    <row r="24" spans="1:24" ht="12" customHeight="1" outlineLevel="2">
      <c r="A24" s="36"/>
      <c r="B24" s="22" t="s">
        <v>12</v>
      </c>
      <c r="C24" s="22" t="s">
        <v>195</v>
      </c>
      <c r="D24" s="29" t="s">
        <v>613</v>
      </c>
      <c r="E24" s="82" t="s">
        <v>614</v>
      </c>
      <c r="F24" s="83"/>
      <c r="G24" s="22" t="s">
        <v>623</v>
      </c>
      <c r="H24" s="30" t="str">
        <f t="shared" si="1"/>
        <v>ST-SSB-2</v>
      </c>
      <c r="I24" s="85">
        <v>2</v>
      </c>
      <c r="J24" s="31">
        <v>1</v>
      </c>
      <c r="K24" s="31"/>
      <c r="L24" s="32"/>
      <c r="M24" s="32"/>
      <c r="N24" s="32"/>
      <c r="O24" s="32"/>
      <c r="P24" s="32"/>
      <c r="Q24" s="35"/>
      <c r="W24" s="14"/>
      <c r="X24" s="33"/>
    </row>
    <row r="25" spans="1:24" ht="12" customHeight="1" outlineLevel="2">
      <c r="A25" s="36"/>
      <c r="B25" s="22" t="s">
        <v>12</v>
      </c>
      <c r="C25" s="22" t="s">
        <v>195</v>
      </c>
      <c r="D25" s="29" t="s">
        <v>615</v>
      </c>
      <c r="E25" s="82" t="s">
        <v>616</v>
      </c>
      <c r="F25" s="83"/>
      <c r="G25" s="22" t="s">
        <v>623</v>
      </c>
      <c r="H25" s="30" t="str">
        <f t="shared" si="1"/>
        <v>ST-SSB-2</v>
      </c>
      <c r="I25" s="85">
        <v>2</v>
      </c>
      <c r="J25" s="31">
        <v>1</v>
      </c>
      <c r="K25" s="31"/>
      <c r="L25" s="32"/>
      <c r="M25" s="32"/>
      <c r="N25" s="32"/>
      <c r="O25" s="32"/>
      <c r="P25" s="32"/>
      <c r="Q25" s="35"/>
      <c r="W25" s="14"/>
      <c r="X25" s="33"/>
    </row>
    <row r="26" spans="1:24" ht="12" customHeight="1" outlineLevel="2">
      <c r="A26" s="36"/>
      <c r="B26" s="22" t="s">
        <v>12</v>
      </c>
      <c r="C26" s="22" t="s">
        <v>195</v>
      </c>
      <c r="D26" s="29" t="s">
        <v>613</v>
      </c>
      <c r="E26" s="82" t="s">
        <v>617</v>
      </c>
      <c r="F26" s="83"/>
      <c r="G26" s="22" t="s">
        <v>623</v>
      </c>
      <c r="H26" s="30" t="str">
        <f t="shared" si="1"/>
        <v>ST-SSB-2</v>
      </c>
      <c r="I26" s="85">
        <v>2</v>
      </c>
      <c r="J26" s="31">
        <v>1</v>
      </c>
      <c r="K26" s="31"/>
      <c r="L26" s="32"/>
      <c r="M26" s="32"/>
      <c r="N26" s="32"/>
      <c r="O26" s="32"/>
      <c r="P26" s="32"/>
      <c r="Q26" s="35"/>
      <c r="W26" s="14"/>
      <c r="X26" s="33"/>
    </row>
    <row r="27" spans="1:24" ht="12" customHeight="1" outlineLevel="2">
      <c r="A27" s="36"/>
      <c r="B27" s="22" t="s">
        <v>12</v>
      </c>
      <c r="C27" s="22" t="s">
        <v>195</v>
      </c>
      <c r="D27" s="29" t="s">
        <v>615</v>
      </c>
      <c r="E27" s="82" t="s">
        <v>618</v>
      </c>
      <c r="F27" s="83"/>
      <c r="G27" s="22" t="s">
        <v>623</v>
      </c>
      <c r="H27" s="30" t="str">
        <f t="shared" si="1"/>
        <v>ST-SSB-2</v>
      </c>
      <c r="I27" s="85">
        <v>2</v>
      </c>
      <c r="J27" s="31">
        <v>1</v>
      </c>
      <c r="K27" s="31"/>
      <c r="L27" s="32"/>
      <c r="M27" s="32"/>
      <c r="N27" s="32"/>
      <c r="O27" s="32"/>
      <c r="P27" s="32"/>
      <c r="Q27" s="35"/>
      <c r="W27" s="14"/>
      <c r="X27" s="33"/>
    </row>
    <row r="28" spans="1:24" ht="12" customHeight="1" outlineLevel="2">
      <c r="A28" s="36"/>
      <c r="B28" s="22" t="s">
        <v>12</v>
      </c>
      <c r="C28" s="22" t="s">
        <v>195</v>
      </c>
      <c r="D28" s="29" t="s">
        <v>613</v>
      </c>
      <c r="E28" s="82" t="s">
        <v>619</v>
      </c>
      <c r="F28" s="83"/>
      <c r="G28" s="22" t="s">
        <v>623</v>
      </c>
      <c r="H28" s="30" t="str">
        <f t="shared" si="1"/>
        <v>ST-SSB-3</v>
      </c>
      <c r="I28" s="85">
        <v>3</v>
      </c>
      <c r="J28" s="31">
        <v>1</v>
      </c>
      <c r="K28" s="31"/>
      <c r="L28" s="35"/>
      <c r="M28" s="37"/>
      <c r="N28" s="35"/>
      <c r="O28" s="35"/>
      <c r="P28" s="35"/>
      <c r="Q28" s="35"/>
      <c r="R28" s="37"/>
      <c r="S28" s="37"/>
      <c r="W28" s="14"/>
      <c r="X28" s="33"/>
    </row>
    <row r="29" spans="1:24" ht="12" customHeight="1" outlineLevel="2">
      <c r="A29" s="36"/>
      <c r="B29" s="22" t="s">
        <v>12</v>
      </c>
      <c r="C29" s="22" t="s">
        <v>195</v>
      </c>
      <c r="D29" s="29" t="s">
        <v>615</v>
      </c>
      <c r="E29" s="82" t="s">
        <v>620</v>
      </c>
      <c r="F29" s="83"/>
      <c r="G29" s="22" t="s">
        <v>623</v>
      </c>
      <c r="H29" s="30" t="str">
        <f t="shared" si="1"/>
        <v>ST-SSB-3</v>
      </c>
      <c r="I29" s="85">
        <v>3</v>
      </c>
      <c r="J29" s="31">
        <v>1</v>
      </c>
      <c r="K29" s="31"/>
      <c r="L29" s="35"/>
      <c r="M29" s="37"/>
      <c r="N29" s="35"/>
      <c r="O29" s="35"/>
      <c r="P29" s="35"/>
      <c r="Q29" s="35"/>
      <c r="R29" s="37"/>
      <c r="S29" s="37"/>
      <c r="W29" s="14"/>
      <c r="X29" s="33"/>
    </row>
    <row r="30" spans="1:24" ht="12" customHeight="1" outlineLevel="2">
      <c r="A30" s="36"/>
      <c r="B30" s="22" t="s">
        <v>12</v>
      </c>
      <c r="C30" s="22" t="s">
        <v>195</v>
      </c>
      <c r="D30" s="29" t="s">
        <v>12</v>
      </c>
      <c r="E30" s="82" t="s">
        <v>621</v>
      </c>
      <c r="F30" s="83"/>
      <c r="G30" s="22" t="s">
        <v>623</v>
      </c>
      <c r="H30" s="30" t="str">
        <f t="shared" si="1"/>
        <v>ST-SSB-1</v>
      </c>
      <c r="I30" s="85">
        <v>1</v>
      </c>
      <c r="J30" s="31">
        <v>1</v>
      </c>
      <c r="K30" s="31"/>
      <c r="L30" s="32"/>
      <c r="M30" s="32"/>
      <c r="N30" s="32"/>
      <c r="O30" s="32"/>
      <c r="P30" s="32"/>
      <c r="Q30" s="35"/>
      <c r="W30" s="14"/>
      <c r="X30" s="33"/>
    </row>
    <row r="31" spans="1:24" s="27" customFormat="1" ht="12" customHeight="1" outlineLevel="1">
      <c r="A31" s="34"/>
      <c r="B31" s="22"/>
      <c r="C31" s="22"/>
      <c r="D31" s="11" t="s">
        <v>624</v>
      </c>
      <c r="E31" s="23"/>
      <c r="F31" s="41"/>
      <c r="G31" s="22"/>
      <c r="H31" s="30"/>
      <c r="I31" s="81"/>
      <c r="J31" s="31"/>
      <c r="K31" s="31"/>
      <c r="L31" s="25"/>
      <c r="M31" s="25"/>
      <c r="N31" s="25"/>
      <c r="O31" s="25"/>
      <c r="P31" s="25"/>
      <c r="Q31" s="35"/>
      <c r="W31" s="14"/>
      <c r="X31" s="33"/>
    </row>
    <row r="32" spans="1:24" ht="12" customHeight="1" outlineLevel="2">
      <c r="A32" s="221"/>
      <c r="B32" s="22" t="s">
        <v>12</v>
      </c>
      <c r="C32" s="22" t="s">
        <v>195</v>
      </c>
      <c r="D32" s="29" t="s">
        <v>606</v>
      </c>
      <c r="E32" s="82" t="s">
        <v>607</v>
      </c>
      <c r="F32" s="83"/>
      <c r="G32" s="22" t="s">
        <v>625</v>
      </c>
      <c r="H32" s="30" t="str">
        <f t="shared" ref="H32:H39" si="2">CONCATENATE(B32,"-",G32,"-",I32)</f>
        <v>ST-SSC-1</v>
      </c>
      <c r="I32" s="85">
        <v>1</v>
      </c>
      <c r="J32" s="31">
        <v>1</v>
      </c>
      <c r="K32" s="31"/>
      <c r="L32" s="35"/>
      <c r="M32" s="37"/>
      <c r="N32" s="35"/>
      <c r="O32" s="35"/>
      <c r="P32" s="35"/>
      <c r="Q32" s="35"/>
      <c r="R32" s="37"/>
      <c r="S32" s="35"/>
      <c r="W32" s="14"/>
      <c r="X32" s="33"/>
    </row>
    <row r="33" spans="1:24" ht="12" customHeight="1" outlineLevel="2">
      <c r="A33" s="221"/>
      <c r="B33" s="22" t="s">
        <v>12</v>
      </c>
      <c r="C33" s="22" t="s">
        <v>195</v>
      </c>
      <c r="D33" s="29" t="s">
        <v>609</v>
      </c>
      <c r="E33" s="82" t="s">
        <v>610</v>
      </c>
      <c r="F33" s="83"/>
      <c r="G33" s="22" t="s">
        <v>625</v>
      </c>
      <c r="H33" s="30" t="str">
        <f t="shared" si="2"/>
        <v>ST-SSC-1</v>
      </c>
      <c r="I33" s="85">
        <v>1</v>
      </c>
      <c r="J33" s="31">
        <v>1</v>
      </c>
      <c r="K33" s="31"/>
      <c r="L33" s="35"/>
      <c r="M33" s="37"/>
      <c r="N33" s="35"/>
      <c r="O33" s="35"/>
      <c r="P33" s="35"/>
      <c r="Q33" s="35"/>
      <c r="R33" s="37"/>
      <c r="S33" s="35"/>
      <c r="W33" s="14"/>
      <c r="X33" s="33"/>
    </row>
    <row r="34" spans="1:24" ht="12" customHeight="1" outlineLevel="2">
      <c r="A34" s="221"/>
      <c r="B34" s="22" t="s">
        <v>12</v>
      </c>
      <c r="C34" s="22" t="s">
        <v>195</v>
      </c>
      <c r="D34" s="29" t="s">
        <v>611</v>
      </c>
      <c r="E34" s="82" t="s">
        <v>612</v>
      </c>
      <c r="F34" s="83"/>
      <c r="G34" s="22" t="s">
        <v>625</v>
      </c>
      <c r="H34" s="30" t="str">
        <f t="shared" si="2"/>
        <v>ST-SSC-2</v>
      </c>
      <c r="I34" s="85">
        <v>2</v>
      </c>
      <c r="J34" s="31"/>
      <c r="K34" s="31"/>
      <c r="L34" s="35">
        <f>M34</f>
        <v>1</v>
      </c>
      <c r="M34" s="37">
        <v>1</v>
      </c>
      <c r="N34" s="35"/>
      <c r="O34" s="35"/>
      <c r="P34" s="35"/>
      <c r="Q34" s="35">
        <f>R34</f>
        <v>1</v>
      </c>
      <c r="R34" s="37">
        <v>1</v>
      </c>
      <c r="W34" s="14"/>
      <c r="X34" s="33"/>
    </row>
    <row r="35" spans="1:24" ht="12" customHeight="1" outlineLevel="2">
      <c r="A35" s="221"/>
      <c r="B35" s="22" t="s">
        <v>12</v>
      </c>
      <c r="C35" s="22" t="s">
        <v>195</v>
      </c>
      <c r="D35" s="29" t="s">
        <v>613</v>
      </c>
      <c r="E35" s="82" t="s">
        <v>614</v>
      </c>
      <c r="F35" s="83"/>
      <c r="G35" s="22" t="s">
        <v>625</v>
      </c>
      <c r="H35" s="30" t="str">
        <f t="shared" si="2"/>
        <v>ST-SSC-2</v>
      </c>
      <c r="I35" s="85">
        <v>2</v>
      </c>
      <c r="J35" s="31">
        <v>1</v>
      </c>
      <c r="K35" s="31"/>
      <c r="L35" s="35"/>
      <c r="M35" s="37"/>
      <c r="N35" s="35"/>
      <c r="O35" s="35"/>
      <c r="P35" s="35"/>
      <c r="Q35" s="35"/>
      <c r="R35" s="37"/>
      <c r="S35" s="35"/>
      <c r="W35" s="14"/>
      <c r="X35" s="33"/>
    </row>
    <row r="36" spans="1:24" ht="12" customHeight="1" outlineLevel="2">
      <c r="A36" s="221"/>
      <c r="B36" s="22" t="s">
        <v>12</v>
      </c>
      <c r="C36" s="22" t="s">
        <v>195</v>
      </c>
      <c r="D36" s="29" t="s">
        <v>615</v>
      </c>
      <c r="E36" s="82" t="s">
        <v>616</v>
      </c>
      <c r="F36" s="83"/>
      <c r="G36" s="22" t="s">
        <v>625</v>
      </c>
      <c r="H36" s="30" t="str">
        <f t="shared" si="2"/>
        <v>ST-SSC-2</v>
      </c>
      <c r="I36" s="85">
        <v>2</v>
      </c>
      <c r="J36" s="31">
        <v>1</v>
      </c>
      <c r="K36" s="31"/>
      <c r="L36" s="35"/>
      <c r="M36" s="37"/>
      <c r="N36" s="35"/>
      <c r="O36" s="35"/>
      <c r="P36" s="35"/>
      <c r="Q36" s="35"/>
      <c r="R36" s="37"/>
      <c r="S36" s="35"/>
      <c r="W36" s="14"/>
      <c r="X36" s="33"/>
    </row>
    <row r="37" spans="1:24" ht="12" customHeight="1" outlineLevel="2">
      <c r="A37" s="221"/>
      <c r="B37" s="22" t="s">
        <v>12</v>
      </c>
      <c r="C37" s="22" t="s">
        <v>195</v>
      </c>
      <c r="D37" s="29" t="s">
        <v>613</v>
      </c>
      <c r="E37" s="82" t="s">
        <v>619</v>
      </c>
      <c r="F37" s="83"/>
      <c r="G37" s="22" t="s">
        <v>625</v>
      </c>
      <c r="H37" s="30" t="str">
        <f t="shared" si="2"/>
        <v>ST-SSC-3</v>
      </c>
      <c r="I37" s="85">
        <v>3</v>
      </c>
      <c r="J37" s="31"/>
      <c r="K37" s="31"/>
      <c r="L37" s="35">
        <f t="shared" ref="L37:L39" si="3">M37</f>
        <v>1</v>
      </c>
      <c r="M37" s="37">
        <v>1</v>
      </c>
      <c r="N37" s="35"/>
      <c r="O37" s="35"/>
      <c r="P37" s="35"/>
      <c r="Q37" s="35">
        <f t="shared" ref="Q37:Q39" si="4">R37</f>
        <v>1</v>
      </c>
      <c r="R37" s="37">
        <v>1</v>
      </c>
      <c r="W37" s="14"/>
      <c r="X37" s="33"/>
    </row>
    <row r="38" spans="1:24" ht="12" customHeight="1" outlineLevel="2">
      <c r="A38" s="221"/>
      <c r="B38" s="22" t="s">
        <v>12</v>
      </c>
      <c r="C38" s="22" t="s">
        <v>195</v>
      </c>
      <c r="D38" s="29" t="s">
        <v>615</v>
      </c>
      <c r="E38" s="82" t="s">
        <v>620</v>
      </c>
      <c r="F38" s="83"/>
      <c r="G38" s="22" t="s">
        <v>625</v>
      </c>
      <c r="H38" s="30" t="str">
        <f t="shared" si="2"/>
        <v>ST-SSC-3</v>
      </c>
      <c r="I38" s="85">
        <v>3</v>
      </c>
      <c r="J38" s="31"/>
      <c r="K38" s="31"/>
      <c r="L38" s="35">
        <f t="shared" si="3"/>
        <v>1</v>
      </c>
      <c r="M38" s="37">
        <v>1</v>
      </c>
      <c r="N38" s="35"/>
      <c r="O38" s="35"/>
      <c r="P38" s="35"/>
      <c r="Q38" s="35">
        <f t="shared" si="4"/>
        <v>1</v>
      </c>
      <c r="R38" s="37">
        <v>1</v>
      </c>
      <c r="W38" s="14"/>
      <c r="X38" s="33"/>
    </row>
    <row r="39" spans="1:24" ht="12" customHeight="1" outlineLevel="2">
      <c r="A39" s="221"/>
      <c r="B39" s="22" t="s">
        <v>12</v>
      </c>
      <c r="C39" s="22" t="s">
        <v>195</v>
      </c>
      <c r="D39" s="29" t="s">
        <v>12</v>
      </c>
      <c r="E39" s="82" t="s">
        <v>621</v>
      </c>
      <c r="F39" s="83"/>
      <c r="G39" s="22" t="s">
        <v>625</v>
      </c>
      <c r="H39" s="30" t="str">
        <f t="shared" si="2"/>
        <v>ST-SSC-1</v>
      </c>
      <c r="I39" s="85">
        <v>1</v>
      </c>
      <c r="J39" s="31"/>
      <c r="K39" s="24"/>
      <c r="L39" s="35">
        <f t="shared" si="3"/>
        <v>1</v>
      </c>
      <c r="M39" s="37">
        <v>1</v>
      </c>
      <c r="N39" s="35"/>
      <c r="O39" s="35"/>
      <c r="P39" s="35"/>
      <c r="Q39" s="35">
        <f t="shared" si="4"/>
        <v>1</v>
      </c>
      <c r="R39" s="37">
        <v>1</v>
      </c>
      <c r="W39" s="14"/>
      <c r="X39" s="33"/>
    </row>
    <row r="40" spans="1:24" s="27" customFormat="1" ht="12" customHeight="1" outlineLevel="1">
      <c r="A40" s="34"/>
      <c r="B40" s="22"/>
      <c r="C40" s="22"/>
      <c r="D40" s="11" t="s">
        <v>626</v>
      </c>
      <c r="E40" s="23"/>
      <c r="F40" s="41"/>
      <c r="G40" s="22"/>
      <c r="H40" s="30"/>
      <c r="I40" s="81"/>
      <c r="J40" s="31"/>
      <c r="K40" s="31"/>
      <c r="L40" s="25"/>
      <c r="M40" s="25"/>
      <c r="N40" s="25"/>
      <c r="O40" s="25"/>
      <c r="P40" s="25"/>
      <c r="Q40" s="35"/>
      <c r="W40" s="14"/>
      <c r="X40" s="33"/>
    </row>
    <row r="41" spans="1:24" ht="12" customHeight="1" outlineLevel="2">
      <c r="A41" s="36"/>
      <c r="B41" s="22" t="s">
        <v>12</v>
      </c>
      <c r="C41" s="22" t="s">
        <v>195</v>
      </c>
      <c r="D41" s="29" t="s">
        <v>606</v>
      </c>
      <c r="E41" s="82" t="s">
        <v>607</v>
      </c>
      <c r="F41" s="83"/>
      <c r="G41" s="22" t="s">
        <v>625</v>
      </c>
      <c r="H41" s="30" t="str">
        <f t="shared" ref="H41:H50" si="5">CONCATENATE(B41,"-",G41,"-",I41)</f>
        <v>ST-SSC-1</v>
      </c>
      <c r="I41" s="85">
        <v>1</v>
      </c>
      <c r="J41" s="31">
        <v>1</v>
      </c>
      <c r="K41" s="31"/>
      <c r="L41" s="35"/>
      <c r="M41" s="37"/>
      <c r="N41" s="35"/>
      <c r="O41" s="35"/>
      <c r="P41" s="35"/>
      <c r="Q41" s="35"/>
      <c r="R41" s="37"/>
      <c r="S41" s="37"/>
      <c r="W41" s="14"/>
      <c r="X41" s="33"/>
    </row>
    <row r="42" spans="1:24" ht="12" customHeight="1" outlineLevel="2">
      <c r="A42" s="36"/>
      <c r="B42" s="22" t="s">
        <v>12</v>
      </c>
      <c r="C42" s="22" t="s">
        <v>195</v>
      </c>
      <c r="D42" s="29" t="s">
        <v>609</v>
      </c>
      <c r="E42" s="82" t="s">
        <v>610</v>
      </c>
      <c r="F42" s="83"/>
      <c r="G42" s="22" t="s">
        <v>625</v>
      </c>
      <c r="H42" s="30" t="str">
        <f t="shared" si="5"/>
        <v>ST-SSC-1</v>
      </c>
      <c r="I42" s="85">
        <v>1</v>
      </c>
      <c r="J42" s="31">
        <v>1</v>
      </c>
      <c r="K42" s="31"/>
      <c r="L42" s="35"/>
      <c r="M42" s="37"/>
      <c r="N42" s="35"/>
      <c r="O42" s="35"/>
      <c r="P42" s="35"/>
      <c r="Q42" s="35"/>
      <c r="R42" s="37"/>
      <c r="S42" s="37"/>
      <c r="W42" s="14"/>
      <c r="X42" s="33"/>
    </row>
    <row r="43" spans="1:24" ht="12" customHeight="1" outlineLevel="2">
      <c r="A43" s="36"/>
      <c r="B43" s="22" t="s">
        <v>12</v>
      </c>
      <c r="C43" s="22" t="s">
        <v>195</v>
      </c>
      <c r="D43" s="29" t="s">
        <v>611</v>
      </c>
      <c r="E43" s="82" t="s">
        <v>612</v>
      </c>
      <c r="F43" s="83"/>
      <c r="G43" s="22" t="s">
        <v>625</v>
      </c>
      <c r="H43" s="30" t="str">
        <f t="shared" si="5"/>
        <v>ST-SSC-2</v>
      </c>
      <c r="I43" s="85">
        <v>2</v>
      </c>
      <c r="J43" s="31">
        <v>1</v>
      </c>
      <c r="K43" s="31"/>
      <c r="L43" s="35"/>
      <c r="M43" s="37"/>
      <c r="N43" s="35"/>
      <c r="O43" s="35"/>
      <c r="P43" s="35"/>
      <c r="Q43" s="35"/>
      <c r="R43" s="37"/>
      <c r="S43" s="37"/>
      <c r="W43" s="14"/>
      <c r="X43" s="33"/>
    </row>
    <row r="44" spans="1:24" ht="12" customHeight="1" outlineLevel="2">
      <c r="A44" s="36"/>
      <c r="B44" s="22" t="s">
        <v>12</v>
      </c>
      <c r="C44" s="22" t="s">
        <v>195</v>
      </c>
      <c r="D44" s="29" t="s">
        <v>613</v>
      </c>
      <c r="E44" s="82" t="s">
        <v>614</v>
      </c>
      <c r="F44" s="83"/>
      <c r="G44" s="22" t="s">
        <v>625</v>
      </c>
      <c r="H44" s="30" t="str">
        <f t="shared" si="5"/>
        <v>ST-SSC-2</v>
      </c>
      <c r="I44" s="85">
        <v>2</v>
      </c>
      <c r="J44" s="31">
        <v>1</v>
      </c>
      <c r="K44" s="31"/>
      <c r="L44" s="35"/>
      <c r="M44" s="37"/>
      <c r="N44" s="35"/>
      <c r="O44" s="35"/>
      <c r="P44" s="35"/>
      <c r="Q44" s="35"/>
      <c r="R44" s="37"/>
      <c r="S44" s="37"/>
      <c r="W44" s="14"/>
      <c r="X44" s="33"/>
    </row>
    <row r="45" spans="1:24" ht="12" customHeight="1" outlineLevel="2">
      <c r="A45" s="36"/>
      <c r="B45" s="22" t="s">
        <v>12</v>
      </c>
      <c r="C45" s="22" t="s">
        <v>195</v>
      </c>
      <c r="D45" s="29" t="s">
        <v>615</v>
      </c>
      <c r="E45" s="82" t="s">
        <v>616</v>
      </c>
      <c r="F45" s="83"/>
      <c r="G45" s="22" t="s">
        <v>625</v>
      </c>
      <c r="H45" s="30" t="str">
        <f t="shared" si="5"/>
        <v>ST-SSC-2</v>
      </c>
      <c r="I45" s="85">
        <v>2</v>
      </c>
      <c r="J45" s="31">
        <v>1</v>
      </c>
      <c r="K45" s="31"/>
      <c r="L45" s="35"/>
      <c r="M45" s="37"/>
      <c r="N45" s="35"/>
      <c r="O45" s="35"/>
      <c r="P45" s="35"/>
      <c r="Q45" s="35"/>
      <c r="R45" s="37"/>
      <c r="S45" s="37"/>
      <c r="W45" s="14"/>
      <c r="X45" s="33"/>
    </row>
    <row r="46" spans="1:24" ht="12" customHeight="1" outlineLevel="2">
      <c r="A46" s="36"/>
      <c r="B46" s="22" t="s">
        <v>12</v>
      </c>
      <c r="C46" s="22" t="s">
        <v>195</v>
      </c>
      <c r="D46" s="29" t="s">
        <v>613</v>
      </c>
      <c r="E46" s="82" t="s">
        <v>617</v>
      </c>
      <c r="F46" s="83"/>
      <c r="G46" s="22" t="s">
        <v>625</v>
      </c>
      <c r="H46" s="30" t="str">
        <f t="shared" si="5"/>
        <v>ST-SSC-2</v>
      </c>
      <c r="I46" s="85">
        <v>2</v>
      </c>
      <c r="J46" s="31">
        <v>1</v>
      </c>
      <c r="K46" s="31"/>
      <c r="L46" s="35"/>
      <c r="M46" s="37"/>
      <c r="N46" s="35"/>
      <c r="O46" s="35"/>
      <c r="P46" s="35"/>
      <c r="Q46" s="35"/>
      <c r="R46" s="37"/>
      <c r="S46" s="37"/>
      <c r="W46" s="14"/>
      <c r="X46" s="33"/>
    </row>
    <row r="47" spans="1:24" ht="12" customHeight="1" outlineLevel="2">
      <c r="A47" s="36"/>
      <c r="B47" s="22" t="s">
        <v>12</v>
      </c>
      <c r="C47" s="22" t="s">
        <v>195</v>
      </c>
      <c r="D47" s="29" t="s">
        <v>615</v>
      </c>
      <c r="E47" s="82" t="s">
        <v>618</v>
      </c>
      <c r="F47" s="83"/>
      <c r="G47" s="22" t="s">
        <v>625</v>
      </c>
      <c r="H47" s="30" t="str">
        <f t="shared" si="5"/>
        <v>ST-SSC-2</v>
      </c>
      <c r="I47" s="85">
        <v>2</v>
      </c>
      <c r="J47" s="31">
        <v>1</v>
      </c>
      <c r="K47" s="31"/>
      <c r="L47" s="35"/>
      <c r="M47" s="37"/>
      <c r="N47" s="35"/>
      <c r="O47" s="35"/>
      <c r="P47" s="35"/>
      <c r="Q47" s="35"/>
      <c r="R47" s="37"/>
      <c r="S47" s="37"/>
      <c r="W47" s="14"/>
      <c r="X47" s="33"/>
    </row>
    <row r="48" spans="1:24" ht="12" customHeight="1" outlineLevel="2">
      <c r="A48" s="36"/>
      <c r="B48" s="22" t="s">
        <v>12</v>
      </c>
      <c r="C48" s="22" t="s">
        <v>195</v>
      </c>
      <c r="D48" s="29" t="s">
        <v>613</v>
      </c>
      <c r="E48" s="82" t="s">
        <v>619</v>
      </c>
      <c r="F48" s="83"/>
      <c r="G48" s="22" t="s">
        <v>625</v>
      </c>
      <c r="H48" s="30" t="str">
        <f t="shared" si="5"/>
        <v>ST-SSC-3</v>
      </c>
      <c r="I48" s="85">
        <v>3</v>
      </c>
      <c r="J48" s="31">
        <v>1</v>
      </c>
      <c r="K48" s="31"/>
      <c r="L48" s="35"/>
      <c r="M48" s="37"/>
      <c r="N48" s="35"/>
      <c r="O48" s="35"/>
      <c r="P48" s="35"/>
      <c r="Q48" s="35"/>
      <c r="R48" s="37"/>
      <c r="S48" s="37"/>
      <c r="W48" s="14"/>
      <c r="X48" s="33"/>
    </row>
    <row r="49" spans="1:24" ht="12" customHeight="1" outlineLevel="2">
      <c r="A49" s="36"/>
      <c r="B49" s="22" t="s">
        <v>12</v>
      </c>
      <c r="C49" s="22" t="s">
        <v>195</v>
      </c>
      <c r="D49" s="29" t="s">
        <v>615</v>
      </c>
      <c r="E49" s="82" t="s">
        <v>620</v>
      </c>
      <c r="F49" s="83"/>
      <c r="G49" s="22" t="s">
        <v>625</v>
      </c>
      <c r="H49" s="30" t="str">
        <f t="shared" si="5"/>
        <v>ST-SSC-3</v>
      </c>
      <c r="I49" s="85">
        <v>3</v>
      </c>
      <c r="J49" s="31">
        <v>1</v>
      </c>
      <c r="K49" s="31"/>
      <c r="L49" s="35"/>
      <c r="M49" s="37"/>
      <c r="N49" s="35"/>
      <c r="O49" s="35"/>
      <c r="P49" s="35"/>
      <c r="Q49" s="35"/>
      <c r="R49" s="37"/>
      <c r="S49" s="37"/>
      <c r="W49" s="14"/>
      <c r="X49" s="33"/>
    </row>
    <row r="50" spans="1:24" ht="12" customHeight="1" outlineLevel="2">
      <c r="A50" s="36"/>
      <c r="B50" s="22" t="s">
        <v>12</v>
      </c>
      <c r="C50" s="22" t="s">
        <v>195</v>
      </c>
      <c r="D50" s="29" t="s">
        <v>12</v>
      </c>
      <c r="E50" s="82" t="s">
        <v>621</v>
      </c>
      <c r="F50" s="83"/>
      <c r="G50" s="22" t="s">
        <v>625</v>
      </c>
      <c r="H50" s="30" t="str">
        <f t="shared" si="5"/>
        <v>ST-SSC-1</v>
      </c>
      <c r="I50" s="85">
        <v>1</v>
      </c>
      <c r="J50" s="31">
        <v>1</v>
      </c>
      <c r="K50" s="24"/>
      <c r="L50" s="35"/>
      <c r="M50" s="37"/>
      <c r="N50" s="35"/>
      <c r="O50" s="35"/>
      <c r="P50" s="35"/>
      <c r="Q50" s="35"/>
      <c r="R50" s="37"/>
      <c r="S50" s="37"/>
      <c r="W50" s="14"/>
      <c r="X50" s="33"/>
    </row>
    <row r="51" spans="1:24" ht="12" customHeight="1" outlineLevel="2">
      <c r="A51" s="39"/>
      <c r="B51" s="22" t="s">
        <v>12</v>
      </c>
      <c r="C51" s="22" t="s">
        <v>195</v>
      </c>
      <c r="D51" s="29" t="s">
        <v>12</v>
      </c>
      <c r="E51" s="82" t="s">
        <v>627</v>
      </c>
      <c r="F51" s="83"/>
      <c r="G51" s="22" t="s">
        <v>625</v>
      </c>
      <c r="H51" s="30" t="str">
        <f t="shared" ref="H51" si="6">CONCATENATE(B51,"-",G51,"-",I51)</f>
        <v>ST-SSC-1</v>
      </c>
      <c r="I51" s="85">
        <v>1</v>
      </c>
      <c r="J51" s="31"/>
      <c r="K51" s="326"/>
      <c r="L51" s="31">
        <v>1</v>
      </c>
      <c r="M51" s="31">
        <v>1</v>
      </c>
      <c r="N51" s="20"/>
      <c r="O51" s="20"/>
      <c r="P51" s="20"/>
      <c r="Q51" s="31">
        <v>1</v>
      </c>
      <c r="R51" s="31">
        <v>1</v>
      </c>
      <c r="S51" s="16"/>
      <c r="W51" s="14"/>
      <c r="X51" s="33"/>
    </row>
    <row r="52" spans="1:24" ht="12" customHeight="1">
      <c r="J52" s="31"/>
      <c r="W52" s="14"/>
      <c r="X52" s="33"/>
    </row>
    <row r="53" spans="1:24" s="27" customFormat="1" ht="12" customHeight="1">
      <c r="A53" s="96" t="s">
        <v>190</v>
      </c>
      <c r="B53" s="101"/>
      <c r="C53" s="101"/>
      <c r="D53" s="102"/>
      <c r="E53" s="103"/>
      <c r="F53" s="41"/>
      <c r="G53" s="94" t="s">
        <v>121</v>
      </c>
      <c r="H53" s="94" t="s">
        <v>122</v>
      </c>
      <c r="I53" s="95" t="s">
        <v>123</v>
      </c>
      <c r="J53" s="31"/>
      <c r="K53" s="24"/>
      <c r="L53" s="25"/>
      <c r="M53" s="25"/>
      <c r="N53" s="25"/>
      <c r="O53" s="25"/>
      <c r="P53" s="25"/>
      <c r="Q53" s="26"/>
      <c r="W53" s="14"/>
      <c r="X53" s="33"/>
    </row>
    <row r="54" spans="1:24" s="27" customFormat="1" ht="12" customHeight="1" outlineLevel="1">
      <c r="A54" s="34"/>
      <c r="B54" s="22"/>
      <c r="C54" s="22"/>
      <c r="D54" s="325" t="s">
        <v>628</v>
      </c>
      <c r="E54" s="23"/>
      <c r="F54" s="41"/>
      <c r="G54" s="22"/>
      <c r="H54" s="30"/>
      <c r="I54" s="81"/>
      <c r="J54" s="31"/>
      <c r="K54" s="24"/>
      <c r="L54" s="25"/>
      <c r="M54" s="25"/>
      <c r="N54" s="25"/>
      <c r="O54" s="25"/>
      <c r="P54" s="25"/>
      <c r="Q54" s="26"/>
      <c r="W54" s="14"/>
      <c r="X54" s="33"/>
    </row>
    <row r="55" spans="1:24" s="33" customFormat="1" ht="12" customHeight="1" outlineLevel="2">
      <c r="A55" s="28"/>
      <c r="B55" s="22" t="s">
        <v>12</v>
      </c>
      <c r="C55" s="22" t="s">
        <v>192</v>
      </c>
      <c r="D55" s="29" t="s">
        <v>606</v>
      </c>
      <c r="E55" s="82" t="s">
        <v>629</v>
      </c>
      <c r="F55" s="83"/>
      <c r="G55" s="22" t="s">
        <v>195</v>
      </c>
      <c r="H55" s="30" t="str">
        <f t="shared" ref="H55:H103" si="7">CONCATENATE(B55,"-",G55,"-",I55)</f>
        <v>ST-T09-1</v>
      </c>
      <c r="I55" s="85">
        <v>1</v>
      </c>
      <c r="J55" s="31">
        <v>1</v>
      </c>
      <c r="K55" s="31"/>
      <c r="L55" s="32"/>
      <c r="M55" s="32"/>
      <c r="N55" s="32"/>
      <c r="O55" s="32"/>
      <c r="P55" s="32"/>
      <c r="Q55" s="26"/>
      <c r="W55" s="14"/>
    </row>
    <row r="56" spans="1:24" s="33" customFormat="1" ht="12" customHeight="1" outlineLevel="2">
      <c r="A56" s="28"/>
      <c r="B56" s="22" t="s">
        <v>12</v>
      </c>
      <c r="C56" s="22" t="s">
        <v>192</v>
      </c>
      <c r="D56" s="29" t="s">
        <v>606</v>
      </c>
      <c r="E56" s="82" t="s">
        <v>630</v>
      </c>
      <c r="F56" s="83"/>
      <c r="G56" s="22" t="s">
        <v>195</v>
      </c>
      <c r="H56" s="30" t="str">
        <f t="shared" si="7"/>
        <v>ST-T09-1</v>
      </c>
      <c r="I56" s="85">
        <v>1</v>
      </c>
      <c r="J56" s="31">
        <v>1</v>
      </c>
      <c r="K56" s="31"/>
      <c r="L56" s="32"/>
      <c r="M56" s="32"/>
      <c r="N56" s="32"/>
      <c r="O56" s="32"/>
      <c r="P56" s="32"/>
      <c r="Q56" s="26"/>
      <c r="W56" s="14"/>
    </row>
    <row r="57" spans="1:24" s="33" customFormat="1" ht="12" customHeight="1" outlineLevel="2">
      <c r="A57" s="28"/>
      <c r="B57" s="22" t="s">
        <v>12</v>
      </c>
      <c r="C57" s="22" t="s">
        <v>192</v>
      </c>
      <c r="D57" s="29" t="s">
        <v>606</v>
      </c>
      <c r="E57" s="82" t="s">
        <v>631</v>
      </c>
      <c r="F57" s="83"/>
      <c r="G57" s="22" t="s">
        <v>195</v>
      </c>
      <c r="H57" s="30" t="str">
        <f t="shared" si="7"/>
        <v>ST-T09-1</v>
      </c>
      <c r="I57" s="85">
        <v>1</v>
      </c>
      <c r="J57" s="31">
        <v>1</v>
      </c>
      <c r="K57" s="31"/>
      <c r="L57" s="32"/>
      <c r="M57" s="32"/>
      <c r="N57" s="32"/>
      <c r="O57" s="32"/>
      <c r="P57" s="32"/>
      <c r="Q57" s="26"/>
      <c r="W57" s="14"/>
    </row>
    <row r="58" spans="1:24" s="33" customFormat="1" ht="12" customHeight="1" outlineLevel="2">
      <c r="A58" s="28"/>
      <c r="B58" s="22" t="s">
        <v>12</v>
      </c>
      <c r="C58" s="22" t="s">
        <v>192</v>
      </c>
      <c r="D58" s="29" t="s">
        <v>606</v>
      </c>
      <c r="E58" s="82" t="s">
        <v>632</v>
      </c>
      <c r="F58" s="83"/>
      <c r="G58" s="22" t="s">
        <v>195</v>
      </c>
      <c r="H58" s="30" t="str">
        <f t="shared" si="7"/>
        <v>ST-T09-1</v>
      </c>
      <c r="I58" s="85">
        <v>1</v>
      </c>
      <c r="J58" s="31">
        <v>1</v>
      </c>
      <c r="K58" s="31"/>
      <c r="L58" s="32"/>
      <c r="M58" s="32"/>
      <c r="N58" s="32"/>
      <c r="O58" s="32"/>
      <c r="P58" s="32"/>
      <c r="Q58" s="26"/>
      <c r="W58" s="14"/>
    </row>
    <row r="59" spans="1:24" s="33" customFormat="1" ht="12" customHeight="1" outlineLevel="2">
      <c r="A59" s="28"/>
      <c r="B59" s="22" t="s">
        <v>12</v>
      </c>
      <c r="C59" s="22" t="s">
        <v>192</v>
      </c>
      <c r="D59" s="29" t="s">
        <v>606</v>
      </c>
      <c r="E59" s="82" t="s">
        <v>633</v>
      </c>
      <c r="F59" s="83"/>
      <c r="G59" s="22" t="s">
        <v>195</v>
      </c>
      <c r="H59" s="30" t="str">
        <f t="shared" si="7"/>
        <v>ST-T09-1</v>
      </c>
      <c r="I59" s="85">
        <v>1</v>
      </c>
      <c r="J59" s="31">
        <v>1</v>
      </c>
      <c r="K59" s="31"/>
      <c r="L59" s="32"/>
      <c r="M59" s="32"/>
      <c r="N59" s="32"/>
      <c r="O59" s="32"/>
      <c r="P59" s="32"/>
      <c r="Q59" s="26"/>
      <c r="W59" s="14"/>
    </row>
    <row r="60" spans="1:24" s="33" customFormat="1" ht="12" customHeight="1" outlineLevel="2">
      <c r="A60" s="28"/>
      <c r="B60" s="22" t="s">
        <v>12</v>
      </c>
      <c r="C60" s="22" t="s">
        <v>192</v>
      </c>
      <c r="D60" s="29" t="s">
        <v>606</v>
      </c>
      <c r="E60" s="82" t="s">
        <v>634</v>
      </c>
      <c r="F60" s="83"/>
      <c r="G60" s="22" t="s">
        <v>195</v>
      </c>
      <c r="H60" s="30" t="str">
        <f t="shared" si="7"/>
        <v>ST-T09-1</v>
      </c>
      <c r="I60" s="85">
        <v>1</v>
      </c>
      <c r="J60" s="31">
        <v>1</v>
      </c>
      <c r="K60" s="31"/>
      <c r="L60" s="32"/>
      <c r="M60" s="32"/>
      <c r="N60" s="32"/>
      <c r="O60" s="32"/>
      <c r="P60" s="32"/>
      <c r="Q60" s="26"/>
      <c r="W60" s="14"/>
    </row>
    <row r="61" spans="1:24" s="33" customFormat="1" ht="12" customHeight="1" outlineLevel="2">
      <c r="A61" s="28"/>
      <c r="B61" s="22" t="s">
        <v>12</v>
      </c>
      <c r="C61" s="22" t="s">
        <v>192</v>
      </c>
      <c r="D61" s="29" t="s">
        <v>606</v>
      </c>
      <c r="E61" s="82" t="s">
        <v>635</v>
      </c>
      <c r="F61" s="83"/>
      <c r="G61" s="22" t="s">
        <v>195</v>
      </c>
      <c r="H61" s="30" t="str">
        <f t="shared" si="7"/>
        <v>ST-T09-1</v>
      </c>
      <c r="I61" s="85">
        <v>1</v>
      </c>
      <c r="J61" s="31">
        <v>1</v>
      </c>
      <c r="K61" s="31"/>
      <c r="L61" s="32"/>
      <c r="M61" s="32"/>
      <c r="N61" s="32"/>
      <c r="O61" s="32"/>
      <c r="P61" s="32"/>
      <c r="Q61" s="26"/>
      <c r="W61" s="14"/>
    </row>
    <row r="62" spans="1:24" s="27" customFormat="1" ht="12" customHeight="1" outlineLevel="1">
      <c r="A62" s="34"/>
      <c r="B62" s="22"/>
      <c r="C62" s="22"/>
      <c r="D62" s="325" t="s">
        <v>636</v>
      </c>
      <c r="E62" s="23"/>
      <c r="F62" s="41"/>
      <c r="G62" s="22"/>
      <c r="H62" s="30"/>
      <c r="I62" s="81"/>
      <c r="J62" s="31"/>
      <c r="K62" s="24"/>
      <c r="L62" s="25"/>
      <c r="M62" s="25"/>
      <c r="N62" s="25"/>
      <c r="O62" s="25"/>
      <c r="P62" s="25"/>
      <c r="Q62" s="26"/>
      <c r="W62" s="14"/>
      <c r="X62" s="33"/>
    </row>
    <row r="63" spans="1:24" s="33" customFormat="1" ht="12" customHeight="1" outlineLevel="2">
      <c r="A63" s="28"/>
      <c r="B63" s="22" t="s">
        <v>12</v>
      </c>
      <c r="C63" s="22" t="s">
        <v>192</v>
      </c>
      <c r="D63" s="29" t="s">
        <v>609</v>
      </c>
      <c r="E63" s="82" t="s">
        <v>637</v>
      </c>
      <c r="F63" s="83"/>
      <c r="G63" s="22" t="s">
        <v>195</v>
      </c>
      <c r="H63" s="30" t="str">
        <f t="shared" si="7"/>
        <v>ST-T09-1</v>
      </c>
      <c r="I63" s="85">
        <v>1</v>
      </c>
      <c r="J63" s="31">
        <v>1</v>
      </c>
      <c r="K63" s="31"/>
      <c r="L63" s="32"/>
      <c r="M63" s="32"/>
      <c r="N63" s="32"/>
      <c r="O63" s="32"/>
      <c r="P63" s="32"/>
      <c r="Q63" s="26"/>
      <c r="W63" s="14"/>
    </row>
    <row r="64" spans="1:24" s="33" customFormat="1" ht="12" customHeight="1" outlineLevel="2">
      <c r="A64" s="28"/>
      <c r="B64" s="22" t="s">
        <v>12</v>
      </c>
      <c r="C64" s="22" t="s">
        <v>192</v>
      </c>
      <c r="D64" s="29" t="s">
        <v>609</v>
      </c>
      <c r="E64" s="82" t="s">
        <v>638</v>
      </c>
      <c r="F64" s="83"/>
      <c r="G64" s="22" t="s">
        <v>195</v>
      </c>
      <c r="H64" s="30" t="str">
        <f t="shared" si="7"/>
        <v>ST-T09-1</v>
      </c>
      <c r="I64" s="85">
        <v>1</v>
      </c>
      <c r="J64" s="31">
        <v>1</v>
      </c>
      <c r="K64" s="31"/>
      <c r="L64" s="32"/>
      <c r="M64" s="32"/>
      <c r="N64" s="32"/>
      <c r="O64" s="32"/>
      <c r="P64" s="32"/>
      <c r="Q64" s="26"/>
      <c r="W64" s="14"/>
    </row>
    <row r="65" spans="1:24" s="33" customFormat="1" ht="12" customHeight="1" outlineLevel="2">
      <c r="A65" s="28"/>
      <c r="B65" s="22" t="s">
        <v>12</v>
      </c>
      <c r="C65" s="22" t="s">
        <v>192</v>
      </c>
      <c r="D65" s="29" t="s">
        <v>609</v>
      </c>
      <c r="E65" s="82" t="s">
        <v>639</v>
      </c>
      <c r="F65" s="83"/>
      <c r="G65" s="22" t="s">
        <v>195</v>
      </c>
      <c r="H65" s="30" t="str">
        <f t="shared" si="7"/>
        <v>ST-T09-1</v>
      </c>
      <c r="I65" s="85">
        <v>1</v>
      </c>
      <c r="J65" s="31">
        <v>1</v>
      </c>
      <c r="K65" s="31"/>
      <c r="L65" s="32"/>
      <c r="M65" s="32"/>
      <c r="N65" s="32"/>
      <c r="O65" s="32"/>
      <c r="P65" s="32"/>
      <c r="Q65" s="26"/>
      <c r="W65" s="14"/>
    </row>
    <row r="66" spans="1:24" s="33" customFormat="1" ht="12" customHeight="1" outlineLevel="2">
      <c r="A66" s="28"/>
      <c r="B66" s="22" t="s">
        <v>12</v>
      </c>
      <c r="C66" s="22" t="s">
        <v>192</v>
      </c>
      <c r="D66" s="29" t="s">
        <v>609</v>
      </c>
      <c r="E66" s="82" t="s">
        <v>640</v>
      </c>
      <c r="F66" s="83"/>
      <c r="G66" s="22" t="s">
        <v>195</v>
      </c>
      <c r="H66" s="30" t="str">
        <f t="shared" si="7"/>
        <v>ST-T09-5</v>
      </c>
      <c r="I66" s="85">
        <v>5</v>
      </c>
      <c r="J66" s="31">
        <v>1</v>
      </c>
      <c r="K66" s="31"/>
      <c r="Q66" s="31"/>
      <c r="W66" s="14"/>
    </row>
    <row r="67" spans="1:24" s="33" customFormat="1" ht="12" customHeight="1" outlineLevel="2">
      <c r="A67" s="28"/>
      <c r="B67" s="22" t="s">
        <v>12</v>
      </c>
      <c r="C67" s="22" t="s">
        <v>192</v>
      </c>
      <c r="D67" s="29" t="s">
        <v>609</v>
      </c>
      <c r="E67" s="82" t="s">
        <v>641</v>
      </c>
      <c r="F67" s="83"/>
      <c r="G67" s="22" t="s">
        <v>195</v>
      </c>
      <c r="H67" s="30" t="str">
        <f t="shared" si="7"/>
        <v>ST-T09-5</v>
      </c>
      <c r="I67" s="85">
        <v>5</v>
      </c>
      <c r="J67" s="31">
        <v>1</v>
      </c>
      <c r="K67" s="31"/>
      <c r="Q67" s="31"/>
      <c r="W67" s="14"/>
    </row>
    <row r="68" spans="1:24" s="33" customFormat="1" ht="12" customHeight="1" outlineLevel="2">
      <c r="A68" s="28"/>
      <c r="B68" s="22" t="s">
        <v>12</v>
      </c>
      <c r="C68" s="22" t="s">
        <v>192</v>
      </c>
      <c r="D68" s="29" t="s">
        <v>609</v>
      </c>
      <c r="E68" s="82" t="s">
        <v>642</v>
      </c>
      <c r="F68" s="83"/>
      <c r="G68" s="22" t="s">
        <v>195</v>
      </c>
      <c r="H68" s="30" t="str">
        <f t="shared" si="7"/>
        <v>ST-T09-6</v>
      </c>
      <c r="I68" s="85">
        <v>6</v>
      </c>
      <c r="J68" s="31">
        <v>1</v>
      </c>
      <c r="K68" s="31"/>
      <c r="Q68" s="31"/>
      <c r="W68" s="14"/>
    </row>
    <row r="69" spans="1:24" s="33" customFormat="1" ht="12" customHeight="1" outlineLevel="2">
      <c r="A69" s="28"/>
      <c r="B69" s="22" t="s">
        <v>12</v>
      </c>
      <c r="C69" s="22" t="s">
        <v>192</v>
      </c>
      <c r="D69" s="29" t="s">
        <v>609</v>
      </c>
      <c r="E69" s="82" t="s">
        <v>643</v>
      </c>
      <c r="F69" s="83"/>
      <c r="G69" s="22" t="s">
        <v>195</v>
      </c>
      <c r="H69" s="30" t="str">
        <f t="shared" ref="H69" si="8">CONCATENATE(B69,"-",G69,"-",I69)</f>
        <v>ST-T09-8</v>
      </c>
      <c r="I69" s="85">
        <v>8</v>
      </c>
      <c r="J69" s="31"/>
      <c r="K69" s="31"/>
      <c r="L69" s="35">
        <f t="shared" ref="L69:L70" si="9">M69</f>
        <v>1</v>
      </c>
      <c r="M69" s="218">
        <v>1</v>
      </c>
      <c r="N69" s="31"/>
      <c r="O69" s="31"/>
      <c r="P69" s="31"/>
      <c r="Q69" s="35">
        <f t="shared" ref="Q69:Q70" si="10">R69</f>
        <v>1</v>
      </c>
      <c r="R69" s="218">
        <v>1</v>
      </c>
      <c r="W69" s="14"/>
    </row>
    <row r="70" spans="1:24" s="33" customFormat="1" ht="12" customHeight="1" outlineLevel="2">
      <c r="A70" s="28"/>
      <c r="B70" s="22" t="s">
        <v>12</v>
      </c>
      <c r="C70" s="22" t="s">
        <v>192</v>
      </c>
      <c r="D70" s="29" t="s">
        <v>609</v>
      </c>
      <c r="E70" s="82" t="s">
        <v>644</v>
      </c>
      <c r="F70" s="83"/>
      <c r="G70" s="22" t="s">
        <v>195</v>
      </c>
      <c r="H70" s="30" t="str">
        <f t="shared" si="7"/>
        <v>ST-T09-8</v>
      </c>
      <c r="I70" s="85">
        <v>8</v>
      </c>
      <c r="J70" s="31"/>
      <c r="K70" s="24"/>
      <c r="L70" s="35">
        <f t="shared" si="9"/>
        <v>1</v>
      </c>
      <c r="M70" s="218">
        <v>1</v>
      </c>
      <c r="N70" s="31"/>
      <c r="O70" s="31"/>
      <c r="P70" s="31"/>
      <c r="Q70" s="35">
        <f t="shared" si="10"/>
        <v>1</v>
      </c>
      <c r="R70" s="218">
        <v>1</v>
      </c>
      <c r="W70" s="14"/>
    </row>
    <row r="71" spans="1:24" s="33" customFormat="1" ht="12" customHeight="1" outlineLevel="2">
      <c r="A71" s="28"/>
      <c r="B71" s="22" t="s">
        <v>12</v>
      </c>
      <c r="C71" s="22" t="s">
        <v>192</v>
      </c>
      <c r="D71" s="29" t="s">
        <v>609</v>
      </c>
      <c r="E71" s="82" t="s">
        <v>645</v>
      </c>
      <c r="F71" s="83"/>
      <c r="G71" s="22" t="s">
        <v>195</v>
      </c>
      <c r="H71" s="30" t="str">
        <f t="shared" ref="H71" si="11">CONCATENATE(B71,"-",G71,"-",I71)</f>
        <v>ST-T09-8</v>
      </c>
      <c r="I71" s="85">
        <v>8</v>
      </c>
      <c r="J71" s="31"/>
      <c r="K71" s="24"/>
      <c r="L71" s="35">
        <f t="shared" ref="L71" si="12">M71</f>
        <v>1</v>
      </c>
      <c r="M71" s="218">
        <v>1</v>
      </c>
      <c r="N71" s="31"/>
      <c r="O71" s="31"/>
      <c r="P71" s="31"/>
      <c r="Q71" s="35">
        <f>S71</f>
        <v>1</v>
      </c>
      <c r="S71" s="218">
        <v>1</v>
      </c>
      <c r="W71" s="14"/>
    </row>
    <row r="72" spans="1:24" s="27" customFormat="1" ht="12" customHeight="1" outlineLevel="1">
      <c r="A72" s="34"/>
      <c r="B72" s="22"/>
      <c r="C72" s="22"/>
      <c r="D72" s="325" t="s">
        <v>646</v>
      </c>
      <c r="E72" s="23"/>
      <c r="F72" s="41"/>
      <c r="G72" s="22"/>
      <c r="H72" s="30"/>
      <c r="I72" s="81"/>
      <c r="J72" s="31"/>
      <c r="K72" s="31"/>
      <c r="L72" s="25"/>
      <c r="M72" s="25"/>
      <c r="N72" s="25"/>
      <c r="O72" s="25"/>
      <c r="P72" s="25"/>
      <c r="Q72" s="26"/>
      <c r="W72" s="14"/>
      <c r="X72" s="33"/>
    </row>
    <row r="73" spans="1:24" s="33" customFormat="1" ht="12" customHeight="1" outlineLevel="2">
      <c r="A73" s="28"/>
      <c r="B73" s="22" t="s">
        <v>12</v>
      </c>
      <c r="C73" s="22" t="s">
        <v>192</v>
      </c>
      <c r="D73" s="29" t="s">
        <v>611</v>
      </c>
      <c r="E73" s="82" t="s">
        <v>647</v>
      </c>
      <c r="F73" s="83"/>
      <c r="G73" s="22" t="s">
        <v>195</v>
      </c>
      <c r="H73" s="30" t="str">
        <f t="shared" si="7"/>
        <v>ST-T09-2</v>
      </c>
      <c r="I73" s="85">
        <v>2</v>
      </c>
      <c r="J73" s="31">
        <v>1</v>
      </c>
      <c r="K73" s="31"/>
      <c r="L73" s="32"/>
      <c r="M73" s="32"/>
      <c r="N73" s="32"/>
      <c r="O73" s="32"/>
      <c r="P73" s="32"/>
      <c r="Q73" s="31"/>
      <c r="W73" s="14"/>
    </row>
    <row r="74" spans="1:24" s="33" customFormat="1" ht="12" customHeight="1" outlineLevel="2">
      <c r="A74" s="28"/>
      <c r="B74" s="22" t="s">
        <v>12</v>
      </c>
      <c r="C74" s="22" t="s">
        <v>192</v>
      </c>
      <c r="D74" s="29" t="s">
        <v>611</v>
      </c>
      <c r="E74" s="82" t="s">
        <v>648</v>
      </c>
      <c r="F74" s="83"/>
      <c r="G74" s="22" t="s">
        <v>195</v>
      </c>
      <c r="H74" s="30" t="str">
        <f t="shared" si="7"/>
        <v>ST-T09-4</v>
      </c>
      <c r="I74" s="85">
        <v>4</v>
      </c>
      <c r="J74" s="31">
        <v>1</v>
      </c>
      <c r="K74" s="31"/>
      <c r="L74" s="32"/>
      <c r="M74" s="32"/>
      <c r="N74" s="32"/>
      <c r="O74" s="32"/>
      <c r="P74" s="32"/>
      <c r="Q74" s="31"/>
      <c r="W74" s="14"/>
    </row>
    <row r="75" spans="1:24" s="33" customFormat="1" ht="12" customHeight="1" outlineLevel="2">
      <c r="A75" s="28"/>
      <c r="B75" s="22" t="s">
        <v>12</v>
      </c>
      <c r="C75" s="22" t="s">
        <v>192</v>
      </c>
      <c r="D75" s="29" t="s">
        <v>611</v>
      </c>
      <c r="E75" s="82" t="s">
        <v>649</v>
      </c>
      <c r="F75" s="83"/>
      <c r="G75" s="22" t="s">
        <v>195</v>
      </c>
      <c r="H75" s="30" t="str">
        <f t="shared" si="7"/>
        <v>ST-T09-5</v>
      </c>
      <c r="I75" s="85">
        <v>5</v>
      </c>
      <c r="J75" s="31">
        <v>1</v>
      </c>
      <c r="K75" s="31"/>
      <c r="Q75" s="31"/>
      <c r="W75" s="14"/>
    </row>
    <row r="76" spans="1:24" s="33" customFormat="1" ht="12" customHeight="1" outlineLevel="2">
      <c r="A76" s="28"/>
      <c r="B76" s="22" t="s">
        <v>12</v>
      </c>
      <c r="C76" s="22" t="s">
        <v>192</v>
      </c>
      <c r="D76" s="29" t="s">
        <v>611</v>
      </c>
      <c r="E76" s="82" t="s">
        <v>650</v>
      </c>
      <c r="F76" s="83"/>
      <c r="G76" s="22" t="s">
        <v>195</v>
      </c>
      <c r="H76" s="30" t="str">
        <f t="shared" si="7"/>
        <v>ST-T09-5</v>
      </c>
      <c r="I76" s="85">
        <v>5</v>
      </c>
      <c r="J76" s="31">
        <v>1</v>
      </c>
      <c r="K76" s="31"/>
      <c r="Q76" s="31"/>
      <c r="W76" s="14"/>
    </row>
    <row r="77" spans="1:24" s="33" customFormat="1" ht="12" customHeight="1" outlineLevel="2">
      <c r="A77" s="28"/>
      <c r="B77" s="22" t="s">
        <v>12</v>
      </c>
      <c r="C77" s="22" t="s">
        <v>192</v>
      </c>
      <c r="D77" s="29" t="s">
        <v>611</v>
      </c>
      <c r="E77" s="82" t="s">
        <v>651</v>
      </c>
      <c r="F77" s="83"/>
      <c r="G77" s="22" t="s">
        <v>195</v>
      </c>
      <c r="H77" s="30" t="str">
        <f t="shared" ref="H77:H79" si="13">CONCATENATE(B77,"-",G77,"-",I77)</f>
        <v>ST-T09-6</v>
      </c>
      <c r="I77" s="85">
        <v>6</v>
      </c>
      <c r="J77" s="31">
        <v>1</v>
      </c>
      <c r="K77" s="31"/>
      <c r="Q77" s="31"/>
      <c r="W77" s="14"/>
    </row>
    <row r="78" spans="1:24" s="33" customFormat="1" ht="12" customHeight="1" outlineLevel="2">
      <c r="A78" s="28"/>
      <c r="B78" s="22" t="s">
        <v>12</v>
      </c>
      <c r="C78" s="22" t="s">
        <v>192</v>
      </c>
      <c r="D78" s="29" t="s">
        <v>611</v>
      </c>
      <c r="E78" s="82" t="s">
        <v>652</v>
      </c>
      <c r="F78" s="83"/>
      <c r="G78" s="22" t="s">
        <v>195</v>
      </c>
      <c r="H78" s="30" t="str">
        <f t="shared" si="13"/>
        <v>ST-T09-8</v>
      </c>
      <c r="I78" s="85">
        <v>8</v>
      </c>
      <c r="J78" s="31"/>
      <c r="K78" s="31"/>
      <c r="L78" s="35">
        <f t="shared" ref="L78:L79" si="14">M78</f>
        <v>1</v>
      </c>
      <c r="M78" s="218">
        <v>1</v>
      </c>
      <c r="N78" s="31"/>
      <c r="O78" s="31"/>
      <c r="P78" s="31"/>
      <c r="Q78" s="35">
        <f t="shared" ref="Q78:Q80" si="15">R78</f>
        <v>1</v>
      </c>
      <c r="R78" s="218">
        <v>1</v>
      </c>
      <c r="W78" s="14"/>
    </row>
    <row r="79" spans="1:24" s="33" customFormat="1" ht="12" customHeight="1" outlineLevel="2">
      <c r="A79" s="28"/>
      <c r="B79" s="22" t="s">
        <v>12</v>
      </c>
      <c r="C79" s="22" t="s">
        <v>192</v>
      </c>
      <c r="D79" s="29" t="s">
        <v>611</v>
      </c>
      <c r="E79" s="82" t="s">
        <v>653</v>
      </c>
      <c r="F79" s="83"/>
      <c r="G79" s="22" t="s">
        <v>195</v>
      </c>
      <c r="H79" s="30" t="str">
        <f t="shared" si="13"/>
        <v>ST-T09-8</v>
      </c>
      <c r="I79" s="85">
        <v>8</v>
      </c>
      <c r="J79" s="31"/>
      <c r="K79" s="31"/>
      <c r="L79" s="35">
        <f t="shared" si="14"/>
        <v>1</v>
      </c>
      <c r="M79" s="218">
        <v>1</v>
      </c>
      <c r="N79" s="31"/>
      <c r="O79" s="31"/>
      <c r="P79" s="31"/>
      <c r="Q79" s="35">
        <f t="shared" si="15"/>
        <v>1</v>
      </c>
      <c r="R79" s="218">
        <v>1</v>
      </c>
      <c r="W79" s="14"/>
    </row>
    <row r="80" spans="1:24" s="33" customFormat="1" ht="12" customHeight="1" outlineLevel="2">
      <c r="A80" s="28"/>
      <c r="B80" s="22" t="s">
        <v>12</v>
      </c>
      <c r="C80" s="22" t="s">
        <v>192</v>
      </c>
      <c r="D80" s="29" t="s">
        <v>611</v>
      </c>
      <c r="E80" s="82" t="s">
        <v>654</v>
      </c>
      <c r="F80" s="83"/>
      <c r="G80" s="22" t="s">
        <v>195</v>
      </c>
      <c r="H80" s="30" t="str">
        <f t="shared" si="7"/>
        <v>ST-T09-8</v>
      </c>
      <c r="I80" s="85">
        <v>8</v>
      </c>
      <c r="J80" s="31"/>
      <c r="K80" s="31"/>
      <c r="L80" s="35">
        <f t="shared" ref="L80" si="16">M80</f>
        <v>1</v>
      </c>
      <c r="M80" s="218">
        <v>1</v>
      </c>
      <c r="N80" s="31"/>
      <c r="O80" s="31"/>
      <c r="P80" s="31"/>
      <c r="Q80" s="35">
        <f t="shared" si="15"/>
        <v>1</v>
      </c>
      <c r="R80" s="218">
        <v>1</v>
      </c>
      <c r="W80" s="14"/>
    </row>
    <row r="81" spans="1:24" s="27" customFormat="1" ht="12" customHeight="1" outlineLevel="1">
      <c r="A81" s="34"/>
      <c r="B81" s="22"/>
      <c r="C81" s="22"/>
      <c r="D81" s="325" t="s">
        <v>655</v>
      </c>
      <c r="E81" s="23"/>
      <c r="F81" s="41"/>
      <c r="G81" s="22"/>
      <c r="H81" s="30"/>
      <c r="I81" s="81"/>
      <c r="J81" s="31"/>
      <c r="K81" s="31"/>
      <c r="L81" s="25"/>
      <c r="M81" s="25"/>
      <c r="N81" s="25"/>
      <c r="O81" s="25"/>
      <c r="P81" s="25"/>
      <c r="Q81" s="31"/>
      <c r="W81" s="14"/>
      <c r="X81" s="33"/>
    </row>
    <row r="82" spans="1:24" s="33" customFormat="1" ht="12" customHeight="1" outlineLevel="2">
      <c r="A82" s="28"/>
      <c r="B82" s="22" t="s">
        <v>12</v>
      </c>
      <c r="C82" s="22" t="s">
        <v>192</v>
      </c>
      <c r="D82" s="29" t="s">
        <v>613</v>
      </c>
      <c r="E82" s="82" t="s">
        <v>656</v>
      </c>
      <c r="F82" s="83"/>
      <c r="G82" s="22" t="s">
        <v>195</v>
      </c>
      <c r="H82" s="30" t="str">
        <f t="shared" si="7"/>
        <v>ST-T09-2</v>
      </c>
      <c r="I82" s="85">
        <v>2</v>
      </c>
      <c r="J82" s="31">
        <v>1</v>
      </c>
      <c r="K82" s="31"/>
      <c r="L82" s="32"/>
      <c r="M82" s="32"/>
      <c r="N82" s="32"/>
      <c r="O82" s="32"/>
      <c r="P82" s="32"/>
      <c r="Q82" s="31"/>
      <c r="W82" s="14"/>
    </row>
    <row r="83" spans="1:24" s="33" customFormat="1" ht="12" customHeight="1" outlineLevel="2">
      <c r="A83" s="28"/>
      <c r="B83" s="22" t="s">
        <v>12</v>
      </c>
      <c r="C83" s="22" t="s">
        <v>192</v>
      </c>
      <c r="D83" s="29" t="s">
        <v>613</v>
      </c>
      <c r="E83" s="82" t="s">
        <v>657</v>
      </c>
      <c r="F83" s="83"/>
      <c r="G83" s="22" t="s">
        <v>195</v>
      </c>
      <c r="H83" s="30" t="str">
        <f t="shared" si="7"/>
        <v>ST-T09-2</v>
      </c>
      <c r="I83" s="85">
        <v>2</v>
      </c>
      <c r="J83" s="31">
        <v>1</v>
      </c>
      <c r="K83" s="31"/>
      <c r="L83" s="32"/>
      <c r="M83" s="32"/>
      <c r="N83" s="32"/>
      <c r="O83" s="32"/>
      <c r="P83" s="32"/>
      <c r="Q83" s="31"/>
      <c r="W83" s="14"/>
    </row>
    <row r="84" spans="1:24" s="33" customFormat="1" ht="12" customHeight="1" outlineLevel="2">
      <c r="A84" s="28"/>
      <c r="B84" s="22" t="s">
        <v>12</v>
      </c>
      <c r="C84" s="22" t="s">
        <v>192</v>
      </c>
      <c r="D84" s="29" t="s">
        <v>613</v>
      </c>
      <c r="E84" s="82" t="s">
        <v>658</v>
      </c>
      <c r="F84" s="83"/>
      <c r="G84" s="22" t="s">
        <v>195</v>
      </c>
      <c r="H84" s="30" t="str">
        <f t="shared" si="7"/>
        <v>ST-T09-4</v>
      </c>
      <c r="I84" s="85">
        <v>4</v>
      </c>
      <c r="J84" s="31">
        <v>1</v>
      </c>
      <c r="K84" s="31"/>
      <c r="L84" s="32"/>
      <c r="M84" s="32"/>
      <c r="N84" s="32"/>
      <c r="O84" s="32"/>
      <c r="P84" s="32"/>
      <c r="Q84" s="31"/>
      <c r="W84" s="14"/>
    </row>
    <row r="85" spans="1:24" s="33" customFormat="1" ht="12" customHeight="1" outlineLevel="2">
      <c r="A85" s="28"/>
      <c r="B85" s="22" t="s">
        <v>12</v>
      </c>
      <c r="C85" s="22" t="s">
        <v>192</v>
      </c>
      <c r="D85" s="29" t="s">
        <v>613</v>
      </c>
      <c r="E85" s="82" t="s">
        <v>659</v>
      </c>
      <c r="F85" s="83"/>
      <c r="G85" s="22" t="s">
        <v>195</v>
      </c>
      <c r="H85" s="30" t="str">
        <f t="shared" si="7"/>
        <v>ST-T09-5</v>
      </c>
      <c r="I85" s="85">
        <v>5</v>
      </c>
      <c r="J85" s="31">
        <v>1</v>
      </c>
      <c r="K85" s="31"/>
      <c r="Q85" s="31"/>
      <c r="W85" s="14"/>
    </row>
    <row r="86" spans="1:24" s="33" customFormat="1" ht="12" customHeight="1" outlineLevel="2">
      <c r="A86" s="28"/>
      <c r="B86" s="22" t="s">
        <v>12</v>
      </c>
      <c r="C86" s="22" t="s">
        <v>192</v>
      </c>
      <c r="D86" s="29" t="s">
        <v>613</v>
      </c>
      <c r="E86" s="82" t="s">
        <v>660</v>
      </c>
      <c r="F86" s="83"/>
      <c r="G86" s="22" t="s">
        <v>195</v>
      </c>
      <c r="H86" s="30" t="str">
        <f t="shared" si="7"/>
        <v>ST-T09-5</v>
      </c>
      <c r="I86" s="85">
        <v>5</v>
      </c>
      <c r="J86" s="31">
        <v>1</v>
      </c>
      <c r="K86" s="24"/>
      <c r="Q86" s="31"/>
      <c r="W86" s="14"/>
    </row>
    <row r="87" spans="1:24" s="33" customFormat="1" ht="12" customHeight="1" outlineLevel="2">
      <c r="A87" s="28"/>
      <c r="B87" s="22" t="s">
        <v>12</v>
      </c>
      <c r="C87" s="22" t="s">
        <v>192</v>
      </c>
      <c r="D87" s="29" t="s">
        <v>613</v>
      </c>
      <c r="E87" s="82" t="s">
        <v>661</v>
      </c>
      <c r="F87" s="83"/>
      <c r="G87" s="22" t="s">
        <v>195</v>
      </c>
      <c r="H87" s="30" t="str">
        <f t="shared" ref="H87" si="17">CONCATENATE(B87,"-",G87,"-",I87)</f>
        <v>ST-T09-6</v>
      </c>
      <c r="I87" s="85">
        <v>6</v>
      </c>
      <c r="J87" s="31">
        <v>1</v>
      </c>
      <c r="K87" s="24"/>
      <c r="Q87" s="31"/>
      <c r="W87" s="14"/>
    </row>
    <row r="88" spans="1:24" s="33" customFormat="1" ht="12" customHeight="1" outlineLevel="2">
      <c r="A88" s="28"/>
      <c r="B88" s="22" t="s">
        <v>12</v>
      </c>
      <c r="C88" s="22" t="s">
        <v>192</v>
      </c>
      <c r="D88" s="29" t="s">
        <v>613</v>
      </c>
      <c r="E88" s="82" t="s">
        <v>652</v>
      </c>
      <c r="F88" s="83"/>
      <c r="G88" s="22" t="s">
        <v>195</v>
      </c>
      <c r="H88" s="30" t="str">
        <f t="shared" si="7"/>
        <v>ST-T09-8</v>
      </c>
      <c r="I88" s="85">
        <v>8</v>
      </c>
      <c r="J88" s="31"/>
      <c r="K88" s="31"/>
      <c r="L88" s="35">
        <f t="shared" ref="L88:L90" si="18">M88</f>
        <v>1</v>
      </c>
      <c r="M88" s="218">
        <v>1</v>
      </c>
      <c r="N88" s="31"/>
      <c r="O88" s="31"/>
      <c r="P88" s="31"/>
      <c r="Q88" s="35">
        <f t="shared" ref="Q88:Q90" si="19">R88</f>
        <v>1</v>
      </c>
      <c r="R88" s="218">
        <v>1</v>
      </c>
      <c r="W88" s="14"/>
    </row>
    <row r="89" spans="1:24" s="33" customFormat="1" ht="12" customHeight="1" outlineLevel="2">
      <c r="A89" s="28"/>
      <c r="B89" s="22" t="s">
        <v>12</v>
      </c>
      <c r="C89" s="22" t="s">
        <v>192</v>
      </c>
      <c r="D89" s="29" t="s">
        <v>613</v>
      </c>
      <c r="E89" s="82" t="s">
        <v>653</v>
      </c>
      <c r="F89" s="83"/>
      <c r="G89" s="22" t="s">
        <v>195</v>
      </c>
      <c r="H89" s="30" t="str">
        <f t="shared" ref="H89" si="20">CONCATENATE(B89,"-",G89,"-",I89)</f>
        <v>ST-T09-8</v>
      </c>
      <c r="I89" s="85">
        <v>8</v>
      </c>
      <c r="J89" s="31"/>
      <c r="K89" s="31"/>
      <c r="L89" s="35">
        <f t="shared" ref="L89" si="21">M89</f>
        <v>1</v>
      </c>
      <c r="M89" s="218">
        <v>1</v>
      </c>
      <c r="N89" s="31"/>
      <c r="O89" s="31"/>
      <c r="P89" s="31"/>
      <c r="Q89" s="35">
        <f t="shared" si="19"/>
        <v>1</v>
      </c>
      <c r="R89" s="218">
        <v>1</v>
      </c>
      <c r="W89" s="14"/>
    </row>
    <row r="90" spans="1:24" s="33" customFormat="1" ht="12" customHeight="1" outlineLevel="2">
      <c r="A90" s="28"/>
      <c r="B90" s="22" t="s">
        <v>12</v>
      </c>
      <c r="C90" s="22" t="s">
        <v>192</v>
      </c>
      <c r="D90" s="29" t="s">
        <v>613</v>
      </c>
      <c r="E90" s="82" t="s">
        <v>662</v>
      </c>
      <c r="F90" s="83"/>
      <c r="G90" s="22" t="s">
        <v>195</v>
      </c>
      <c r="H90" s="30" t="str">
        <f t="shared" si="7"/>
        <v>ST-T09-8</v>
      </c>
      <c r="I90" s="85">
        <v>8</v>
      </c>
      <c r="J90" s="31"/>
      <c r="K90" s="31"/>
      <c r="L90" s="35">
        <f t="shared" si="18"/>
        <v>1</v>
      </c>
      <c r="M90" s="218">
        <v>1</v>
      </c>
      <c r="N90" s="31"/>
      <c r="O90" s="31"/>
      <c r="P90" s="31"/>
      <c r="Q90" s="35">
        <f t="shared" si="19"/>
        <v>1</v>
      </c>
      <c r="R90" s="218">
        <v>1</v>
      </c>
      <c r="W90" s="14"/>
    </row>
    <row r="91" spans="1:24" s="27" customFormat="1" ht="12" customHeight="1" outlineLevel="1">
      <c r="A91" s="34"/>
      <c r="B91" s="22"/>
      <c r="C91" s="22"/>
      <c r="D91" s="325" t="s">
        <v>663</v>
      </c>
      <c r="E91" s="23"/>
      <c r="F91" s="41"/>
      <c r="G91" s="22"/>
      <c r="H91" s="30"/>
      <c r="I91" s="81"/>
      <c r="J91" s="31"/>
      <c r="K91" s="31"/>
      <c r="L91" s="25"/>
      <c r="M91" s="25"/>
      <c r="N91" s="25"/>
      <c r="O91" s="25"/>
      <c r="P91" s="25"/>
      <c r="Q91" s="26"/>
      <c r="W91" s="14"/>
      <c r="X91" s="33"/>
    </row>
    <row r="92" spans="1:24" s="33" customFormat="1" ht="12" customHeight="1" outlineLevel="2">
      <c r="A92" s="28"/>
      <c r="B92" s="22" t="s">
        <v>12</v>
      </c>
      <c r="C92" s="22" t="s">
        <v>192</v>
      </c>
      <c r="D92" s="29" t="s">
        <v>615</v>
      </c>
      <c r="E92" s="82" t="s">
        <v>664</v>
      </c>
      <c r="F92" s="83"/>
      <c r="G92" s="22" t="s">
        <v>195</v>
      </c>
      <c r="H92" s="30" t="str">
        <f t="shared" si="7"/>
        <v>ST-T09-2</v>
      </c>
      <c r="I92" s="85">
        <v>2</v>
      </c>
      <c r="J92" s="31">
        <v>1</v>
      </c>
      <c r="K92" s="31"/>
      <c r="L92" s="32"/>
      <c r="M92" s="32"/>
      <c r="N92" s="32"/>
      <c r="O92" s="32"/>
      <c r="P92" s="32"/>
      <c r="Q92" s="31"/>
      <c r="W92" s="14"/>
    </row>
    <row r="93" spans="1:24" s="33" customFormat="1" ht="12" customHeight="1" outlineLevel="2">
      <c r="A93" s="28"/>
      <c r="B93" s="22" t="s">
        <v>12</v>
      </c>
      <c r="C93" s="22" t="s">
        <v>192</v>
      </c>
      <c r="D93" s="29" t="s">
        <v>615</v>
      </c>
      <c r="E93" s="82" t="s">
        <v>665</v>
      </c>
      <c r="F93" s="83"/>
      <c r="G93" s="22" t="s">
        <v>195</v>
      </c>
      <c r="H93" s="30" t="str">
        <f t="shared" si="7"/>
        <v>ST-T09-2</v>
      </c>
      <c r="I93" s="85">
        <v>2</v>
      </c>
      <c r="J93" s="31">
        <v>1</v>
      </c>
      <c r="K93" s="31"/>
      <c r="L93" s="32"/>
      <c r="M93" s="32"/>
      <c r="N93" s="32"/>
      <c r="O93" s="32"/>
      <c r="P93" s="32"/>
      <c r="Q93" s="31"/>
      <c r="W93" s="14"/>
    </row>
    <row r="94" spans="1:24" s="33" customFormat="1" ht="12" customHeight="1" outlineLevel="2">
      <c r="A94" s="28"/>
      <c r="B94" s="22" t="s">
        <v>12</v>
      </c>
      <c r="C94" s="22" t="s">
        <v>192</v>
      </c>
      <c r="D94" s="29" t="s">
        <v>615</v>
      </c>
      <c r="E94" s="82" t="s">
        <v>666</v>
      </c>
      <c r="F94" s="83"/>
      <c r="G94" s="22" t="s">
        <v>195</v>
      </c>
      <c r="H94" s="30" t="str">
        <f t="shared" si="7"/>
        <v>ST-T09-4</v>
      </c>
      <c r="I94" s="85">
        <v>4</v>
      </c>
      <c r="J94" s="31">
        <v>1</v>
      </c>
      <c r="K94" s="31"/>
      <c r="L94" s="32"/>
      <c r="M94" s="32"/>
      <c r="N94" s="32"/>
      <c r="O94" s="32"/>
      <c r="P94" s="32"/>
      <c r="Q94" s="31"/>
      <c r="W94" s="14"/>
    </row>
    <row r="95" spans="1:24" s="33" customFormat="1" ht="12" customHeight="1" outlineLevel="2">
      <c r="A95" s="28"/>
      <c r="B95" s="22" t="s">
        <v>12</v>
      </c>
      <c r="C95" s="22" t="s">
        <v>192</v>
      </c>
      <c r="D95" s="29" t="s">
        <v>615</v>
      </c>
      <c r="E95" s="82" t="s">
        <v>667</v>
      </c>
      <c r="F95" s="83"/>
      <c r="G95" s="22" t="s">
        <v>195</v>
      </c>
      <c r="H95" s="30" t="str">
        <f t="shared" si="7"/>
        <v>ST-T09-5</v>
      </c>
      <c r="I95" s="85">
        <v>5</v>
      </c>
      <c r="J95" s="31">
        <v>1</v>
      </c>
      <c r="K95" s="24"/>
      <c r="Q95" s="31"/>
      <c r="W95" s="14"/>
    </row>
    <row r="96" spans="1:24" s="33" customFormat="1" ht="12" customHeight="1" outlineLevel="2">
      <c r="A96" s="28"/>
      <c r="B96" s="22" t="s">
        <v>12</v>
      </c>
      <c r="C96" s="22" t="s">
        <v>192</v>
      </c>
      <c r="D96" s="29" t="s">
        <v>615</v>
      </c>
      <c r="E96" s="82" t="s">
        <v>668</v>
      </c>
      <c r="F96" s="83"/>
      <c r="G96" s="22" t="s">
        <v>195</v>
      </c>
      <c r="H96" s="30" t="str">
        <f t="shared" si="7"/>
        <v>ST-T09-5</v>
      </c>
      <c r="I96" s="85">
        <v>5</v>
      </c>
      <c r="J96" s="31">
        <v>1</v>
      </c>
      <c r="K96" s="37"/>
      <c r="Q96" s="31"/>
      <c r="W96" s="14"/>
    </row>
    <row r="97" spans="1:24" s="33" customFormat="1" ht="12" customHeight="1" outlineLevel="2">
      <c r="A97" s="28"/>
      <c r="B97" s="22" t="s">
        <v>12</v>
      </c>
      <c r="C97" s="22" t="s">
        <v>192</v>
      </c>
      <c r="D97" s="29" t="s">
        <v>615</v>
      </c>
      <c r="E97" s="82" t="s">
        <v>669</v>
      </c>
      <c r="F97" s="83"/>
      <c r="G97" s="22" t="s">
        <v>195</v>
      </c>
      <c r="H97" s="30" t="str">
        <f t="shared" ref="H97" si="22">CONCATENATE(B97,"-",G97,"-",I97)</f>
        <v>ST-T09-6</v>
      </c>
      <c r="I97" s="85">
        <v>6</v>
      </c>
      <c r="J97" s="31">
        <v>1</v>
      </c>
      <c r="K97" s="37"/>
      <c r="Q97" s="31"/>
      <c r="W97" s="14"/>
    </row>
    <row r="98" spans="1:24" s="33" customFormat="1" ht="12" customHeight="1" outlineLevel="2">
      <c r="A98" s="28"/>
      <c r="B98" s="22" t="s">
        <v>12</v>
      </c>
      <c r="C98" s="22" t="s">
        <v>192</v>
      </c>
      <c r="D98" s="29" t="s">
        <v>615</v>
      </c>
      <c r="E98" s="82" t="s">
        <v>670</v>
      </c>
      <c r="F98" s="83"/>
      <c r="G98" s="22" t="s">
        <v>195</v>
      </c>
      <c r="H98" s="30" t="str">
        <f t="shared" si="7"/>
        <v>ST-T09-8</v>
      </c>
      <c r="I98" s="85">
        <v>8</v>
      </c>
      <c r="J98" s="31"/>
      <c r="K98" s="37"/>
      <c r="L98" s="35">
        <f t="shared" ref="L98:L100" si="23">M98</f>
        <v>1</v>
      </c>
      <c r="M98" s="218">
        <v>1</v>
      </c>
      <c r="N98" s="31"/>
      <c r="O98" s="31"/>
      <c r="P98" s="31"/>
      <c r="Q98" s="35">
        <f t="shared" ref="Q98:Q100" si="24">R98</f>
        <v>1</v>
      </c>
      <c r="R98" s="218">
        <v>1</v>
      </c>
      <c r="W98" s="14"/>
    </row>
    <row r="99" spans="1:24" s="33" customFormat="1" ht="12" customHeight="1" outlineLevel="2">
      <c r="A99" s="28"/>
      <c r="B99" s="22" t="s">
        <v>12</v>
      </c>
      <c r="C99" s="22" t="s">
        <v>192</v>
      </c>
      <c r="D99" s="29" t="s">
        <v>615</v>
      </c>
      <c r="E99" s="82" t="s">
        <v>671</v>
      </c>
      <c r="F99" s="83"/>
      <c r="G99" s="22" t="s">
        <v>195</v>
      </c>
      <c r="H99" s="30" t="str">
        <f t="shared" ref="H99" si="25">CONCATENATE(B99,"-",G99,"-",I99)</f>
        <v>ST-T09-8</v>
      </c>
      <c r="I99" s="85">
        <v>8</v>
      </c>
      <c r="J99" s="31"/>
      <c r="K99" s="37"/>
      <c r="L99" s="35">
        <f t="shared" ref="L99" si="26">M99</f>
        <v>1</v>
      </c>
      <c r="M99" s="218">
        <v>1</v>
      </c>
      <c r="N99" s="31"/>
      <c r="O99" s="31"/>
      <c r="P99" s="31"/>
      <c r="Q99" s="35">
        <f t="shared" si="24"/>
        <v>1</v>
      </c>
      <c r="R99" s="218">
        <v>1</v>
      </c>
      <c r="W99" s="14"/>
    </row>
    <row r="100" spans="1:24" s="33" customFormat="1" ht="12" customHeight="1" outlineLevel="2">
      <c r="A100" s="28"/>
      <c r="B100" s="22" t="s">
        <v>12</v>
      </c>
      <c r="C100" s="22" t="s">
        <v>192</v>
      </c>
      <c r="D100" s="29" t="s">
        <v>615</v>
      </c>
      <c r="E100" s="82" t="s">
        <v>672</v>
      </c>
      <c r="F100" s="83"/>
      <c r="G100" s="22" t="s">
        <v>195</v>
      </c>
      <c r="H100" s="30" t="str">
        <f t="shared" si="7"/>
        <v>ST-T09-8</v>
      </c>
      <c r="I100" s="85">
        <v>8</v>
      </c>
      <c r="J100" s="31"/>
      <c r="K100" s="37"/>
      <c r="L100" s="35">
        <f t="shared" si="23"/>
        <v>1</v>
      </c>
      <c r="M100" s="218">
        <v>1</v>
      </c>
      <c r="N100" s="31"/>
      <c r="O100" s="31"/>
      <c r="P100" s="31"/>
      <c r="Q100" s="35">
        <f t="shared" si="24"/>
        <v>1</v>
      </c>
      <c r="R100" s="218">
        <v>1</v>
      </c>
      <c r="W100" s="14"/>
    </row>
    <row r="101" spans="1:24" s="27" customFormat="1" ht="12" customHeight="1" outlineLevel="1">
      <c r="A101" s="34"/>
      <c r="B101" s="22"/>
      <c r="C101" s="22"/>
      <c r="D101" s="325" t="s">
        <v>673</v>
      </c>
      <c r="E101" s="23"/>
      <c r="F101" s="41"/>
      <c r="G101" s="22"/>
      <c r="H101" s="30"/>
      <c r="I101" s="81"/>
      <c r="J101" s="31"/>
      <c r="K101" s="37"/>
      <c r="L101" s="25"/>
      <c r="M101" s="25"/>
      <c r="N101" s="25"/>
      <c r="O101" s="25"/>
      <c r="P101" s="25"/>
      <c r="Q101" s="35"/>
      <c r="W101" s="14"/>
      <c r="X101" s="33"/>
    </row>
    <row r="102" spans="1:24" ht="12" customHeight="1" outlineLevel="2">
      <c r="A102" s="36"/>
      <c r="B102" s="22" t="s">
        <v>12</v>
      </c>
      <c r="C102" s="22" t="s">
        <v>192</v>
      </c>
      <c r="D102" s="29" t="s">
        <v>674</v>
      </c>
      <c r="E102" s="82" t="s">
        <v>675</v>
      </c>
      <c r="F102" s="83"/>
      <c r="G102" s="22" t="s">
        <v>195</v>
      </c>
      <c r="H102" s="30" t="str">
        <f t="shared" si="7"/>
        <v>ST-T09-2</v>
      </c>
      <c r="I102" s="85">
        <v>2</v>
      </c>
      <c r="J102" s="31">
        <v>1</v>
      </c>
      <c r="K102" s="24"/>
      <c r="L102" s="32"/>
      <c r="M102" s="32"/>
      <c r="N102" s="32"/>
      <c r="O102" s="32"/>
      <c r="P102" s="32"/>
      <c r="Q102" s="26"/>
      <c r="W102" s="14"/>
      <c r="X102" s="33"/>
    </row>
    <row r="103" spans="1:24" ht="12" customHeight="1" outlineLevel="2">
      <c r="A103" s="36"/>
      <c r="B103" s="22" t="s">
        <v>12</v>
      </c>
      <c r="C103" s="22" t="s">
        <v>192</v>
      </c>
      <c r="D103" s="29" t="s">
        <v>674</v>
      </c>
      <c r="E103" s="82" t="s">
        <v>676</v>
      </c>
      <c r="F103" s="83"/>
      <c r="G103" s="22" t="s">
        <v>195</v>
      </c>
      <c r="H103" s="30" t="str">
        <f t="shared" si="7"/>
        <v>ST-T09-2</v>
      </c>
      <c r="I103" s="85">
        <v>2</v>
      </c>
      <c r="J103" s="31">
        <v>1</v>
      </c>
      <c r="K103" s="37"/>
      <c r="L103" s="32"/>
      <c r="M103" s="32"/>
      <c r="N103" s="32"/>
      <c r="O103" s="32"/>
      <c r="P103" s="32"/>
      <c r="Q103" s="35"/>
      <c r="W103" s="14"/>
      <c r="X103" s="33"/>
    </row>
    <row r="104" spans="1:24" ht="12" customHeight="1" outlineLevel="2">
      <c r="A104" s="36"/>
      <c r="B104" s="22" t="s">
        <v>12</v>
      </c>
      <c r="C104" s="22" t="s">
        <v>192</v>
      </c>
      <c r="D104" s="29" t="s">
        <v>674</v>
      </c>
      <c r="E104" s="82" t="s">
        <v>677</v>
      </c>
      <c r="F104" s="83"/>
      <c r="G104" s="22" t="s">
        <v>195</v>
      </c>
      <c r="H104" s="30" t="str">
        <f t="shared" ref="H104:H114" si="27">CONCATENATE(B104,"-",G104,"-",I104)</f>
        <v>ST-T09-4</v>
      </c>
      <c r="I104" s="85">
        <v>4</v>
      </c>
      <c r="J104" s="31">
        <v>1</v>
      </c>
      <c r="K104" s="37"/>
      <c r="Q104" s="31"/>
      <c r="W104" s="14"/>
      <c r="X104" s="33"/>
    </row>
    <row r="105" spans="1:24" ht="12" customHeight="1" outlineLevel="2">
      <c r="A105" s="36"/>
      <c r="B105" s="22" t="s">
        <v>12</v>
      </c>
      <c r="C105" s="22" t="s">
        <v>192</v>
      </c>
      <c r="D105" s="29" t="s">
        <v>674</v>
      </c>
      <c r="E105" s="82" t="s">
        <v>678</v>
      </c>
      <c r="F105" s="83"/>
      <c r="G105" s="22" t="s">
        <v>195</v>
      </c>
      <c r="H105" s="30" t="str">
        <f t="shared" ref="H105" si="28">CONCATENATE(B105,"-",G105,"-",I105)</f>
        <v>ST-T09-4</v>
      </c>
      <c r="I105" s="85">
        <v>4</v>
      </c>
      <c r="J105" s="31">
        <v>1</v>
      </c>
      <c r="K105" s="37"/>
      <c r="Q105" s="31"/>
      <c r="W105" s="14"/>
      <c r="X105" s="33"/>
    </row>
    <row r="106" spans="1:24" ht="12" customHeight="1" outlineLevel="2">
      <c r="A106" s="36"/>
      <c r="B106" s="22" t="s">
        <v>12</v>
      </c>
      <c r="C106" s="22" t="s">
        <v>192</v>
      </c>
      <c r="D106" s="29" t="s">
        <v>674</v>
      </c>
      <c r="E106" s="82" t="s">
        <v>679</v>
      </c>
      <c r="F106" s="83"/>
      <c r="G106" s="22" t="s">
        <v>195</v>
      </c>
      <c r="H106" s="30" t="str">
        <f t="shared" si="27"/>
        <v>ST-T09-8</v>
      </c>
      <c r="I106" s="85">
        <v>8</v>
      </c>
      <c r="J106" s="31"/>
      <c r="K106" s="37"/>
      <c r="L106" s="35">
        <f>M106</f>
        <v>1</v>
      </c>
      <c r="M106" s="218">
        <v>1</v>
      </c>
      <c r="N106" s="31"/>
      <c r="O106" s="31"/>
      <c r="P106" s="31"/>
      <c r="Q106" s="35">
        <f t="shared" ref="Q106" si="29">R106</f>
        <v>1</v>
      </c>
      <c r="R106" s="218">
        <v>1</v>
      </c>
      <c r="W106" s="14"/>
      <c r="X106" s="33"/>
    </row>
    <row r="107" spans="1:24" s="27" customFormat="1" ht="12" customHeight="1" outlineLevel="1">
      <c r="A107" s="34"/>
      <c r="B107" s="22"/>
      <c r="C107" s="22"/>
      <c r="D107" s="325" t="s">
        <v>680</v>
      </c>
      <c r="E107" s="23"/>
      <c r="F107" s="41"/>
      <c r="G107" s="22"/>
      <c r="H107" s="30"/>
      <c r="I107" s="81"/>
      <c r="J107" s="31"/>
      <c r="K107" s="24"/>
      <c r="L107" s="25"/>
      <c r="M107" s="25"/>
      <c r="N107" s="25"/>
      <c r="O107" s="25"/>
      <c r="P107" s="25"/>
      <c r="Q107" s="35"/>
      <c r="W107" s="14"/>
      <c r="X107" s="33"/>
    </row>
    <row r="108" spans="1:24" ht="12" customHeight="1" outlineLevel="2">
      <c r="A108" s="36"/>
      <c r="B108" s="22" t="s">
        <v>12</v>
      </c>
      <c r="C108" s="22" t="s">
        <v>192</v>
      </c>
      <c r="D108" s="29" t="s">
        <v>12</v>
      </c>
      <c r="E108" s="82" t="s">
        <v>681</v>
      </c>
      <c r="F108" s="83"/>
      <c r="G108" s="22" t="s">
        <v>195</v>
      </c>
      <c r="H108" s="30" t="str">
        <f t="shared" si="27"/>
        <v>ST-T09-1</v>
      </c>
      <c r="I108" s="85">
        <v>1</v>
      </c>
      <c r="J108" s="31">
        <v>1</v>
      </c>
      <c r="K108" s="37"/>
      <c r="L108" s="32"/>
      <c r="M108" s="32"/>
      <c r="N108" s="32"/>
      <c r="O108" s="32"/>
      <c r="P108" s="32"/>
      <c r="Q108" s="26"/>
      <c r="W108" s="14"/>
      <c r="X108" s="33"/>
    </row>
    <row r="109" spans="1:24" ht="12" customHeight="1" outlineLevel="2">
      <c r="A109" s="36"/>
      <c r="B109" s="22" t="s">
        <v>12</v>
      </c>
      <c r="C109" s="22" t="s">
        <v>192</v>
      </c>
      <c r="D109" s="29" t="s">
        <v>12</v>
      </c>
      <c r="E109" s="82" t="s">
        <v>682</v>
      </c>
      <c r="F109" s="83"/>
      <c r="G109" s="22" t="s">
        <v>195</v>
      </c>
      <c r="H109" s="30" t="str">
        <f>CONCATENATE(B109,"-",G109,"-",I109)</f>
        <v>ST-T09-5</v>
      </c>
      <c r="I109" s="85">
        <v>5</v>
      </c>
      <c r="J109" s="31">
        <v>1</v>
      </c>
      <c r="K109" s="37"/>
      <c r="L109" s="31"/>
      <c r="M109" s="31"/>
      <c r="N109" s="31"/>
      <c r="O109" s="31"/>
      <c r="P109" s="31"/>
      <c r="Q109" s="31"/>
      <c r="W109" s="14"/>
      <c r="X109" s="33"/>
    </row>
    <row r="110" spans="1:24" ht="12" customHeight="1" outlineLevel="2">
      <c r="A110" s="36"/>
      <c r="B110" s="22" t="s">
        <v>12</v>
      </c>
      <c r="C110" s="22" t="s">
        <v>192</v>
      </c>
      <c r="D110" s="29" t="s">
        <v>12</v>
      </c>
      <c r="E110" s="82" t="s">
        <v>683</v>
      </c>
      <c r="F110" s="83"/>
      <c r="G110" s="22" t="s">
        <v>195</v>
      </c>
      <c r="H110" s="30" t="str">
        <f t="shared" ref="H110" si="30">CONCATENATE(B110,"-",G110,"-",I110)</f>
        <v>ST-T09-5</v>
      </c>
      <c r="I110" s="85">
        <v>5</v>
      </c>
      <c r="J110" s="31">
        <v>1</v>
      </c>
      <c r="K110" s="37"/>
      <c r="L110" s="31"/>
      <c r="M110" s="31"/>
      <c r="N110" s="31"/>
      <c r="O110" s="31"/>
      <c r="P110" s="31"/>
      <c r="Q110" s="31"/>
      <c r="W110" s="14"/>
      <c r="X110" s="33"/>
    </row>
    <row r="111" spans="1:24" ht="12" customHeight="1" outlineLevel="2">
      <c r="A111" s="36"/>
      <c r="B111" s="22" t="s">
        <v>12</v>
      </c>
      <c r="C111" s="22" t="s">
        <v>192</v>
      </c>
      <c r="D111" s="29" t="s">
        <v>12</v>
      </c>
      <c r="E111" s="82" t="s">
        <v>684</v>
      </c>
      <c r="F111" s="83"/>
      <c r="G111" s="22" t="s">
        <v>195</v>
      </c>
      <c r="H111" s="30" t="str">
        <f t="shared" ref="H111" si="31">CONCATENATE(B111,"-",G111,"-",I111)</f>
        <v>ST-T09-6</v>
      </c>
      <c r="I111" s="85">
        <v>6</v>
      </c>
      <c r="J111" s="31">
        <v>1</v>
      </c>
      <c r="K111" s="37"/>
      <c r="L111" s="31"/>
      <c r="M111" s="31"/>
      <c r="N111" s="31"/>
      <c r="O111" s="31"/>
      <c r="P111" s="31"/>
      <c r="Q111" s="31"/>
      <c r="W111" s="14"/>
      <c r="X111" s="33"/>
    </row>
    <row r="112" spans="1:24" ht="12" customHeight="1" outlineLevel="2">
      <c r="A112" s="36"/>
      <c r="B112" s="22" t="s">
        <v>12</v>
      </c>
      <c r="C112" s="22" t="s">
        <v>192</v>
      </c>
      <c r="D112" s="29" t="s">
        <v>12</v>
      </c>
      <c r="E112" s="82" t="s">
        <v>685</v>
      </c>
      <c r="F112" s="83"/>
      <c r="G112" s="22" t="s">
        <v>195</v>
      </c>
      <c r="H112" s="30" t="str">
        <f t="shared" ref="H112" si="32">CONCATENATE(B112,"-",G112,"-",I112)</f>
        <v>ST-T09-8</v>
      </c>
      <c r="I112" s="85">
        <v>8</v>
      </c>
      <c r="J112" s="31"/>
      <c r="K112" s="37"/>
      <c r="L112" s="35">
        <f>M112</f>
        <v>1</v>
      </c>
      <c r="M112" s="218">
        <v>1</v>
      </c>
      <c r="N112" s="35"/>
      <c r="O112" s="31"/>
      <c r="P112" s="31"/>
      <c r="Q112" s="35">
        <f>R112</f>
        <v>1</v>
      </c>
      <c r="R112" s="218">
        <v>1</v>
      </c>
      <c r="W112" s="14"/>
      <c r="X112" s="33"/>
    </row>
    <row r="113" spans="1:24" ht="12" customHeight="1" outlineLevel="2">
      <c r="A113" s="36"/>
      <c r="B113" s="22" t="s">
        <v>12</v>
      </c>
      <c r="C113" s="22" t="s">
        <v>192</v>
      </c>
      <c r="D113" s="29" t="s">
        <v>12</v>
      </c>
      <c r="E113" s="82" t="s">
        <v>686</v>
      </c>
      <c r="F113" s="83"/>
      <c r="G113" s="22" t="s">
        <v>195</v>
      </c>
      <c r="H113" s="30" t="str">
        <f t="shared" si="27"/>
        <v>ST-T09-1</v>
      </c>
      <c r="I113" s="85">
        <v>1</v>
      </c>
      <c r="J113" s="31">
        <v>1</v>
      </c>
      <c r="K113" s="37"/>
      <c r="L113" s="31"/>
      <c r="M113" s="31"/>
      <c r="N113" s="31"/>
      <c r="O113" s="31"/>
      <c r="P113" s="31"/>
      <c r="Q113" s="31"/>
      <c r="W113" s="14"/>
      <c r="X113" s="33"/>
    </row>
    <row r="114" spans="1:24" ht="12" customHeight="1" outlineLevel="2">
      <c r="A114" s="36"/>
      <c r="B114" s="22" t="s">
        <v>12</v>
      </c>
      <c r="C114" s="22" t="s">
        <v>192</v>
      </c>
      <c r="D114" s="29" t="s">
        <v>12</v>
      </c>
      <c r="E114" s="82" t="s">
        <v>687</v>
      </c>
      <c r="F114" s="83"/>
      <c r="G114" s="22" t="s">
        <v>195</v>
      </c>
      <c r="H114" s="30" t="str">
        <f t="shared" si="27"/>
        <v>ST-T09-1</v>
      </c>
      <c r="I114" s="85">
        <v>1</v>
      </c>
      <c r="J114" s="31">
        <v>1</v>
      </c>
      <c r="K114" s="37"/>
      <c r="L114" s="31"/>
      <c r="M114" s="31"/>
      <c r="N114" s="31"/>
      <c r="O114" s="31"/>
      <c r="P114" s="31"/>
      <c r="Q114" s="31"/>
      <c r="W114" s="14"/>
      <c r="X114" s="33"/>
    </row>
    <row r="115" spans="1:24" ht="12" customHeight="1">
      <c r="A115" s="39"/>
      <c r="B115" s="22"/>
      <c r="C115" s="22"/>
      <c r="D115" s="29"/>
      <c r="E115" s="82"/>
      <c r="F115" s="83"/>
      <c r="G115" s="22"/>
      <c r="H115" s="30"/>
      <c r="I115" s="85"/>
      <c r="J115" s="31"/>
      <c r="K115" s="37"/>
      <c r="L115" s="32"/>
      <c r="M115" s="32"/>
      <c r="N115" s="32"/>
      <c r="O115" s="32"/>
      <c r="P115" s="32"/>
      <c r="Q115" s="26"/>
      <c r="W115" s="14"/>
      <c r="X115" s="33"/>
    </row>
    <row r="116" spans="1:24" ht="12" customHeight="1">
      <c r="A116" s="39"/>
      <c r="B116" s="22"/>
      <c r="C116" s="22"/>
      <c r="D116" s="21" t="s">
        <v>688</v>
      </c>
      <c r="E116" s="82"/>
      <c r="F116" s="83"/>
      <c r="G116" s="22"/>
      <c r="H116" s="30"/>
      <c r="I116" s="85"/>
      <c r="J116" s="322"/>
      <c r="K116" s="37"/>
      <c r="L116" s="32"/>
      <c r="M116" s="32"/>
      <c r="N116" s="32"/>
      <c r="O116" s="32"/>
      <c r="P116" s="32"/>
      <c r="Q116" s="26"/>
      <c r="W116" s="14"/>
      <c r="X116" s="33"/>
    </row>
    <row r="117" spans="1:24" ht="12" customHeight="1">
      <c r="A117" s="39"/>
      <c r="B117" s="22" t="s">
        <v>12</v>
      </c>
      <c r="C117" s="22" t="s">
        <v>192</v>
      </c>
      <c r="D117" s="29" t="s">
        <v>12</v>
      </c>
      <c r="E117" s="82" t="s">
        <v>689</v>
      </c>
      <c r="F117" s="83"/>
      <c r="G117" s="22" t="s">
        <v>195</v>
      </c>
      <c r="H117" s="30" t="str">
        <f t="shared" ref="H117" si="33">CONCATENATE(B117,"-",G117,"-",I117)</f>
        <v>ST-T09-2</v>
      </c>
      <c r="I117" s="85">
        <v>2</v>
      </c>
      <c r="J117" s="15"/>
      <c r="K117" s="37"/>
      <c r="L117" s="31">
        <v>1</v>
      </c>
      <c r="M117" s="31">
        <v>1</v>
      </c>
      <c r="N117" s="32"/>
      <c r="O117" s="32"/>
      <c r="P117" s="32"/>
      <c r="Q117" s="31">
        <v>1</v>
      </c>
      <c r="R117" s="31">
        <v>1</v>
      </c>
      <c r="W117" s="14"/>
      <c r="X117" s="33"/>
    </row>
    <row r="118" spans="1:24" ht="12" customHeight="1">
      <c r="A118" s="39"/>
      <c r="B118" s="22" t="s">
        <v>12</v>
      </c>
      <c r="C118" s="22" t="s">
        <v>192</v>
      </c>
      <c r="D118" s="29" t="s">
        <v>12</v>
      </c>
      <c r="E118" s="82" t="s">
        <v>690</v>
      </c>
      <c r="F118" s="83"/>
      <c r="G118" s="22" t="s">
        <v>195</v>
      </c>
      <c r="H118" s="30" t="str">
        <f t="shared" ref="H118" si="34">CONCATENATE(B118,"-",G118,"-",I118)</f>
        <v>ST-T09-6</v>
      </c>
      <c r="I118" s="85">
        <v>6</v>
      </c>
      <c r="J118" s="15"/>
      <c r="K118" s="37"/>
      <c r="L118" s="31">
        <v>1</v>
      </c>
      <c r="M118" s="31">
        <v>1</v>
      </c>
      <c r="N118" s="32"/>
      <c r="O118" s="32"/>
      <c r="P118" s="32"/>
      <c r="Q118" s="31">
        <v>1</v>
      </c>
      <c r="R118" s="31">
        <v>1</v>
      </c>
      <c r="W118" s="14"/>
      <c r="X118" s="33"/>
    </row>
    <row r="119" spans="1:24" ht="12" customHeight="1">
      <c r="A119" s="39"/>
      <c r="B119" s="22"/>
      <c r="C119" s="22"/>
      <c r="D119" s="29"/>
      <c r="E119" s="82"/>
      <c r="F119" s="83"/>
      <c r="G119" s="33"/>
      <c r="H119" s="320"/>
      <c r="I119" s="321"/>
      <c r="J119" s="31"/>
      <c r="K119" s="37"/>
      <c r="L119" s="32"/>
      <c r="M119" s="32"/>
      <c r="N119" s="32"/>
      <c r="O119" s="32"/>
      <c r="P119" s="32"/>
      <c r="Q119" s="26"/>
      <c r="W119" s="14"/>
      <c r="X119" s="33"/>
    </row>
    <row r="120" spans="1:24" ht="12" customHeight="1">
      <c r="A120" s="39"/>
      <c r="B120" s="22"/>
      <c r="C120" s="22"/>
      <c r="D120" s="29"/>
      <c r="E120" s="82"/>
      <c r="F120" s="83"/>
      <c r="G120" s="33"/>
      <c r="H120" s="320"/>
      <c r="I120" s="321"/>
      <c r="J120" s="31"/>
      <c r="K120" s="37"/>
      <c r="L120" s="32"/>
      <c r="M120" s="32"/>
      <c r="N120" s="32"/>
      <c r="O120" s="32"/>
      <c r="P120" s="32"/>
      <c r="Q120" s="26"/>
      <c r="W120" s="14"/>
      <c r="X120" s="33"/>
    </row>
    <row r="121" spans="1:24" s="27" customFormat="1" ht="12" customHeight="1">
      <c r="A121" s="96" t="s">
        <v>90</v>
      </c>
      <c r="B121" s="101"/>
      <c r="C121" s="101"/>
      <c r="D121" s="102"/>
      <c r="E121" s="103"/>
      <c r="F121" s="41"/>
      <c r="G121" s="94" t="s">
        <v>121</v>
      </c>
      <c r="H121" s="94" t="s">
        <v>122</v>
      </c>
      <c r="I121" s="95" t="s">
        <v>123</v>
      </c>
      <c r="J121" s="31"/>
      <c r="K121" s="24"/>
      <c r="L121" s="25"/>
      <c r="M121" s="25"/>
      <c r="N121" s="25"/>
      <c r="O121" s="25"/>
      <c r="P121" s="25"/>
      <c r="Q121" s="26"/>
      <c r="W121" s="14"/>
      <c r="X121" s="33"/>
    </row>
    <row r="122" spans="1:24" s="27" customFormat="1" ht="12" customHeight="1" outlineLevel="1">
      <c r="A122" s="38"/>
      <c r="B122" s="22" t="s">
        <v>12</v>
      </c>
      <c r="C122" s="22" t="s">
        <v>691</v>
      </c>
      <c r="D122" s="28"/>
      <c r="E122" s="36" t="s">
        <v>692</v>
      </c>
      <c r="F122" s="87"/>
      <c r="G122" s="22" t="s">
        <v>487</v>
      </c>
      <c r="H122" s="30" t="str">
        <f t="shared" ref="H122:H128" si="35">CONCATENATE(B122,"-",G122,"-",I122)</f>
        <v>ST-SDV-2</v>
      </c>
      <c r="I122" s="84">
        <v>2</v>
      </c>
      <c r="J122" s="31"/>
      <c r="K122" s="24"/>
      <c r="L122" s="35">
        <f t="shared" ref="L122:L123" si="36">M122</f>
        <v>1</v>
      </c>
      <c r="M122" s="219">
        <v>1</v>
      </c>
      <c r="N122" s="32"/>
      <c r="O122" s="32"/>
      <c r="P122" s="32"/>
      <c r="Q122" s="35">
        <f t="shared" ref="Q122:Q123" si="37">R122</f>
        <v>1</v>
      </c>
      <c r="R122" s="219">
        <v>1</v>
      </c>
      <c r="W122" s="14"/>
      <c r="X122" s="33"/>
    </row>
    <row r="123" spans="1:24" s="27" customFormat="1" ht="12" customHeight="1" outlineLevel="1">
      <c r="A123" s="38"/>
      <c r="B123" s="22" t="s">
        <v>12</v>
      </c>
      <c r="C123" s="22" t="s">
        <v>691</v>
      </c>
      <c r="D123" s="28"/>
      <c r="E123" s="36" t="s">
        <v>693</v>
      </c>
      <c r="F123" s="87"/>
      <c r="G123" s="22" t="s">
        <v>487</v>
      </c>
      <c r="H123" s="30" t="str">
        <f t="shared" ref="H123" si="38">CONCATENATE(B123,"-",G123,"-",I123)</f>
        <v>ST-SDV-2</v>
      </c>
      <c r="I123" s="84">
        <v>2</v>
      </c>
      <c r="J123" s="31"/>
      <c r="K123" s="24"/>
      <c r="L123" s="35">
        <f t="shared" si="36"/>
        <v>1</v>
      </c>
      <c r="M123" s="219">
        <v>1</v>
      </c>
      <c r="N123" s="32"/>
      <c r="O123" s="32"/>
      <c r="P123" s="32"/>
      <c r="Q123" s="35">
        <f t="shared" si="37"/>
        <v>1</v>
      </c>
      <c r="R123" s="219">
        <v>1</v>
      </c>
      <c r="W123" s="14"/>
      <c r="X123" s="33"/>
    </row>
    <row r="124" spans="1:24" s="27" customFormat="1" ht="12" customHeight="1" outlineLevel="1">
      <c r="A124" s="38"/>
      <c r="B124" s="22" t="s">
        <v>12</v>
      </c>
      <c r="C124" s="22" t="s">
        <v>694</v>
      </c>
      <c r="D124" s="28"/>
      <c r="E124" s="88" t="s">
        <v>695</v>
      </c>
      <c r="F124" s="89"/>
      <c r="G124" s="22" t="s">
        <v>487</v>
      </c>
      <c r="H124" s="30" t="str">
        <f t="shared" si="35"/>
        <v>ST-SDV-2</v>
      </c>
      <c r="I124" s="84">
        <v>2</v>
      </c>
      <c r="J124" s="31">
        <v>1</v>
      </c>
      <c r="K124" s="24"/>
      <c r="L124" s="90"/>
      <c r="M124" s="90"/>
      <c r="N124" s="90"/>
      <c r="O124" s="90"/>
      <c r="P124" s="90"/>
      <c r="Q124" s="35"/>
      <c r="W124" s="14"/>
      <c r="X124" s="33"/>
    </row>
    <row r="125" spans="1:24" s="27" customFormat="1" ht="12" customHeight="1" outlineLevel="1">
      <c r="A125" s="38"/>
      <c r="B125" s="22" t="s">
        <v>12</v>
      </c>
      <c r="C125" s="22" t="s">
        <v>694</v>
      </c>
      <c r="D125" s="28"/>
      <c r="E125" s="89" t="s">
        <v>696</v>
      </c>
      <c r="F125" s="89"/>
      <c r="G125" s="22" t="s">
        <v>487</v>
      </c>
      <c r="H125" s="30" t="str">
        <f t="shared" si="35"/>
        <v>ST-SDV-2</v>
      </c>
      <c r="I125" s="84">
        <v>2</v>
      </c>
      <c r="J125" s="31"/>
      <c r="K125" s="24"/>
      <c r="L125" s="35">
        <f>M125</f>
        <v>1</v>
      </c>
      <c r="M125" s="220">
        <v>1</v>
      </c>
      <c r="N125" s="90"/>
      <c r="O125" s="90"/>
      <c r="P125" s="90"/>
      <c r="Q125" s="35">
        <f>R125</f>
        <v>1</v>
      </c>
      <c r="R125" s="220">
        <v>1</v>
      </c>
      <c r="W125" s="14"/>
      <c r="X125" s="33"/>
    </row>
    <row r="126" spans="1:24" s="27" customFormat="1" ht="12" customHeight="1" outlineLevel="1">
      <c r="A126" s="38"/>
      <c r="B126" s="22" t="s">
        <v>12</v>
      </c>
      <c r="C126" s="22" t="s">
        <v>694</v>
      </c>
      <c r="D126" s="28"/>
      <c r="E126" s="88" t="s">
        <v>697</v>
      </c>
      <c r="F126" s="89"/>
      <c r="G126" s="22" t="s">
        <v>487</v>
      </c>
      <c r="H126" s="30" t="str">
        <f t="shared" si="35"/>
        <v>ST-SDV-2</v>
      </c>
      <c r="I126" s="84">
        <v>2</v>
      </c>
      <c r="J126" s="31">
        <v>1</v>
      </c>
      <c r="K126" s="24"/>
      <c r="L126" s="90"/>
      <c r="M126" s="90"/>
      <c r="N126" s="90"/>
      <c r="O126" s="90"/>
      <c r="P126" s="90"/>
      <c r="Q126" s="35"/>
      <c r="W126" s="14"/>
      <c r="X126" s="33"/>
    </row>
    <row r="127" spans="1:24" s="27" customFormat="1" ht="12" customHeight="1" outlineLevel="1">
      <c r="A127" s="38"/>
      <c r="B127" s="22" t="s">
        <v>12</v>
      </c>
      <c r="C127" s="22" t="s">
        <v>694</v>
      </c>
      <c r="D127" s="28"/>
      <c r="E127" s="89" t="s">
        <v>698</v>
      </c>
      <c r="F127" s="89"/>
      <c r="G127" s="22" t="s">
        <v>487</v>
      </c>
      <c r="H127" s="30" t="str">
        <f t="shared" si="35"/>
        <v>ST-SDV-2</v>
      </c>
      <c r="I127" s="84">
        <v>2</v>
      </c>
      <c r="J127" s="31"/>
      <c r="K127" s="24"/>
      <c r="L127" s="35">
        <f t="shared" ref="L127:L129" si="39">M127</f>
        <v>1</v>
      </c>
      <c r="M127" s="24">
        <v>1</v>
      </c>
      <c r="N127" s="90"/>
      <c r="O127" s="90"/>
      <c r="P127" s="90"/>
      <c r="Q127" s="35">
        <f>R127</f>
        <v>1</v>
      </c>
      <c r="R127" s="220">
        <v>1</v>
      </c>
      <c r="W127" s="14"/>
      <c r="X127" s="33"/>
    </row>
    <row r="128" spans="1:24" s="27" customFormat="1" ht="12" customHeight="1" outlineLevel="1">
      <c r="A128" s="38"/>
      <c r="B128" s="22" t="s">
        <v>12</v>
      </c>
      <c r="C128" s="22" t="s">
        <v>694</v>
      </c>
      <c r="D128" s="28"/>
      <c r="E128" s="82" t="s">
        <v>699</v>
      </c>
      <c r="F128" s="83"/>
      <c r="G128" s="22" t="s">
        <v>487</v>
      </c>
      <c r="H128" s="30" t="str">
        <f t="shared" si="35"/>
        <v>ST-SDV-4</v>
      </c>
      <c r="I128" s="84">
        <v>4</v>
      </c>
      <c r="J128" s="31"/>
      <c r="K128" s="24"/>
      <c r="L128" s="35">
        <f t="shared" si="39"/>
        <v>1</v>
      </c>
      <c r="M128" s="24">
        <v>1</v>
      </c>
      <c r="N128" s="24"/>
      <c r="O128" s="24"/>
      <c r="P128" s="24"/>
      <c r="Q128" s="35">
        <f>R128</f>
        <v>1</v>
      </c>
      <c r="R128" s="220">
        <v>1</v>
      </c>
      <c r="W128" s="14"/>
      <c r="X128" s="33"/>
    </row>
    <row r="129" spans="1:16384" s="27" customFormat="1" ht="12" customHeight="1" outlineLevel="1">
      <c r="A129" s="38"/>
      <c r="B129" s="22" t="s">
        <v>12</v>
      </c>
      <c r="C129" s="22" t="s">
        <v>694</v>
      </c>
      <c r="D129" s="28"/>
      <c r="E129" s="82" t="s">
        <v>700</v>
      </c>
      <c r="F129" s="83"/>
      <c r="G129" s="22" t="s">
        <v>487</v>
      </c>
      <c r="H129" s="30" t="str">
        <f>CONCATENATE(B129,"-",G129,"-",I129)</f>
        <v>ST-SDV-2</v>
      </c>
      <c r="I129" s="84">
        <v>2</v>
      </c>
      <c r="J129" s="31"/>
      <c r="K129" s="24"/>
      <c r="L129" s="35">
        <f t="shared" si="39"/>
        <v>1</v>
      </c>
      <c r="M129" s="24">
        <v>1</v>
      </c>
      <c r="N129" s="24"/>
      <c r="O129" s="24"/>
      <c r="P129" s="24"/>
      <c r="Q129" s="35">
        <f>S129</f>
        <v>1</v>
      </c>
      <c r="S129" s="24">
        <v>1</v>
      </c>
      <c r="W129" s="14"/>
      <c r="X129" s="33"/>
    </row>
    <row r="130" spans="1:16384" s="27" customFormat="1" ht="12" customHeight="1" outlineLevel="1">
      <c r="A130" s="38"/>
      <c r="B130" s="22" t="s">
        <v>12</v>
      </c>
      <c r="C130" s="22" t="s">
        <v>694</v>
      </c>
      <c r="D130" s="28"/>
      <c r="E130" s="82" t="s">
        <v>701</v>
      </c>
      <c r="F130" s="83"/>
      <c r="G130" s="22" t="s">
        <v>487</v>
      </c>
      <c r="H130" s="30" t="str">
        <f>CONCATENATE(B130,"-",G130,"-",I130)</f>
        <v>ST-SDV-2</v>
      </c>
      <c r="I130" s="84">
        <v>2</v>
      </c>
      <c r="J130" s="31">
        <v>1</v>
      </c>
      <c r="K130" s="24"/>
      <c r="L130" s="24"/>
      <c r="M130" s="24"/>
      <c r="N130" s="24"/>
      <c r="O130" s="24"/>
      <c r="P130" s="24"/>
      <c r="Q130" s="35"/>
      <c r="W130" s="14"/>
      <c r="X130" s="33"/>
    </row>
    <row r="131" spans="1:16384" s="27" customFormat="1" ht="12" customHeight="1" outlineLevel="1">
      <c r="A131" s="38"/>
      <c r="B131" s="22" t="s">
        <v>12</v>
      </c>
      <c r="C131" s="22" t="s">
        <v>694</v>
      </c>
      <c r="D131" s="28"/>
      <c r="E131" s="82" t="s">
        <v>702</v>
      </c>
      <c r="F131" s="83"/>
      <c r="G131" s="22" t="s">
        <v>487</v>
      </c>
      <c r="H131" s="30" t="str">
        <f>CONCATENATE(B131,"-",G131,"-",I131)</f>
        <v>ST-SDV-4</v>
      </c>
      <c r="I131" s="84">
        <v>4</v>
      </c>
      <c r="J131" s="31"/>
      <c r="K131" s="24"/>
      <c r="L131" s="35">
        <f t="shared" ref="L131:L132" si="40">M131</f>
        <v>1</v>
      </c>
      <c r="M131" s="24">
        <v>1</v>
      </c>
      <c r="N131" s="24"/>
      <c r="O131" s="24"/>
      <c r="P131" s="24"/>
      <c r="Q131" s="35">
        <f t="shared" ref="Q131:Q132" si="41">R131</f>
        <v>1</v>
      </c>
      <c r="R131" s="220">
        <v>1</v>
      </c>
      <c r="W131" s="14"/>
      <c r="X131" s="33"/>
    </row>
    <row r="132" spans="1:16384" s="27" customFormat="1" ht="12" customHeight="1" outlineLevel="1">
      <c r="A132" s="38"/>
      <c r="B132" s="22" t="s">
        <v>12</v>
      </c>
      <c r="C132" s="22" t="s">
        <v>694</v>
      </c>
      <c r="D132" s="28"/>
      <c r="E132" s="82" t="s">
        <v>703</v>
      </c>
      <c r="F132" s="83"/>
      <c r="G132" s="22" t="s">
        <v>487</v>
      </c>
      <c r="H132" s="30" t="str">
        <f>CONCATENATE(B132,"-",G132,"-",I132)</f>
        <v>ST-SDV-4</v>
      </c>
      <c r="I132" s="84">
        <v>4</v>
      </c>
      <c r="J132" s="31"/>
      <c r="K132" s="24"/>
      <c r="L132" s="35">
        <f t="shared" si="40"/>
        <v>1</v>
      </c>
      <c r="M132" s="24">
        <v>1</v>
      </c>
      <c r="N132" s="24"/>
      <c r="O132" s="24"/>
      <c r="P132" s="24"/>
      <c r="Q132" s="35">
        <f t="shared" si="41"/>
        <v>1</v>
      </c>
      <c r="R132" s="220">
        <v>1</v>
      </c>
      <c r="W132" s="14"/>
      <c r="X132" s="33"/>
    </row>
    <row r="133" spans="1:16384" s="27" customFormat="1" ht="15" customHeight="1" outlineLevel="1">
      <c r="A133" s="34"/>
      <c r="B133" s="22"/>
      <c r="C133" s="22"/>
      <c r="D133" s="21" t="s">
        <v>704</v>
      </c>
      <c r="E133" s="23"/>
      <c r="F133" s="41"/>
      <c r="G133" s="22"/>
      <c r="H133" s="30"/>
      <c r="I133" s="81"/>
      <c r="J133" s="31"/>
      <c r="K133" s="24"/>
      <c r="L133" s="25"/>
      <c r="M133" s="25"/>
      <c r="N133" s="25"/>
      <c r="O133" s="25"/>
      <c r="P133" s="25"/>
      <c r="Q133" s="35"/>
      <c r="W133" s="14"/>
      <c r="X133" s="33"/>
    </row>
    <row r="134" spans="1:16384" s="33" customFormat="1" ht="12" customHeight="1" outlineLevel="2">
      <c r="A134" s="28"/>
      <c r="B134" s="22" t="s">
        <v>12</v>
      </c>
      <c r="C134" s="22" t="s">
        <v>705</v>
      </c>
      <c r="D134" s="29" t="s">
        <v>606</v>
      </c>
      <c r="E134" s="82" t="s">
        <v>607</v>
      </c>
      <c r="F134" s="83"/>
      <c r="G134" s="22" t="s">
        <v>487</v>
      </c>
      <c r="H134" s="30" t="str">
        <f t="shared" ref="H134:H139" si="42">CONCATENATE(B134,"-",G134,"-",I134)</f>
        <v>ST-SDV-2</v>
      </c>
      <c r="I134" s="84">
        <v>2</v>
      </c>
      <c r="J134" s="31"/>
      <c r="K134" s="24"/>
      <c r="L134" s="35">
        <f t="shared" ref="L134:L139" si="43">M134</f>
        <v>1</v>
      </c>
      <c r="M134" s="24">
        <v>1</v>
      </c>
      <c r="N134" s="24"/>
      <c r="O134" s="24"/>
      <c r="P134" s="24"/>
      <c r="Q134" s="24">
        <v>1</v>
      </c>
      <c r="S134" s="24">
        <v>1</v>
      </c>
      <c r="W134" s="14"/>
    </row>
    <row r="135" spans="1:16384" s="33" customFormat="1" ht="12" customHeight="1" outlineLevel="2">
      <c r="A135" s="28"/>
      <c r="B135" s="22" t="s">
        <v>12</v>
      </c>
      <c r="C135" s="22" t="s">
        <v>705</v>
      </c>
      <c r="D135" s="29" t="s">
        <v>609</v>
      </c>
      <c r="E135" s="82" t="s">
        <v>610</v>
      </c>
      <c r="F135" s="83"/>
      <c r="G135" s="22" t="s">
        <v>487</v>
      </c>
      <c r="H135" s="30" t="str">
        <f t="shared" si="42"/>
        <v>ST-SDV-2</v>
      </c>
      <c r="I135" s="84">
        <v>2</v>
      </c>
      <c r="J135" s="31"/>
      <c r="K135" s="24"/>
      <c r="L135" s="35">
        <f t="shared" si="43"/>
        <v>1</v>
      </c>
      <c r="M135" s="24">
        <v>1</v>
      </c>
      <c r="N135" s="24"/>
      <c r="O135" s="24"/>
      <c r="P135" s="24"/>
      <c r="Q135" s="24">
        <v>1</v>
      </c>
      <c r="S135" s="24">
        <v>1</v>
      </c>
      <c r="W135" s="14"/>
    </row>
    <row r="136" spans="1:16384" s="33" customFormat="1" ht="12" customHeight="1" outlineLevel="2">
      <c r="A136" s="28"/>
      <c r="B136" s="22" t="s">
        <v>12</v>
      </c>
      <c r="C136" s="22" t="s">
        <v>705</v>
      </c>
      <c r="D136" s="29" t="s">
        <v>611</v>
      </c>
      <c r="E136" s="82" t="s">
        <v>706</v>
      </c>
      <c r="F136" s="83"/>
      <c r="G136" s="22" t="s">
        <v>487</v>
      </c>
      <c r="H136" s="30" t="str">
        <f t="shared" si="42"/>
        <v>ST-SDV-2</v>
      </c>
      <c r="I136" s="84">
        <v>2</v>
      </c>
      <c r="J136" s="31"/>
      <c r="K136" s="24"/>
      <c r="L136" s="35">
        <f t="shared" si="43"/>
        <v>1</v>
      </c>
      <c r="M136" s="24">
        <v>1</v>
      </c>
      <c r="N136" s="24"/>
      <c r="O136" s="24"/>
      <c r="P136" s="24"/>
      <c r="Q136" s="24">
        <v>1</v>
      </c>
      <c r="S136" s="24">
        <v>1</v>
      </c>
      <c r="W136" s="14"/>
    </row>
    <row r="137" spans="1:16384" s="33" customFormat="1" ht="12" customHeight="1" outlineLevel="2">
      <c r="A137" s="28"/>
      <c r="B137" s="22" t="s">
        <v>12</v>
      </c>
      <c r="C137" s="22" t="s">
        <v>705</v>
      </c>
      <c r="D137" s="29" t="s">
        <v>613</v>
      </c>
      <c r="E137" s="82" t="s">
        <v>707</v>
      </c>
      <c r="F137" s="83"/>
      <c r="G137" s="22" t="s">
        <v>487</v>
      </c>
      <c r="H137" s="30" t="str">
        <f t="shared" si="42"/>
        <v>ST-SDV-2</v>
      </c>
      <c r="I137" s="84">
        <v>2</v>
      </c>
      <c r="J137" s="31"/>
      <c r="K137" s="24"/>
      <c r="L137" s="35">
        <f t="shared" si="43"/>
        <v>1</v>
      </c>
      <c r="M137" s="24">
        <v>1</v>
      </c>
      <c r="N137" s="24"/>
      <c r="O137" s="24"/>
      <c r="P137" s="24"/>
      <c r="Q137" s="24">
        <v>1</v>
      </c>
      <c r="S137" s="24">
        <v>1</v>
      </c>
      <c r="W137" s="14"/>
    </row>
    <row r="138" spans="1:16384" s="33" customFormat="1" ht="12" customHeight="1" outlineLevel="2">
      <c r="A138" s="28"/>
      <c r="B138" s="22" t="s">
        <v>12</v>
      </c>
      <c r="C138" s="22" t="s">
        <v>705</v>
      </c>
      <c r="D138" s="29" t="s">
        <v>615</v>
      </c>
      <c r="E138" s="82" t="s">
        <v>708</v>
      </c>
      <c r="F138" s="83"/>
      <c r="G138" s="22" t="s">
        <v>487</v>
      </c>
      <c r="H138" s="30" t="str">
        <f t="shared" si="42"/>
        <v>ST-SDV-2</v>
      </c>
      <c r="I138" s="84">
        <v>2</v>
      </c>
      <c r="J138" s="31"/>
      <c r="K138" s="24"/>
      <c r="L138" s="35">
        <f t="shared" si="43"/>
        <v>1</v>
      </c>
      <c r="M138" s="24">
        <v>1</v>
      </c>
      <c r="N138" s="24"/>
      <c r="O138" s="24"/>
      <c r="P138" s="24"/>
      <c r="Q138" s="24">
        <v>1</v>
      </c>
      <c r="S138" s="24">
        <v>1</v>
      </c>
      <c r="W138" s="14"/>
    </row>
    <row r="139" spans="1:16384" s="33" customFormat="1" ht="12" customHeight="1" outlineLevel="2">
      <c r="A139" s="28"/>
      <c r="B139" s="22" t="s">
        <v>12</v>
      </c>
      <c r="C139" s="22" t="s">
        <v>705</v>
      </c>
      <c r="D139" s="29" t="s">
        <v>709</v>
      </c>
      <c r="E139" s="82" t="s">
        <v>710</v>
      </c>
      <c r="F139" s="83"/>
      <c r="G139" s="22" t="s">
        <v>487</v>
      </c>
      <c r="H139" s="30" t="str">
        <f t="shared" si="42"/>
        <v>ST-SDV-2</v>
      </c>
      <c r="I139" s="84">
        <v>2</v>
      </c>
      <c r="J139" s="31"/>
      <c r="K139" s="24"/>
      <c r="L139" s="35">
        <f t="shared" si="43"/>
        <v>1</v>
      </c>
      <c r="M139" s="24">
        <v>1</v>
      </c>
      <c r="N139" s="24"/>
      <c r="O139" s="24"/>
      <c r="P139" s="24"/>
      <c r="Q139" s="24">
        <v>1</v>
      </c>
      <c r="S139" s="24">
        <v>1</v>
      </c>
      <c r="W139" s="14"/>
    </row>
    <row r="140" spans="1:16384" ht="12" customHeight="1">
      <c r="E140" s="82"/>
      <c r="J140" s="31"/>
      <c r="W140" s="14"/>
      <c r="X140" s="33"/>
    </row>
    <row r="141" spans="1:16384" ht="12" customHeight="1">
      <c r="W141" s="14"/>
      <c r="X141" s="33"/>
    </row>
    <row r="143" spans="1:16384" ht="1.35" customHeight="1">
      <c r="A143" s="15" t="s">
        <v>598</v>
      </c>
      <c r="B143" s="15" t="s">
        <v>598</v>
      </c>
      <c r="C143" s="15" t="s">
        <v>598</v>
      </c>
      <c r="D143" s="15" t="s">
        <v>598</v>
      </c>
      <c r="E143" s="15" t="s">
        <v>598</v>
      </c>
      <c r="F143" s="15" t="s">
        <v>598</v>
      </c>
      <c r="G143" s="15" t="s">
        <v>598</v>
      </c>
      <c r="H143" s="15" t="s">
        <v>598</v>
      </c>
      <c r="I143" s="15" t="s">
        <v>598</v>
      </c>
      <c r="J143" s="15" t="s">
        <v>598</v>
      </c>
      <c r="K143" s="15" t="s">
        <v>598</v>
      </c>
      <c r="L143" s="15" t="s">
        <v>598</v>
      </c>
      <c r="M143" s="15" t="s">
        <v>598</v>
      </c>
      <c r="N143" s="15" t="s">
        <v>598</v>
      </c>
      <c r="O143" s="15" t="s">
        <v>598</v>
      </c>
      <c r="P143" s="15" t="s">
        <v>598</v>
      </c>
      <c r="Q143" s="15" t="s">
        <v>598</v>
      </c>
      <c r="R143" s="15" t="s">
        <v>598</v>
      </c>
      <c r="S143" s="15" t="s">
        <v>598</v>
      </c>
      <c r="T143" s="15" t="s">
        <v>598</v>
      </c>
      <c r="U143" s="15" t="s">
        <v>598</v>
      </c>
      <c r="V143" s="15" t="s">
        <v>598</v>
      </c>
      <c r="Y143" s="15" t="s">
        <v>598</v>
      </c>
      <c r="Z143" s="15" t="s">
        <v>598</v>
      </c>
      <c r="AA143" s="15" t="s">
        <v>598</v>
      </c>
      <c r="AB143" s="15" t="s">
        <v>598</v>
      </c>
      <c r="AC143" s="15" t="s">
        <v>598</v>
      </c>
      <c r="AD143" s="15" t="s">
        <v>598</v>
      </c>
      <c r="AE143" s="15" t="s">
        <v>598</v>
      </c>
      <c r="AF143" s="15" t="s">
        <v>598</v>
      </c>
      <c r="AG143" s="15" t="s">
        <v>598</v>
      </c>
      <c r="AH143" s="15" t="s">
        <v>598</v>
      </c>
      <c r="AI143" s="15" t="s">
        <v>598</v>
      </c>
      <c r="AJ143" s="15" t="s">
        <v>598</v>
      </c>
      <c r="AK143" s="15" t="s">
        <v>598</v>
      </c>
      <c r="AL143" s="15" t="s">
        <v>598</v>
      </c>
      <c r="AM143" s="15" t="s">
        <v>598</v>
      </c>
      <c r="AN143" s="15" t="s">
        <v>598</v>
      </c>
      <c r="AO143" s="15" t="s">
        <v>598</v>
      </c>
      <c r="AP143" s="15" t="s">
        <v>598</v>
      </c>
      <c r="AQ143" s="15" t="s">
        <v>598</v>
      </c>
      <c r="AR143" s="15" t="s">
        <v>598</v>
      </c>
      <c r="AS143" s="15" t="s">
        <v>598</v>
      </c>
      <c r="AT143" s="15" t="s">
        <v>598</v>
      </c>
      <c r="AU143" s="15" t="s">
        <v>598</v>
      </c>
      <c r="AV143" s="15" t="s">
        <v>598</v>
      </c>
      <c r="AW143" s="15" t="s">
        <v>598</v>
      </c>
      <c r="AX143" s="15" t="s">
        <v>598</v>
      </c>
      <c r="AY143" s="15" t="s">
        <v>598</v>
      </c>
      <c r="AZ143" s="15" t="s">
        <v>598</v>
      </c>
      <c r="BA143" s="15" t="s">
        <v>598</v>
      </c>
      <c r="BB143" s="15" t="s">
        <v>598</v>
      </c>
      <c r="BC143" s="15" t="s">
        <v>598</v>
      </c>
      <c r="BD143" s="15" t="s">
        <v>598</v>
      </c>
      <c r="BE143" s="15" t="s">
        <v>598</v>
      </c>
      <c r="BF143" s="15" t="s">
        <v>598</v>
      </c>
      <c r="BG143" s="15" t="s">
        <v>598</v>
      </c>
      <c r="BH143" s="15" t="s">
        <v>598</v>
      </c>
      <c r="BI143" s="15" t="s">
        <v>598</v>
      </c>
      <c r="BJ143" s="15" t="s">
        <v>598</v>
      </c>
      <c r="BK143" s="15" t="s">
        <v>598</v>
      </c>
      <c r="BL143" s="15" t="s">
        <v>598</v>
      </c>
      <c r="BM143" s="15" t="s">
        <v>598</v>
      </c>
      <c r="BN143" s="15" t="s">
        <v>598</v>
      </c>
      <c r="BO143" s="15" t="s">
        <v>598</v>
      </c>
      <c r="BP143" s="15" t="s">
        <v>598</v>
      </c>
      <c r="BQ143" s="15" t="s">
        <v>598</v>
      </c>
      <c r="BR143" s="15" t="s">
        <v>598</v>
      </c>
      <c r="BS143" s="15" t="s">
        <v>598</v>
      </c>
      <c r="BT143" s="15" t="s">
        <v>598</v>
      </c>
      <c r="BU143" s="15" t="s">
        <v>598</v>
      </c>
      <c r="BV143" s="15" t="s">
        <v>598</v>
      </c>
      <c r="BW143" s="15" t="s">
        <v>598</v>
      </c>
      <c r="BX143" s="15" t="s">
        <v>598</v>
      </c>
      <c r="BY143" s="15" t="s">
        <v>598</v>
      </c>
      <c r="BZ143" s="15" t="s">
        <v>598</v>
      </c>
      <c r="CA143" s="15" t="s">
        <v>598</v>
      </c>
      <c r="CB143" s="15" t="s">
        <v>598</v>
      </c>
      <c r="CC143" s="15" t="s">
        <v>598</v>
      </c>
      <c r="CD143" s="15" t="s">
        <v>598</v>
      </c>
      <c r="CE143" s="15" t="s">
        <v>598</v>
      </c>
      <c r="CF143" s="15" t="s">
        <v>598</v>
      </c>
      <c r="CG143" s="15" t="s">
        <v>598</v>
      </c>
      <c r="CH143" s="15" t="s">
        <v>598</v>
      </c>
      <c r="CI143" s="15" t="s">
        <v>598</v>
      </c>
      <c r="CJ143" s="15" t="s">
        <v>598</v>
      </c>
      <c r="CK143" s="15" t="s">
        <v>598</v>
      </c>
      <c r="CL143" s="15" t="s">
        <v>598</v>
      </c>
      <c r="CM143" s="15" t="s">
        <v>598</v>
      </c>
      <c r="CN143" s="15" t="s">
        <v>598</v>
      </c>
      <c r="CO143" s="15" t="s">
        <v>598</v>
      </c>
      <c r="CP143" s="15" t="s">
        <v>598</v>
      </c>
      <c r="CQ143" s="15" t="s">
        <v>598</v>
      </c>
      <c r="CR143" s="15" t="s">
        <v>598</v>
      </c>
      <c r="CS143" s="15" t="s">
        <v>598</v>
      </c>
      <c r="CT143" s="15" t="s">
        <v>598</v>
      </c>
      <c r="CU143" s="15" t="s">
        <v>598</v>
      </c>
      <c r="CV143" s="15" t="s">
        <v>598</v>
      </c>
      <c r="CW143" s="15" t="s">
        <v>598</v>
      </c>
      <c r="CX143" s="15" t="s">
        <v>598</v>
      </c>
      <c r="CY143" s="15" t="s">
        <v>598</v>
      </c>
      <c r="CZ143" s="15" t="s">
        <v>598</v>
      </c>
      <c r="DA143" s="15" t="s">
        <v>598</v>
      </c>
      <c r="DB143" s="15" t="s">
        <v>598</v>
      </c>
      <c r="DC143" s="15" t="s">
        <v>598</v>
      </c>
      <c r="DD143" s="15" t="s">
        <v>598</v>
      </c>
      <c r="DE143" s="15" t="s">
        <v>598</v>
      </c>
      <c r="DF143" s="15" t="s">
        <v>598</v>
      </c>
      <c r="DG143" s="15" t="s">
        <v>598</v>
      </c>
      <c r="DH143" s="15" t="s">
        <v>598</v>
      </c>
      <c r="DI143" s="15" t="s">
        <v>598</v>
      </c>
      <c r="DJ143" s="15" t="s">
        <v>598</v>
      </c>
      <c r="DK143" s="15" t="s">
        <v>598</v>
      </c>
      <c r="DL143" s="15" t="s">
        <v>598</v>
      </c>
      <c r="DM143" s="15" t="s">
        <v>598</v>
      </c>
      <c r="DN143" s="15" t="s">
        <v>598</v>
      </c>
      <c r="DO143" s="15" t="s">
        <v>598</v>
      </c>
      <c r="DP143" s="15" t="s">
        <v>598</v>
      </c>
      <c r="DQ143" s="15" t="s">
        <v>598</v>
      </c>
      <c r="DR143" s="15" t="s">
        <v>598</v>
      </c>
      <c r="DS143" s="15" t="s">
        <v>598</v>
      </c>
      <c r="DT143" s="15" t="s">
        <v>598</v>
      </c>
      <c r="DU143" s="15" t="s">
        <v>598</v>
      </c>
      <c r="DV143" s="15" t="s">
        <v>598</v>
      </c>
      <c r="DW143" s="15" t="s">
        <v>598</v>
      </c>
      <c r="DX143" s="15" t="s">
        <v>598</v>
      </c>
      <c r="DY143" s="15" t="s">
        <v>598</v>
      </c>
      <c r="DZ143" s="15" t="s">
        <v>598</v>
      </c>
      <c r="EA143" s="15" t="s">
        <v>598</v>
      </c>
      <c r="EB143" s="15" t="s">
        <v>598</v>
      </c>
      <c r="EC143" s="15" t="s">
        <v>598</v>
      </c>
      <c r="ED143" s="15" t="s">
        <v>598</v>
      </c>
      <c r="EE143" s="15" t="s">
        <v>598</v>
      </c>
      <c r="EF143" s="15" t="s">
        <v>598</v>
      </c>
      <c r="EG143" s="15" t="s">
        <v>598</v>
      </c>
      <c r="EH143" s="15" t="s">
        <v>598</v>
      </c>
      <c r="EI143" s="15" t="s">
        <v>598</v>
      </c>
      <c r="EJ143" s="15" t="s">
        <v>598</v>
      </c>
      <c r="EK143" s="15" t="s">
        <v>598</v>
      </c>
      <c r="EL143" s="15" t="s">
        <v>598</v>
      </c>
      <c r="EM143" s="15" t="s">
        <v>598</v>
      </c>
      <c r="EN143" s="15" t="s">
        <v>598</v>
      </c>
      <c r="EO143" s="15" t="s">
        <v>598</v>
      </c>
      <c r="EP143" s="15" t="s">
        <v>598</v>
      </c>
      <c r="EQ143" s="15" t="s">
        <v>598</v>
      </c>
      <c r="ER143" s="15" t="s">
        <v>598</v>
      </c>
      <c r="ES143" s="15" t="s">
        <v>598</v>
      </c>
      <c r="ET143" s="15" t="s">
        <v>598</v>
      </c>
      <c r="EU143" s="15" t="s">
        <v>598</v>
      </c>
      <c r="EV143" s="15" t="s">
        <v>598</v>
      </c>
      <c r="EW143" s="15" t="s">
        <v>598</v>
      </c>
      <c r="EX143" s="15" t="s">
        <v>598</v>
      </c>
      <c r="EY143" s="15" t="s">
        <v>598</v>
      </c>
      <c r="EZ143" s="15" t="s">
        <v>598</v>
      </c>
      <c r="FA143" s="15" t="s">
        <v>598</v>
      </c>
      <c r="FB143" s="15" t="s">
        <v>598</v>
      </c>
      <c r="FC143" s="15" t="s">
        <v>598</v>
      </c>
      <c r="FD143" s="15" t="s">
        <v>598</v>
      </c>
      <c r="FE143" s="15" t="s">
        <v>598</v>
      </c>
      <c r="FF143" s="15" t="s">
        <v>598</v>
      </c>
      <c r="FG143" s="15" t="s">
        <v>598</v>
      </c>
      <c r="FH143" s="15" t="s">
        <v>598</v>
      </c>
      <c r="FI143" s="15" t="s">
        <v>598</v>
      </c>
      <c r="FJ143" s="15" t="s">
        <v>598</v>
      </c>
      <c r="FK143" s="15" t="s">
        <v>598</v>
      </c>
      <c r="FL143" s="15" t="s">
        <v>598</v>
      </c>
      <c r="FM143" s="15" t="s">
        <v>598</v>
      </c>
      <c r="FN143" s="15" t="s">
        <v>598</v>
      </c>
      <c r="FO143" s="15" t="s">
        <v>598</v>
      </c>
      <c r="FP143" s="15" t="s">
        <v>598</v>
      </c>
      <c r="FQ143" s="15" t="s">
        <v>598</v>
      </c>
      <c r="FR143" s="15" t="s">
        <v>598</v>
      </c>
      <c r="FS143" s="15" t="s">
        <v>598</v>
      </c>
      <c r="FT143" s="15" t="s">
        <v>598</v>
      </c>
      <c r="FU143" s="15" t="s">
        <v>598</v>
      </c>
      <c r="FV143" s="15" t="s">
        <v>598</v>
      </c>
      <c r="FW143" s="15" t="s">
        <v>598</v>
      </c>
      <c r="FX143" s="15" t="s">
        <v>598</v>
      </c>
      <c r="FY143" s="15" t="s">
        <v>598</v>
      </c>
      <c r="FZ143" s="15" t="s">
        <v>598</v>
      </c>
      <c r="GA143" s="15" t="s">
        <v>598</v>
      </c>
      <c r="GB143" s="15" t="s">
        <v>598</v>
      </c>
      <c r="GC143" s="15" t="s">
        <v>598</v>
      </c>
      <c r="GD143" s="15" t="s">
        <v>598</v>
      </c>
      <c r="GE143" s="15" t="s">
        <v>598</v>
      </c>
      <c r="GF143" s="15" t="s">
        <v>598</v>
      </c>
      <c r="GG143" s="15" t="s">
        <v>598</v>
      </c>
      <c r="GH143" s="15" t="s">
        <v>598</v>
      </c>
      <c r="GI143" s="15" t="s">
        <v>598</v>
      </c>
      <c r="GJ143" s="15" t="s">
        <v>598</v>
      </c>
      <c r="GK143" s="15" t="s">
        <v>598</v>
      </c>
      <c r="GL143" s="15" t="s">
        <v>598</v>
      </c>
      <c r="GM143" s="15" t="s">
        <v>598</v>
      </c>
      <c r="GN143" s="15" t="s">
        <v>598</v>
      </c>
      <c r="GO143" s="15" t="s">
        <v>598</v>
      </c>
      <c r="GP143" s="15" t="s">
        <v>598</v>
      </c>
      <c r="GQ143" s="15" t="s">
        <v>598</v>
      </c>
      <c r="GR143" s="15" t="s">
        <v>598</v>
      </c>
      <c r="GS143" s="15" t="s">
        <v>598</v>
      </c>
      <c r="GT143" s="15" t="s">
        <v>598</v>
      </c>
      <c r="GU143" s="15" t="s">
        <v>598</v>
      </c>
      <c r="GV143" s="15" t="s">
        <v>598</v>
      </c>
      <c r="GW143" s="15" t="s">
        <v>598</v>
      </c>
      <c r="GX143" s="15" t="s">
        <v>598</v>
      </c>
      <c r="GY143" s="15" t="s">
        <v>598</v>
      </c>
      <c r="GZ143" s="15" t="s">
        <v>598</v>
      </c>
      <c r="HA143" s="15" t="s">
        <v>598</v>
      </c>
      <c r="HB143" s="15" t="s">
        <v>598</v>
      </c>
      <c r="HC143" s="15" t="s">
        <v>598</v>
      </c>
      <c r="HD143" s="15" t="s">
        <v>598</v>
      </c>
      <c r="HE143" s="15" t="s">
        <v>598</v>
      </c>
      <c r="HF143" s="15" t="s">
        <v>598</v>
      </c>
      <c r="HG143" s="15" t="s">
        <v>598</v>
      </c>
      <c r="HH143" s="15" t="s">
        <v>598</v>
      </c>
      <c r="HI143" s="15" t="s">
        <v>598</v>
      </c>
      <c r="HJ143" s="15" t="s">
        <v>598</v>
      </c>
      <c r="HK143" s="15" t="s">
        <v>598</v>
      </c>
      <c r="HL143" s="15" t="s">
        <v>598</v>
      </c>
      <c r="HM143" s="15" t="s">
        <v>598</v>
      </c>
      <c r="HN143" s="15" t="s">
        <v>598</v>
      </c>
      <c r="HO143" s="15" t="s">
        <v>598</v>
      </c>
      <c r="HP143" s="15" t="s">
        <v>598</v>
      </c>
      <c r="HQ143" s="15" t="s">
        <v>598</v>
      </c>
      <c r="HR143" s="15" t="s">
        <v>598</v>
      </c>
      <c r="HS143" s="15" t="s">
        <v>598</v>
      </c>
      <c r="HT143" s="15" t="s">
        <v>598</v>
      </c>
      <c r="HU143" s="15" t="s">
        <v>598</v>
      </c>
      <c r="HV143" s="15" t="s">
        <v>598</v>
      </c>
      <c r="HW143" s="15" t="s">
        <v>598</v>
      </c>
      <c r="HX143" s="15" t="s">
        <v>598</v>
      </c>
      <c r="HY143" s="15" t="s">
        <v>598</v>
      </c>
      <c r="HZ143" s="15" t="s">
        <v>598</v>
      </c>
      <c r="IA143" s="15" t="s">
        <v>598</v>
      </c>
      <c r="IB143" s="15" t="s">
        <v>598</v>
      </c>
      <c r="IC143" s="15" t="s">
        <v>598</v>
      </c>
      <c r="ID143" s="15" t="s">
        <v>598</v>
      </c>
      <c r="IE143" s="15" t="s">
        <v>598</v>
      </c>
      <c r="IF143" s="15" t="s">
        <v>598</v>
      </c>
      <c r="IG143" s="15" t="s">
        <v>598</v>
      </c>
      <c r="IH143" s="15" t="s">
        <v>598</v>
      </c>
      <c r="II143" s="15" t="s">
        <v>598</v>
      </c>
      <c r="IJ143" s="15" t="s">
        <v>598</v>
      </c>
      <c r="IK143" s="15" t="s">
        <v>598</v>
      </c>
      <c r="IL143" s="15" t="s">
        <v>598</v>
      </c>
      <c r="IM143" s="15" t="s">
        <v>598</v>
      </c>
      <c r="IN143" s="15" t="s">
        <v>598</v>
      </c>
      <c r="IO143" s="15" t="s">
        <v>598</v>
      </c>
      <c r="IP143" s="15" t="s">
        <v>598</v>
      </c>
      <c r="IQ143" s="15" t="s">
        <v>598</v>
      </c>
      <c r="IR143" s="15" t="s">
        <v>598</v>
      </c>
      <c r="IS143" s="15" t="s">
        <v>598</v>
      </c>
      <c r="IT143" s="15" t="s">
        <v>598</v>
      </c>
      <c r="IU143" s="15" t="s">
        <v>598</v>
      </c>
      <c r="IV143" s="15" t="s">
        <v>598</v>
      </c>
      <c r="IW143" s="15" t="s">
        <v>598</v>
      </c>
      <c r="IX143" s="15" t="s">
        <v>598</v>
      </c>
      <c r="IY143" s="15" t="s">
        <v>598</v>
      </c>
      <c r="IZ143" s="15" t="s">
        <v>598</v>
      </c>
      <c r="JA143" s="15" t="s">
        <v>598</v>
      </c>
      <c r="JB143" s="15" t="s">
        <v>598</v>
      </c>
      <c r="JC143" s="15" t="s">
        <v>598</v>
      </c>
      <c r="JD143" s="15" t="s">
        <v>598</v>
      </c>
      <c r="JE143" s="15" t="s">
        <v>598</v>
      </c>
      <c r="JF143" s="15" t="s">
        <v>598</v>
      </c>
      <c r="JG143" s="15" t="s">
        <v>598</v>
      </c>
      <c r="JH143" s="15" t="s">
        <v>598</v>
      </c>
      <c r="JI143" s="15" t="s">
        <v>598</v>
      </c>
      <c r="JJ143" s="15" t="s">
        <v>598</v>
      </c>
      <c r="JK143" s="15" t="s">
        <v>598</v>
      </c>
      <c r="JL143" s="15" t="s">
        <v>598</v>
      </c>
      <c r="JM143" s="15" t="s">
        <v>598</v>
      </c>
      <c r="JN143" s="15" t="s">
        <v>598</v>
      </c>
      <c r="JO143" s="15" t="s">
        <v>598</v>
      </c>
      <c r="JP143" s="15" t="s">
        <v>598</v>
      </c>
      <c r="JQ143" s="15" t="s">
        <v>598</v>
      </c>
      <c r="JR143" s="15" t="s">
        <v>598</v>
      </c>
      <c r="JS143" s="15" t="s">
        <v>598</v>
      </c>
      <c r="JT143" s="15" t="s">
        <v>598</v>
      </c>
      <c r="JU143" s="15" t="s">
        <v>598</v>
      </c>
      <c r="JV143" s="15" t="s">
        <v>598</v>
      </c>
      <c r="JW143" s="15" t="s">
        <v>598</v>
      </c>
      <c r="JX143" s="15" t="s">
        <v>598</v>
      </c>
      <c r="JY143" s="15" t="s">
        <v>598</v>
      </c>
      <c r="JZ143" s="15" t="s">
        <v>598</v>
      </c>
      <c r="KA143" s="15" t="s">
        <v>598</v>
      </c>
      <c r="KB143" s="15" t="s">
        <v>598</v>
      </c>
      <c r="KC143" s="15" t="s">
        <v>598</v>
      </c>
      <c r="KD143" s="15" t="s">
        <v>598</v>
      </c>
      <c r="KE143" s="15" t="s">
        <v>598</v>
      </c>
      <c r="KF143" s="15" t="s">
        <v>598</v>
      </c>
      <c r="KG143" s="15" t="s">
        <v>598</v>
      </c>
      <c r="KH143" s="15" t="s">
        <v>598</v>
      </c>
      <c r="KI143" s="15" t="s">
        <v>598</v>
      </c>
      <c r="KJ143" s="15" t="s">
        <v>598</v>
      </c>
      <c r="KK143" s="15" t="s">
        <v>598</v>
      </c>
      <c r="KL143" s="15" t="s">
        <v>598</v>
      </c>
      <c r="KM143" s="15" t="s">
        <v>598</v>
      </c>
      <c r="KN143" s="15" t="s">
        <v>598</v>
      </c>
      <c r="KO143" s="15" t="s">
        <v>598</v>
      </c>
      <c r="KP143" s="15" t="s">
        <v>598</v>
      </c>
      <c r="KQ143" s="15" t="s">
        <v>598</v>
      </c>
      <c r="KR143" s="15" t="s">
        <v>598</v>
      </c>
      <c r="KS143" s="15" t="s">
        <v>598</v>
      </c>
      <c r="KT143" s="15" t="s">
        <v>598</v>
      </c>
      <c r="KU143" s="15" t="s">
        <v>598</v>
      </c>
      <c r="KV143" s="15" t="s">
        <v>598</v>
      </c>
      <c r="KW143" s="15" t="s">
        <v>598</v>
      </c>
      <c r="KX143" s="15" t="s">
        <v>598</v>
      </c>
      <c r="KY143" s="15" t="s">
        <v>598</v>
      </c>
      <c r="KZ143" s="15" t="s">
        <v>598</v>
      </c>
      <c r="LA143" s="15" t="s">
        <v>598</v>
      </c>
      <c r="LB143" s="15" t="s">
        <v>598</v>
      </c>
      <c r="LC143" s="15" t="s">
        <v>598</v>
      </c>
      <c r="LD143" s="15" t="s">
        <v>598</v>
      </c>
      <c r="LE143" s="15" t="s">
        <v>598</v>
      </c>
      <c r="LF143" s="15" t="s">
        <v>598</v>
      </c>
      <c r="LG143" s="15" t="s">
        <v>598</v>
      </c>
      <c r="LH143" s="15" t="s">
        <v>598</v>
      </c>
      <c r="LI143" s="15" t="s">
        <v>598</v>
      </c>
      <c r="LJ143" s="15" t="s">
        <v>598</v>
      </c>
      <c r="LK143" s="15" t="s">
        <v>598</v>
      </c>
      <c r="LL143" s="15" t="s">
        <v>598</v>
      </c>
      <c r="LM143" s="15" t="s">
        <v>598</v>
      </c>
      <c r="LN143" s="15" t="s">
        <v>598</v>
      </c>
      <c r="LO143" s="15" t="s">
        <v>598</v>
      </c>
      <c r="LP143" s="15" t="s">
        <v>598</v>
      </c>
      <c r="LQ143" s="15" t="s">
        <v>598</v>
      </c>
      <c r="LR143" s="15" t="s">
        <v>598</v>
      </c>
      <c r="LS143" s="15" t="s">
        <v>598</v>
      </c>
      <c r="LT143" s="15" t="s">
        <v>598</v>
      </c>
      <c r="LU143" s="15" t="s">
        <v>598</v>
      </c>
      <c r="LV143" s="15" t="s">
        <v>598</v>
      </c>
      <c r="LW143" s="15" t="s">
        <v>598</v>
      </c>
      <c r="LX143" s="15" t="s">
        <v>598</v>
      </c>
      <c r="LY143" s="15" t="s">
        <v>598</v>
      </c>
      <c r="LZ143" s="15" t="s">
        <v>598</v>
      </c>
      <c r="MA143" s="15" t="s">
        <v>598</v>
      </c>
      <c r="MB143" s="15" t="s">
        <v>598</v>
      </c>
      <c r="MC143" s="15" t="s">
        <v>598</v>
      </c>
      <c r="MD143" s="15" t="s">
        <v>598</v>
      </c>
      <c r="ME143" s="15" t="s">
        <v>598</v>
      </c>
      <c r="MF143" s="15" t="s">
        <v>598</v>
      </c>
      <c r="MG143" s="15" t="s">
        <v>598</v>
      </c>
      <c r="MH143" s="15" t="s">
        <v>598</v>
      </c>
      <c r="MI143" s="15" t="s">
        <v>598</v>
      </c>
      <c r="MJ143" s="15" t="s">
        <v>598</v>
      </c>
      <c r="MK143" s="15" t="s">
        <v>598</v>
      </c>
      <c r="ML143" s="15" t="s">
        <v>598</v>
      </c>
      <c r="MM143" s="15" t="s">
        <v>598</v>
      </c>
      <c r="MN143" s="15" t="s">
        <v>598</v>
      </c>
      <c r="MO143" s="15" t="s">
        <v>598</v>
      </c>
      <c r="MP143" s="15" t="s">
        <v>598</v>
      </c>
      <c r="MQ143" s="15" t="s">
        <v>598</v>
      </c>
      <c r="MR143" s="15" t="s">
        <v>598</v>
      </c>
      <c r="MS143" s="15" t="s">
        <v>598</v>
      </c>
      <c r="MT143" s="15" t="s">
        <v>598</v>
      </c>
      <c r="MU143" s="15" t="s">
        <v>598</v>
      </c>
      <c r="MV143" s="15" t="s">
        <v>598</v>
      </c>
      <c r="MW143" s="15" t="s">
        <v>598</v>
      </c>
      <c r="MX143" s="15" t="s">
        <v>598</v>
      </c>
      <c r="MY143" s="15" t="s">
        <v>598</v>
      </c>
      <c r="MZ143" s="15" t="s">
        <v>598</v>
      </c>
      <c r="NA143" s="15" t="s">
        <v>598</v>
      </c>
      <c r="NB143" s="15" t="s">
        <v>598</v>
      </c>
      <c r="NC143" s="15" t="s">
        <v>598</v>
      </c>
      <c r="ND143" s="15" t="s">
        <v>598</v>
      </c>
      <c r="NE143" s="15" t="s">
        <v>598</v>
      </c>
      <c r="NF143" s="15" t="s">
        <v>598</v>
      </c>
      <c r="NG143" s="15" t="s">
        <v>598</v>
      </c>
      <c r="NH143" s="15" t="s">
        <v>598</v>
      </c>
      <c r="NI143" s="15" t="s">
        <v>598</v>
      </c>
      <c r="NJ143" s="15" t="s">
        <v>598</v>
      </c>
      <c r="NK143" s="15" t="s">
        <v>598</v>
      </c>
      <c r="NL143" s="15" t="s">
        <v>598</v>
      </c>
      <c r="NM143" s="15" t="s">
        <v>598</v>
      </c>
      <c r="NN143" s="15" t="s">
        <v>598</v>
      </c>
      <c r="NO143" s="15" t="s">
        <v>598</v>
      </c>
      <c r="NP143" s="15" t="s">
        <v>598</v>
      </c>
      <c r="NQ143" s="15" t="s">
        <v>598</v>
      </c>
      <c r="NR143" s="15" t="s">
        <v>598</v>
      </c>
      <c r="NS143" s="15" t="s">
        <v>598</v>
      </c>
      <c r="NT143" s="15" t="s">
        <v>598</v>
      </c>
      <c r="NU143" s="15" t="s">
        <v>598</v>
      </c>
      <c r="NV143" s="15" t="s">
        <v>598</v>
      </c>
      <c r="NW143" s="15" t="s">
        <v>598</v>
      </c>
      <c r="NX143" s="15" t="s">
        <v>598</v>
      </c>
      <c r="NY143" s="15" t="s">
        <v>598</v>
      </c>
      <c r="NZ143" s="15" t="s">
        <v>598</v>
      </c>
      <c r="OA143" s="15" t="s">
        <v>598</v>
      </c>
      <c r="OB143" s="15" t="s">
        <v>598</v>
      </c>
      <c r="OC143" s="15" t="s">
        <v>598</v>
      </c>
      <c r="OD143" s="15" t="s">
        <v>598</v>
      </c>
      <c r="OE143" s="15" t="s">
        <v>598</v>
      </c>
      <c r="OF143" s="15" t="s">
        <v>598</v>
      </c>
      <c r="OG143" s="15" t="s">
        <v>598</v>
      </c>
      <c r="OH143" s="15" t="s">
        <v>598</v>
      </c>
      <c r="OI143" s="15" t="s">
        <v>598</v>
      </c>
      <c r="OJ143" s="15" t="s">
        <v>598</v>
      </c>
      <c r="OK143" s="15" t="s">
        <v>598</v>
      </c>
      <c r="OL143" s="15" t="s">
        <v>598</v>
      </c>
      <c r="OM143" s="15" t="s">
        <v>598</v>
      </c>
      <c r="ON143" s="15" t="s">
        <v>598</v>
      </c>
      <c r="OO143" s="15" t="s">
        <v>598</v>
      </c>
      <c r="OP143" s="15" t="s">
        <v>598</v>
      </c>
      <c r="OQ143" s="15" t="s">
        <v>598</v>
      </c>
      <c r="OR143" s="15" t="s">
        <v>598</v>
      </c>
      <c r="OS143" s="15" t="s">
        <v>598</v>
      </c>
      <c r="OT143" s="15" t="s">
        <v>598</v>
      </c>
      <c r="OU143" s="15" t="s">
        <v>598</v>
      </c>
      <c r="OV143" s="15" t="s">
        <v>598</v>
      </c>
      <c r="OW143" s="15" t="s">
        <v>598</v>
      </c>
      <c r="OX143" s="15" t="s">
        <v>598</v>
      </c>
      <c r="OY143" s="15" t="s">
        <v>598</v>
      </c>
      <c r="OZ143" s="15" t="s">
        <v>598</v>
      </c>
      <c r="PA143" s="15" t="s">
        <v>598</v>
      </c>
      <c r="PB143" s="15" t="s">
        <v>598</v>
      </c>
      <c r="PC143" s="15" t="s">
        <v>598</v>
      </c>
      <c r="PD143" s="15" t="s">
        <v>598</v>
      </c>
      <c r="PE143" s="15" t="s">
        <v>598</v>
      </c>
      <c r="PF143" s="15" t="s">
        <v>598</v>
      </c>
      <c r="PG143" s="15" t="s">
        <v>598</v>
      </c>
      <c r="PH143" s="15" t="s">
        <v>598</v>
      </c>
      <c r="PI143" s="15" t="s">
        <v>598</v>
      </c>
      <c r="PJ143" s="15" t="s">
        <v>598</v>
      </c>
      <c r="PK143" s="15" t="s">
        <v>598</v>
      </c>
      <c r="PL143" s="15" t="s">
        <v>598</v>
      </c>
      <c r="PM143" s="15" t="s">
        <v>598</v>
      </c>
      <c r="PN143" s="15" t="s">
        <v>598</v>
      </c>
      <c r="PO143" s="15" t="s">
        <v>598</v>
      </c>
      <c r="PP143" s="15" t="s">
        <v>598</v>
      </c>
      <c r="PQ143" s="15" t="s">
        <v>598</v>
      </c>
      <c r="PR143" s="15" t="s">
        <v>598</v>
      </c>
      <c r="PS143" s="15" t="s">
        <v>598</v>
      </c>
      <c r="PT143" s="15" t="s">
        <v>598</v>
      </c>
      <c r="PU143" s="15" t="s">
        <v>598</v>
      </c>
      <c r="PV143" s="15" t="s">
        <v>598</v>
      </c>
      <c r="PW143" s="15" t="s">
        <v>598</v>
      </c>
      <c r="PX143" s="15" t="s">
        <v>598</v>
      </c>
      <c r="PY143" s="15" t="s">
        <v>598</v>
      </c>
      <c r="PZ143" s="15" t="s">
        <v>598</v>
      </c>
      <c r="QA143" s="15" t="s">
        <v>598</v>
      </c>
      <c r="QB143" s="15" t="s">
        <v>598</v>
      </c>
      <c r="QC143" s="15" t="s">
        <v>598</v>
      </c>
      <c r="QD143" s="15" t="s">
        <v>598</v>
      </c>
      <c r="QE143" s="15" t="s">
        <v>598</v>
      </c>
      <c r="QF143" s="15" t="s">
        <v>598</v>
      </c>
      <c r="QG143" s="15" t="s">
        <v>598</v>
      </c>
      <c r="QH143" s="15" t="s">
        <v>598</v>
      </c>
      <c r="QI143" s="15" t="s">
        <v>598</v>
      </c>
      <c r="QJ143" s="15" t="s">
        <v>598</v>
      </c>
      <c r="QK143" s="15" t="s">
        <v>598</v>
      </c>
      <c r="QL143" s="15" t="s">
        <v>598</v>
      </c>
      <c r="QM143" s="15" t="s">
        <v>598</v>
      </c>
      <c r="QN143" s="15" t="s">
        <v>598</v>
      </c>
      <c r="QO143" s="15" t="s">
        <v>598</v>
      </c>
      <c r="QP143" s="15" t="s">
        <v>598</v>
      </c>
      <c r="QQ143" s="15" t="s">
        <v>598</v>
      </c>
      <c r="QR143" s="15" t="s">
        <v>598</v>
      </c>
      <c r="QS143" s="15" t="s">
        <v>598</v>
      </c>
      <c r="QT143" s="15" t="s">
        <v>598</v>
      </c>
      <c r="QU143" s="15" t="s">
        <v>598</v>
      </c>
      <c r="QV143" s="15" t="s">
        <v>598</v>
      </c>
      <c r="QW143" s="15" t="s">
        <v>598</v>
      </c>
      <c r="QX143" s="15" t="s">
        <v>598</v>
      </c>
      <c r="QY143" s="15" t="s">
        <v>598</v>
      </c>
      <c r="QZ143" s="15" t="s">
        <v>598</v>
      </c>
      <c r="RA143" s="15" t="s">
        <v>598</v>
      </c>
      <c r="RB143" s="15" t="s">
        <v>598</v>
      </c>
      <c r="RC143" s="15" t="s">
        <v>598</v>
      </c>
      <c r="RD143" s="15" t="s">
        <v>598</v>
      </c>
      <c r="RE143" s="15" t="s">
        <v>598</v>
      </c>
      <c r="RF143" s="15" t="s">
        <v>598</v>
      </c>
      <c r="RG143" s="15" t="s">
        <v>598</v>
      </c>
      <c r="RH143" s="15" t="s">
        <v>598</v>
      </c>
      <c r="RI143" s="15" t="s">
        <v>598</v>
      </c>
      <c r="RJ143" s="15" t="s">
        <v>598</v>
      </c>
      <c r="RK143" s="15" t="s">
        <v>598</v>
      </c>
      <c r="RL143" s="15" t="s">
        <v>598</v>
      </c>
      <c r="RM143" s="15" t="s">
        <v>598</v>
      </c>
      <c r="RN143" s="15" t="s">
        <v>598</v>
      </c>
      <c r="RO143" s="15" t="s">
        <v>598</v>
      </c>
      <c r="RP143" s="15" t="s">
        <v>598</v>
      </c>
      <c r="RQ143" s="15" t="s">
        <v>598</v>
      </c>
      <c r="RR143" s="15" t="s">
        <v>598</v>
      </c>
      <c r="RS143" s="15" t="s">
        <v>598</v>
      </c>
      <c r="RT143" s="15" t="s">
        <v>598</v>
      </c>
      <c r="RU143" s="15" t="s">
        <v>598</v>
      </c>
      <c r="RV143" s="15" t="s">
        <v>598</v>
      </c>
      <c r="RW143" s="15" t="s">
        <v>598</v>
      </c>
      <c r="RX143" s="15" t="s">
        <v>598</v>
      </c>
      <c r="RY143" s="15" t="s">
        <v>598</v>
      </c>
      <c r="RZ143" s="15" t="s">
        <v>598</v>
      </c>
      <c r="SA143" s="15" t="s">
        <v>598</v>
      </c>
      <c r="SB143" s="15" t="s">
        <v>598</v>
      </c>
      <c r="SC143" s="15" t="s">
        <v>598</v>
      </c>
      <c r="SD143" s="15" t="s">
        <v>598</v>
      </c>
      <c r="SE143" s="15" t="s">
        <v>598</v>
      </c>
      <c r="SF143" s="15" t="s">
        <v>598</v>
      </c>
      <c r="SG143" s="15" t="s">
        <v>598</v>
      </c>
      <c r="SH143" s="15" t="s">
        <v>598</v>
      </c>
      <c r="SI143" s="15" t="s">
        <v>598</v>
      </c>
      <c r="SJ143" s="15" t="s">
        <v>598</v>
      </c>
      <c r="SK143" s="15" t="s">
        <v>598</v>
      </c>
      <c r="SL143" s="15" t="s">
        <v>598</v>
      </c>
      <c r="SM143" s="15" t="s">
        <v>598</v>
      </c>
      <c r="SN143" s="15" t="s">
        <v>598</v>
      </c>
      <c r="SO143" s="15" t="s">
        <v>598</v>
      </c>
      <c r="SP143" s="15" t="s">
        <v>598</v>
      </c>
      <c r="SQ143" s="15" t="s">
        <v>598</v>
      </c>
      <c r="SR143" s="15" t="s">
        <v>598</v>
      </c>
      <c r="SS143" s="15" t="s">
        <v>598</v>
      </c>
      <c r="ST143" s="15" t="s">
        <v>598</v>
      </c>
      <c r="SU143" s="15" t="s">
        <v>598</v>
      </c>
      <c r="SV143" s="15" t="s">
        <v>598</v>
      </c>
      <c r="SW143" s="15" t="s">
        <v>598</v>
      </c>
      <c r="SX143" s="15" t="s">
        <v>598</v>
      </c>
      <c r="SY143" s="15" t="s">
        <v>598</v>
      </c>
      <c r="SZ143" s="15" t="s">
        <v>598</v>
      </c>
      <c r="TA143" s="15" t="s">
        <v>598</v>
      </c>
      <c r="TB143" s="15" t="s">
        <v>598</v>
      </c>
      <c r="TC143" s="15" t="s">
        <v>598</v>
      </c>
      <c r="TD143" s="15" t="s">
        <v>598</v>
      </c>
      <c r="TE143" s="15" t="s">
        <v>598</v>
      </c>
      <c r="TF143" s="15" t="s">
        <v>598</v>
      </c>
      <c r="TG143" s="15" t="s">
        <v>598</v>
      </c>
      <c r="TH143" s="15" t="s">
        <v>598</v>
      </c>
      <c r="TI143" s="15" t="s">
        <v>598</v>
      </c>
      <c r="TJ143" s="15" t="s">
        <v>598</v>
      </c>
      <c r="TK143" s="15" t="s">
        <v>598</v>
      </c>
      <c r="TL143" s="15" t="s">
        <v>598</v>
      </c>
      <c r="TM143" s="15" t="s">
        <v>598</v>
      </c>
      <c r="TN143" s="15" t="s">
        <v>598</v>
      </c>
      <c r="TO143" s="15" t="s">
        <v>598</v>
      </c>
      <c r="TP143" s="15" t="s">
        <v>598</v>
      </c>
      <c r="TQ143" s="15" t="s">
        <v>598</v>
      </c>
      <c r="TR143" s="15" t="s">
        <v>598</v>
      </c>
      <c r="TS143" s="15" t="s">
        <v>598</v>
      </c>
      <c r="TT143" s="15" t="s">
        <v>598</v>
      </c>
      <c r="TU143" s="15" t="s">
        <v>598</v>
      </c>
      <c r="TV143" s="15" t="s">
        <v>598</v>
      </c>
      <c r="TW143" s="15" t="s">
        <v>598</v>
      </c>
      <c r="TX143" s="15" t="s">
        <v>598</v>
      </c>
      <c r="TY143" s="15" t="s">
        <v>598</v>
      </c>
      <c r="TZ143" s="15" t="s">
        <v>598</v>
      </c>
      <c r="UA143" s="15" t="s">
        <v>598</v>
      </c>
      <c r="UB143" s="15" t="s">
        <v>598</v>
      </c>
      <c r="UC143" s="15" t="s">
        <v>598</v>
      </c>
      <c r="UD143" s="15" t="s">
        <v>598</v>
      </c>
      <c r="UE143" s="15" t="s">
        <v>598</v>
      </c>
      <c r="UF143" s="15" t="s">
        <v>598</v>
      </c>
      <c r="UG143" s="15" t="s">
        <v>598</v>
      </c>
      <c r="UH143" s="15" t="s">
        <v>598</v>
      </c>
      <c r="UI143" s="15" t="s">
        <v>598</v>
      </c>
      <c r="UJ143" s="15" t="s">
        <v>598</v>
      </c>
      <c r="UK143" s="15" t="s">
        <v>598</v>
      </c>
      <c r="UL143" s="15" t="s">
        <v>598</v>
      </c>
      <c r="UM143" s="15" t="s">
        <v>598</v>
      </c>
      <c r="UN143" s="15" t="s">
        <v>598</v>
      </c>
      <c r="UO143" s="15" t="s">
        <v>598</v>
      </c>
      <c r="UP143" s="15" t="s">
        <v>598</v>
      </c>
      <c r="UQ143" s="15" t="s">
        <v>598</v>
      </c>
      <c r="UR143" s="15" t="s">
        <v>598</v>
      </c>
      <c r="US143" s="15" t="s">
        <v>598</v>
      </c>
      <c r="UT143" s="15" t="s">
        <v>598</v>
      </c>
      <c r="UU143" s="15" t="s">
        <v>598</v>
      </c>
      <c r="UV143" s="15" t="s">
        <v>598</v>
      </c>
      <c r="UW143" s="15" t="s">
        <v>598</v>
      </c>
      <c r="UX143" s="15" t="s">
        <v>598</v>
      </c>
      <c r="UY143" s="15" t="s">
        <v>598</v>
      </c>
      <c r="UZ143" s="15" t="s">
        <v>598</v>
      </c>
      <c r="VA143" s="15" t="s">
        <v>598</v>
      </c>
      <c r="VB143" s="15" t="s">
        <v>598</v>
      </c>
      <c r="VC143" s="15" t="s">
        <v>598</v>
      </c>
      <c r="VD143" s="15" t="s">
        <v>598</v>
      </c>
      <c r="VE143" s="15" t="s">
        <v>598</v>
      </c>
      <c r="VF143" s="15" t="s">
        <v>598</v>
      </c>
      <c r="VG143" s="15" t="s">
        <v>598</v>
      </c>
      <c r="VH143" s="15" t="s">
        <v>598</v>
      </c>
      <c r="VI143" s="15" t="s">
        <v>598</v>
      </c>
      <c r="VJ143" s="15" t="s">
        <v>598</v>
      </c>
      <c r="VK143" s="15" t="s">
        <v>598</v>
      </c>
      <c r="VL143" s="15" t="s">
        <v>598</v>
      </c>
      <c r="VM143" s="15" t="s">
        <v>598</v>
      </c>
      <c r="VN143" s="15" t="s">
        <v>598</v>
      </c>
      <c r="VO143" s="15" t="s">
        <v>598</v>
      </c>
      <c r="VP143" s="15" t="s">
        <v>598</v>
      </c>
      <c r="VQ143" s="15" t="s">
        <v>598</v>
      </c>
      <c r="VR143" s="15" t="s">
        <v>598</v>
      </c>
      <c r="VS143" s="15" t="s">
        <v>598</v>
      </c>
      <c r="VT143" s="15" t="s">
        <v>598</v>
      </c>
      <c r="VU143" s="15" t="s">
        <v>598</v>
      </c>
      <c r="VV143" s="15" t="s">
        <v>598</v>
      </c>
      <c r="VW143" s="15" t="s">
        <v>598</v>
      </c>
      <c r="VX143" s="15" t="s">
        <v>598</v>
      </c>
      <c r="VY143" s="15" t="s">
        <v>598</v>
      </c>
      <c r="VZ143" s="15" t="s">
        <v>598</v>
      </c>
      <c r="WA143" s="15" t="s">
        <v>598</v>
      </c>
      <c r="WB143" s="15" t="s">
        <v>598</v>
      </c>
      <c r="WC143" s="15" t="s">
        <v>598</v>
      </c>
      <c r="WD143" s="15" t="s">
        <v>598</v>
      </c>
      <c r="WE143" s="15" t="s">
        <v>598</v>
      </c>
      <c r="WF143" s="15" t="s">
        <v>598</v>
      </c>
      <c r="WG143" s="15" t="s">
        <v>598</v>
      </c>
      <c r="WH143" s="15" t="s">
        <v>598</v>
      </c>
      <c r="WI143" s="15" t="s">
        <v>598</v>
      </c>
      <c r="WJ143" s="15" t="s">
        <v>598</v>
      </c>
      <c r="WK143" s="15" t="s">
        <v>598</v>
      </c>
      <c r="WL143" s="15" t="s">
        <v>598</v>
      </c>
      <c r="WM143" s="15" t="s">
        <v>598</v>
      </c>
      <c r="WN143" s="15" t="s">
        <v>598</v>
      </c>
      <c r="WO143" s="15" t="s">
        <v>598</v>
      </c>
      <c r="WP143" s="15" t="s">
        <v>598</v>
      </c>
      <c r="WQ143" s="15" t="s">
        <v>598</v>
      </c>
      <c r="WR143" s="15" t="s">
        <v>598</v>
      </c>
      <c r="WS143" s="15" t="s">
        <v>598</v>
      </c>
      <c r="WT143" s="15" t="s">
        <v>598</v>
      </c>
      <c r="WU143" s="15" t="s">
        <v>598</v>
      </c>
      <c r="WV143" s="15" t="s">
        <v>598</v>
      </c>
      <c r="WW143" s="15" t="s">
        <v>598</v>
      </c>
      <c r="WX143" s="15" t="s">
        <v>598</v>
      </c>
      <c r="WY143" s="15" t="s">
        <v>598</v>
      </c>
      <c r="WZ143" s="15" t="s">
        <v>598</v>
      </c>
      <c r="XA143" s="15" t="s">
        <v>598</v>
      </c>
      <c r="XB143" s="15" t="s">
        <v>598</v>
      </c>
      <c r="XC143" s="15" t="s">
        <v>598</v>
      </c>
      <c r="XD143" s="15" t="s">
        <v>598</v>
      </c>
      <c r="XE143" s="15" t="s">
        <v>598</v>
      </c>
      <c r="XF143" s="15" t="s">
        <v>598</v>
      </c>
      <c r="XG143" s="15" t="s">
        <v>598</v>
      </c>
      <c r="XH143" s="15" t="s">
        <v>598</v>
      </c>
      <c r="XI143" s="15" t="s">
        <v>598</v>
      </c>
      <c r="XJ143" s="15" t="s">
        <v>598</v>
      </c>
      <c r="XK143" s="15" t="s">
        <v>598</v>
      </c>
      <c r="XL143" s="15" t="s">
        <v>598</v>
      </c>
      <c r="XM143" s="15" t="s">
        <v>598</v>
      </c>
      <c r="XN143" s="15" t="s">
        <v>598</v>
      </c>
      <c r="XO143" s="15" t="s">
        <v>598</v>
      </c>
      <c r="XP143" s="15" t="s">
        <v>598</v>
      </c>
      <c r="XQ143" s="15" t="s">
        <v>598</v>
      </c>
      <c r="XR143" s="15" t="s">
        <v>598</v>
      </c>
      <c r="XS143" s="15" t="s">
        <v>598</v>
      </c>
      <c r="XT143" s="15" t="s">
        <v>598</v>
      </c>
      <c r="XU143" s="15" t="s">
        <v>598</v>
      </c>
      <c r="XV143" s="15" t="s">
        <v>598</v>
      </c>
      <c r="XW143" s="15" t="s">
        <v>598</v>
      </c>
      <c r="XX143" s="15" t="s">
        <v>598</v>
      </c>
      <c r="XY143" s="15" t="s">
        <v>598</v>
      </c>
      <c r="XZ143" s="15" t="s">
        <v>598</v>
      </c>
      <c r="YA143" s="15" t="s">
        <v>598</v>
      </c>
      <c r="YB143" s="15" t="s">
        <v>598</v>
      </c>
      <c r="YC143" s="15" t="s">
        <v>598</v>
      </c>
      <c r="YD143" s="15" t="s">
        <v>598</v>
      </c>
      <c r="YE143" s="15" t="s">
        <v>598</v>
      </c>
      <c r="YF143" s="15" t="s">
        <v>598</v>
      </c>
      <c r="YG143" s="15" t="s">
        <v>598</v>
      </c>
      <c r="YH143" s="15" t="s">
        <v>598</v>
      </c>
      <c r="YI143" s="15" t="s">
        <v>598</v>
      </c>
      <c r="YJ143" s="15" t="s">
        <v>598</v>
      </c>
      <c r="YK143" s="15" t="s">
        <v>598</v>
      </c>
      <c r="YL143" s="15" t="s">
        <v>598</v>
      </c>
      <c r="YM143" s="15" t="s">
        <v>598</v>
      </c>
      <c r="YN143" s="15" t="s">
        <v>598</v>
      </c>
      <c r="YO143" s="15" t="s">
        <v>598</v>
      </c>
      <c r="YP143" s="15" t="s">
        <v>598</v>
      </c>
      <c r="YQ143" s="15" t="s">
        <v>598</v>
      </c>
      <c r="YR143" s="15" t="s">
        <v>598</v>
      </c>
      <c r="YS143" s="15" t="s">
        <v>598</v>
      </c>
      <c r="YT143" s="15" t="s">
        <v>598</v>
      </c>
      <c r="YU143" s="15" t="s">
        <v>598</v>
      </c>
      <c r="YV143" s="15" t="s">
        <v>598</v>
      </c>
      <c r="YW143" s="15" t="s">
        <v>598</v>
      </c>
      <c r="YX143" s="15" t="s">
        <v>598</v>
      </c>
      <c r="YY143" s="15" t="s">
        <v>598</v>
      </c>
      <c r="YZ143" s="15" t="s">
        <v>598</v>
      </c>
      <c r="ZA143" s="15" t="s">
        <v>598</v>
      </c>
      <c r="ZB143" s="15" t="s">
        <v>598</v>
      </c>
      <c r="ZC143" s="15" t="s">
        <v>598</v>
      </c>
      <c r="ZD143" s="15" t="s">
        <v>598</v>
      </c>
      <c r="ZE143" s="15" t="s">
        <v>598</v>
      </c>
      <c r="ZF143" s="15" t="s">
        <v>598</v>
      </c>
      <c r="ZG143" s="15" t="s">
        <v>598</v>
      </c>
      <c r="ZH143" s="15" t="s">
        <v>598</v>
      </c>
      <c r="ZI143" s="15" t="s">
        <v>598</v>
      </c>
      <c r="ZJ143" s="15" t="s">
        <v>598</v>
      </c>
      <c r="ZK143" s="15" t="s">
        <v>598</v>
      </c>
      <c r="ZL143" s="15" t="s">
        <v>598</v>
      </c>
      <c r="ZM143" s="15" t="s">
        <v>598</v>
      </c>
      <c r="ZN143" s="15" t="s">
        <v>598</v>
      </c>
      <c r="ZO143" s="15" t="s">
        <v>598</v>
      </c>
      <c r="ZP143" s="15" t="s">
        <v>598</v>
      </c>
      <c r="ZQ143" s="15" t="s">
        <v>598</v>
      </c>
      <c r="ZR143" s="15" t="s">
        <v>598</v>
      </c>
      <c r="ZS143" s="15" t="s">
        <v>598</v>
      </c>
      <c r="ZT143" s="15" t="s">
        <v>598</v>
      </c>
      <c r="ZU143" s="15" t="s">
        <v>598</v>
      </c>
      <c r="ZV143" s="15" t="s">
        <v>598</v>
      </c>
      <c r="ZW143" s="15" t="s">
        <v>598</v>
      </c>
      <c r="ZX143" s="15" t="s">
        <v>598</v>
      </c>
      <c r="ZY143" s="15" t="s">
        <v>598</v>
      </c>
      <c r="ZZ143" s="15" t="s">
        <v>598</v>
      </c>
      <c r="AAA143" s="15" t="s">
        <v>598</v>
      </c>
      <c r="AAB143" s="15" t="s">
        <v>598</v>
      </c>
      <c r="AAC143" s="15" t="s">
        <v>598</v>
      </c>
      <c r="AAD143" s="15" t="s">
        <v>598</v>
      </c>
      <c r="AAE143" s="15" t="s">
        <v>598</v>
      </c>
      <c r="AAF143" s="15" t="s">
        <v>598</v>
      </c>
      <c r="AAG143" s="15" t="s">
        <v>598</v>
      </c>
      <c r="AAH143" s="15" t="s">
        <v>598</v>
      </c>
      <c r="AAI143" s="15" t="s">
        <v>598</v>
      </c>
      <c r="AAJ143" s="15" t="s">
        <v>598</v>
      </c>
      <c r="AAK143" s="15" t="s">
        <v>598</v>
      </c>
      <c r="AAL143" s="15" t="s">
        <v>598</v>
      </c>
      <c r="AAM143" s="15" t="s">
        <v>598</v>
      </c>
      <c r="AAN143" s="15" t="s">
        <v>598</v>
      </c>
      <c r="AAO143" s="15" t="s">
        <v>598</v>
      </c>
      <c r="AAP143" s="15" t="s">
        <v>598</v>
      </c>
      <c r="AAQ143" s="15" t="s">
        <v>598</v>
      </c>
      <c r="AAR143" s="15" t="s">
        <v>598</v>
      </c>
      <c r="AAS143" s="15" t="s">
        <v>598</v>
      </c>
      <c r="AAT143" s="15" t="s">
        <v>598</v>
      </c>
      <c r="AAU143" s="15" t="s">
        <v>598</v>
      </c>
      <c r="AAV143" s="15" t="s">
        <v>598</v>
      </c>
      <c r="AAW143" s="15" t="s">
        <v>598</v>
      </c>
      <c r="AAX143" s="15" t="s">
        <v>598</v>
      </c>
      <c r="AAY143" s="15" t="s">
        <v>598</v>
      </c>
      <c r="AAZ143" s="15" t="s">
        <v>598</v>
      </c>
      <c r="ABA143" s="15" t="s">
        <v>598</v>
      </c>
      <c r="ABB143" s="15" t="s">
        <v>598</v>
      </c>
      <c r="ABC143" s="15" t="s">
        <v>598</v>
      </c>
      <c r="ABD143" s="15" t="s">
        <v>598</v>
      </c>
      <c r="ABE143" s="15" t="s">
        <v>598</v>
      </c>
      <c r="ABF143" s="15" t="s">
        <v>598</v>
      </c>
      <c r="ABG143" s="15" t="s">
        <v>598</v>
      </c>
      <c r="ABH143" s="15" t="s">
        <v>598</v>
      </c>
      <c r="ABI143" s="15" t="s">
        <v>598</v>
      </c>
      <c r="ABJ143" s="15" t="s">
        <v>598</v>
      </c>
      <c r="ABK143" s="15" t="s">
        <v>598</v>
      </c>
      <c r="ABL143" s="15" t="s">
        <v>598</v>
      </c>
      <c r="ABM143" s="15" t="s">
        <v>598</v>
      </c>
      <c r="ABN143" s="15" t="s">
        <v>598</v>
      </c>
      <c r="ABO143" s="15" t="s">
        <v>598</v>
      </c>
      <c r="ABP143" s="15" t="s">
        <v>598</v>
      </c>
      <c r="ABQ143" s="15" t="s">
        <v>598</v>
      </c>
      <c r="ABR143" s="15" t="s">
        <v>598</v>
      </c>
      <c r="ABS143" s="15" t="s">
        <v>598</v>
      </c>
      <c r="ABT143" s="15" t="s">
        <v>598</v>
      </c>
      <c r="ABU143" s="15" t="s">
        <v>598</v>
      </c>
      <c r="ABV143" s="15" t="s">
        <v>598</v>
      </c>
      <c r="ABW143" s="15" t="s">
        <v>598</v>
      </c>
      <c r="ABX143" s="15" t="s">
        <v>598</v>
      </c>
      <c r="ABY143" s="15" t="s">
        <v>598</v>
      </c>
      <c r="ABZ143" s="15" t="s">
        <v>598</v>
      </c>
      <c r="ACA143" s="15" t="s">
        <v>598</v>
      </c>
      <c r="ACB143" s="15" t="s">
        <v>598</v>
      </c>
      <c r="ACC143" s="15" t="s">
        <v>598</v>
      </c>
      <c r="ACD143" s="15" t="s">
        <v>598</v>
      </c>
      <c r="ACE143" s="15" t="s">
        <v>598</v>
      </c>
      <c r="ACF143" s="15" t="s">
        <v>598</v>
      </c>
      <c r="ACG143" s="15" t="s">
        <v>598</v>
      </c>
      <c r="ACH143" s="15" t="s">
        <v>598</v>
      </c>
      <c r="ACI143" s="15" t="s">
        <v>598</v>
      </c>
      <c r="ACJ143" s="15" t="s">
        <v>598</v>
      </c>
      <c r="ACK143" s="15" t="s">
        <v>598</v>
      </c>
      <c r="ACL143" s="15" t="s">
        <v>598</v>
      </c>
      <c r="ACM143" s="15" t="s">
        <v>598</v>
      </c>
      <c r="ACN143" s="15" t="s">
        <v>598</v>
      </c>
      <c r="ACO143" s="15" t="s">
        <v>598</v>
      </c>
      <c r="ACP143" s="15" t="s">
        <v>598</v>
      </c>
      <c r="ACQ143" s="15" t="s">
        <v>598</v>
      </c>
      <c r="ACR143" s="15" t="s">
        <v>598</v>
      </c>
      <c r="ACS143" s="15" t="s">
        <v>598</v>
      </c>
      <c r="ACT143" s="15" t="s">
        <v>598</v>
      </c>
      <c r="ACU143" s="15" t="s">
        <v>598</v>
      </c>
      <c r="ACV143" s="15" t="s">
        <v>598</v>
      </c>
      <c r="ACW143" s="15" t="s">
        <v>598</v>
      </c>
      <c r="ACX143" s="15" t="s">
        <v>598</v>
      </c>
      <c r="ACY143" s="15" t="s">
        <v>598</v>
      </c>
      <c r="ACZ143" s="15" t="s">
        <v>598</v>
      </c>
      <c r="ADA143" s="15" t="s">
        <v>598</v>
      </c>
      <c r="ADB143" s="15" t="s">
        <v>598</v>
      </c>
      <c r="ADC143" s="15" t="s">
        <v>598</v>
      </c>
      <c r="ADD143" s="15" t="s">
        <v>598</v>
      </c>
      <c r="ADE143" s="15" t="s">
        <v>598</v>
      </c>
      <c r="ADF143" s="15" t="s">
        <v>598</v>
      </c>
      <c r="ADG143" s="15" t="s">
        <v>598</v>
      </c>
      <c r="ADH143" s="15" t="s">
        <v>598</v>
      </c>
      <c r="ADI143" s="15" t="s">
        <v>598</v>
      </c>
      <c r="ADJ143" s="15" t="s">
        <v>598</v>
      </c>
      <c r="ADK143" s="15" t="s">
        <v>598</v>
      </c>
      <c r="ADL143" s="15" t="s">
        <v>598</v>
      </c>
      <c r="ADM143" s="15" t="s">
        <v>598</v>
      </c>
      <c r="ADN143" s="15" t="s">
        <v>598</v>
      </c>
      <c r="ADO143" s="15" t="s">
        <v>598</v>
      </c>
      <c r="ADP143" s="15" t="s">
        <v>598</v>
      </c>
      <c r="ADQ143" s="15" t="s">
        <v>598</v>
      </c>
      <c r="ADR143" s="15" t="s">
        <v>598</v>
      </c>
      <c r="ADS143" s="15" t="s">
        <v>598</v>
      </c>
      <c r="ADT143" s="15" t="s">
        <v>598</v>
      </c>
      <c r="ADU143" s="15" t="s">
        <v>598</v>
      </c>
      <c r="ADV143" s="15" t="s">
        <v>598</v>
      </c>
      <c r="ADW143" s="15" t="s">
        <v>598</v>
      </c>
      <c r="ADX143" s="15" t="s">
        <v>598</v>
      </c>
      <c r="ADY143" s="15" t="s">
        <v>598</v>
      </c>
      <c r="ADZ143" s="15" t="s">
        <v>598</v>
      </c>
      <c r="AEA143" s="15" t="s">
        <v>598</v>
      </c>
      <c r="AEB143" s="15" t="s">
        <v>598</v>
      </c>
      <c r="AEC143" s="15" t="s">
        <v>598</v>
      </c>
      <c r="AED143" s="15" t="s">
        <v>598</v>
      </c>
      <c r="AEE143" s="15" t="s">
        <v>598</v>
      </c>
      <c r="AEF143" s="15" t="s">
        <v>598</v>
      </c>
      <c r="AEG143" s="15" t="s">
        <v>598</v>
      </c>
      <c r="AEH143" s="15" t="s">
        <v>598</v>
      </c>
      <c r="AEI143" s="15" t="s">
        <v>598</v>
      </c>
      <c r="AEJ143" s="15" t="s">
        <v>598</v>
      </c>
      <c r="AEK143" s="15" t="s">
        <v>598</v>
      </c>
      <c r="AEL143" s="15" t="s">
        <v>598</v>
      </c>
      <c r="AEM143" s="15" t="s">
        <v>598</v>
      </c>
      <c r="AEN143" s="15" t="s">
        <v>598</v>
      </c>
      <c r="AEO143" s="15" t="s">
        <v>598</v>
      </c>
      <c r="AEP143" s="15" t="s">
        <v>598</v>
      </c>
      <c r="AEQ143" s="15" t="s">
        <v>598</v>
      </c>
      <c r="AER143" s="15" t="s">
        <v>598</v>
      </c>
      <c r="AES143" s="15" t="s">
        <v>598</v>
      </c>
      <c r="AET143" s="15" t="s">
        <v>598</v>
      </c>
      <c r="AEU143" s="15" t="s">
        <v>598</v>
      </c>
      <c r="AEV143" s="15" t="s">
        <v>598</v>
      </c>
      <c r="AEW143" s="15" t="s">
        <v>598</v>
      </c>
      <c r="AEX143" s="15" t="s">
        <v>598</v>
      </c>
      <c r="AEY143" s="15" t="s">
        <v>598</v>
      </c>
      <c r="AEZ143" s="15" t="s">
        <v>598</v>
      </c>
      <c r="AFA143" s="15" t="s">
        <v>598</v>
      </c>
      <c r="AFB143" s="15" t="s">
        <v>598</v>
      </c>
      <c r="AFC143" s="15" t="s">
        <v>598</v>
      </c>
      <c r="AFD143" s="15" t="s">
        <v>598</v>
      </c>
      <c r="AFE143" s="15" t="s">
        <v>598</v>
      </c>
      <c r="AFF143" s="15" t="s">
        <v>598</v>
      </c>
      <c r="AFG143" s="15" t="s">
        <v>598</v>
      </c>
      <c r="AFH143" s="15" t="s">
        <v>598</v>
      </c>
      <c r="AFI143" s="15" t="s">
        <v>598</v>
      </c>
      <c r="AFJ143" s="15" t="s">
        <v>598</v>
      </c>
      <c r="AFK143" s="15" t="s">
        <v>598</v>
      </c>
      <c r="AFL143" s="15" t="s">
        <v>598</v>
      </c>
      <c r="AFM143" s="15" t="s">
        <v>598</v>
      </c>
      <c r="AFN143" s="15" t="s">
        <v>598</v>
      </c>
      <c r="AFO143" s="15" t="s">
        <v>598</v>
      </c>
      <c r="AFP143" s="15" t="s">
        <v>598</v>
      </c>
      <c r="AFQ143" s="15" t="s">
        <v>598</v>
      </c>
      <c r="AFR143" s="15" t="s">
        <v>598</v>
      </c>
      <c r="AFS143" s="15" t="s">
        <v>598</v>
      </c>
      <c r="AFT143" s="15" t="s">
        <v>598</v>
      </c>
      <c r="AFU143" s="15" t="s">
        <v>598</v>
      </c>
      <c r="AFV143" s="15" t="s">
        <v>598</v>
      </c>
      <c r="AFW143" s="15" t="s">
        <v>598</v>
      </c>
      <c r="AFX143" s="15" t="s">
        <v>598</v>
      </c>
      <c r="AFY143" s="15" t="s">
        <v>598</v>
      </c>
      <c r="AFZ143" s="15" t="s">
        <v>598</v>
      </c>
      <c r="AGA143" s="15" t="s">
        <v>598</v>
      </c>
      <c r="AGB143" s="15" t="s">
        <v>598</v>
      </c>
      <c r="AGC143" s="15" t="s">
        <v>598</v>
      </c>
      <c r="AGD143" s="15" t="s">
        <v>598</v>
      </c>
      <c r="AGE143" s="15" t="s">
        <v>598</v>
      </c>
      <c r="AGF143" s="15" t="s">
        <v>598</v>
      </c>
      <c r="AGG143" s="15" t="s">
        <v>598</v>
      </c>
      <c r="AGH143" s="15" t="s">
        <v>598</v>
      </c>
      <c r="AGI143" s="15" t="s">
        <v>598</v>
      </c>
      <c r="AGJ143" s="15" t="s">
        <v>598</v>
      </c>
      <c r="AGK143" s="15" t="s">
        <v>598</v>
      </c>
      <c r="AGL143" s="15" t="s">
        <v>598</v>
      </c>
      <c r="AGM143" s="15" t="s">
        <v>598</v>
      </c>
      <c r="AGN143" s="15" t="s">
        <v>598</v>
      </c>
      <c r="AGO143" s="15" t="s">
        <v>598</v>
      </c>
      <c r="AGP143" s="15" t="s">
        <v>598</v>
      </c>
      <c r="AGQ143" s="15" t="s">
        <v>598</v>
      </c>
      <c r="AGR143" s="15" t="s">
        <v>598</v>
      </c>
      <c r="AGS143" s="15" t="s">
        <v>598</v>
      </c>
      <c r="AGT143" s="15" t="s">
        <v>598</v>
      </c>
      <c r="AGU143" s="15" t="s">
        <v>598</v>
      </c>
      <c r="AGV143" s="15" t="s">
        <v>598</v>
      </c>
      <c r="AGW143" s="15" t="s">
        <v>598</v>
      </c>
      <c r="AGX143" s="15" t="s">
        <v>598</v>
      </c>
      <c r="AGY143" s="15" t="s">
        <v>598</v>
      </c>
      <c r="AGZ143" s="15" t="s">
        <v>598</v>
      </c>
      <c r="AHA143" s="15" t="s">
        <v>598</v>
      </c>
      <c r="AHB143" s="15" t="s">
        <v>598</v>
      </c>
      <c r="AHC143" s="15" t="s">
        <v>598</v>
      </c>
      <c r="AHD143" s="15" t="s">
        <v>598</v>
      </c>
      <c r="AHE143" s="15" t="s">
        <v>598</v>
      </c>
      <c r="AHF143" s="15" t="s">
        <v>598</v>
      </c>
      <c r="AHG143" s="15" t="s">
        <v>598</v>
      </c>
      <c r="AHH143" s="15" t="s">
        <v>598</v>
      </c>
      <c r="AHI143" s="15" t="s">
        <v>598</v>
      </c>
      <c r="AHJ143" s="15" t="s">
        <v>598</v>
      </c>
      <c r="AHK143" s="15" t="s">
        <v>598</v>
      </c>
      <c r="AHL143" s="15" t="s">
        <v>598</v>
      </c>
      <c r="AHM143" s="15" t="s">
        <v>598</v>
      </c>
      <c r="AHN143" s="15" t="s">
        <v>598</v>
      </c>
      <c r="AHO143" s="15" t="s">
        <v>598</v>
      </c>
      <c r="AHP143" s="15" t="s">
        <v>598</v>
      </c>
      <c r="AHQ143" s="15" t="s">
        <v>598</v>
      </c>
      <c r="AHR143" s="15" t="s">
        <v>598</v>
      </c>
      <c r="AHS143" s="15" t="s">
        <v>598</v>
      </c>
      <c r="AHT143" s="15" t="s">
        <v>598</v>
      </c>
      <c r="AHU143" s="15" t="s">
        <v>598</v>
      </c>
      <c r="AHV143" s="15" t="s">
        <v>598</v>
      </c>
      <c r="AHW143" s="15" t="s">
        <v>598</v>
      </c>
      <c r="AHX143" s="15" t="s">
        <v>598</v>
      </c>
      <c r="AHY143" s="15" t="s">
        <v>598</v>
      </c>
      <c r="AHZ143" s="15" t="s">
        <v>598</v>
      </c>
      <c r="AIA143" s="15" t="s">
        <v>598</v>
      </c>
      <c r="AIB143" s="15" t="s">
        <v>598</v>
      </c>
      <c r="AIC143" s="15" t="s">
        <v>598</v>
      </c>
      <c r="AID143" s="15" t="s">
        <v>598</v>
      </c>
      <c r="AIE143" s="15" t="s">
        <v>598</v>
      </c>
      <c r="AIF143" s="15" t="s">
        <v>598</v>
      </c>
      <c r="AIG143" s="15" t="s">
        <v>598</v>
      </c>
      <c r="AIH143" s="15" t="s">
        <v>598</v>
      </c>
      <c r="AII143" s="15" t="s">
        <v>598</v>
      </c>
      <c r="AIJ143" s="15" t="s">
        <v>598</v>
      </c>
      <c r="AIK143" s="15" t="s">
        <v>598</v>
      </c>
      <c r="AIL143" s="15" t="s">
        <v>598</v>
      </c>
      <c r="AIM143" s="15" t="s">
        <v>598</v>
      </c>
      <c r="AIN143" s="15" t="s">
        <v>598</v>
      </c>
      <c r="AIO143" s="15" t="s">
        <v>598</v>
      </c>
      <c r="AIP143" s="15" t="s">
        <v>598</v>
      </c>
      <c r="AIQ143" s="15" t="s">
        <v>598</v>
      </c>
      <c r="AIR143" s="15" t="s">
        <v>598</v>
      </c>
      <c r="AIS143" s="15" t="s">
        <v>598</v>
      </c>
      <c r="AIT143" s="15" t="s">
        <v>598</v>
      </c>
      <c r="AIU143" s="15" t="s">
        <v>598</v>
      </c>
      <c r="AIV143" s="15" t="s">
        <v>598</v>
      </c>
      <c r="AIW143" s="15" t="s">
        <v>598</v>
      </c>
      <c r="AIX143" s="15" t="s">
        <v>598</v>
      </c>
      <c r="AIY143" s="15" t="s">
        <v>598</v>
      </c>
      <c r="AIZ143" s="15" t="s">
        <v>598</v>
      </c>
      <c r="AJA143" s="15" t="s">
        <v>598</v>
      </c>
      <c r="AJB143" s="15" t="s">
        <v>598</v>
      </c>
      <c r="AJC143" s="15" t="s">
        <v>598</v>
      </c>
      <c r="AJD143" s="15" t="s">
        <v>598</v>
      </c>
      <c r="AJE143" s="15" t="s">
        <v>598</v>
      </c>
      <c r="AJF143" s="15" t="s">
        <v>598</v>
      </c>
      <c r="AJG143" s="15" t="s">
        <v>598</v>
      </c>
      <c r="AJH143" s="15" t="s">
        <v>598</v>
      </c>
      <c r="AJI143" s="15" t="s">
        <v>598</v>
      </c>
      <c r="AJJ143" s="15" t="s">
        <v>598</v>
      </c>
      <c r="AJK143" s="15" t="s">
        <v>598</v>
      </c>
      <c r="AJL143" s="15" t="s">
        <v>598</v>
      </c>
      <c r="AJM143" s="15" t="s">
        <v>598</v>
      </c>
      <c r="AJN143" s="15" t="s">
        <v>598</v>
      </c>
      <c r="AJO143" s="15" t="s">
        <v>598</v>
      </c>
      <c r="AJP143" s="15" t="s">
        <v>598</v>
      </c>
      <c r="AJQ143" s="15" t="s">
        <v>598</v>
      </c>
      <c r="AJR143" s="15" t="s">
        <v>598</v>
      </c>
      <c r="AJS143" s="15" t="s">
        <v>598</v>
      </c>
      <c r="AJT143" s="15" t="s">
        <v>598</v>
      </c>
      <c r="AJU143" s="15" t="s">
        <v>598</v>
      </c>
      <c r="AJV143" s="15" t="s">
        <v>598</v>
      </c>
      <c r="AJW143" s="15" t="s">
        <v>598</v>
      </c>
      <c r="AJX143" s="15" t="s">
        <v>598</v>
      </c>
      <c r="AJY143" s="15" t="s">
        <v>598</v>
      </c>
      <c r="AJZ143" s="15" t="s">
        <v>598</v>
      </c>
      <c r="AKA143" s="15" t="s">
        <v>598</v>
      </c>
      <c r="AKB143" s="15" t="s">
        <v>598</v>
      </c>
      <c r="AKC143" s="15" t="s">
        <v>598</v>
      </c>
      <c r="AKD143" s="15" t="s">
        <v>598</v>
      </c>
      <c r="AKE143" s="15" t="s">
        <v>598</v>
      </c>
      <c r="AKF143" s="15" t="s">
        <v>598</v>
      </c>
      <c r="AKG143" s="15" t="s">
        <v>598</v>
      </c>
      <c r="AKH143" s="15" t="s">
        <v>598</v>
      </c>
      <c r="AKI143" s="15" t="s">
        <v>598</v>
      </c>
      <c r="AKJ143" s="15" t="s">
        <v>598</v>
      </c>
      <c r="AKK143" s="15" t="s">
        <v>598</v>
      </c>
      <c r="AKL143" s="15" t="s">
        <v>598</v>
      </c>
      <c r="AKM143" s="15" t="s">
        <v>598</v>
      </c>
      <c r="AKN143" s="15" t="s">
        <v>598</v>
      </c>
      <c r="AKO143" s="15" t="s">
        <v>598</v>
      </c>
      <c r="AKP143" s="15" t="s">
        <v>598</v>
      </c>
      <c r="AKQ143" s="15" t="s">
        <v>598</v>
      </c>
      <c r="AKR143" s="15" t="s">
        <v>598</v>
      </c>
      <c r="AKS143" s="15" t="s">
        <v>598</v>
      </c>
      <c r="AKT143" s="15" t="s">
        <v>598</v>
      </c>
      <c r="AKU143" s="15" t="s">
        <v>598</v>
      </c>
      <c r="AKV143" s="15" t="s">
        <v>598</v>
      </c>
      <c r="AKW143" s="15" t="s">
        <v>598</v>
      </c>
      <c r="AKX143" s="15" t="s">
        <v>598</v>
      </c>
      <c r="AKY143" s="15" t="s">
        <v>598</v>
      </c>
      <c r="AKZ143" s="15" t="s">
        <v>598</v>
      </c>
      <c r="ALA143" s="15" t="s">
        <v>598</v>
      </c>
      <c r="ALB143" s="15" t="s">
        <v>598</v>
      </c>
      <c r="ALC143" s="15" t="s">
        <v>598</v>
      </c>
      <c r="ALD143" s="15" t="s">
        <v>598</v>
      </c>
      <c r="ALE143" s="15" t="s">
        <v>598</v>
      </c>
      <c r="ALF143" s="15" t="s">
        <v>598</v>
      </c>
      <c r="ALG143" s="15" t="s">
        <v>598</v>
      </c>
      <c r="ALH143" s="15" t="s">
        <v>598</v>
      </c>
      <c r="ALI143" s="15" t="s">
        <v>598</v>
      </c>
      <c r="ALJ143" s="15" t="s">
        <v>598</v>
      </c>
      <c r="ALK143" s="15" t="s">
        <v>598</v>
      </c>
      <c r="ALL143" s="15" t="s">
        <v>598</v>
      </c>
      <c r="ALM143" s="15" t="s">
        <v>598</v>
      </c>
      <c r="ALN143" s="15" t="s">
        <v>598</v>
      </c>
      <c r="ALO143" s="15" t="s">
        <v>598</v>
      </c>
      <c r="ALP143" s="15" t="s">
        <v>598</v>
      </c>
      <c r="ALQ143" s="15" t="s">
        <v>598</v>
      </c>
      <c r="ALR143" s="15" t="s">
        <v>598</v>
      </c>
      <c r="ALS143" s="15" t="s">
        <v>598</v>
      </c>
      <c r="ALT143" s="15" t="s">
        <v>598</v>
      </c>
      <c r="ALU143" s="15" t="s">
        <v>598</v>
      </c>
      <c r="ALV143" s="15" t="s">
        <v>598</v>
      </c>
      <c r="ALW143" s="15" t="s">
        <v>598</v>
      </c>
      <c r="ALX143" s="15" t="s">
        <v>598</v>
      </c>
      <c r="ALY143" s="15" t="s">
        <v>598</v>
      </c>
      <c r="ALZ143" s="15" t="s">
        <v>598</v>
      </c>
      <c r="AMA143" s="15" t="s">
        <v>598</v>
      </c>
      <c r="AMB143" s="15" t="s">
        <v>598</v>
      </c>
      <c r="AMC143" s="15" t="s">
        <v>598</v>
      </c>
      <c r="AMD143" s="15" t="s">
        <v>598</v>
      </c>
      <c r="AME143" s="15" t="s">
        <v>598</v>
      </c>
      <c r="AMF143" s="15" t="s">
        <v>598</v>
      </c>
      <c r="AMG143" s="15" t="s">
        <v>598</v>
      </c>
      <c r="AMH143" s="15" t="s">
        <v>598</v>
      </c>
      <c r="AMI143" s="15" t="s">
        <v>598</v>
      </c>
      <c r="AMJ143" s="15" t="s">
        <v>598</v>
      </c>
      <c r="AMK143" s="15" t="s">
        <v>598</v>
      </c>
      <c r="AML143" s="15" t="s">
        <v>598</v>
      </c>
      <c r="AMM143" s="15" t="s">
        <v>598</v>
      </c>
      <c r="AMN143" s="15" t="s">
        <v>598</v>
      </c>
      <c r="AMO143" s="15" t="s">
        <v>598</v>
      </c>
      <c r="AMP143" s="15" t="s">
        <v>598</v>
      </c>
      <c r="AMQ143" s="15" t="s">
        <v>598</v>
      </c>
      <c r="AMR143" s="15" t="s">
        <v>598</v>
      </c>
      <c r="AMS143" s="15" t="s">
        <v>598</v>
      </c>
      <c r="AMT143" s="15" t="s">
        <v>598</v>
      </c>
      <c r="AMU143" s="15" t="s">
        <v>598</v>
      </c>
      <c r="AMV143" s="15" t="s">
        <v>598</v>
      </c>
      <c r="AMW143" s="15" t="s">
        <v>598</v>
      </c>
      <c r="AMX143" s="15" t="s">
        <v>598</v>
      </c>
      <c r="AMY143" s="15" t="s">
        <v>598</v>
      </c>
      <c r="AMZ143" s="15" t="s">
        <v>598</v>
      </c>
      <c r="ANA143" s="15" t="s">
        <v>598</v>
      </c>
      <c r="ANB143" s="15" t="s">
        <v>598</v>
      </c>
      <c r="ANC143" s="15" t="s">
        <v>598</v>
      </c>
      <c r="AND143" s="15" t="s">
        <v>598</v>
      </c>
      <c r="ANE143" s="15" t="s">
        <v>598</v>
      </c>
      <c r="ANF143" s="15" t="s">
        <v>598</v>
      </c>
      <c r="ANG143" s="15" t="s">
        <v>598</v>
      </c>
      <c r="ANH143" s="15" t="s">
        <v>598</v>
      </c>
      <c r="ANI143" s="15" t="s">
        <v>598</v>
      </c>
      <c r="ANJ143" s="15" t="s">
        <v>598</v>
      </c>
      <c r="ANK143" s="15" t="s">
        <v>598</v>
      </c>
      <c r="ANL143" s="15" t="s">
        <v>598</v>
      </c>
      <c r="ANM143" s="15" t="s">
        <v>598</v>
      </c>
      <c r="ANN143" s="15" t="s">
        <v>598</v>
      </c>
      <c r="ANO143" s="15" t="s">
        <v>598</v>
      </c>
      <c r="ANP143" s="15" t="s">
        <v>598</v>
      </c>
      <c r="ANQ143" s="15" t="s">
        <v>598</v>
      </c>
      <c r="ANR143" s="15" t="s">
        <v>598</v>
      </c>
      <c r="ANS143" s="15" t="s">
        <v>598</v>
      </c>
      <c r="ANT143" s="15" t="s">
        <v>598</v>
      </c>
      <c r="ANU143" s="15" t="s">
        <v>598</v>
      </c>
      <c r="ANV143" s="15" t="s">
        <v>598</v>
      </c>
      <c r="ANW143" s="15" t="s">
        <v>598</v>
      </c>
      <c r="ANX143" s="15" t="s">
        <v>598</v>
      </c>
      <c r="ANY143" s="15" t="s">
        <v>598</v>
      </c>
      <c r="ANZ143" s="15" t="s">
        <v>598</v>
      </c>
      <c r="AOA143" s="15" t="s">
        <v>598</v>
      </c>
      <c r="AOB143" s="15" t="s">
        <v>598</v>
      </c>
      <c r="AOC143" s="15" t="s">
        <v>598</v>
      </c>
      <c r="AOD143" s="15" t="s">
        <v>598</v>
      </c>
      <c r="AOE143" s="15" t="s">
        <v>598</v>
      </c>
      <c r="AOF143" s="15" t="s">
        <v>598</v>
      </c>
      <c r="AOG143" s="15" t="s">
        <v>598</v>
      </c>
      <c r="AOH143" s="15" t="s">
        <v>598</v>
      </c>
      <c r="AOI143" s="15" t="s">
        <v>598</v>
      </c>
      <c r="AOJ143" s="15" t="s">
        <v>598</v>
      </c>
      <c r="AOK143" s="15" t="s">
        <v>598</v>
      </c>
      <c r="AOL143" s="15" t="s">
        <v>598</v>
      </c>
      <c r="AOM143" s="15" t="s">
        <v>598</v>
      </c>
      <c r="AON143" s="15" t="s">
        <v>598</v>
      </c>
      <c r="AOO143" s="15" t="s">
        <v>598</v>
      </c>
      <c r="AOP143" s="15" t="s">
        <v>598</v>
      </c>
      <c r="AOQ143" s="15" t="s">
        <v>598</v>
      </c>
      <c r="AOR143" s="15" t="s">
        <v>598</v>
      </c>
      <c r="AOS143" s="15" t="s">
        <v>598</v>
      </c>
      <c r="AOT143" s="15" t="s">
        <v>598</v>
      </c>
      <c r="AOU143" s="15" t="s">
        <v>598</v>
      </c>
      <c r="AOV143" s="15" t="s">
        <v>598</v>
      </c>
      <c r="AOW143" s="15" t="s">
        <v>598</v>
      </c>
      <c r="AOX143" s="15" t="s">
        <v>598</v>
      </c>
      <c r="AOY143" s="15" t="s">
        <v>598</v>
      </c>
      <c r="AOZ143" s="15" t="s">
        <v>598</v>
      </c>
      <c r="APA143" s="15" t="s">
        <v>598</v>
      </c>
      <c r="APB143" s="15" t="s">
        <v>598</v>
      </c>
      <c r="APC143" s="15" t="s">
        <v>598</v>
      </c>
      <c r="APD143" s="15" t="s">
        <v>598</v>
      </c>
      <c r="APE143" s="15" t="s">
        <v>598</v>
      </c>
      <c r="APF143" s="15" t="s">
        <v>598</v>
      </c>
      <c r="APG143" s="15" t="s">
        <v>598</v>
      </c>
      <c r="APH143" s="15" t="s">
        <v>598</v>
      </c>
      <c r="API143" s="15" t="s">
        <v>598</v>
      </c>
      <c r="APJ143" s="15" t="s">
        <v>598</v>
      </c>
      <c r="APK143" s="15" t="s">
        <v>598</v>
      </c>
      <c r="APL143" s="15" t="s">
        <v>598</v>
      </c>
      <c r="APM143" s="15" t="s">
        <v>598</v>
      </c>
      <c r="APN143" s="15" t="s">
        <v>598</v>
      </c>
      <c r="APO143" s="15" t="s">
        <v>598</v>
      </c>
      <c r="APP143" s="15" t="s">
        <v>598</v>
      </c>
      <c r="APQ143" s="15" t="s">
        <v>598</v>
      </c>
      <c r="APR143" s="15" t="s">
        <v>598</v>
      </c>
      <c r="APS143" s="15" t="s">
        <v>598</v>
      </c>
      <c r="APT143" s="15" t="s">
        <v>598</v>
      </c>
      <c r="APU143" s="15" t="s">
        <v>598</v>
      </c>
      <c r="APV143" s="15" t="s">
        <v>598</v>
      </c>
      <c r="APW143" s="15" t="s">
        <v>598</v>
      </c>
      <c r="APX143" s="15" t="s">
        <v>598</v>
      </c>
      <c r="APY143" s="15" t="s">
        <v>598</v>
      </c>
      <c r="APZ143" s="15" t="s">
        <v>598</v>
      </c>
      <c r="AQA143" s="15" t="s">
        <v>598</v>
      </c>
      <c r="AQB143" s="15" t="s">
        <v>598</v>
      </c>
      <c r="AQC143" s="15" t="s">
        <v>598</v>
      </c>
      <c r="AQD143" s="15" t="s">
        <v>598</v>
      </c>
      <c r="AQE143" s="15" t="s">
        <v>598</v>
      </c>
      <c r="AQF143" s="15" t="s">
        <v>598</v>
      </c>
      <c r="AQG143" s="15" t="s">
        <v>598</v>
      </c>
      <c r="AQH143" s="15" t="s">
        <v>598</v>
      </c>
      <c r="AQI143" s="15" t="s">
        <v>598</v>
      </c>
      <c r="AQJ143" s="15" t="s">
        <v>598</v>
      </c>
      <c r="AQK143" s="15" t="s">
        <v>598</v>
      </c>
      <c r="AQL143" s="15" t="s">
        <v>598</v>
      </c>
      <c r="AQM143" s="15" t="s">
        <v>598</v>
      </c>
      <c r="AQN143" s="15" t="s">
        <v>598</v>
      </c>
      <c r="AQO143" s="15" t="s">
        <v>598</v>
      </c>
      <c r="AQP143" s="15" t="s">
        <v>598</v>
      </c>
      <c r="AQQ143" s="15" t="s">
        <v>598</v>
      </c>
      <c r="AQR143" s="15" t="s">
        <v>598</v>
      </c>
      <c r="AQS143" s="15" t="s">
        <v>598</v>
      </c>
      <c r="AQT143" s="15" t="s">
        <v>598</v>
      </c>
      <c r="AQU143" s="15" t="s">
        <v>598</v>
      </c>
      <c r="AQV143" s="15" t="s">
        <v>598</v>
      </c>
      <c r="AQW143" s="15" t="s">
        <v>598</v>
      </c>
      <c r="AQX143" s="15" t="s">
        <v>598</v>
      </c>
      <c r="AQY143" s="15" t="s">
        <v>598</v>
      </c>
      <c r="AQZ143" s="15" t="s">
        <v>598</v>
      </c>
      <c r="ARA143" s="15" t="s">
        <v>598</v>
      </c>
      <c r="ARB143" s="15" t="s">
        <v>598</v>
      </c>
      <c r="ARC143" s="15" t="s">
        <v>598</v>
      </c>
      <c r="ARD143" s="15" t="s">
        <v>598</v>
      </c>
      <c r="ARE143" s="15" t="s">
        <v>598</v>
      </c>
      <c r="ARF143" s="15" t="s">
        <v>598</v>
      </c>
      <c r="ARG143" s="15" t="s">
        <v>598</v>
      </c>
      <c r="ARH143" s="15" t="s">
        <v>598</v>
      </c>
      <c r="ARI143" s="15" t="s">
        <v>598</v>
      </c>
      <c r="ARJ143" s="15" t="s">
        <v>598</v>
      </c>
      <c r="ARK143" s="15" t="s">
        <v>598</v>
      </c>
      <c r="ARL143" s="15" t="s">
        <v>598</v>
      </c>
      <c r="ARM143" s="15" t="s">
        <v>598</v>
      </c>
      <c r="ARN143" s="15" t="s">
        <v>598</v>
      </c>
      <c r="ARO143" s="15" t="s">
        <v>598</v>
      </c>
      <c r="ARP143" s="15" t="s">
        <v>598</v>
      </c>
      <c r="ARQ143" s="15" t="s">
        <v>598</v>
      </c>
      <c r="ARR143" s="15" t="s">
        <v>598</v>
      </c>
      <c r="ARS143" s="15" t="s">
        <v>598</v>
      </c>
      <c r="ART143" s="15" t="s">
        <v>598</v>
      </c>
      <c r="ARU143" s="15" t="s">
        <v>598</v>
      </c>
      <c r="ARV143" s="15" t="s">
        <v>598</v>
      </c>
      <c r="ARW143" s="15" t="s">
        <v>598</v>
      </c>
      <c r="ARX143" s="15" t="s">
        <v>598</v>
      </c>
      <c r="ARY143" s="15" t="s">
        <v>598</v>
      </c>
      <c r="ARZ143" s="15" t="s">
        <v>598</v>
      </c>
      <c r="ASA143" s="15" t="s">
        <v>598</v>
      </c>
      <c r="ASB143" s="15" t="s">
        <v>598</v>
      </c>
      <c r="ASC143" s="15" t="s">
        <v>598</v>
      </c>
      <c r="ASD143" s="15" t="s">
        <v>598</v>
      </c>
      <c r="ASE143" s="15" t="s">
        <v>598</v>
      </c>
      <c r="ASF143" s="15" t="s">
        <v>598</v>
      </c>
      <c r="ASG143" s="15" t="s">
        <v>598</v>
      </c>
      <c r="ASH143" s="15" t="s">
        <v>598</v>
      </c>
      <c r="ASI143" s="15" t="s">
        <v>598</v>
      </c>
      <c r="ASJ143" s="15" t="s">
        <v>598</v>
      </c>
      <c r="ASK143" s="15" t="s">
        <v>598</v>
      </c>
      <c r="ASL143" s="15" t="s">
        <v>598</v>
      </c>
      <c r="ASM143" s="15" t="s">
        <v>598</v>
      </c>
      <c r="ASN143" s="15" t="s">
        <v>598</v>
      </c>
      <c r="ASO143" s="15" t="s">
        <v>598</v>
      </c>
      <c r="ASP143" s="15" t="s">
        <v>598</v>
      </c>
      <c r="ASQ143" s="15" t="s">
        <v>598</v>
      </c>
      <c r="ASR143" s="15" t="s">
        <v>598</v>
      </c>
      <c r="ASS143" s="15" t="s">
        <v>598</v>
      </c>
      <c r="AST143" s="15" t="s">
        <v>598</v>
      </c>
      <c r="ASU143" s="15" t="s">
        <v>598</v>
      </c>
      <c r="ASV143" s="15" t="s">
        <v>598</v>
      </c>
      <c r="ASW143" s="15" t="s">
        <v>598</v>
      </c>
      <c r="ASX143" s="15" t="s">
        <v>598</v>
      </c>
      <c r="ASY143" s="15" t="s">
        <v>598</v>
      </c>
      <c r="ASZ143" s="15" t="s">
        <v>598</v>
      </c>
      <c r="ATA143" s="15" t="s">
        <v>598</v>
      </c>
      <c r="ATB143" s="15" t="s">
        <v>598</v>
      </c>
      <c r="ATC143" s="15" t="s">
        <v>598</v>
      </c>
      <c r="ATD143" s="15" t="s">
        <v>598</v>
      </c>
      <c r="ATE143" s="15" t="s">
        <v>598</v>
      </c>
      <c r="ATF143" s="15" t="s">
        <v>598</v>
      </c>
      <c r="ATG143" s="15" t="s">
        <v>598</v>
      </c>
      <c r="ATH143" s="15" t="s">
        <v>598</v>
      </c>
      <c r="ATI143" s="15" t="s">
        <v>598</v>
      </c>
      <c r="ATJ143" s="15" t="s">
        <v>598</v>
      </c>
      <c r="ATK143" s="15" t="s">
        <v>598</v>
      </c>
      <c r="ATL143" s="15" t="s">
        <v>598</v>
      </c>
      <c r="ATM143" s="15" t="s">
        <v>598</v>
      </c>
      <c r="ATN143" s="15" t="s">
        <v>598</v>
      </c>
      <c r="ATO143" s="15" t="s">
        <v>598</v>
      </c>
      <c r="ATP143" s="15" t="s">
        <v>598</v>
      </c>
      <c r="ATQ143" s="15" t="s">
        <v>598</v>
      </c>
      <c r="ATR143" s="15" t="s">
        <v>598</v>
      </c>
      <c r="ATS143" s="15" t="s">
        <v>598</v>
      </c>
      <c r="ATT143" s="15" t="s">
        <v>598</v>
      </c>
      <c r="ATU143" s="15" t="s">
        <v>598</v>
      </c>
      <c r="ATV143" s="15" t="s">
        <v>598</v>
      </c>
      <c r="ATW143" s="15" t="s">
        <v>598</v>
      </c>
      <c r="ATX143" s="15" t="s">
        <v>598</v>
      </c>
      <c r="ATY143" s="15" t="s">
        <v>598</v>
      </c>
      <c r="ATZ143" s="15" t="s">
        <v>598</v>
      </c>
      <c r="AUA143" s="15" t="s">
        <v>598</v>
      </c>
      <c r="AUB143" s="15" t="s">
        <v>598</v>
      </c>
      <c r="AUC143" s="15" t="s">
        <v>598</v>
      </c>
      <c r="AUD143" s="15" t="s">
        <v>598</v>
      </c>
      <c r="AUE143" s="15" t="s">
        <v>598</v>
      </c>
      <c r="AUF143" s="15" t="s">
        <v>598</v>
      </c>
      <c r="AUG143" s="15" t="s">
        <v>598</v>
      </c>
      <c r="AUH143" s="15" t="s">
        <v>598</v>
      </c>
      <c r="AUI143" s="15" t="s">
        <v>598</v>
      </c>
      <c r="AUJ143" s="15" t="s">
        <v>598</v>
      </c>
      <c r="AUK143" s="15" t="s">
        <v>598</v>
      </c>
      <c r="AUL143" s="15" t="s">
        <v>598</v>
      </c>
      <c r="AUM143" s="15" t="s">
        <v>598</v>
      </c>
      <c r="AUN143" s="15" t="s">
        <v>598</v>
      </c>
      <c r="AUO143" s="15" t="s">
        <v>598</v>
      </c>
      <c r="AUP143" s="15" t="s">
        <v>598</v>
      </c>
      <c r="AUQ143" s="15" t="s">
        <v>598</v>
      </c>
      <c r="AUR143" s="15" t="s">
        <v>598</v>
      </c>
      <c r="AUS143" s="15" t="s">
        <v>598</v>
      </c>
      <c r="AUT143" s="15" t="s">
        <v>598</v>
      </c>
      <c r="AUU143" s="15" t="s">
        <v>598</v>
      </c>
      <c r="AUV143" s="15" t="s">
        <v>598</v>
      </c>
      <c r="AUW143" s="15" t="s">
        <v>598</v>
      </c>
      <c r="AUX143" s="15" t="s">
        <v>598</v>
      </c>
      <c r="AUY143" s="15" t="s">
        <v>598</v>
      </c>
      <c r="AUZ143" s="15" t="s">
        <v>598</v>
      </c>
      <c r="AVA143" s="15" t="s">
        <v>598</v>
      </c>
      <c r="AVB143" s="15" t="s">
        <v>598</v>
      </c>
      <c r="AVC143" s="15" t="s">
        <v>598</v>
      </c>
      <c r="AVD143" s="15" t="s">
        <v>598</v>
      </c>
      <c r="AVE143" s="15" t="s">
        <v>598</v>
      </c>
      <c r="AVF143" s="15" t="s">
        <v>598</v>
      </c>
      <c r="AVG143" s="15" t="s">
        <v>598</v>
      </c>
      <c r="AVH143" s="15" t="s">
        <v>598</v>
      </c>
      <c r="AVI143" s="15" t="s">
        <v>598</v>
      </c>
      <c r="AVJ143" s="15" t="s">
        <v>598</v>
      </c>
      <c r="AVK143" s="15" t="s">
        <v>598</v>
      </c>
      <c r="AVL143" s="15" t="s">
        <v>598</v>
      </c>
      <c r="AVM143" s="15" t="s">
        <v>598</v>
      </c>
      <c r="AVN143" s="15" t="s">
        <v>598</v>
      </c>
      <c r="AVO143" s="15" t="s">
        <v>598</v>
      </c>
      <c r="AVP143" s="15" t="s">
        <v>598</v>
      </c>
      <c r="AVQ143" s="15" t="s">
        <v>598</v>
      </c>
      <c r="AVR143" s="15" t="s">
        <v>598</v>
      </c>
      <c r="AVS143" s="15" t="s">
        <v>598</v>
      </c>
      <c r="AVT143" s="15" t="s">
        <v>598</v>
      </c>
      <c r="AVU143" s="15" t="s">
        <v>598</v>
      </c>
      <c r="AVV143" s="15" t="s">
        <v>598</v>
      </c>
      <c r="AVW143" s="15" t="s">
        <v>598</v>
      </c>
      <c r="AVX143" s="15" t="s">
        <v>598</v>
      </c>
      <c r="AVY143" s="15" t="s">
        <v>598</v>
      </c>
      <c r="AVZ143" s="15" t="s">
        <v>598</v>
      </c>
      <c r="AWA143" s="15" t="s">
        <v>598</v>
      </c>
      <c r="AWB143" s="15" t="s">
        <v>598</v>
      </c>
      <c r="AWC143" s="15" t="s">
        <v>598</v>
      </c>
      <c r="AWD143" s="15" t="s">
        <v>598</v>
      </c>
      <c r="AWE143" s="15" t="s">
        <v>598</v>
      </c>
      <c r="AWF143" s="15" t="s">
        <v>598</v>
      </c>
      <c r="AWG143" s="15" t="s">
        <v>598</v>
      </c>
      <c r="AWH143" s="15" t="s">
        <v>598</v>
      </c>
      <c r="AWI143" s="15" t="s">
        <v>598</v>
      </c>
      <c r="AWJ143" s="15" t="s">
        <v>598</v>
      </c>
      <c r="AWK143" s="15" t="s">
        <v>598</v>
      </c>
      <c r="AWL143" s="15" t="s">
        <v>598</v>
      </c>
      <c r="AWM143" s="15" t="s">
        <v>598</v>
      </c>
      <c r="AWN143" s="15" t="s">
        <v>598</v>
      </c>
      <c r="AWO143" s="15" t="s">
        <v>598</v>
      </c>
      <c r="AWP143" s="15" t="s">
        <v>598</v>
      </c>
      <c r="AWQ143" s="15" t="s">
        <v>598</v>
      </c>
      <c r="AWR143" s="15" t="s">
        <v>598</v>
      </c>
      <c r="AWS143" s="15" t="s">
        <v>598</v>
      </c>
      <c r="AWT143" s="15" t="s">
        <v>598</v>
      </c>
      <c r="AWU143" s="15" t="s">
        <v>598</v>
      </c>
      <c r="AWV143" s="15" t="s">
        <v>598</v>
      </c>
      <c r="AWW143" s="15" t="s">
        <v>598</v>
      </c>
      <c r="AWX143" s="15" t="s">
        <v>598</v>
      </c>
      <c r="AWY143" s="15" t="s">
        <v>598</v>
      </c>
      <c r="AWZ143" s="15" t="s">
        <v>598</v>
      </c>
      <c r="AXA143" s="15" t="s">
        <v>598</v>
      </c>
      <c r="AXB143" s="15" t="s">
        <v>598</v>
      </c>
      <c r="AXC143" s="15" t="s">
        <v>598</v>
      </c>
      <c r="AXD143" s="15" t="s">
        <v>598</v>
      </c>
      <c r="AXE143" s="15" t="s">
        <v>598</v>
      </c>
      <c r="AXF143" s="15" t="s">
        <v>598</v>
      </c>
      <c r="AXG143" s="15" t="s">
        <v>598</v>
      </c>
      <c r="AXH143" s="15" t="s">
        <v>598</v>
      </c>
      <c r="AXI143" s="15" t="s">
        <v>598</v>
      </c>
      <c r="AXJ143" s="15" t="s">
        <v>598</v>
      </c>
      <c r="AXK143" s="15" t="s">
        <v>598</v>
      </c>
      <c r="AXL143" s="15" t="s">
        <v>598</v>
      </c>
      <c r="AXM143" s="15" t="s">
        <v>598</v>
      </c>
      <c r="AXN143" s="15" t="s">
        <v>598</v>
      </c>
      <c r="AXO143" s="15" t="s">
        <v>598</v>
      </c>
      <c r="AXP143" s="15" t="s">
        <v>598</v>
      </c>
      <c r="AXQ143" s="15" t="s">
        <v>598</v>
      </c>
      <c r="AXR143" s="15" t="s">
        <v>598</v>
      </c>
      <c r="AXS143" s="15" t="s">
        <v>598</v>
      </c>
      <c r="AXT143" s="15" t="s">
        <v>598</v>
      </c>
      <c r="AXU143" s="15" t="s">
        <v>598</v>
      </c>
      <c r="AXV143" s="15" t="s">
        <v>598</v>
      </c>
      <c r="AXW143" s="15" t="s">
        <v>598</v>
      </c>
      <c r="AXX143" s="15" t="s">
        <v>598</v>
      </c>
      <c r="AXY143" s="15" t="s">
        <v>598</v>
      </c>
      <c r="AXZ143" s="15" t="s">
        <v>598</v>
      </c>
      <c r="AYA143" s="15" t="s">
        <v>598</v>
      </c>
      <c r="AYB143" s="15" t="s">
        <v>598</v>
      </c>
      <c r="AYC143" s="15" t="s">
        <v>598</v>
      </c>
      <c r="AYD143" s="15" t="s">
        <v>598</v>
      </c>
      <c r="AYE143" s="15" t="s">
        <v>598</v>
      </c>
      <c r="AYF143" s="15" t="s">
        <v>598</v>
      </c>
      <c r="AYG143" s="15" t="s">
        <v>598</v>
      </c>
      <c r="AYH143" s="15" t="s">
        <v>598</v>
      </c>
      <c r="AYI143" s="15" t="s">
        <v>598</v>
      </c>
      <c r="AYJ143" s="15" t="s">
        <v>598</v>
      </c>
      <c r="AYK143" s="15" t="s">
        <v>598</v>
      </c>
      <c r="AYL143" s="15" t="s">
        <v>598</v>
      </c>
      <c r="AYM143" s="15" t="s">
        <v>598</v>
      </c>
      <c r="AYN143" s="15" t="s">
        <v>598</v>
      </c>
      <c r="AYO143" s="15" t="s">
        <v>598</v>
      </c>
      <c r="AYP143" s="15" t="s">
        <v>598</v>
      </c>
      <c r="AYQ143" s="15" t="s">
        <v>598</v>
      </c>
      <c r="AYR143" s="15" t="s">
        <v>598</v>
      </c>
      <c r="AYS143" s="15" t="s">
        <v>598</v>
      </c>
      <c r="AYT143" s="15" t="s">
        <v>598</v>
      </c>
      <c r="AYU143" s="15" t="s">
        <v>598</v>
      </c>
      <c r="AYV143" s="15" t="s">
        <v>598</v>
      </c>
      <c r="AYW143" s="15" t="s">
        <v>598</v>
      </c>
      <c r="AYX143" s="15" t="s">
        <v>598</v>
      </c>
      <c r="AYY143" s="15" t="s">
        <v>598</v>
      </c>
      <c r="AYZ143" s="15" t="s">
        <v>598</v>
      </c>
      <c r="AZA143" s="15" t="s">
        <v>598</v>
      </c>
      <c r="AZB143" s="15" t="s">
        <v>598</v>
      </c>
      <c r="AZC143" s="15" t="s">
        <v>598</v>
      </c>
      <c r="AZD143" s="15" t="s">
        <v>598</v>
      </c>
      <c r="AZE143" s="15" t="s">
        <v>598</v>
      </c>
      <c r="AZF143" s="15" t="s">
        <v>598</v>
      </c>
      <c r="AZG143" s="15" t="s">
        <v>598</v>
      </c>
      <c r="AZH143" s="15" t="s">
        <v>598</v>
      </c>
      <c r="AZI143" s="15" t="s">
        <v>598</v>
      </c>
      <c r="AZJ143" s="15" t="s">
        <v>598</v>
      </c>
      <c r="AZK143" s="15" t="s">
        <v>598</v>
      </c>
      <c r="AZL143" s="15" t="s">
        <v>598</v>
      </c>
      <c r="AZM143" s="15" t="s">
        <v>598</v>
      </c>
      <c r="AZN143" s="15" t="s">
        <v>598</v>
      </c>
      <c r="AZO143" s="15" t="s">
        <v>598</v>
      </c>
      <c r="AZP143" s="15" t="s">
        <v>598</v>
      </c>
      <c r="AZQ143" s="15" t="s">
        <v>598</v>
      </c>
      <c r="AZR143" s="15" t="s">
        <v>598</v>
      </c>
      <c r="AZS143" s="15" t="s">
        <v>598</v>
      </c>
      <c r="AZT143" s="15" t="s">
        <v>598</v>
      </c>
      <c r="AZU143" s="15" t="s">
        <v>598</v>
      </c>
      <c r="AZV143" s="15" t="s">
        <v>598</v>
      </c>
      <c r="AZW143" s="15" t="s">
        <v>598</v>
      </c>
      <c r="AZX143" s="15" t="s">
        <v>598</v>
      </c>
      <c r="AZY143" s="15" t="s">
        <v>598</v>
      </c>
      <c r="AZZ143" s="15" t="s">
        <v>598</v>
      </c>
      <c r="BAA143" s="15" t="s">
        <v>598</v>
      </c>
      <c r="BAB143" s="15" t="s">
        <v>598</v>
      </c>
      <c r="BAC143" s="15" t="s">
        <v>598</v>
      </c>
      <c r="BAD143" s="15" t="s">
        <v>598</v>
      </c>
      <c r="BAE143" s="15" t="s">
        <v>598</v>
      </c>
      <c r="BAF143" s="15" t="s">
        <v>598</v>
      </c>
      <c r="BAG143" s="15" t="s">
        <v>598</v>
      </c>
      <c r="BAH143" s="15" t="s">
        <v>598</v>
      </c>
      <c r="BAI143" s="15" t="s">
        <v>598</v>
      </c>
      <c r="BAJ143" s="15" t="s">
        <v>598</v>
      </c>
      <c r="BAK143" s="15" t="s">
        <v>598</v>
      </c>
      <c r="BAL143" s="15" t="s">
        <v>598</v>
      </c>
      <c r="BAM143" s="15" t="s">
        <v>598</v>
      </c>
      <c r="BAN143" s="15" t="s">
        <v>598</v>
      </c>
      <c r="BAO143" s="15" t="s">
        <v>598</v>
      </c>
      <c r="BAP143" s="15" t="s">
        <v>598</v>
      </c>
      <c r="BAQ143" s="15" t="s">
        <v>598</v>
      </c>
      <c r="BAR143" s="15" t="s">
        <v>598</v>
      </c>
      <c r="BAS143" s="15" t="s">
        <v>598</v>
      </c>
      <c r="BAT143" s="15" t="s">
        <v>598</v>
      </c>
      <c r="BAU143" s="15" t="s">
        <v>598</v>
      </c>
      <c r="BAV143" s="15" t="s">
        <v>598</v>
      </c>
      <c r="BAW143" s="15" t="s">
        <v>598</v>
      </c>
      <c r="BAX143" s="15" t="s">
        <v>598</v>
      </c>
      <c r="BAY143" s="15" t="s">
        <v>598</v>
      </c>
      <c r="BAZ143" s="15" t="s">
        <v>598</v>
      </c>
      <c r="BBA143" s="15" t="s">
        <v>598</v>
      </c>
      <c r="BBB143" s="15" t="s">
        <v>598</v>
      </c>
      <c r="BBC143" s="15" t="s">
        <v>598</v>
      </c>
      <c r="BBD143" s="15" t="s">
        <v>598</v>
      </c>
      <c r="BBE143" s="15" t="s">
        <v>598</v>
      </c>
      <c r="BBF143" s="15" t="s">
        <v>598</v>
      </c>
      <c r="BBG143" s="15" t="s">
        <v>598</v>
      </c>
      <c r="BBH143" s="15" t="s">
        <v>598</v>
      </c>
      <c r="BBI143" s="15" t="s">
        <v>598</v>
      </c>
      <c r="BBJ143" s="15" t="s">
        <v>598</v>
      </c>
      <c r="BBK143" s="15" t="s">
        <v>598</v>
      </c>
      <c r="BBL143" s="15" t="s">
        <v>598</v>
      </c>
      <c r="BBM143" s="15" t="s">
        <v>598</v>
      </c>
      <c r="BBN143" s="15" t="s">
        <v>598</v>
      </c>
      <c r="BBO143" s="15" t="s">
        <v>598</v>
      </c>
      <c r="BBP143" s="15" t="s">
        <v>598</v>
      </c>
      <c r="BBQ143" s="15" t="s">
        <v>598</v>
      </c>
      <c r="BBR143" s="15" t="s">
        <v>598</v>
      </c>
      <c r="BBS143" s="15" t="s">
        <v>598</v>
      </c>
      <c r="BBT143" s="15" t="s">
        <v>598</v>
      </c>
      <c r="BBU143" s="15" t="s">
        <v>598</v>
      </c>
      <c r="BBV143" s="15" t="s">
        <v>598</v>
      </c>
      <c r="BBW143" s="15" t="s">
        <v>598</v>
      </c>
      <c r="BBX143" s="15" t="s">
        <v>598</v>
      </c>
      <c r="BBY143" s="15" t="s">
        <v>598</v>
      </c>
      <c r="BBZ143" s="15" t="s">
        <v>598</v>
      </c>
      <c r="BCA143" s="15" t="s">
        <v>598</v>
      </c>
      <c r="BCB143" s="15" t="s">
        <v>598</v>
      </c>
      <c r="BCC143" s="15" t="s">
        <v>598</v>
      </c>
      <c r="BCD143" s="15" t="s">
        <v>598</v>
      </c>
      <c r="BCE143" s="15" t="s">
        <v>598</v>
      </c>
      <c r="BCF143" s="15" t="s">
        <v>598</v>
      </c>
      <c r="BCG143" s="15" t="s">
        <v>598</v>
      </c>
      <c r="BCH143" s="15" t="s">
        <v>598</v>
      </c>
      <c r="BCI143" s="15" t="s">
        <v>598</v>
      </c>
      <c r="BCJ143" s="15" t="s">
        <v>598</v>
      </c>
      <c r="BCK143" s="15" t="s">
        <v>598</v>
      </c>
      <c r="BCL143" s="15" t="s">
        <v>598</v>
      </c>
      <c r="BCM143" s="15" t="s">
        <v>598</v>
      </c>
      <c r="BCN143" s="15" t="s">
        <v>598</v>
      </c>
      <c r="BCO143" s="15" t="s">
        <v>598</v>
      </c>
      <c r="BCP143" s="15" t="s">
        <v>598</v>
      </c>
      <c r="BCQ143" s="15" t="s">
        <v>598</v>
      </c>
      <c r="BCR143" s="15" t="s">
        <v>598</v>
      </c>
      <c r="BCS143" s="15" t="s">
        <v>598</v>
      </c>
      <c r="BCT143" s="15" t="s">
        <v>598</v>
      </c>
      <c r="BCU143" s="15" t="s">
        <v>598</v>
      </c>
      <c r="BCV143" s="15" t="s">
        <v>598</v>
      </c>
      <c r="BCW143" s="15" t="s">
        <v>598</v>
      </c>
      <c r="BCX143" s="15" t="s">
        <v>598</v>
      </c>
      <c r="BCY143" s="15" t="s">
        <v>598</v>
      </c>
      <c r="BCZ143" s="15" t="s">
        <v>598</v>
      </c>
      <c r="BDA143" s="15" t="s">
        <v>598</v>
      </c>
      <c r="BDB143" s="15" t="s">
        <v>598</v>
      </c>
      <c r="BDC143" s="15" t="s">
        <v>598</v>
      </c>
      <c r="BDD143" s="15" t="s">
        <v>598</v>
      </c>
      <c r="BDE143" s="15" t="s">
        <v>598</v>
      </c>
      <c r="BDF143" s="15" t="s">
        <v>598</v>
      </c>
      <c r="BDG143" s="15" t="s">
        <v>598</v>
      </c>
      <c r="BDH143" s="15" t="s">
        <v>598</v>
      </c>
      <c r="BDI143" s="15" t="s">
        <v>598</v>
      </c>
      <c r="BDJ143" s="15" t="s">
        <v>598</v>
      </c>
      <c r="BDK143" s="15" t="s">
        <v>598</v>
      </c>
      <c r="BDL143" s="15" t="s">
        <v>598</v>
      </c>
      <c r="BDM143" s="15" t="s">
        <v>598</v>
      </c>
      <c r="BDN143" s="15" t="s">
        <v>598</v>
      </c>
      <c r="BDO143" s="15" t="s">
        <v>598</v>
      </c>
      <c r="BDP143" s="15" t="s">
        <v>598</v>
      </c>
      <c r="BDQ143" s="15" t="s">
        <v>598</v>
      </c>
      <c r="BDR143" s="15" t="s">
        <v>598</v>
      </c>
      <c r="BDS143" s="15" t="s">
        <v>598</v>
      </c>
      <c r="BDT143" s="15" t="s">
        <v>598</v>
      </c>
      <c r="BDU143" s="15" t="s">
        <v>598</v>
      </c>
      <c r="BDV143" s="15" t="s">
        <v>598</v>
      </c>
      <c r="BDW143" s="15" t="s">
        <v>598</v>
      </c>
      <c r="BDX143" s="15" t="s">
        <v>598</v>
      </c>
      <c r="BDY143" s="15" t="s">
        <v>598</v>
      </c>
      <c r="BDZ143" s="15" t="s">
        <v>598</v>
      </c>
      <c r="BEA143" s="15" t="s">
        <v>598</v>
      </c>
      <c r="BEB143" s="15" t="s">
        <v>598</v>
      </c>
      <c r="BEC143" s="15" t="s">
        <v>598</v>
      </c>
      <c r="BED143" s="15" t="s">
        <v>598</v>
      </c>
      <c r="BEE143" s="15" t="s">
        <v>598</v>
      </c>
      <c r="BEF143" s="15" t="s">
        <v>598</v>
      </c>
      <c r="BEG143" s="15" t="s">
        <v>598</v>
      </c>
      <c r="BEH143" s="15" t="s">
        <v>598</v>
      </c>
      <c r="BEI143" s="15" t="s">
        <v>598</v>
      </c>
      <c r="BEJ143" s="15" t="s">
        <v>598</v>
      </c>
      <c r="BEK143" s="15" t="s">
        <v>598</v>
      </c>
      <c r="BEL143" s="15" t="s">
        <v>598</v>
      </c>
      <c r="BEM143" s="15" t="s">
        <v>598</v>
      </c>
      <c r="BEN143" s="15" t="s">
        <v>598</v>
      </c>
      <c r="BEO143" s="15" t="s">
        <v>598</v>
      </c>
      <c r="BEP143" s="15" t="s">
        <v>598</v>
      </c>
      <c r="BEQ143" s="15" t="s">
        <v>598</v>
      </c>
      <c r="BER143" s="15" t="s">
        <v>598</v>
      </c>
      <c r="BES143" s="15" t="s">
        <v>598</v>
      </c>
      <c r="BET143" s="15" t="s">
        <v>598</v>
      </c>
      <c r="BEU143" s="15" t="s">
        <v>598</v>
      </c>
      <c r="BEV143" s="15" t="s">
        <v>598</v>
      </c>
      <c r="BEW143" s="15" t="s">
        <v>598</v>
      </c>
      <c r="BEX143" s="15" t="s">
        <v>598</v>
      </c>
      <c r="BEY143" s="15" t="s">
        <v>598</v>
      </c>
      <c r="BEZ143" s="15" t="s">
        <v>598</v>
      </c>
      <c r="BFA143" s="15" t="s">
        <v>598</v>
      </c>
      <c r="BFB143" s="15" t="s">
        <v>598</v>
      </c>
      <c r="BFC143" s="15" t="s">
        <v>598</v>
      </c>
      <c r="BFD143" s="15" t="s">
        <v>598</v>
      </c>
      <c r="BFE143" s="15" t="s">
        <v>598</v>
      </c>
      <c r="BFF143" s="15" t="s">
        <v>598</v>
      </c>
      <c r="BFG143" s="15" t="s">
        <v>598</v>
      </c>
      <c r="BFH143" s="15" t="s">
        <v>598</v>
      </c>
      <c r="BFI143" s="15" t="s">
        <v>598</v>
      </c>
      <c r="BFJ143" s="15" t="s">
        <v>598</v>
      </c>
      <c r="BFK143" s="15" t="s">
        <v>598</v>
      </c>
      <c r="BFL143" s="15" t="s">
        <v>598</v>
      </c>
      <c r="BFM143" s="15" t="s">
        <v>598</v>
      </c>
      <c r="BFN143" s="15" t="s">
        <v>598</v>
      </c>
      <c r="BFO143" s="15" t="s">
        <v>598</v>
      </c>
      <c r="BFP143" s="15" t="s">
        <v>598</v>
      </c>
      <c r="BFQ143" s="15" t="s">
        <v>598</v>
      </c>
      <c r="BFR143" s="15" t="s">
        <v>598</v>
      </c>
      <c r="BFS143" s="15" t="s">
        <v>598</v>
      </c>
      <c r="BFT143" s="15" t="s">
        <v>598</v>
      </c>
      <c r="BFU143" s="15" t="s">
        <v>598</v>
      </c>
      <c r="BFV143" s="15" t="s">
        <v>598</v>
      </c>
      <c r="BFW143" s="15" t="s">
        <v>598</v>
      </c>
      <c r="BFX143" s="15" t="s">
        <v>598</v>
      </c>
      <c r="BFY143" s="15" t="s">
        <v>598</v>
      </c>
      <c r="BFZ143" s="15" t="s">
        <v>598</v>
      </c>
      <c r="BGA143" s="15" t="s">
        <v>598</v>
      </c>
      <c r="BGB143" s="15" t="s">
        <v>598</v>
      </c>
      <c r="BGC143" s="15" t="s">
        <v>598</v>
      </c>
      <c r="BGD143" s="15" t="s">
        <v>598</v>
      </c>
      <c r="BGE143" s="15" t="s">
        <v>598</v>
      </c>
      <c r="BGF143" s="15" t="s">
        <v>598</v>
      </c>
      <c r="BGG143" s="15" t="s">
        <v>598</v>
      </c>
      <c r="BGH143" s="15" t="s">
        <v>598</v>
      </c>
      <c r="BGI143" s="15" t="s">
        <v>598</v>
      </c>
      <c r="BGJ143" s="15" t="s">
        <v>598</v>
      </c>
      <c r="BGK143" s="15" t="s">
        <v>598</v>
      </c>
      <c r="BGL143" s="15" t="s">
        <v>598</v>
      </c>
      <c r="BGM143" s="15" t="s">
        <v>598</v>
      </c>
      <c r="BGN143" s="15" t="s">
        <v>598</v>
      </c>
      <c r="BGO143" s="15" t="s">
        <v>598</v>
      </c>
      <c r="BGP143" s="15" t="s">
        <v>598</v>
      </c>
      <c r="BGQ143" s="15" t="s">
        <v>598</v>
      </c>
      <c r="BGR143" s="15" t="s">
        <v>598</v>
      </c>
      <c r="BGS143" s="15" t="s">
        <v>598</v>
      </c>
      <c r="BGT143" s="15" t="s">
        <v>598</v>
      </c>
      <c r="BGU143" s="15" t="s">
        <v>598</v>
      </c>
      <c r="BGV143" s="15" t="s">
        <v>598</v>
      </c>
      <c r="BGW143" s="15" t="s">
        <v>598</v>
      </c>
      <c r="BGX143" s="15" t="s">
        <v>598</v>
      </c>
      <c r="BGY143" s="15" t="s">
        <v>598</v>
      </c>
      <c r="BGZ143" s="15" t="s">
        <v>598</v>
      </c>
      <c r="BHA143" s="15" t="s">
        <v>598</v>
      </c>
      <c r="BHB143" s="15" t="s">
        <v>598</v>
      </c>
      <c r="BHC143" s="15" t="s">
        <v>598</v>
      </c>
      <c r="BHD143" s="15" t="s">
        <v>598</v>
      </c>
      <c r="BHE143" s="15" t="s">
        <v>598</v>
      </c>
      <c r="BHF143" s="15" t="s">
        <v>598</v>
      </c>
      <c r="BHG143" s="15" t="s">
        <v>598</v>
      </c>
      <c r="BHH143" s="15" t="s">
        <v>598</v>
      </c>
      <c r="BHI143" s="15" t="s">
        <v>598</v>
      </c>
      <c r="BHJ143" s="15" t="s">
        <v>598</v>
      </c>
      <c r="BHK143" s="15" t="s">
        <v>598</v>
      </c>
      <c r="BHL143" s="15" t="s">
        <v>598</v>
      </c>
      <c r="BHM143" s="15" t="s">
        <v>598</v>
      </c>
      <c r="BHN143" s="15" t="s">
        <v>598</v>
      </c>
      <c r="BHO143" s="15" t="s">
        <v>598</v>
      </c>
      <c r="BHP143" s="15" t="s">
        <v>598</v>
      </c>
      <c r="BHQ143" s="15" t="s">
        <v>598</v>
      </c>
      <c r="BHR143" s="15" t="s">
        <v>598</v>
      </c>
      <c r="BHS143" s="15" t="s">
        <v>598</v>
      </c>
      <c r="BHT143" s="15" t="s">
        <v>598</v>
      </c>
      <c r="BHU143" s="15" t="s">
        <v>598</v>
      </c>
      <c r="BHV143" s="15" t="s">
        <v>598</v>
      </c>
      <c r="BHW143" s="15" t="s">
        <v>598</v>
      </c>
      <c r="BHX143" s="15" t="s">
        <v>598</v>
      </c>
      <c r="BHY143" s="15" t="s">
        <v>598</v>
      </c>
      <c r="BHZ143" s="15" t="s">
        <v>598</v>
      </c>
      <c r="BIA143" s="15" t="s">
        <v>598</v>
      </c>
      <c r="BIB143" s="15" t="s">
        <v>598</v>
      </c>
      <c r="BIC143" s="15" t="s">
        <v>598</v>
      </c>
      <c r="BID143" s="15" t="s">
        <v>598</v>
      </c>
      <c r="BIE143" s="15" t="s">
        <v>598</v>
      </c>
      <c r="BIF143" s="15" t="s">
        <v>598</v>
      </c>
      <c r="BIG143" s="15" t="s">
        <v>598</v>
      </c>
      <c r="BIH143" s="15" t="s">
        <v>598</v>
      </c>
      <c r="BII143" s="15" t="s">
        <v>598</v>
      </c>
      <c r="BIJ143" s="15" t="s">
        <v>598</v>
      </c>
      <c r="BIK143" s="15" t="s">
        <v>598</v>
      </c>
      <c r="BIL143" s="15" t="s">
        <v>598</v>
      </c>
      <c r="BIM143" s="15" t="s">
        <v>598</v>
      </c>
      <c r="BIN143" s="15" t="s">
        <v>598</v>
      </c>
      <c r="BIO143" s="15" t="s">
        <v>598</v>
      </c>
      <c r="BIP143" s="15" t="s">
        <v>598</v>
      </c>
      <c r="BIQ143" s="15" t="s">
        <v>598</v>
      </c>
      <c r="BIR143" s="15" t="s">
        <v>598</v>
      </c>
      <c r="BIS143" s="15" t="s">
        <v>598</v>
      </c>
      <c r="BIT143" s="15" t="s">
        <v>598</v>
      </c>
      <c r="BIU143" s="15" t="s">
        <v>598</v>
      </c>
      <c r="BIV143" s="15" t="s">
        <v>598</v>
      </c>
      <c r="BIW143" s="15" t="s">
        <v>598</v>
      </c>
      <c r="BIX143" s="15" t="s">
        <v>598</v>
      </c>
      <c r="BIY143" s="15" t="s">
        <v>598</v>
      </c>
      <c r="BIZ143" s="15" t="s">
        <v>598</v>
      </c>
      <c r="BJA143" s="15" t="s">
        <v>598</v>
      </c>
      <c r="BJB143" s="15" t="s">
        <v>598</v>
      </c>
      <c r="BJC143" s="15" t="s">
        <v>598</v>
      </c>
      <c r="BJD143" s="15" t="s">
        <v>598</v>
      </c>
      <c r="BJE143" s="15" t="s">
        <v>598</v>
      </c>
      <c r="BJF143" s="15" t="s">
        <v>598</v>
      </c>
      <c r="BJG143" s="15" t="s">
        <v>598</v>
      </c>
      <c r="BJH143" s="15" t="s">
        <v>598</v>
      </c>
      <c r="BJI143" s="15" t="s">
        <v>598</v>
      </c>
      <c r="BJJ143" s="15" t="s">
        <v>598</v>
      </c>
      <c r="BJK143" s="15" t="s">
        <v>598</v>
      </c>
      <c r="BJL143" s="15" t="s">
        <v>598</v>
      </c>
      <c r="BJM143" s="15" t="s">
        <v>598</v>
      </c>
      <c r="BJN143" s="15" t="s">
        <v>598</v>
      </c>
      <c r="BJO143" s="15" t="s">
        <v>598</v>
      </c>
      <c r="BJP143" s="15" t="s">
        <v>598</v>
      </c>
      <c r="BJQ143" s="15" t="s">
        <v>598</v>
      </c>
      <c r="BJR143" s="15" t="s">
        <v>598</v>
      </c>
      <c r="BJS143" s="15" t="s">
        <v>598</v>
      </c>
      <c r="BJT143" s="15" t="s">
        <v>598</v>
      </c>
      <c r="BJU143" s="15" t="s">
        <v>598</v>
      </c>
      <c r="BJV143" s="15" t="s">
        <v>598</v>
      </c>
      <c r="BJW143" s="15" t="s">
        <v>598</v>
      </c>
      <c r="BJX143" s="15" t="s">
        <v>598</v>
      </c>
      <c r="BJY143" s="15" t="s">
        <v>598</v>
      </c>
      <c r="BJZ143" s="15" t="s">
        <v>598</v>
      </c>
      <c r="BKA143" s="15" t="s">
        <v>598</v>
      </c>
      <c r="BKB143" s="15" t="s">
        <v>598</v>
      </c>
      <c r="BKC143" s="15" t="s">
        <v>598</v>
      </c>
      <c r="BKD143" s="15" t="s">
        <v>598</v>
      </c>
      <c r="BKE143" s="15" t="s">
        <v>598</v>
      </c>
      <c r="BKF143" s="15" t="s">
        <v>598</v>
      </c>
      <c r="BKG143" s="15" t="s">
        <v>598</v>
      </c>
      <c r="BKH143" s="15" t="s">
        <v>598</v>
      </c>
      <c r="BKI143" s="15" t="s">
        <v>598</v>
      </c>
      <c r="BKJ143" s="15" t="s">
        <v>598</v>
      </c>
      <c r="BKK143" s="15" t="s">
        <v>598</v>
      </c>
      <c r="BKL143" s="15" t="s">
        <v>598</v>
      </c>
      <c r="BKM143" s="15" t="s">
        <v>598</v>
      </c>
      <c r="BKN143" s="15" t="s">
        <v>598</v>
      </c>
      <c r="BKO143" s="15" t="s">
        <v>598</v>
      </c>
      <c r="BKP143" s="15" t="s">
        <v>598</v>
      </c>
      <c r="BKQ143" s="15" t="s">
        <v>598</v>
      </c>
      <c r="BKR143" s="15" t="s">
        <v>598</v>
      </c>
      <c r="BKS143" s="15" t="s">
        <v>598</v>
      </c>
      <c r="BKT143" s="15" t="s">
        <v>598</v>
      </c>
      <c r="BKU143" s="15" t="s">
        <v>598</v>
      </c>
      <c r="BKV143" s="15" t="s">
        <v>598</v>
      </c>
      <c r="BKW143" s="15" t="s">
        <v>598</v>
      </c>
      <c r="BKX143" s="15" t="s">
        <v>598</v>
      </c>
      <c r="BKY143" s="15" t="s">
        <v>598</v>
      </c>
      <c r="BKZ143" s="15" t="s">
        <v>598</v>
      </c>
      <c r="BLA143" s="15" t="s">
        <v>598</v>
      </c>
      <c r="BLB143" s="15" t="s">
        <v>598</v>
      </c>
      <c r="BLC143" s="15" t="s">
        <v>598</v>
      </c>
      <c r="BLD143" s="15" t="s">
        <v>598</v>
      </c>
      <c r="BLE143" s="15" t="s">
        <v>598</v>
      </c>
      <c r="BLF143" s="15" t="s">
        <v>598</v>
      </c>
      <c r="BLG143" s="15" t="s">
        <v>598</v>
      </c>
      <c r="BLH143" s="15" t="s">
        <v>598</v>
      </c>
      <c r="BLI143" s="15" t="s">
        <v>598</v>
      </c>
      <c r="BLJ143" s="15" t="s">
        <v>598</v>
      </c>
      <c r="BLK143" s="15" t="s">
        <v>598</v>
      </c>
      <c r="BLL143" s="15" t="s">
        <v>598</v>
      </c>
      <c r="BLM143" s="15" t="s">
        <v>598</v>
      </c>
      <c r="BLN143" s="15" t="s">
        <v>598</v>
      </c>
      <c r="BLO143" s="15" t="s">
        <v>598</v>
      </c>
      <c r="BLP143" s="15" t="s">
        <v>598</v>
      </c>
      <c r="BLQ143" s="15" t="s">
        <v>598</v>
      </c>
      <c r="BLR143" s="15" t="s">
        <v>598</v>
      </c>
      <c r="BLS143" s="15" t="s">
        <v>598</v>
      </c>
      <c r="BLT143" s="15" t="s">
        <v>598</v>
      </c>
      <c r="BLU143" s="15" t="s">
        <v>598</v>
      </c>
      <c r="BLV143" s="15" t="s">
        <v>598</v>
      </c>
      <c r="BLW143" s="15" t="s">
        <v>598</v>
      </c>
      <c r="BLX143" s="15" t="s">
        <v>598</v>
      </c>
      <c r="BLY143" s="15" t="s">
        <v>598</v>
      </c>
      <c r="BLZ143" s="15" t="s">
        <v>598</v>
      </c>
      <c r="BMA143" s="15" t="s">
        <v>598</v>
      </c>
      <c r="BMB143" s="15" t="s">
        <v>598</v>
      </c>
      <c r="BMC143" s="15" t="s">
        <v>598</v>
      </c>
      <c r="BMD143" s="15" t="s">
        <v>598</v>
      </c>
      <c r="BME143" s="15" t="s">
        <v>598</v>
      </c>
      <c r="BMF143" s="15" t="s">
        <v>598</v>
      </c>
      <c r="BMG143" s="15" t="s">
        <v>598</v>
      </c>
      <c r="BMH143" s="15" t="s">
        <v>598</v>
      </c>
      <c r="BMI143" s="15" t="s">
        <v>598</v>
      </c>
      <c r="BMJ143" s="15" t="s">
        <v>598</v>
      </c>
      <c r="BMK143" s="15" t="s">
        <v>598</v>
      </c>
      <c r="BML143" s="15" t="s">
        <v>598</v>
      </c>
      <c r="BMM143" s="15" t="s">
        <v>598</v>
      </c>
      <c r="BMN143" s="15" t="s">
        <v>598</v>
      </c>
      <c r="BMO143" s="15" t="s">
        <v>598</v>
      </c>
      <c r="BMP143" s="15" t="s">
        <v>598</v>
      </c>
      <c r="BMQ143" s="15" t="s">
        <v>598</v>
      </c>
      <c r="BMR143" s="15" t="s">
        <v>598</v>
      </c>
      <c r="BMS143" s="15" t="s">
        <v>598</v>
      </c>
      <c r="BMT143" s="15" t="s">
        <v>598</v>
      </c>
      <c r="BMU143" s="15" t="s">
        <v>598</v>
      </c>
      <c r="BMV143" s="15" t="s">
        <v>598</v>
      </c>
      <c r="BMW143" s="15" t="s">
        <v>598</v>
      </c>
      <c r="BMX143" s="15" t="s">
        <v>598</v>
      </c>
      <c r="BMY143" s="15" t="s">
        <v>598</v>
      </c>
      <c r="BMZ143" s="15" t="s">
        <v>598</v>
      </c>
      <c r="BNA143" s="15" t="s">
        <v>598</v>
      </c>
      <c r="BNB143" s="15" t="s">
        <v>598</v>
      </c>
      <c r="BNC143" s="15" t="s">
        <v>598</v>
      </c>
      <c r="BND143" s="15" t="s">
        <v>598</v>
      </c>
      <c r="BNE143" s="15" t="s">
        <v>598</v>
      </c>
      <c r="BNF143" s="15" t="s">
        <v>598</v>
      </c>
      <c r="BNG143" s="15" t="s">
        <v>598</v>
      </c>
      <c r="BNH143" s="15" t="s">
        <v>598</v>
      </c>
      <c r="BNI143" s="15" t="s">
        <v>598</v>
      </c>
      <c r="BNJ143" s="15" t="s">
        <v>598</v>
      </c>
      <c r="BNK143" s="15" t="s">
        <v>598</v>
      </c>
      <c r="BNL143" s="15" t="s">
        <v>598</v>
      </c>
      <c r="BNM143" s="15" t="s">
        <v>598</v>
      </c>
      <c r="BNN143" s="15" t="s">
        <v>598</v>
      </c>
      <c r="BNO143" s="15" t="s">
        <v>598</v>
      </c>
      <c r="BNP143" s="15" t="s">
        <v>598</v>
      </c>
      <c r="BNQ143" s="15" t="s">
        <v>598</v>
      </c>
      <c r="BNR143" s="15" t="s">
        <v>598</v>
      </c>
      <c r="BNS143" s="15" t="s">
        <v>598</v>
      </c>
      <c r="BNT143" s="15" t="s">
        <v>598</v>
      </c>
      <c r="BNU143" s="15" t="s">
        <v>598</v>
      </c>
      <c r="BNV143" s="15" t="s">
        <v>598</v>
      </c>
      <c r="BNW143" s="15" t="s">
        <v>598</v>
      </c>
      <c r="BNX143" s="15" t="s">
        <v>598</v>
      </c>
      <c r="BNY143" s="15" t="s">
        <v>598</v>
      </c>
      <c r="BNZ143" s="15" t="s">
        <v>598</v>
      </c>
      <c r="BOA143" s="15" t="s">
        <v>598</v>
      </c>
      <c r="BOB143" s="15" t="s">
        <v>598</v>
      </c>
      <c r="BOC143" s="15" t="s">
        <v>598</v>
      </c>
      <c r="BOD143" s="15" t="s">
        <v>598</v>
      </c>
      <c r="BOE143" s="15" t="s">
        <v>598</v>
      </c>
      <c r="BOF143" s="15" t="s">
        <v>598</v>
      </c>
      <c r="BOG143" s="15" t="s">
        <v>598</v>
      </c>
      <c r="BOH143" s="15" t="s">
        <v>598</v>
      </c>
      <c r="BOI143" s="15" t="s">
        <v>598</v>
      </c>
      <c r="BOJ143" s="15" t="s">
        <v>598</v>
      </c>
      <c r="BOK143" s="15" t="s">
        <v>598</v>
      </c>
      <c r="BOL143" s="15" t="s">
        <v>598</v>
      </c>
      <c r="BOM143" s="15" t="s">
        <v>598</v>
      </c>
      <c r="BON143" s="15" t="s">
        <v>598</v>
      </c>
      <c r="BOO143" s="15" t="s">
        <v>598</v>
      </c>
      <c r="BOP143" s="15" t="s">
        <v>598</v>
      </c>
      <c r="BOQ143" s="15" t="s">
        <v>598</v>
      </c>
      <c r="BOR143" s="15" t="s">
        <v>598</v>
      </c>
      <c r="BOS143" s="15" t="s">
        <v>598</v>
      </c>
      <c r="BOT143" s="15" t="s">
        <v>598</v>
      </c>
      <c r="BOU143" s="15" t="s">
        <v>598</v>
      </c>
      <c r="BOV143" s="15" t="s">
        <v>598</v>
      </c>
      <c r="BOW143" s="15" t="s">
        <v>598</v>
      </c>
      <c r="BOX143" s="15" t="s">
        <v>598</v>
      </c>
      <c r="BOY143" s="15" t="s">
        <v>598</v>
      </c>
      <c r="BOZ143" s="15" t="s">
        <v>598</v>
      </c>
      <c r="BPA143" s="15" t="s">
        <v>598</v>
      </c>
      <c r="BPB143" s="15" t="s">
        <v>598</v>
      </c>
      <c r="BPC143" s="15" t="s">
        <v>598</v>
      </c>
      <c r="BPD143" s="15" t="s">
        <v>598</v>
      </c>
      <c r="BPE143" s="15" t="s">
        <v>598</v>
      </c>
      <c r="BPF143" s="15" t="s">
        <v>598</v>
      </c>
      <c r="BPG143" s="15" t="s">
        <v>598</v>
      </c>
      <c r="BPH143" s="15" t="s">
        <v>598</v>
      </c>
      <c r="BPI143" s="15" t="s">
        <v>598</v>
      </c>
      <c r="BPJ143" s="15" t="s">
        <v>598</v>
      </c>
      <c r="BPK143" s="15" t="s">
        <v>598</v>
      </c>
      <c r="BPL143" s="15" t="s">
        <v>598</v>
      </c>
      <c r="BPM143" s="15" t="s">
        <v>598</v>
      </c>
      <c r="BPN143" s="15" t="s">
        <v>598</v>
      </c>
      <c r="BPO143" s="15" t="s">
        <v>598</v>
      </c>
      <c r="BPP143" s="15" t="s">
        <v>598</v>
      </c>
      <c r="BPQ143" s="15" t="s">
        <v>598</v>
      </c>
      <c r="BPR143" s="15" t="s">
        <v>598</v>
      </c>
      <c r="BPS143" s="15" t="s">
        <v>598</v>
      </c>
      <c r="BPT143" s="15" t="s">
        <v>598</v>
      </c>
      <c r="BPU143" s="15" t="s">
        <v>598</v>
      </c>
      <c r="BPV143" s="15" t="s">
        <v>598</v>
      </c>
      <c r="BPW143" s="15" t="s">
        <v>598</v>
      </c>
      <c r="BPX143" s="15" t="s">
        <v>598</v>
      </c>
      <c r="BPY143" s="15" t="s">
        <v>598</v>
      </c>
      <c r="BPZ143" s="15" t="s">
        <v>598</v>
      </c>
      <c r="BQA143" s="15" t="s">
        <v>598</v>
      </c>
      <c r="BQB143" s="15" t="s">
        <v>598</v>
      </c>
      <c r="BQC143" s="15" t="s">
        <v>598</v>
      </c>
      <c r="BQD143" s="15" t="s">
        <v>598</v>
      </c>
      <c r="BQE143" s="15" t="s">
        <v>598</v>
      </c>
      <c r="BQF143" s="15" t="s">
        <v>598</v>
      </c>
      <c r="BQG143" s="15" t="s">
        <v>598</v>
      </c>
      <c r="BQH143" s="15" t="s">
        <v>598</v>
      </c>
      <c r="BQI143" s="15" t="s">
        <v>598</v>
      </c>
      <c r="BQJ143" s="15" t="s">
        <v>598</v>
      </c>
      <c r="BQK143" s="15" t="s">
        <v>598</v>
      </c>
      <c r="BQL143" s="15" t="s">
        <v>598</v>
      </c>
      <c r="BQM143" s="15" t="s">
        <v>598</v>
      </c>
      <c r="BQN143" s="15" t="s">
        <v>598</v>
      </c>
      <c r="BQO143" s="15" t="s">
        <v>598</v>
      </c>
      <c r="BQP143" s="15" t="s">
        <v>598</v>
      </c>
      <c r="BQQ143" s="15" t="s">
        <v>598</v>
      </c>
      <c r="BQR143" s="15" t="s">
        <v>598</v>
      </c>
      <c r="BQS143" s="15" t="s">
        <v>598</v>
      </c>
      <c r="BQT143" s="15" t="s">
        <v>598</v>
      </c>
      <c r="BQU143" s="15" t="s">
        <v>598</v>
      </c>
      <c r="BQV143" s="15" t="s">
        <v>598</v>
      </c>
      <c r="BQW143" s="15" t="s">
        <v>598</v>
      </c>
      <c r="BQX143" s="15" t="s">
        <v>598</v>
      </c>
      <c r="BQY143" s="15" t="s">
        <v>598</v>
      </c>
      <c r="BQZ143" s="15" t="s">
        <v>598</v>
      </c>
      <c r="BRA143" s="15" t="s">
        <v>598</v>
      </c>
      <c r="BRB143" s="15" t="s">
        <v>598</v>
      </c>
      <c r="BRC143" s="15" t="s">
        <v>598</v>
      </c>
      <c r="BRD143" s="15" t="s">
        <v>598</v>
      </c>
      <c r="BRE143" s="15" t="s">
        <v>598</v>
      </c>
      <c r="BRF143" s="15" t="s">
        <v>598</v>
      </c>
      <c r="BRG143" s="15" t="s">
        <v>598</v>
      </c>
      <c r="BRH143" s="15" t="s">
        <v>598</v>
      </c>
      <c r="BRI143" s="15" t="s">
        <v>598</v>
      </c>
      <c r="BRJ143" s="15" t="s">
        <v>598</v>
      </c>
      <c r="BRK143" s="15" t="s">
        <v>598</v>
      </c>
      <c r="BRL143" s="15" t="s">
        <v>598</v>
      </c>
      <c r="BRM143" s="15" t="s">
        <v>598</v>
      </c>
      <c r="BRN143" s="15" t="s">
        <v>598</v>
      </c>
      <c r="BRO143" s="15" t="s">
        <v>598</v>
      </c>
      <c r="BRP143" s="15" t="s">
        <v>598</v>
      </c>
      <c r="BRQ143" s="15" t="s">
        <v>598</v>
      </c>
      <c r="BRR143" s="15" t="s">
        <v>598</v>
      </c>
      <c r="BRS143" s="15" t="s">
        <v>598</v>
      </c>
      <c r="BRT143" s="15" t="s">
        <v>598</v>
      </c>
      <c r="BRU143" s="15" t="s">
        <v>598</v>
      </c>
      <c r="BRV143" s="15" t="s">
        <v>598</v>
      </c>
      <c r="BRW143" s="15" t="s">
        <v>598</v>
      </c>
      <c r="BRX143" s="15" t="s">
        <v>598</v>
      </c>
      <c r="BRY143" s="15" t="s">
        <v>598</v>
      </c>
      <c r="BRZ143" s="15" t="s">
        <v>598</v>
      </c>
      <c r="BSA143" s="15" t="s">
        <v>598</v>
      </c>
      <c r="BSB143" s="15" t="s">
        <v>598</v>
      </c>
      <c r="BSC143" s="15" t="s">
        <v>598</v>
      </c>
      <c r="BSD143" s="15" t="s">
        <v>598</v>
      </c>
      <c r="BSE143" s="15" t="s">
        <v>598</v>
      </c>
      <c r="BSF143" s="15" t="s">
        <v>598</v>
      </c>
      <c r="BSG143" s="15" t="s">
        <v>598</v>
      </c>
      <c r="BSH143" s="15" t="s">
        <v>598</v>
      </c>
      <c r="BSI143" s="15" t="s">
        <v>598</v>
      </c>
      <c r="BSJ143" s="15" t="s">
        <v>598</v>
      </c>
      <c r="BSK143" s="15" t="s">
        <v>598</v>
      </c>
      <c r="BSL143" s="15" t="s">
        <v>598</v>
      </c>
      <c r="BSM143" s="15" t="s">
        <v>598</v>
      </c>
      <c r="BSN143" s="15" t="s">
        <v>598</v>
      </c>
      <c r="BSO143" s="15" t="s">
        <v>598</v>
      </c>
      <c r="BSP143" s="15" t="s">
        <v>598</v>
      </c>
      <c r="BSQ143" s="15" t="s">
        <v>598</v>
      </c>
      <c r="BSR143" s="15" t="s">
        <v>598</v>
      </c>
      <c r="BSS143" s="15" t="s">
        <v>598</v>
      </c>
      <c r="BST143" s="15" t="s">
        <v>598</v>
      </c>
      <c r="BSU143" s="15" t="s">
        <v>598</v>
      </c>
      <c r="BSV143" s="15" t="s">
        <v>598</v>
      </c>
      <c r="BSW143" s="15" t="s">
        <v>598</v>
      </c>
      <c r="BSX143" s="15" t="s">
        <v>598</v>
      </c>
      <c r="BSY143" s="15" t="s">
        <v>598</v>
      </c>
      <c r="BSZ143" s="15" t="s">
        <v>598</v>
      </c>
      <c r="BTA143" s="15" t="s">
        <v>598</v>
      </c>
      <c r="BTB143" s="15" t="s">
        <v>598</v>
      </c>
      <c r="BTC143" s="15" t="s">
        <v>598</v>
      </c>
      <c r="BTD143" s="15" t="s">
        <v>598</v>
      </c>
      <c r="BTE143" s="15" t="s">
        <v>598</v>
      </c>
      <c r="BTF143" s="15" t="s">
        <v>598</v>
      </c>
      <c r="BTG143" s="15" t="s">
        <v>598</v>
      </c>
      <c r="BTH143" s="15" t="s">
        <v>598</v>
      </c>
      <c r="BTI143" s="15" t="s">
        <v>598</v>
      </c>
      <c r="BTJ143" s="15" t="s">
        <v>598</v>
      </c>
      <c r="BTK143" s="15" t="s">
        <v>598</v>
      </c>
      <c r="BTL143" s="15" t="s">
        <v>598</v>
      </c>
      <c r="BTM143" s="15" t="s">
        <v>598</v>
      </c>
      <c r="BTN143" s="15" t="s">
        <v>598</v>
      </c>
      <c r="BTO143" s="15" t="s">
        <v>598</v>
      </c>
      <c r="BTP143" s="15" t="s">
        <v>598</v>
      </c>
      <c r="BTQ143" s="15" t="s">
        <v>598</v>
      </c>
      <c r="BTR143" s="15" t="s">
        <v>598</v>
      </c>
      <c r="BTS143" s="15" t="s">
        <v>598</v>
      </c>
      <c r="BTT143" s="15" t="s">
        <v>598</v>
      </c>
      <c r="BTU143" s="15" t="s">
        <v>598</v>
      </c>
      <c r="BTV143" s="15" t="s">
        <v>598</v>
      </c>
      <c r="BTW143" s="15" t="s">
        <v>598</v>
      </c>
      <c r="BTX143" s="15" t="s">
        <v>598</v>
      </c>
      <c r="BTY143" s="15" t="s">
        <v>598</v>
      </c>
      <c r="BTZ143" s="15" t="s">
        <v>598</v>
      </c>
      <c r="BUA143" s="15" t="s">
        <v>598</v>
      </c>
      <c r="BUB143" s="15" t="s">
        <v>598</v>
      </c>
      <c r="BUC143" s="15" t="s">
        <v>598</v>
      </c>
      <c r="BUD143" s="15" t="s">
        <v>598</v>
      </c>
      <c r="BUE143" s="15" t="s">
        <v>598</v>
      </c>
      <c r="BUF143" s="15" t="s">
        <v>598</v>
      </c>
      <c r="BUG143" s="15" t="s">
        <v>598</v>
      </c>
      <c r="BUH143" s="15" t="s">
        <v>598</v>
      </c>
      <c r="BUI143" s="15" t="s">
        <v>598</v>
      </c>
      <c r="BUJ143" s="15" t="s">
        <v>598</v>
      </c>
      <c r="BUK143" s="15" t="s">
        <v>598</v>
      </c>
      <c r="BUL143" s="15" t="s">
        <v>598</v>
      </c>
      <c r="BUM143" s="15" t="s">
        <v>598</v>
      </c>
      <c r="BUN143" s="15" t="s">
        <v>598</v>
      </c>
      <c r="BUO143" s="15" t="s">
        <v>598</v>
      </c>
      <c r="BUP143" s="15" t="s">
        <v>598</v>
      </c>
      <c r="BUQ143" s="15" t="s">
        <v>598</v>
      </c>
      <c r="BUR143" s="15" t="s">
        <v>598</v>
      </c>
      <c r="BUS143" s="15" t="s">
        <v>598</v>
      </c>
      <c r="BUT143" s="15" t="s">
        <v>598</v>
      </c>
      <c r="BUU143" s="15" t="s">
        <v>598</v>
      </c>
      <c r="BUV143" s="15" t="s">
        <v>598</v>
      </c>
      <c r="BUW143" s="15" t="s">
        <v>598</v>
      </c>
      <c r="BUX143" s="15" t="s">
        <v>598</v>
      </c>
      <c r="BUY143" s="15" t="s">
        <v>598</v>
      </c>
      <c r="BUZ143" s="15" t="s">
        <v>598</v>
      </c>
      <c r="BVA143" s="15" t="s">
        <v>598</v>
      </c>
      <c r="BVB143" s="15" t="s">
        <v>598</v>
      </c>
      <c r="BVC143" s="15" t="s">
        <v>598</v>
      </c>
      <c r="BVD143" s="15" t="s">
        <v>598</v>
      </c>
      <c r="BVE143" s="15" t="s">
        <v>598</v>
      </c>
      <c r="BVF143" s="15" t="s">
        <v>598</v>
      </c>
      <c r="BVG143" s="15" t="s">
        <v>598</v>
      </c>
      <c r="BVH143" s="15" t="s">
        <v>598</v>
      </c>
      <c r="BVI143" s="15" t="s">
        <v>598</v>
      </c>
      <c r="BVJ143" s="15" t="s">
        <v>598</v>
      </c>
      <c r="BVK143" s="15" t="s">
        <v>598</v>
      </c>
      <c r="BVL143" s="15" t="s">
        <v>598</v>
      </c>
      <c r="BVM143" s="15" t="s">
        <v>598</v>
      </c>
      <c r="BVN143" s="15" t="s">
        <v>598</v>
      </c>
      <c r="BVO143" s="15" t="s">
        <v>598</v>
      </c>
      <c r="BVP143" s="15" t="s">
        <v>598</v>
      </c>
      <c r="BVQ143" s="15" t="s">
        <v>598</v>
      </c>
      <c r="BVR143" s="15" t="s">
        <v>598</v>
      </c>
      <c r="BVS143" s="15" t="s">
        <v>598</v>
      </c>
      <c r="BVT143" s="15" t="s">
        <v>598</v>
      </c>
      <c r="BVU143" s="15" t="s">
        <v>598</v>
      </c>
      <c r="BVV143" s="15" t="s">
        <v>598</v>
      </c>
      <c r="BVW143" s="15" t="s">
        <v>598</v>
      </c>
      <c r="BVX143" s="15" t="s">
        <v>598</v>
      </c>
      <c r="BVY143" s="15" t="s">
        <v>598</v>
      </c>
      <c r="BVZ143" s="15" t="s">
        <v>598</v>
      </c>
      <c r="BWA143" s="15" t="s">
        <v>598</v>
      </c>
      <c r="BWB143" s="15" t="s">
        <v>598</v>
      </c>
      <c r="BWC143" s="15" t="s">
        <v>598</v>
      </c>
      <c r="BWD143" s="15" t="s">
        <v>598</v>
      </c>
      <c r="BWE143" s="15" t="s">
        <v>598</v>
      </c>
      <c r="BWF143" s="15" t="s">
        <v>598</v>
      </c>
      <c r="BWG143" s="15" t="s">
        <v>598</v>
      </c>
      <c r="BWH143" s="15" t="s">
        <v>598</v>
      </c>
      <c r="BWI143" s="15" t="s">
        <v>598</v>
      </c>
      <c r="BWJ143" s="15" t="s">
        <v>598</v>
      </c>
      <c r="BWK143" s="15" t="s">
        <v>598</v>
      </c>
      <c r="BWL143" s="15" t="s">
        <v>598</v>
      </c>
      <c r="BWM143" s="15" t="s">
        <v>598</v>
      </c>
      <c r="BWN143" s="15" t="s">
        <v>598</v>
      </c>
      <c r="BWO143" s="15" t="s">
        <v>598</v>
      </c>
      <c r="BWP143" s="15" t="s">
        <v>598</v>
      </c>
      <c r="BWQ143" s="15" t="s">
        <v>598</v>
      </c>
      <c r="BWR143" s="15" t="s">
        <v>598</v>
      </c>
      <c r="BWS143" s="15" t="s">
        <v>598</v>
      </c>
      <c r="BWT143" s="15" t="s">
        <v>598</v>
      </c>
      <c r="BWU143" s="15" t="s">
        <v>598</v>
      </c>
      <c r="BWV143" s="15" t="s">
        <v>598</v>
      </c>
      <c r="BWW143" s="15" t="s">
        <v>598</v>
      </c>
      <c r="BWX143" s="15" t="s">
        <v>598</v>
      </c>
      <c r="BWY143" s="15" t="s">
        <v>598</v>
      </c>
      <c r="BWZ143" s="15" t="s">
        <v>598</v>
      </c>
      <c r="BXA143" s="15" t="s">
        <v>598</v>
      </c>
      <c r="BXB143" s="15" t="s">
        <v>598</v>
      </c>
      <c r="BXC143" s="15" t="s">
        <v>598</v>
      </c>
      <c r="BXD143" s="15" t="s">
        <v>598</v>
      </c>
      <c r="BXE143" s="15" t="s">
        <v>598</v>
      </c>
      <c r="BXF143" s="15" t="s">
        <v>598</v>
      </c>
      <c r="BXG143" s="15" t="s">
        <v>598</v>
      </c>
      <c r="BXH143" s="15" t="s">
        <v>598</v>
      </c>
      <c r="BXI143" s="15" t="s">
        <v>598</v>
      </c>
      <c r="BXJ143" s="15" t="s">
        <v>598</v>
      </c>
      <c r="BXK143" s="15" t="s">
        <v>598</v>
      </c>
      <c r="BXL143" s="15" t="s">
        <v>598</v>
      </c>
      <c r="BXM143" s="15" t="s">
        <v>598</v>
      </c>
      <c r="BXN143" s="15" t="s">
        <v>598</v>
      </c>
      <c r="BXO143" s="15" t="s">
        <v>598</v>
      </c>
      <c r="BXP143" s="15" t="s">
        <v>598</v>
      </c>
      <c r="BXQ143" s="15" t="s">
        <v>598</v>
      </c>
      <c r="BXR143" s="15" t="s">
        <v>598</v>
      </c>
      <c r="BXS143" s="15" t="s">
        <v>598</v>
      </c>
      <c r="BXT143" s="15" t="s">
        <v>598</v>
      </c>
      <c r="BXU143" s="15" t="s">
        <v>598</v>
      </c>
      <c r="BXV143" s="15" t="s">
        <v>598</v>
      </c>
      <c r="BXW143" s="15" t="s">
        <v>598</v>
      </c>
      <c r="BXX143" s="15" t="s">
        <v>598</v>
      </c>
      <c r="BXY143" s="15" t="s">
        <v>598</v>
      </c>
      <c r="BXZ143" s="15" t="s">
        <v>598</v>
      </c>
      <c r="BYA143" s="15" t="s">
        <v>598</v>
      </c>
      <c r="BYB143" s="15" t="s">
        <v>598</v>
      </c>
      <c r="BYC143" s="15" t="s">
        <v>598</v>
      </c>
      <c r="BYD143" s="15" t="s">
        <v>598</v>
      </c>
      <c r="BYE143" s="15" t="s">
        <v>598</v>
      </c>
      <c r="BYF143" s="15" t="s">
        <v>598</v>
      </c>
      <c r="BYG143" s="15" t="s">
        <v>598</v>
      </c>
      <c r="BYH143" s="15" t="s">
        <v>598</v>
      </c>
      <c r="BYI143" s="15" t="s">
        <v>598</v>
      </c>
      <c r="BYJ143" s="15" t="s">
        <v>598</v>
      </c>
      <c r="BYK143" s="15" t="s">
        <v>598</v>
      </c>
      <c r="BYL143" s="15" t="s">
        <v>598</v>
      </c>
      <c r="BYM143" s="15" t="s">
        <v>598</v>
      </c>
      <c r="BYN143" s="15" t="s">
        <v>598</v>
      </c>
      <c r="BYO143" s="15" t="s">
        <v>598</v>
      </c>
      <c r="BYP143" s="15" t="s">
        <v>598</v>
      </c>
      <c r="BYQ143" s="15" t="s">
        <v>598</v>
      </c>
      <c r="BYR143" s="15" t="s">
        <v>598</v>
      </c>
      <c r="BYS143" s="15" t="s">
        <v>598</v>
      </c>
      <c r="BYT143" s="15" t="s">
        <v>598</v>
      </c>
      <c r="BYU143" s="15" t="s">
        <v>598</v>
      </c>
      <c r="BYV143" s="15" t="s">
        <v>598</v>
      </c>
      <c r="BYW143" s="15" t="s">
        <v>598</v>
      </c>
      <c r="BYX143" s="15" t="s">
        <v>598</v>
      </c>
      <c r="BYY143" s="15" t="s">
        <v>598</v>
      </c>
      <c r="BYZ143" s="15" t="s">
        <v>598</v>
      </c>
      <c r="BZA143" s="15" t="s">
        <v>598</v>
      </c>
      <c r="BZB143" s="15" t="s">
        <v>598</v>
      </c>
      <c r="BZC143" s="15" t="s">
        <v>598</v>
      </c>
      <c r="BZD143" s="15" t="s">
        <v>598</v>
      </c>
      <c r="BZE143" s="15" t="s">
        <v>598</v>
      </c>
      <c r="BZF143" s="15" t="s">
        <v>598</v>
      </c>
      <c r="BZG143" s="15" t="s">
        <v>598</v>
      </c>
      <c r="BZH143" s="15" t="s">
        <v>598</v>
      </c>
      <c r="BZI143" s="15" t="s">
        <v>598</v>
      </c>
      <c r="BZJ143" s="15" t="s">
        <v>598</v>
      </c>
      <c r="BZK143" s="15" t="s">
        <v>598</v>
      </c>
      <c r="BZL143" s="15" t="s">
        <v>598</v>
      </c>
      <c r="BZM143" s="15" t="s">
        <v>598</v>
      </c>
      <c r="BZN143" s="15" t="s">
        <v>598</v>
      </c>
      <c r="BZO143" s="15" t="s">
        <v>598</v>
      </c>
      <c r="BZP143" s="15" t="s">
        <v>598</v>
      </c>
      <c r="BZQ143" s="15" t="s">
        <v>598</v>
      </c>
      <c r="BZR143" s="15" t="s">
        <v>598</v>
      </c>
      <c r="BZS143" s="15" t="s">
        <v>598</v>
      </c>
      <c r="BZT143" s="15" t="s">
        <v>598</v>
      </c>
      <c r="BZU143" s="15" t="s">
        <v>598</v>
      </c>
      <c r="BZV143" s="15" t="s">
        <v>598</v>
      </c>
      <c r="BZW143" s="15" t="s">
        <v>598</v>
      </c>
      <c r="BZX143" s="15" t="s">
        <v>598</v>
      </c>
      <c r="BZY143" s="15" t="s">
        <v>598</v>
      </c>
      <c r="BZZ143" s="15" t="s">
        <v>598</v>
      </c>
      <c r="CAA143" s="15" t="s">
        <v>598</v>
      </c>
      <c r="CAB143" s="15" t="s">
        <v>598</v>
      </c>
      <c r="CAC143" s="15" t="s">
        <v>598</v>
      </c>
      <c r="CAD143" s="15" t="s">
        <v>598</v>
      </c>
      <c r="CAE143" s="15" t="s">
        <v>598</v>
      </c>
      <c r="CAF143" s="15" t="s">
        <v>598</v>
      </c>
      <c r="CAG143" s="15" t="s">
        <v>598</v>
      </c>
      <c r="CAH143" s="15" t="s">
        <v>598</v>
      </c>
      <c r="CAI143" s="15" t="s">
        <v>598</v>
      </c>
      <c r="CAJ143" s="15" t="s">
        <v>598</v>
      </c>
      <c r="CAK143" s="15" t="s">
        <v>598</v>
      </c>
      <c r="CAL143" s="15" t="s">
        <v>598</v>
      </c>
      <c r="CAM143" s="15" t="s">
        <v>598</v>
      </c>
      <c r="CAN143" s="15" t="s">
        <v>598</v>
      </c>
      <c r="CAO143" s="15" t="s">
        <v>598</v>
      </c>
      <c r="CAP143" s="15" t="s">
        <v>598</v>
      </c>
      <c r="CAQ143" s="15" t="s">
        <v>598</v>
      </c>
      <c r="CAR143" s="15" t="s">
        <v>598</v>
      </c>
      <c r="CAS143" s="15" t="s">
        <v>598</v>
      </c>
      <c r="CAT143" s="15" t="s">
        <v>598</v>
      </c>
      <c r="CAU143" s="15" t="s">
        <v>598</v>
      </c>
      <c r="CAV143" s="15" t="s">
        <v>598</v>
      </c>
      <c r="CAW143" s="15" t="s">
        <v>598</v>
      </c>
      <c r="CAX143" s="15" t="s">
        <v>598</v>
      </c>
      <c r="CAY143" s="15" t="s">
        <v>598</v>
      </c>
      <c r="CAZ143" s="15" t="s">
        <v>598</v>
      </c>
      <c r="CBA143" s="15" t="s">
        <v>598</v>
      </c>
      <c r="CBB143" s="15" t="s">
        <v>598</v>
      </c>
      <c r="CBC143" s="15" t="s">
        <v>598</v>
      </c>
      <c r="CBD143" s="15" t="s">
        <v>598</v>
      </c>
      <c r="CBE143" s="15" t="s">
        <v>598</v>
      </c>
      <c r="CBF143" s="15" t="s">
        <v>598</v>
      </c>
      <c r="CBG143" s="15" t="s">
        <v>598</v>
      </c>
      <c r="CBH143" s="15" t="s">
        <v>598</v>
      </c>
      <c r="CBI143" s="15" t="s">
        <v>598</v>
      </c>
      <c r="CBJ143" s="15" t="s">
        <v>598</v>
      </c>
      <c r="CBK143" s="15" t="s">
        <v>598</v>
      </c>
      <c r="CBL143" s="15" t="s">
        <v>598</v>
      </c>
      <c r="CBM143" s="15" t="s">
        <v>598</v>
      </c>
      <c r="CBN143" s="15" t="s">
        <v>598</v>
      </c>
      <c r="CBO143" s="15" t="s">
        <v>598</v>
      </c>
      <c r="CBP143" s="15" t="s">
        <v>598</v>
      </c>
      <c r="CBQ143" s="15" t="s">
        <v>598</v>
      </c>
      <c r="CBR143" s="15" t="s">
        <v>598</v>
      </c>
      <c r="CBS143" s="15" t="s">
        <v>598</v>
      </c>
      <c r="CBT143" s="15" t="s">
        <v>598</v>
      </c>
      <c r="CBU143" s="15" t="s">
        <v>598</v>
      </c>
      <c r="CBV143" s="15" t="s">
        <v>598</v>
      </c>
      <c r="CBW143" s="15" t="s">
        <v>598</v>
      </c>
      <c r="CBX143" s="15" t="s">
        <v>598</v>
      </c>
      <c r="CBY143" s="15" t="s">
        <v>598</v>
      </c>
      <c r="CBZ143" s="15" t="s">
        <v>598</v>
      </c>
      <c r="CCA143" s="15" t="s">
        <v>598</v>
      </c>
      <c r="CCB143" s="15" t="s">
        <v>598</v>
      </c>
      <c r="CCC143" s="15" t="s">
        <v>598</v>
      </c>
      <c r="CCD143" s="15" t="s">
        <v>598</v>
      </c>
      <c r="CCE143" s="15" t="s">
        <v>598</v>
      </c>
      <c r="CCF143" s="15" t="s">
        <v>598</v>
      </c>
      <c r="CCG143" s="15" t="s">
        <v>598</v>
      </c>
      <c r="CCH143" s="15" t="s">
        <v>598</v>
      </c>
      <c r="CCI143" s="15" t="s">
        <v>598</v>
      </c>
      <c r="CCJ143" s="15" t="s">
        <v>598</v>
      </c>
      <c r="CCK143" s="15" t="s">
        <v>598</v>
      </c>
      <c r="CCL143" s="15" t="s">
        <v>598</v>
      </c>
      <c r="CCM143" s="15" t="s">
        <v>598</v>
      </c>
      <c r="CCN143" s="15" t="s">
        <v>598</v>
      </c>
      <c r="CCO143" s="15" t="s">
        <v>598</v>
      </c>
      <c r="CCP143" s="15" t="s">
        <v>598</v>
      </c>
      <c r="CCQ143" s="15" t="s">
        <v>598</v>
      </c>
      <c r="CCR143" s="15" t="s">
        <v>598</v>
      </c>
      <c r="CCS143" s="15" t="s">
        <v>598</v>
      </c>
      <c r="CCT143" s="15" t="s">
        <v>598</v>
      </c>
      <c r="CCU143" s="15" t="s">
        <v>598</v>
      </c>
      <c r="CCV143" s="15" t="s">
        <v>598</v>
      </c>
      <c r="CCW143" s="15" t="s">
        <v>598</v>
      </c>
      <c r="CCX143" s="15" t="s">
        <v>598</v>
      </c>
      <c r="CCY143" s="15" t="s">
        <v>598</v>
      </c>
      <c r="CCZ143" s="15" t="s">
        <v>598</v>
      </c>
      <c r="CDA143" s="15" t="s">
        <v>598</v>
      </c>
      <c r="CDB143" s="15" t="s">
        <v>598</v>
      </c>
      <c r="CDC143" s="15" t="s">
        <v>598</v>
      </c>
      <c r="CDD143" s="15" t="s">
        <v>598</v>
      </c>
      <c r="CDE143" s="15" t="s">
        <v>598</v>
      </c>
      <c r="CDF143" s="15" t="s">
        <v>598</v>
      </c>
      <c r="CDG143" s="15" t="s">
        <v>598</v>
      </c>
      <c r="CDH143" s="15" t="s">
        <v>598</v>
      </c>
      <c r="CDI143" s="15" t="s">
        <v>598</v>
      </c>
      <c r="CDJ143" s="15" t="s">
        <v>598</v>
      </c>
      <c r="CDK143" s="15" t="s">
        <v>598</v>
      </c>
      <c r="CDL143" s="15" t="s">
        <v>598</v>
      </c>
      <c r="CDM143" s="15" t="s">
        <v>598</v>
      </c>
      <c r="CDN143" s="15" t="s">
        <v>598</v>
      </c>
      <c r="CDO143" s="15" t="s">
        <v>598</v>
      </c>
      <c r="CDP143" s="15" t="s">
        <v>598</v>
      </c>
      <c r="CDQ143" s="15" t="s">
        <v>598</v>
      </c>
      <c r="CDR143" s="15" t="s">
        <v>598</v>
      </c>
      <c r="CDS143" s="15" t="s">
        <v>598</v>
      </c>
      <c r="CDT143" s="15" t="s">
        <v>598</v>
      </c>
      <c r="CDU143" s="15" t="s">
        <v>598</v>
      </c>
      <c r="CDV143" s="15" t="s">
        <v>598</v>
      </c>
      <c r="CDW143" s="15" t="s">
        <v>598</v>
      </c>
      <c r="CDX143" s="15" t="s">
        <v>598</v>
      </c>
      <c r="CDY143" s="15" t="s">
        <v>598</v>
      </c>
      <c r="CDZ143" s="15" t="s">
        <v>598</v>
      </c>
      <c r="CEA143" s="15" t="s">
        <v>598</v>
      </c>
      <c r="CEB143" s="15" t="s">
        <v>598</v>
      </c>
      <c r="CEC143" s="15" t="s">
        <v>598</v>
      </c>
      <c r="CED143" s="15" t="s">
        <v>598</v>
      </c>
      <c r="CEE143" s="15" t="s">
        <v>598</v>
      </c>
      <c r="CEF143" s="15" t="s">
        <v>598</v>
      </c>
      <c r="CEG143" s="15" t="s">
        <v>598</v>
      </c>
      <c r="CEH143" s="15" t="s">
        <v>598</v>
      </c>
      <c r="CEI143" s="15" t="s">
        <v>598</v>
      </c>
      <c r="CEJ143" s="15" t="s">
        <v>598</v>
      </c>
      <c r="CEK143" s="15" t="s">
        <v>598</v>
      </c>
      <c r="CEL143" s="15" t="s">
        <v>598</v>
      </c>
      <c r="CEM143" s="15" t="s">
        <v>598</v>
      </c>
      <c r="CEN143" s="15" t="s">
        <v>598</v>
      </c>
      <c r="CEO143" s="15" t="s">
        <v>598</v>
      </c>
      <c r="CEP143" s="15" t="s">
        <v>598</v>
      </c>
      <c r="CEQ143" s="15" t="s">
        <v>598</v>
      </c>
      <c r="CER143" s="15" t="s">
        <v>598</v>
      </c>
      <c r="CES143" s="15" t="s">
        <v>598</v>
      </c>
      <c r="CET143" s="15" t="s">
        <v>598</v>
      </c>
      <c r="CEU143" s="15" t="s">
        <v>598</v>
      </c>
      <c r="CEV143" s="15" t="s">
        <v>598</v>
      </c>
      <c r="CEW143" s="15" t="s">
        <v>598</v>
      </c>
      <c r="CEX143" s="15" t="s">
        <v>598</v>
      </c>
      <c r="CEY143" s="15" t="s">
        <v>598</v>
      </c>
      <c r="CEZ143" s="15" t="s">
        <v>598</v>
      </c>
      <c r="CFA143" s="15" t="s">
        <v>598</v>
      </c>
      <c r="CFB143" s="15" t="s">
        <v>598</v>
      </c>
      <c r="CFC143" s="15" t="s">
        <v>598</v>
      </c>
      <c r="CFD143" s="15" t="s">
        <v>598</v>
      </c>
      <c r="CFE143" s="15" t="s">
        <v>598</v>
      </c>
      <c r="CFF143" s="15" t="s">
        <v>598</v>
      </c>
      <c r="CFG143" s="15" t="s">
        <v>598</v>
      </c>
      <c r="CFH143" s="15" t="s">
        <v>598</v>
      </c>
      <c r="CFI143" s="15" t="s">
        <v>598</v>
      </c>
      <c r="CFJ143" s="15" t="s">
        <v>598</v>
      </c>
      <c r="CFK143" s="15" t="s">
        <v>598</v>
      </c>
      <c r="CFL143" s="15" t="s">
        <v>598</v>
      </c>
      <c r="CFM143" s="15" t="s">
        <v>598</v>
      </c>
      <c r="CFN143" s="15" t="s">
        <v>598</v>
      </c>
      <c r="CFO143" s="15" t="s">
        <v>598</v>
      </c>
      <c r="CFP143" s="15" t="s">
        <v>598</v>
      </c>
      <c r="CFQ143" s="15" t="s">
        <v>598</v>
      </c>
      <c r="CFR143" s="15" t="s">
        <v>598</v>
      </c>
      <c r="CFS143" s="15" t="s">
        <v>598</v>
      </c>
      <c r="CFT143" s="15" t="s">
        <v>598</v>
      </c>
      <c r="CFU143" s="15" t="s">
        <v>598</v>
      </c>
      <c r="CFV143" s="15" t="s">
        <v>598</v>
      </c>
      <c r="CFW143" s="15" t="s">
        <v>598</v>
      </c>
      <c r="CFX143" s="15" t="s">
        <v>598</v>
      </c>
      <c r="CFY143" s="15" t="s">
        <v>598</v>
      </c>
      <c r="CFZ143" s="15" t="s">
        <v>598</v>
      </c>
      <c r="CGA143" s="15" t="s">
        <v>598</v>
      </c>
      <c r="CGB143" s="15" t="s">
        <v>598</v>
      </c>
      <c r="CGC143" s="15" t="s">
        <v>598</v>
      </c>
      <c r="CGD143" s="15" t="s">
        <v>598</v>
      </c>
      <c r="CGE143" s="15" t="s">
        <v>598</v>
      </c>
      <c r="CGF143" s="15" t="s">
        <v>598</v>
      </c>
      <c r="CGG143" s="15" t="s">
        <v>598</v>
      </c>
      <c r="CGH143" s="15" t="s">
        <v>598</v>
      </c>
      <c r="CGI143" s="15" t="s">
        <v>598</v>
      </c>
      <c r="CGJ143" s="15" t="s">
        <v>598</v>
      </c>
      <c r="CGK143" s="15" t="s">
        <v>598</v>
      </c>
      <c r="CGL143" s="15" t="s">
        <v>598</v>
      </c>
      <c r="CGM143" s="15" t="s">
        <v>598</v>
      </c>
      <c r="CGN143" s="15" t="s">
        <v>598</v>
      </c>
      <c r="CGO143" s="15" t="s">
        <v>598</v>
      </c>
      <c r="CGP143" s="15" t="s">
        <v>598</v>
      </c>
      <c r="CGQ143" s="15" t="s">
        <v>598</v>
      </c>
      <c r="CGR143" s="15" t="s">
        <v>598</v>
      </c>
      <c r="CGS143" s="15" t="s">
        <v>598</v>
      </c>
      <c r="CGT143" s="15" t="s">
        <v>598</v>
      </c>
      <c r="CGU143" s="15" t="s">
        <v>598</v>
      </c>
      <c r="CGV143" s="15" t="s">
        <v>598</v>
      </c>
      <c r="CGW143" s="15" t="s">
        <v>598</v>
      </c>
      <c r="CGX143" s="15" t="s">
        <v>598</v>
      </c>
      <c r="CGY143" s="15" t="s">
        <v>598</v>
      </c>
      <c r="CGZ143" s="15" t="s">
        <v>598</v>
      </c>
      <c r="CHA143" s="15" t="s">
        <v>598</v>
      </c>
      <c r="CHB143" s="15" t="s">
        <v>598</v>
      </c>
      <c r="CHC143" s="15" t="s">
        <v>598</v>
      </c>
      <c r="CHD143" s="15" t="s">
        <v>598</v>
      </c>
      <c r="CHE143" s="15" t="s">
        <v>598</v>
      </c>
      <c r="CHF143" s="15" t="s">
        <v>598</v>
      </c>
      <c r="CHG143" s="15" t="s">
        <v>598</v>
      </c>
      <c r="CHH143" s="15" t="s">
        <v>598</v>
      </c>
      <c r="CHI143" s="15" t="s">
        <v>598</v>
      </c>
      <c r="CHJ143" s="15" t="s">
        <v>598</v>
      </c>
      <c r="CHK143" s="15" t="s">
        <v>598</v>
      </c>
      <c r="CHL143" s="15" t="s">
        <v>598</v>
      </c>
      <c r="CHM143" s="15" t="s">
        <v>598</v>
      </c>
      <c r="CHN143" s="15" t="s">
        <v>598</v>
      </c>
      <c r="CHO143" s="15" t="s">
        <v>598</v>
      </c>
      <c r="CHP143" s="15" t="s">
        <v>598</v>
      </c>
      <c r="CHQ143" s="15" t="s">
        <v>598</v>
      </c>
      <c r="CHR143" s="15" t="s">
        <v>598</v>
      </c>
      <c r="CHS143" s="15" t="s">
        <v>598</v>
      </c>
      <c r="CHT143" s="15" t="s">
        <v>598</v>
      </c>
      <c r="CHU143" s="15" t="s">
        <v>598</v>
      </c>
      <c r="CHV143" s="15" t="s">
        <v>598</v>
      </c>
      <c r="CHW143" s="15" t="s">
        <v>598</v>
      </c>
      <c r="CHX143" s="15" t="s">
        <v>598</v>
      </c>
      <c r="CHY143" s="15" t="s">
        <v>598</v>
      </c>
      <c r="CHZ143" s="15" t="s">
        <v>598</v>
      </c>
      <c r="CIA143" s="15" t="s">
        <v>598</v>
      </c>
      <c r="CIB143" s="15" t="s">
        <v>598</v>
      </c>
      <c r="CIC143" s="15" t="s">
        <v>598</v>
      </c>
      <c r="CID143" s="15" t="s">
        <v>598</v>
      </c>
      <c r="CIE143" s="15" t="s">
        <v>598</v>
      </c>
      <c r="CIF143" s="15" t="s">
        <v>598</v>
      </c>
      <c r="CIG143" s="15" t="s">
        <v>598</v>
      </c>
      <c r="CIH143" s="15" t="s">
        <v>598</v>
      </c>
      <c r="CII143" s="15" t="s">
        <v>598</v>
      </c>
      <c r="CIJ143" s="15" t="s">
        <v>598</v>
      </c>
      <c r="CIK143" s="15" t="s">
        <v>598</v>
      </c>
      <c r="CIL143" s="15" t="s">
        <v>598</v>
      </c>
      <c r="CIM143" s="15" t="s">
        <v>598</v>
      </c>
      <c r="CIN143" s="15" t="s">
        <v>598</v>
      </c>
      <c r="CIO143" s="15" t="s">
        <v>598</v>
      </c>
      <c r="CIP143" s="15" t="s">
        <v>598</v>
      </c>
      <c r="CIQ143" s="15" t="s">
        <v>598</v>
      </c>
      <c r="CIR143" s="15" t="s">
        <v>598</v>
      </c>
      <c r="CIS143" s="15" t="s">
        <v>598</v>
      </c>
      <c r="CIT143" s="15" t="s">
        <v>598</v>
      </c>
      <c r="CIU143" s="15" t="s">
        <v>598</v>
      </c>
      <c r="CIV143" s="15" t="s">
        <v>598</v>
      </c>
      <c r="CIW143" s="15" t="s">
        <v>598</v>
      </c>
      <c r="CIX143" s="15" t="s">
        <v>598</v>
      </c>
      <c r="CIY143" s="15" t="s">
        <v>598</v>
      </c>
      <c r="CIZ143" s="15" t="s">
        <v>598</v>
      </c>
      <c r="CJA143" s="15" t="s">
        <v>598</v>
      </c>
      <c r="CJB143" s="15" t="s">
        <v>598</v>
      </c>
      <c r="CJC143" s="15" t="s">
        <v>598</v>
      </c>
      <c r="CJD143" s="15" t="s">
        <v>598</v>
      </c>
      <c r="CJE143" s="15" t="s">
        <v>598</v>
      </c>
      <c r="CJF143" s="15" t="s">
        <v>598</v>
      </c>
      <c r="CJG143" s="15" t="s">
        <v>598</v>
      </c>
      <c r="CJH143" s="15" t="s">
        <v>598</v>
      </c>
      <c r="CJI143" s="15" t="s">
        <v>598</v>
      </c>
      <c r="CJJ143" s="15" t="s">
        <v>598</v>
      </c>
      <c r="CJK143" s="15" t="s">
        <v>598</v>
      </c>
      <c r="CJL143" s="15" t="s">
        <v>598</v>
      </c>
      <c r="CJM143" s="15" t="s">
        <v>598</v>
      </c>
      <c r="CJN143" s="15" t="s">
        <v>598</v>
      </c>
      <c r="CJO143" s="15" t="s">
        <v>598</v>
      </c>
      <c r="CJP143" s="15" t="s">
        <v>598</v>
      </c>
      <c r="CJQ143" s="15" t="s">
        <v>598</v>
      </c>
      <c r="CJR143" s="15" t="s">
        <v>598</v>
      </c>
      <c r="CJS143" s="15" t="s">
        <v>598</v>
      </c>
      <c r="CJT143" s="15" t="s">
        <v>598</v>
      </c>
      <c r="CJU143" s="15" t="s">
        <v>598</v>
      </c>
      <c r="CJV143" s="15" t="s">
        <v>598</v>
      </c>
      <c r="CJW143" s="15" t="s">
        <v>598</v>
      </c>
      <c r="CJX143" s="15" t="s">
        <v>598</v>
      </c>
      <c r="CJY143" s="15" t="s">
        <v>598</v>
      </c>
      <c r="CJZ143" s="15" t="s">
        <v>598</v>
      </c>
      <c r="CKA143" s="15" t="s">
        <v>598</v>
      </c>
      <c r="CKB143" s="15" t="s">
        <v>598</v>
      </c>
      <c r="CKC143" s="15" t="s">
        <v>598</v>
      </c>
      <c r="CKD143" s="15" t="s">
        <v>598</v>
      </c>
      <c r="CKE143" s="15" t="s">
        <v>598</v>
      </c>
      <c r="CKF143" s="15" t="s">
        <v>598</v>
      </c>
      <c r="CKG143" s="15" t="s">
        <v>598</v>
      </c>
      <c r="CKH143" s="15" t="s">
        <v>598</v>
      </c>
      <c r="CKI143" s="15" t="s">
        <v>598</v>
      </c>
      <c r="CKJ143" s="15" t="s">
        <v>598</v>
      </c>
      <c r="CKK143" s="15" t="s">
        <v>598</v>
      </c>
      <c r="CKL143" s="15" t="s">
        <v>598</v>
      </c>
      <c r="CKM143" s="15" t="s">
        <v>598</v>
      </c>
      <c r="CKN143" s="15" t="s">
        <v>598</v>
      </c>
      <c r="CKO143" s="15" t="s">
        <v>598</v>
      </c>
      <c r="CKP143" s="15" t="s">
        <v>598</v>
      </c>
      <c r="CKQ143" s="15" t="s">
        <v>598</v>
      </c>
      <c r="CKR143" s="15" t="s">
        <v>598</v>
      </c>
      <c r="CKS143" s="15" t="s">
        <v>598</v>
      </c>
      <c r="CKT143" s="15" t="s">
        <v>598</v>
      </c>
      <c r="CKU143" s="15" t="s">
        <v>598</v>
      </c>
      <c r="CKV143" s="15" t="s">
        <v>598</v>
      </c>
      <c r="CKW143" s="15" t="s">
        <v>598</v>
      </c>
      <c r="CKX143" s="15" t="s">
        <v>598</v>
      </c>
      <c r="CKY143" s="15" t="s">
        <v>598</v>
      </c>
      <c r="CKZ143" s="15" t="s">
        <v>598</v>
      </c>
      <c r="CLA143" s="15" t="s">
        <v>598</v>
      </c>
      <c r="CLB143" s="15" t="s">
        <v>598</v>
      </c>
      <c r="CLC143" s="15" t="s">
        <v>598</v>
      </c>
      <c r="CLD143" s="15" t="s">
        <v>598</v>
      </c>
      <c r="CLE143" s="15" t="s">
        <v>598</v>
      </c>
      <c r="CLF143" s="15" t="s">
        <v>598</v>
      </c>
      <c r="CLG143" s="15" t="s">
        <v>598</v>
      </c>
      <c r="CLH143" s="15" t="s">
        <v>598</v>
      </c>
      <c r="CLI143" s="15" t="s">
        <v>598</v>
      </c>
      <c r="CLJ143" s="15" t="s">
        <v>598</v>
      </c>
      <c r="CLK143" s="15" t="s">
        <v>598</v>
      </c>
      <c r="CLL143" s="15" t="s">
        <v>598</v>
      </c>
      <c r="CLM143" s="15" t="s">
        <v>598</v>
      </c>
      <c r="CLN143" s="15" t="s">
        <v>598</v>
      </c>
      <c r="CLO143" s="15" t="s">
        <v>598</v>
      </c>
      <c r="CLP143" s="15" t="s">
        <v>598</v>
      </c>
      <c r="CLQ143" s="15" t="s">
        <v>598</v>
      </c>
      <c r="CLR143" s="15" t="s">
        <v>598</v>
      </c>
      <c r="CLS143" s="15" t="s">
        <v>598</v>
      </c>
      <c r="CLT143" s="15" t="s">
        <v>598</v>
      </c>
      <c r="CLU143" s="15" t="s">
        <v>598</v>
      </c>
      <c r="CLV143" s="15" t="s">
        <v>598</v>
      </c>
      <c r="CLW143" s="15" t="s">
        <v>598</v>
      </c>
      <c r="CLX143" s="15" t="s">
        <v>598</v>
      </c>
      <c r="CLY143" s="15" t="s">
        <v>598</v>
      </c>
      <c r="CLZ143" s="15" t="s">
        <v>598</v>
      </c>
      <c r="CMA143" s="15" t="s">
        <v>598</v>
      </c>
      <c r="CMB143" s="15" t="s">
        <v>598</v>
      </c>
      <c r="CMC143" s="15" t="s">
        <v>598</v>
      </c>
      <c r="CMD143" s="15" t="s">
        <v>598</v>
      </c>
      <c r="CME143" s="15" t="s">
        <v>598</v>
      </c>
      <c r="CMF143" s="15" t="s">
        <v>598</v>
      </c>
      <c r="CMG143" s="15" t="s">
        <v>598</v>
      </c>
      <c r="CMH143" s="15" t="s">
        <v>598</v>
      </c>
      <c r="CMI143" s="15" t="s">
        <v>598</v>
      </c>
      <c r="CMJ143" s="15" t="s">
        <v>598</v>
      </c>
      <c r="CMK143" s="15" t="s">
        <v>598</v>
      </c>
      <c r="CML143" s="15" t="s">
        <v>598</v>
      </c>
      <c r="CMM143" s="15" t="s">
        <v>598</v>
      </c>
      <c r="CMN143" s="15" t="s">
        <v>598</v>
      </c>
      <c r="CMO143" s="15" t="s">
        <v>598</v>
      </c>
      <c r="CMP143" s="15" t="s">
        <v>598</v>
      </c>
      <c r="CMQ143" s="15" t="s">
        <v>598</v>
      </c>
      <c r="CMR143" s="15" t="s">
        <v>598</v>
      </c>
      <c r="CMS143" s="15" t="s">
        <v>598</v>
      </c>
      <c r="CMT143" s="15" t="s">
        <v>598</v>
      </c>
      <c r="CMU143" s="15" t="s">
        <v>598</v>
      </c>
      <c r="CMV143" s="15" t="s">
        <v>598</v>
      </c>
      <c r="CMW143" s="15" t="s">
        <v>598</v>
      </c>
      <c r="CMX143" s="15" t="s">
        <v>598</v>
      </c>
      <c r="CMY143" s="15" t="s">
        <v>598</v>
      </c>
      <c r="CMZ143" s="15" t="s">
        <v>598</v>
      </c>
      <c r="CNA143" s="15" t="s">
        <v>598</v>
      </c>
      <c r="CNB143" s="15" t="s">
        <v>598</v>
      </c>
      <c r="CNC143" s="15" t="s">
        <v>598</v>
      </c>
      <c r="CND143" s="15" t="s">
        <v>598</v>
      </c>
      <c r="CNE143" s="15" t="s">
        <v>598</v>
      </c>
      <c r="CNF143" s="15" t="s">
        <v>598</v>
      </c>
      <c r="CNG143" s="15" t="s">
        <v>598</v>
      </c>
      <c r="CNH143" s="15" t="s">
        <v>598</v>
      </c>
      <c r="CNI143" s="15" t="s">
        <v>598</v>
      </c>
      <c r="CNJ143" s="15" t="s">
        <v>598</v>
      </c>
      <c r="CNK143" s="15" t="s">
        <v>598</v>
      </c>
      <c r="CNL143" s="15" t="s">
        <v>598</v>
      </c>
      <c r="CNM143" s="15" t="s">
        <v>598</v>
      </c>
      <c r="CNN143" s="15" t="s">
        <v>598</v>
      </c>
      <c r="CNO143" s="15" t="s">
        <v>598</v>
      </c>
      <c r="CNP143" s="15" t="s">
        <v>598</v>
      </c>
      <c r="CNQ143" s="15" t="s">
        <v>598</v>
      </c>
      <c r="CNR143" s="15" t="s">
        <v>598</v>
      </c>
      <c r="CNS143" s="15" t="s">
        <v>598</v>
      </c>
      <c r="CNT143" s="15" t="s">
        <v>598</v>
      </c>
      <c r="CNU143" s="15" t="s">
        <v>598</v>
      </c>
      <c r="CNV143" s="15" t="s">
        <v>598</v>
      </c>
      <c r="CNW143" s="15" t="s">
        <v>598</v>
      </c>
      <c r="CNX143" s="15" t="s">
        <v>598</v>
      </c>
      <c r="CNY143" s="15" t="s">
        <v>598</v>
      </c>
      <c r="CNZ143" s="15" t="s">
        <v>598</v>
      </c>
      <c r="COA143" s="15" t="s">
        <v>598</v>
      </c>
      <c r="COB143" s="15" t="s">
        <v>598</v>
      </c>
      <c r="COC143" s="15" t="s">
        <v>598</v>
      </c>
      <c r="COD143" s="15" t="s">
        <v>598</v>
      </c>
      <c r="COE143" s="15" t="s">
        <v>598</v>
      </c>
      <c r="COF143" s="15" t="s">
        <v>598</v>
      </c>
      <c r="COG143" s="15" t="s">
        <v>598</v>
      </c>
      <c r="COH143" s="15" t="s">
        <v>598</v>
      </c>
      <c r="COI143" s="15" t="s">
        <v>598</v>
      </c>
      <c r="COJ143" s="15" t="s">
        <v>598</v>
      </c>
      <c r="COK143" s="15" t="s">
        <v>598</v>
      </c>
      <c r="COL143" s="15" t="s">
        <v>598</v>
      </c>
      <c r="COM143" s="15" t="s">
        <v>598</v>
      </c>
      <c r="CON143" s="15" t="s">
        <v>598</v>
      </c>
      <c r="COO143" s="15" t="s">
        <v>598</v>
      </c>
      <c r="COP143" s="15" t="s">
        <v>598</v>
      </c>
      <c r="COQ143" s="15" t="s">
        <v>598</v>
      </c>
      <c r="COR143" s="15" t="s">
        <v>598</v>
      </c>
      <c r="COS143" s="15" t="s">
        <v>598</v>
      </c>
      <c r="COT143" s="15" t="s">
        <v>598</v>
      </c>
      <c r="COU143" s="15" t="s">
        <v>598</v>
      </c>
      <c r="COV143" s="15" t="s">
        <v>598</v>
      </c>
      <c r="COW143" s="15" t="s">
        <v>598</v>
      </c>
      <c r="COX143" s="15" t="s">
        <v>598</v>
      </c>
      <c r="COY143" s="15" t="s">
        <v>598</v>
      </c>
      <c r="COZ143" s="15" t="s">
        <v>598</v>
      </c>
      <c r="CPA143" s="15" t="s">
        <v>598</v>
      </c>
      <c r="CPB143" s="15" t="s">
        <v>598</v>
      </c>
      <c r="CPC143" s="15" t="s">
        <v>598</v>
      </c>
      <c r="CPD143" s="15" t="s">
        <v>598</v>
      </c>
      <c r="CPE143" s="15" t="s">
        <v>598</v>
      </c>
      <c r="CPF143" s="15" t="s">
        <v>598</v>
      </c>
      <c r="CPG143" s="15" t="s">
        <v>598</v>
      </c>
      <c r="CPH143" s="15" t="s">
        <v>598</v>
      </c>
      <c r="CPI143" s="15" t="s">
        <v>598</v>
      </c>
      <c r="CPJ143" s="15" t="s">
        <v>598</v>
      </c>
      <c r="CPK143" s="15" t="s">
        <v>598</v>
      </c>
      <c r="CPL143" s="15" t="s">
        <v>598</v>
      </c>
      <c r="CPM143" s="15" t="s">
        <v>598</v>
      </c>
      <c r="CPN143" s="15" t="s">
        <v>598</v>
      </c>
      <c r="CPO143" s="15" t="s">
        <v>598</v>
      </c>
      <c r="CPP143" s="15" t="s">
        <v>598</v>
      </c>
      <c r="CPQ143" s="15" t="s">
        <v>598</v>
      </c>
      <c r="CPR143" s="15" t="s">
        <v>598</v>
      </c>
      <c r="CPS143" s="15" t="s">
        <v>598</v>
      </c>
      <c r="CPT143" s="15" t="s">
        <v>598</v>
      </c>
      <c r="CPU143" s="15" t="s">
        <v>598</v>
      </c>
      <c r="CPV143" s="15" t="s">
        <v>598</v>
      </c>
      <c r="CPW143" s="15" t="s">
        <v>598</v>
      </c>
      <c r="CPX143" s="15" t="s">
        <v>598</v>
      </c>
      <c r="CPY143" s="15" t="s">
        <v>598</v>
      </c>
      <c r="CPZ143" s="15" t="s">
        <v>598</v>
      </c>
      <c r="CQA143" s="15" t="s">
        <v>598</v>
      </c>
      <c r="CQB143" s="15" t="s">
        <v>598</v>
      </c>
      <c r="CQC143" s="15" t="s">
        <v>598</v>
      </c>
      <c r="CQD143" s="15" t="s">
        <v>598</v>
      </c>
      <c r="CQE143" s="15" t="s">
        <v>598</v>
      </c>
      <c r="CQF143" s="15" t="s">
        <v>598</v>
      </c>
      <c r="CQG143" s="15" t="s">
        <v>598</v>
      </c>
      <c r="CQH143" s="15" t="s">
        <v>598</v>
      </c>
      <c r="CQI143" s="15" t="s">
        <v>598</v>
      </c>
      <c r="CQJ143" s="15" t="s">
        <v>598</v>
      </c>
      <c r="CQK143" s="15" t="s">
        <v>598</v>
      </c>
      <c r="CQL143" s="15" t="s">
        <v>598</v>
      </c>
      <c r="CQM143" s="15" t="s">
        <v>598</v>
      </c>
      <c r="CQN143" s="15" t="s">
        <v>598</v>
      </c>
      <c r="CQO143" s="15" t="s">
        <v>598</v>
      </c>
      <c r="CQP143" s="15" t="s">
        <v>598</v>
      </c>
      <c r="CQQ143" s="15" t="s">
        <v>598</v>
      </c>
      <c r="CQR143" s="15" t="s">
        <v>598</v>
      </c>
      <c r="CQS143" s="15" t="s">
        <v>598</v>
      </c>
      <c r="CQT143" s="15" t="s">
        <v>598</v>
      </c>
      <c r="CQU143" s="15" t="s">
        <v>598</v>
      </c>
      <c r="CQV143" s="15" t="s">
        <v>598</v>
      </c>
      <c r="CQW143" s="15" t="s">
        <v>598</v>
      </c>
      <c r="CQX143" s="15" t="s">
        <v>598</v>
      </c>
      <c r="CQY143" s="15" t="s">
        <v>598</v>
      </c>
      <c r="CQZ143" s="15" t="s">
        <v>598</v>
      </c>
      <c r="CRA143" s="15" t="s">
        <v>598</v>
      </c>
      <c r="CRB143" s="15" t="s">
        <v>598</v>
      </c>
      <c r="CRC143" s="15" t="s">
        <v>598</v>
      </c>
      <c r="CRD143" s="15" t="s">
        <v>598</v>
      </c>
      <c r="CRE143" s="15" t="s">
        <v>598</v>
      </c>
      <c r="CRF143" s="15" t="s">
        <v>598</v>
      </c>
      <c r="CRG143" s="15" t="s">
        <v>598</v>
      </c>
      <c r="CRH143" s="15" t="s">
        <v>598</v>
      </c>
      <c r="CRI143" s="15" t="s">
        <v>598</v>
      </c>
      <c r="CRJ143" s="15" t="s">
        <v>598</v>
      </c>
      <c r="CRK143" s="15" t="s">
        <v>598</v>
      </c>
      <c r="CRL143" s="15" t="s">
        <v>598</v>
      </c>
      <c r="CRM143" s="15" t="s">
        <v>598</v>
      </c>
      <c r="CRN143" s="15" t="s">
        <v>598</v>
      </c>
      <c r="CRO143" s="15" t="s">
        <v>598</v>
      </c>
      <c r="CRP143" s="15" t="s">
        <v>598</v>
      </c>
      <c r="CRQ143" s="15" t="s">
        <v>598</v>
      </c>
      <c r="CRR143" s="15" t="s">
        <v>598</v>
      </c>
      <c r="CRS143" s="15" t="s">
        <v>598</v>
      </c>
      <c r="CRT143" s="15" t="s">
        <v>598</v>
      </c>
      <c r="CRU143" s="15" t="s">
        <v>598</v>
      </c>
      <c r="CRV143" s="15" t="s">
        <v>598</v>
      </c>
      <c r="CRW143" s="15" t="s">
        <v>598</v>
      </c>
      <c r="CRX143" s="15" t="s">
        <v>598</v>
      </c>
      <c r="CRY143" s="15" t="s">
        <v>598</v>
      </c>
      <c r="CRZ143" s="15" t="s">
        <v>598</v>
      </c>
      <c r="CSA143" s="15" t="s">
        <v>598</v>
      </c>
      <c r="CSB143" s="15" t="s">
        <v>598</v>
      </c>
      <c r="CSC143" s="15" t="s">
        <v>598</v>
      </c>
      <c r="CSD143" s="15" t="s">
        <v>598</v>
      </c>
      <c r="CSE143" s="15" t="s">
        <v>598</v>
      </c>
      <c r="CSF143" s="15" t="s">
        <v>598</v>
      </c>
      <c r="CSG143" s="15" t="s">
        <v>598</v>
      </c>
      <c r="CSH143" s="15" t="s">
        <v>598</v>
      </c>
      <c r="CSI143" s="15" t="s">
        <v>598</v>
      </c>
      <c r="CSJ143" s="15" t="s">
        <v>598</v>
      </c>
      <c r="CSK143" s="15" t="s">
        <v>598</v>
      </c>
      <c r="CSL143" s="15" t="s">
        <v>598</v>
      </c>
      <c r="CSM143" s="15" t="s">
        <v>598</v>
      </c>
      <c r="CSN143" s="15" t="s">
        <v>598</v>
      </c>
      <c r="CSO143" s="15" t="s">
        <v>598</v>
      </c>
      <c r="CSP143" s="15" t="s">
        <v>598</v>
      </c>
      <c r="CSQ143" s="15" t="s">
        <v>598</v>
      </c>
      <c r="CSR143" s="15" t="s">
        <v>598</v>
      </c>
      <c r="CSS143" s="15" t="s">
        <v>598</v>
      </c>
      <c r="CST143" s="15" t="s">
        <v>598</v>
      </c>
      <c r="CSU143" s="15" t="s">
        <v>598</v>
      </c>
      <c r="CSV143" s="15" t="s">
        <v>598</v>
      </c>
      <c r="CSW143" s="15" t="s">
        <v>598</v>
      </c>
      <c r="CSX143" s="15" t="s">
        <v>598</v>
      </c>
      <c r="CSY143" s="15" t="s">
        <v>598</v>
      </c>
      <c r="CSZ143" s="15" t="s">
        <v>598</v>
      </c>
      <c r="CTA143" s="15" t="s">
        <v>598</v>
      </c>
      <c r="CTB143" s="15" t="s">
        <v>598</v>
      </c>
      <c r="CTC143" s="15" t="s">
        <v>598</v>
      </c>
      <c r="CTD143" s="15" t="s">
        <v>598</v>
      </c>
      <c r="CTE143" s="15" t="s">
        <v>598</v>
      </c>
      <c r="CTF143" s="15" t="s">
        <v>598</v>
      </c>
      <c r="CTG143" s="15" t="s">
        <v>598</v>
      </c>
      <c r="CTH143" s="15" t="s">
        <v>598</v>
      </c>
      <c r="CTI143" s="15" t="s">
        <v>598</v>
      </c>
      <c r="CTJ143" s="15" t="s">
        <v>598</v>
      </c>
      <c r="CTK143" s="15" t="s">
        <v>598</v>
      </c>
      <c r="CTL143" s="15" t="s">
        <v>598</v>
      </c>
      <c r="CTM143" s="15" t="s">
        <v>598</v>
      </c>
      <c r="CTN143" s="15" t="s">
        <v>598</v>
      </c>
      <c r="CTO143" s="15" t="s">
        <v>598</v>
      </c>
      <c r="CTP143" s="15" t="s">
        <v>598</v>
      </c>
      <c r="CTQ143" s="15" t="s">
        <v>598</v>
      </c>
      <c r="CTR143" s="15" t="s">
        <v>598</v>
      </c>
      <c r="CTS143" s="15" t="s">
        <v>598</v>
      </c>
      <c r="CTT143" s="15" t="s">
        <v>598</v>
      </c>
      <c r="CTU143" s="15" t="s">
        <v>598</v>
      </c>
      <c r="CTV143" s="15" t="s">
        <v>598</v>
      </c>
      <c r="CTW143" s="15" t="s">
        <v>598</v>
      </c>
      <c r="CTX143" s="15" t="s">
        <v>598</v>
      </c>
      <c r="CTY143" s="15" t="s">
        <v>598</v>
      </c>
      <c r="CTZ143" s="15" t="s">
        <v>598</v>
      </c>
      <c r="CUA143" s="15" t="s">
        <v>598</v>
      </c>
      <c r="CUB143" s="15" t="s">
        <v>598</v>
      </c>
      <c r="CUC143" s="15" t="s">
        <v>598</v>
      </c>
      <c r="CUD143" s="15" t="s">
        <v>598</v>
      </c>
      <c r="CUE143" s="15" t="s">
        <v>598</v>
      </c>
      <c r="CUF143" s="15" t="s">
        <v>598</v>
      </c>
      <c r="CUG143" s="15" t="s">
        <v>598</v>
      </c>
      <c r="CUH143" s="15" t="s">
        <v>598</v>
      </c>
      <c r="CUI143" s="15" t="s">
        <v>598</v>
      </c>
      <c r="CUJ143" s="15" t="s">
        <v>598</v>
      </c>
      <c r="CUK143" s="15" t="s">
        <v>598</v>
      </c>
      <c r="CUL143" s="15" t="s">
        <v>598</v>
      </c>
      <c r="CUM143" s="15" t="s">
        <v>598</v>
      </c>
      <c r="CUN143" s="15" t="s">
        <v>598</v>
      </c>
      <c r="CUO143" s="15" t="s">
        <v>598</v>
      </c>
      <c r="CUP143" s="15" t="s">
        <v>598</v>
      </c>
      <c r="CUQ143" s="15" t="s">
        <v>598</v>
      </c>
      <c r="CUR143" s="15" t="s">
        <v>598</v>
      </c>
      <c r="CUS143" s="15" t="s">
        <v>598</v>
      </c>
      <c r="CUT143" s="15" t="s">
        <v>598</v>
      </c>
      <c r="CUU143" s="15" t="s">
        <v>598</v>
      </c>
      <c r="CUV143" s="15" t="s">
        <v>598</v>
      </c>
      <c r="CUW143" s="15" t="s">
        <v>598</v>
      </c>
      <c r="CUX143" s="15" t="s">
        <v>598</v>
      </c>
      <c r="CUY143" s="15" t="s">
        <v>598</v>
      </c>
      <c r="CUZ143" s="15" t="s">
        <v>598</v>
      </c>
      <c r="CVA143" s="15" t="s">
        <v>598</v>
      </c>
      <c r="CVB143" s="15" t="s">
        <v>598</v>
      </c>
      <c r="CVC143" s="15" t="s">
        <v>598</v>
      </c>
      <c r="CVD143" s="15" t="s">
        <v>598</v>
      </c>
      <c r="CVE143" s="15" t="s">
        <v>598</v>
      </c>
      <c r="CVF143" s="15" t="s">
        <v>598</v>
      </c>
      <c r="CVG143" s="15" t="s">
        <v>598</v>
      </c>
      <c r="CVH143" s="15" t="s">
        <v>598</v>
      </c>
      <c r="CVI143" s="15" t="s">
        <v>598</v>
      </c>
      <c r="CVJ143" s="15" t="s">
        <v>598</v>
      </c>
      <c r="CVK143" s="15" t="s">
        <v>598</v>
      </c>
      <c r="CVL143" s="15" t="s">
        <v>598</v>
      </c>
      <c r="CVM143" s="15" t="s">
        <v>598</v>
      </c>
      <c r="CVN143" s="15" t="s">
        <v>598</v>
      </c>
      <c r="CVO143" s="15" t="s">
        <v>598</v>
      </c>
      <c r="CVP143" s="15" t="s">
        <v>598</v>
      </c>
      <c r="CVQ143" s="15" t="s">
        <v>598</v>
      </c>
      <c r="CVR143" s="15" t="s">
        <v>598</v>
      </c>
      <c r="CVS143" s="15" t="s">
        <v>598</v>
      </c>
      <c r="CVT143" s="15" t="s">
        <v>598</v>
      </c>
      <c r="CVU143" s="15" t="s">
        <v>598</v>
      </c>
      <c r="CVV143" s="15" t="s">
        <v>598</v>
      </c>
      <c r="CVW143" s="15" t="s">
        <v>598</v>
      </c>
      <c r="CVX143" s="15" t="s">
        <v>598</v>
      </c>
      <c r="CVY143" s="15" t="s">
        <v>598</v>
      </c>
      <c r="CVZ143" s="15" t="s">
        <v>598</v>
      </c>
      <c r="CWA143" s="15" t="s">
        <v>598</v>
      </c>
      <c r="CWB143" s="15" t="s">
        <v>598</v>
      </c>
      <c r="CWC143" s="15" t="s">
        <v>598</v>
      </c>
      <c r="CWD143" s="15" t="s">
        <v>598</v>
      </c>
      <c r="CWE143" s="15" t="s">
        <v>598</v>
      </c>
      <c r="CWF143" s="15" t="s">
        <v>598</v>
      </c>
      <c r="CWG143" s="15" t="s">
        <v>598</v>
      </c>
      <c r="CWH143" s="15" t="s">
        <v>598</v>
      </c>
      <c r="CWI143" s="15" t="s">
        <v>598</v>
      </c>
      <c r="CWJ143" s="15" t="s">
        <v>598</v>
      </c>
      <c r="CWK143" s="15" t="s">
        <v>598</v>
      </c>
      <c r="CWL143" s="15" t="s">
        <v>598</v>
      </c>
      <c r="CWM143" s="15" t="s">
        <v>598</v>
      </c>
      <c r="CWN143" s="15" t="s">
        <v>598</v>
      </c>
      <c r="CWO143" s="15" t="s">
        <v>598</v>
      </c>
      <c r="CWP143" s="15" t="s">
        <v>598</v>
      </c>
      <c r="CWQ143" s="15" t="s">
        <v>598</v>
      </c>
      <c r="CWR143" s="15" t="s">
        <v>598</v>
      </c>
      <c r="CWS143" s="15" t="s">
        <v>598</v>
      </c>
      <c r="CWT143" s="15" t="s">
        <v>598</v>
      </c>
      <c r="CWU143" s="15" t="s">
        <v>598</v>
      </c>
      <c r="CWV143" s="15" t="s">
        <v>598</v>
      </c>
      <c r="CWW143" s="15" t="s">
        <v>598</v>
      </c>
      <c r="CWX143" s="15" t="s">
        <v>598</v>
      </c>
      <c r="CWY143" s="15" t="s">
        <v>598</v>
      </c>
      <c r="CWZ143" s="15" t="s">
        <v>598</v>
      </c>
      <c r="CXA143" s="15" t="s">
        <v>598</v>
      </c>
      <c r="CXB143" s="15" t="s">
        <v>598</v>
      </c>
      <c r="CXC143" s="15" t="s">
        <v>598</v>
      </c>
      <c r="CXD143" s="15" t="s">
        <v>598</v>
      </c>
      <c r="CXE143" s="15" t="s">
        <v>598</v>
      </c>
      <c r="CXF143" s="15" t="s">
        <v>598</v>
      </c>
      <c r="CXG143" s="15" t="s">
        <v>598</v>
      </c>
      <c r="CXH143" s="15" t="s">
        <v>598</v>
      </c>
      <c r="CXI143" s="15" t="s">
        <v>598</v>
      </c>
      <c r="CXJ143" s="15" t="s">
        <v>598</v>
      </c>
      <c r="CXK143" s="15" t="s">
        <v>598</v>
      </c>
      <c r="CXL143" s="15" t="s">
        <v>598</v>
      </c>
      <c r="CXM143" s="15" t="s">
        <v>598</v>
      </c>
      <c r="CXN143" s="15" t="s">
        <v>598</v>
      </c>
      <c r="CXO143" s="15" t="s">
        <v>598</v>
      </c>
      <c r="CXP143" s="15" t="s">
        <v>598</v>
      </c>
      <c r="CXQ143" s="15" t="s">
        <v>598</v>
      </c>
      <c r="CXR143" s="15" t="s">
        <v>598</v>
      </c>
      <c r="CXS143" s="15" t="s">
        <v>598</v>
      </c>
      <c r="CXT143" s="15" t="s">
        <v>598</v>
      </c>
      <c r="CXU143" s="15" t="s">
        <v>598</v>
      </c>
      <c r="CXV143" s="15" t="s">
        <v>598</v>
      </c>
      <c r="CXW143" s="15" t="s">
        <v>598</v>
      </c>
      <c r="CXX143" s="15" t="s">
        <v>598</v>
      </c>
      <c r="CXY143" s="15" t="s">
        <v>598</v>
      </c>
      <c r="CXZ143" s="15" t="s">
        <v>598</v>
      </c>
      <c r="CYA143" s="15" t="s">
        <v>598</v>
      </c>
      <c r="CYB143" s="15" t="s">
        <v>598</v>
      </c>
      <c r="CYC143" s="15" t="s">
        <v>598</v>
      </c>
      <c r="CYD143" s="15" t="s">
        <v>598</v>
      </c>
      <c r="CYE143" s="15" t="s">
        <v>598</v>
      </c>
      <c r="CYF143" s="15" t="s">
        <v>598</v>
      </c>
      <c r="CYG143" s="15" t="s">
        <v>598</v>
      </c>
      <c r="CYH143" s="15" t="s">
        <v>598</v>
      </c>
      <c r="CYI143" s="15" t="s">
        <v>598</v>
      </c>
      <c r="CYJ143" s="15" t="s">
        <v>598</v>
      </c>
      <c r="CYK143" s="15" t="s">
        <v>598</v>
      </c>
      <c r="CYL143" s="15" t="s">
        <v>598</v>
      </c>
      <c r="CYM143" s="15" t="s">
        <v>598</v>
      </c>
      <c r="CYN143" s="15" t="s">
        <v>598</v>
      </c>
      <c r="CYO143" s="15" t="s">
        <v>598</v>
      </c>
      <c r="CYP143" s="15" t="s">
        <v>598</v>
      </c>
      <c r="CYQ143" s="15" t="s">
        <v>598</v>
      </c>
      <c r="CYR143" s="15" t="s">
        <v>598</v>
      </c>
      <c r="CYS143" s="15" t="s">
        <v>598</v>
      </c>
      <c r="CYT143" s="15" t="s">
        <v>598</v>
      </c>
      <c r="CYU143" s="15" t="s">
        <v>598</v>
      </c>
      <c r="CYV143" s="15" t="s">
        <v>598</v>
      </c>
      <c r="CYW143" s="15" t="s">
        <v>598</v>
      </c>
      <c r="CYX143" s="15" t="s">
        <v>598</v>
      </c>
      <c r="CYY143" s="15" t="s">
        <v>598</v>
      </c>
      <c r="CYZ143" s="15" t="s">
        <v>598</v>
      </c>
      <c r="CZA143" s="15" t="s">
        <v>598</v>
      </c>
      <c r="CZB143" s="15" t="s">
        <v>598</v>
      </c>
      <c r="CZC143" s="15" t="s">
        <v>598</v>
      </c>
      <c r="CZD143" s="15" t="s">
        <v>598</v>
      </c>
      <c r="CZE143" s="15" t="s">
        <v>598</v>
      </c>
      <c r="CZF143" s="15" t="s">
        <v>598</v>
      </c>
      <c r="CZG143" s="15" t="s">
        <v>598</v>
      </c>
      <c r="CZH143" s="15" t="s">
        <v>598</v>
      </c>
      <c r="CZI143" s="15" t="s">
        <v>598</v>
      </c>
      <c r="CZJ143" s="15" t="s">
        <v>598</v>
      </c>
      <c r="CZK143" s="15" t="s">
        <v>598</v>
      </c>
      <c r="CZL143" s="15" t="s">
        <v>598</v>
      </c>
      <c r="CZM143" s="15" t="s">
        <v>598</v>
      </c>
      <c r="CZN143" s="15" t="s">
        <v>598</v>
      </c>
      <c r="CZO143" s="15" t="s">
        <v>598</v>
      </c>
      <c r="CZP143" s="15" t="s">
        <v>598</v>
      </c>
      <c r="CZQ143" s="15" t="s">
        <v>598</v>
      </c>
      <c r="CZR143" s="15" t="s">
        <v>598</v>
      </c>
      <c r="CZS143" s="15" t="s">
        <v>598</v>
      </c>
      <c r="CZT143" s="15" t="s">
        <v>598</v>
      </c>
      <c r="CZU143" s="15" t="s">
        <v>598</v>
      </c>
      <c r="CZV143" s="15" t="s">
        <v>598</v>
      </c>
      <c r="CZW143" s="15" t="s">
        <v>598</v>
      </c>
      <c r="CZX143" s="15" t="s">
        <v>598</v>
      </c>
      <c r="CZY143" s="15" t="s">
        <v>598</v>
      </c>
      <c r="CZZ143" s="15" t="s">
        <v>598</v>
      </c>
      <c r="DAA143" s="15" t="s">
        <v>598</v>
      </c>
      <c r="DAB143" s="15" t="s">
        <v>598</v>
      </c>
      <c r="DAC143" s="15" t="s">
        <v>598</v>
      </c>
      <c r="DAD143" s="15" t="s">
        <v>598</v>
      </c>
      <c r="DAE143" s="15" t="s">
        <v>598</v>
      </c>
      <c r="DAF143" s="15" t="s">
        <v>598</v>
      </c>
      <c r="DAG143" s="15" t="s">
        <v>598</v>
      </c>
      <c r="DAH143" s="15" t="s">
        <v>598</v>
      </c>
      <c r="DAI143" s="15" t="s">
        <v>598</v>
      </c>
      <c r="DAJ143" s="15" t="s">
        <v>598</v>
      </c>
      <c r="DAK143" s="15" t="s">
        <v>598</v>
      </c>
      <c r="DAL143" s="15" t="s">
        <v>598</v>
      </c>
      <c r="DAM143" s="15" t="s">
        <v>598</v>
      </c>
      <c r="DAN143" s="15" t="s">
        <v>598</v>
      </c>
      <c r="DAO143" s="15" t="s">
        <v>598</v>
      </c>
      <c r="DAP143" s="15" t="s">
        <v>598</v>
      </c>
      <c r="DAQ143" s="15" t="s">
        <v>598</v>
      </c>
      <c r="DAR143" s="15" t="s">
        <v>598</v>
      </c>
      <c r="DAS143" s="15" t="s">
        <v>598</v>
      </c>
      <c r="DAT143" s="15" t="s">
        <v>598</v>
      </c>
      <c r="DAU143" s="15" t="s">
        <v>598</v>
      </c>
      <c r="DAV143" s="15" t="s">
        <v>598</v>
      </c>
      <c r="DAW143" s="15" t="s">
        <v>598</v>
      </c>
      <c r="DAX143" s="15" t="s">
        <v>598</v>
      </c>
      <c r="DAY143" s="15" t="s">
        <v>598</v>
      </c>
      <c r="DAZ143" s="15" t="s">
        <v>598</v>
      </c>
      <c r="DBA143" s="15" t="s">
        <v>598</v>
      </c>
      <c r="DBB143" s="15" t="s">
        <v>598</v>
      </c>
      <c r="DBC143" s="15" t="s">
        <v>598</v>
      </c>
      <c r="DBD143" s="15" t="s">
        <v>598</v>
      </c>
      <c r="DBE143" s="15" t="s">
        <v>598</v>
      </c>
      <c r="DBF143" s="15" t="s">
        <v>598</v>
      </c>
      <c r="DBG143" s="15" t="s">
        <v>598</v>
      </c>
      <c r="DBH143" s="15" t="s">
        <v>598</v>
      </c>
      <c r="DBI143" s="15" t="s">
        <v>598</v>
      </c>
      <c r="DBJ143" s="15" t="s">
        <v>598</v>
      </c>
      <c r="DBK143" s="15" t="s">
        <v>598</v>
      </c>
      <c r="DBL143" s="15" t="s">
        <v>598</v>
      </c>
      <c r="DBM143" s="15" t="s">
        <v>598</v>
      </c>
      <c r="DBN143" s="15" t="s">
        <v>598</v>
      </c>
      <c r="DBO143" s="15" t="s">
        <v>598</v>
      </c>
      <c r="DBP143" s="15" t="s">
        <v>598</v>
      </c>
      <c r="DBQ143" s="15" t="s">
        <v>598</v>
      </c>
      <c r="DBR143" s="15" t="s">
        <v>598</v>
      </c>
      <c r="DBS143" s="15" t="s">
        <v>598</v>
      </c>
      <c r="DBT143" s="15" t="s">
        <v>598</v>
      </c>
      <c r="DBU143" s="15" t="s">
        <v>598</v>
      </c>
      <c r="DBV143" s="15" t="s">
        <v>598</v>
      </c>
      <c r="DBW143" s="15" t="s">
        <v>598</v>
      </c>
      <c r="DBX143" s="15" t="s">
        <v>598</v>
      </c>
      <c r="DBY143" s="15" t="s">
        <v>598</v>
      </c>
      <c r="DBZ143" s="15" t="s">
        <v>598</v>
      </c>
      <c r="DCA143" s="15" t="s">
        <v>598</v>
      </c>
      <c r="DCB143" s="15" t="s">
        <v>598</v>
      </c>
      <c r="DCC143" s="15" t="s">
        <v>598</v>
      </c>
      <c r="DCD143" s="15" t="s">
        <v>598</v>
      </c>
      <c r="DCE143" s="15" t="s">
        <v>598</v>
      </c>
      <c r="DCF143" s="15" t="s">
        <v>598</v>
      </c>
      <c r="DCG143" s="15" t="s">
        <v>598</v>
      </c>
      <c r="DCH143" s="15" t="s">
        <v>598</v>
      </c>
      <c r="DCI143" s="15" t="s">
        <v>598</v>
      </c>
      <c r="DCJ143" s="15" t="s">
        <v>598</v>
      </c>
      <c r="DCK143" s="15" t="s">
        <v>598</v>
      </c>
      <c r="DCL143" s="15" t="s">
        <v>598</v>
      </c>
      <c r="DCM143" s="15" t="s">
        <v>598</v>
      </c>
      <c r="DCN143" s="15" t="s">
        <v>598</v>
      </c>
      <c r="DCO143" s="15" t="s">
        <v>598</v>
      </c>
      <c r="DCP143" s="15" t="s">
        <v>598</v>
      </c>
      <c r="DCQ143" s="15" t="s">
        <v>598</v>
      </c>
      <c r="DCR143" s="15" t="s">
        <v>598</v>
      </c>
      <c r="DCS143" s="15" t="s">
        <v>598</v>
      </c>
      <c r="DCT143" s="15" t="s">
        <v>598</v>
      </c>
      <c r="DCU143" s="15" t="s">
        <v>598</v>
      </c>
      <c r="DCV143" s="15" t="s">
        <v>598</v>
      </c>
      <c r="DCW143" s="15" t="s">
        <v>598</v>
      </c>
      <c r="DCX143" s="15" t="s">
        <v>598</v>
      </c>
      <c r="DCY143" s="15" t="s">
        <v>598</v>
      </c>
      <c r="DCZ143" s="15" t="s">
        <v>598</v>
      </c>
      <c r="DDA143" s="15" t="s">
        <v>598</v>
      </c>
      <c r="DDB143" s="15" t="s">
        <v>598</v>
      </c>
      <c r="DDC143" s="15" t="s">
        <v>598</v>
      </c>
      <c r="DDD143" s="15" t="s">
        <v>598</v>
      </c>
      <c r="DDE143" s="15" t="s">
        <v>598</v>
      </c>
      <c r="DDF143" s="15" t="s">
        <v>598</v>
      </c>
      <c r="DDG143" s="15" t="s">
        <v>598</v>
      </c>
      <c r="DDH143" s="15" t="s">
        <v>598</v>
      </c>
      <c r="DDI143" s="15" t="s">
        <v>598</v>
      </c>
      <c r="DDJ143" s="15" t="s">
        <v>598</v>
      </c>
      <c r="DDK143" s="15" t="s">
        <v>598</v>
      </c>
      <c r="DDL143" s="15" t="s">
        <v>598</v>
      </c>
      <c r="DDM143" s="15" t="s">
        <v>598</v>
      </c>
      <c r="DDN143" s="15" t="s">
        <v>598</v>
      </c>
      <c r="DDO143" s="15" t="s">
        <v>598</v>
      </c>
      <c r="DDP143" s="15" t="s">
        <v>598</v>
      </c>
      <c r="DDQ143" s="15" t="s">
        <v>598</v>
      </c>
      <c r="DDR143" s="15" t="s">
        <v>598</v>
      </c>
      <c r="DDS143" s="15" t="s">
        <v>598</v>
      </c>
      <c r="DDT143" s="15" t="s">
        <v>598</v>
      </c>
      <c r="DDU143" s="15" t="s">
        <v>598</v>
      </c>
      <c r="DDV143" s="15" t="s">
        <v>598</v>
      </c>
      <c r="DDW143" s="15" t="s">
        <v>598</v>
      </c>
      <c r="DDX143" s="15" t="s">
        <v>598</v>
      </c>
      <c r="DDY143" s="15" t="s">
        <v>598</v>
      </c>
      <c r="DDZ143" s="15" t="s">
        <v>598</v>
      </c>
      <c r="DEA143" s="15" t="s">
        <v>598</v>
      </c>
      <c r="DEB143" s="15" t="s">
        <v>598</v>
      </c>
      <c r="DEC143" s="15" t="s">
        <v>598</v>
      </c>
      <c r="DED143" s="15" t="s">
        <v>598</v>
      </c>
      <c r="DEE143" s="15" t="s">
        <v>598</v>
      </c>
      <c r="DEF143" s="15" t="s">
        <v>598</v>
      </c>
      <c r="DEG143" s="15" t="s">
        <v>598</v>
      </c>
      <c r="DEH143" s="15" t="s">
        <v>598</v>
      </c>
      <c r="DEI143" s="15" t="s">
        <v>598</v>
      </c>
      <c r="DEJ143" s="15" t="s">
        <v>598</v>
      </c>
      <c r="DEK143" s="15" t="s">
        <v>598</v>
      </c>
      <c r="DEL143" s="15" t="s">
        <v>598</v>
      </c>
      <c r="DEM143" s="15" t="s">
        <v>598</v>
      </c>
      <c r="DEN143" s="15" t="s">
        <v>598</v>
      </c>
      <c r="DEO143" s="15" t="s">
        <v>598</v>
      </c>
      <c r="DEP143" s="15" t="s">
        <v>598</v>
      </c>
      <c r="DEQ143" s="15" t="s">
        <v>598</v>
      </c>
      <c r="DER143" s="15" t="s">
        <v>598</v>
      </c>
      <c r="DES143" s="15" t="s">
        <v>598</v>
      </c>
      <c r="DET143" s="15" t="s">
        <v>598</v>
      </c>
      <c r="DEU143" s="15" t="s">
        <v>598</v>
      </c>
      <c r="DEV143" s="15" t="s">
        <v>598</v>
      </c>
      <c r="DEW143" s="15" t="s">
        <v>598</v>
      </c>
      <c r="DEX143" s="15" t="s">
        <v>598</v>
      </c>
      <c r="DEY143" s="15" t="s">
        <v>598</v>
      </c>
      <c r="DEZ143" s="15" t="s">
        <v>598</v>
      </c>
      <c r="DFA143" s="15" t="s">
        <v>598</v>
      </c>
      <c r="DFB143" s="15" t="s">
        <v>598</v>
      </c>
      <c r="DFC143" s="15" t="s">
        <v>598</v>
      </c>
      <c r="DFD143" s="15" t="s">
        <v>598</v>
      </c>
      <c r="DFE143" s="15" t="s">
        <v>598</v>
      </c>
      <c r="DFF143" s="15" t="s">
        <v>598</v>
      </c>
      <c r="DFG143" s="15" t="s">
        <v>598</v>
      </c>
      <c r="DFH143" s="15" t="s">
        <v>598</v>
      </c>
      <c r="DFI143" s="15" t="s">
        <v>598</v>
      </c>
      <c r="DFJ143" s="15" t="s">
        <v>598</v>
      </c>
      <c r="DFK143" s="15" t="s">
        <v>598</v>
      </c>
      <c r="DFL143" s="15" t="s">
        <v>598</v>
      </c>
      <c r="DFM143" s="15" t="s">
        <v>598</v>
      </c>
      <c r="DFN143" s="15" t="s">
        <v>598</v>
      </c>
      <c r="DFO143" s="15" t="s">
        <v>598</v>
      </c>
      <c r="DFP143" s="15" t="s">
        <v>598</v>
      </c>
      <c r="DFQ143" s="15" t="s">
        <v>598</v>
      </c>
      <c r="DFR143" s="15" t="s">
        <v>598</v>
      </c>
      <c r="DFS143" s="15" t="s">
        <v>598</v>
      </c>
      <c r="DFT143" s="15" t="s">
        <v>598</v>
      </c>
      <c r="DFU143" s="15" t="s">
        <v>598</v>
      </c>
      <c r="DFV143" s="15" t="s">
        <v>598</v>
      </c>
      <c r="DFW143" s="15" t="s">
        <v>598</v>
      </c>
      <c r="DFX143" s="15" t="s">
        <v>598</v>
      </c>
      <c r="DFY143" s="15" t="s">
        <v>598</v>
      </c>
      <c r="DFZ143" s="15" t="s">
        <v>598</v>
      </c>
      <c r="DGA143" s="15" t="s">
        <v>598</v>
      </c>
      <c r="DGB143" s="15" t="s">
        <v>598</v>
      </c>
      <c r="DGC143" s="15" t="s">
        <v>598</v>
      </c>
      <c r="DGD143" s="15" t="s">
        <v>598</v>
      </c>
      <c r="DGE143" s="15" t="s">
        <v>598</v>
      </c>
      <c r="DGF143" s="15" t="s">
        <v>598</v>
      </c>
      <c r="DGG143" s="15" t="s">
        <v>598</v>
      </c>
      <c r="DGH143" s="15" t="s">
        <v>598</v>
      </c>
      <c r="DGI143" s="15" t="s">
        <v>598</v>
      </c>
      <c r="DGJ143" s="15" t="s">
        <v>598</v>
      </c>
      <c r="DGK143" s="15" t="s">
        <v>598</v>
      </c>
      <c r="DGL143" s="15" t="s">
        <v>598</v>
      </c>
      <c r="DGM143" s="15" t="s">
        <v>598</v>
      </c>
      <c r="DGN143" s="15" t="s">
        <v>598</v>
      </c>
      <c r="DGO143" s="15" t="s">
        <v>598</v>
      </c>
      <c r="DGP143" s="15" t="s">
        <v>598</v>
      </c>
      <c r="DGQ143" s="15" t="s">
        <v>598</v>
      </c>
      <c r="DGR143" s="15" t="s">
        <v>598</v>
      </c>
      <c r="DGS143" s="15" t="s">
        <v>598</v>
      </c>
      <c r="DGT143" s="15" t="s">
        <v>598</v>
      </c>
      <c r="DGU143" s="15" t="s">
        <v>598</v>
      </c>
      <c r="DGV143" s="15" t="s">
        <v>598</v>
      </c>
      <c r="DGW143" s="15" t="s">
        <v>598</v>
      </c>
      <c r="DGX143" s="15" t="s">
        <v>598</v>
      </c>
      <c r="DGY143" s="15" t="s">
        <v>598</v>
      </c>
      <c r="DGZ143" s="15" t="s">
        <v>598</v>
      </c>
      <c r="DHA143" s="15" t="s">
        <v>598</v>
      </c>
      <c r="DHB143" s="15" t="s">
        <v>598</v>
      </c>
      <c r="DHC143" s="15" t="s">
        <v>598</v>
      </c>
      <c r="DHD143" s="15" t="s">
        <v>598</v>
      </c>
      <c r="DHE143" s="15" t="s">
        <v>598</v>
      </c>
      <c r="DHF143" s="15" t="s">
        <v>598</v>
      </c>
      <c r="DHG143" s="15" t="s">
        <v>598</v>
      </c>
      <c r="DHH143" s="15" t="s">
        <v>598</v>
      </c>
      <c r="DHI143" s="15" t="s">
        <v>598</v>
      </c>
      <c r="DHJ143" s="15" t="s">
        <v>598</v>
      </c>
      <c r="DHK143" s="15" t="s">
        <v>598</v>
      </c>
      <c r="DHL143" s="15" t="s">
        <v>598</v>
      </c>
      <c r="DHM143" s="15" t="s">
        <v>598</v>
      </c>
      <c r="DHN143" s="15" t="s">
        <v>598</v>
      </c>
      <c r="DHO143" s="15" t="s">
        <v>598</v>
      </c>
      <c r="DHP143" s="15" t="s">
        <v>598</v>
      </c>
      <c r="DHQ143" s="15" t="s">
        <v>598</v>
      </c>
      <c r="DHR143" s="15" t="s">
        <v>598</v>
      </c>
      <c r="DHS143" s="15" t="s">
        <v>598</v>
      </c>
      <c r="DHT143" s="15" t="s">
        <v>598</v>
      </c>
      <c r="DHU143" s="15" t="s">
        <v>598</v>
      </c>
      <c r="DHV143" s="15" t="s">
        <v>598</v>
      </c>
      <c r="DHW143" s="15" t="s">
        <v>598</v>
      </c>
      <c r="DHX143" s="15" t="s">
        <v>598</v>
      </c>
      <c r="DHY143" s="15" t="s">
        <v>598</v>
      </c>
      <c r="DHZ143" s="15" t="s">
        <v>598</v>
      </c>
      <c r="DIA143" s="15" t="s">
        <v>598</v>
      </c>
      <c r="DIB143" s="15" t="s">
        <v>598</v>
      </c>
      <c r="DIC143" s="15" t="s">
        <v>598</v>
      </c>
      <c r="DID143" s="15" t="s">
        <v>598</v>
      </c>
      <c r="DIE143" s="15" t="s">
        <v>598</v>
      </c>
      <c r="DIF143" s="15" t="s">
        <v>598</v>
      </c>
      <c r="DIG143" s="15" t="s">
        <v>598</v>
      </c>
      <c r="DIH143" s="15" t="s">
        <v>598</v>
      </c>
      <c r="DII143" s="15" t="s">
        <v>598</v>
      </c>
      <c r="DIJ143" s="15" t="s">
        <v>598</v>
      </c>
      <c r="DIK143" s="15" t="s">
        <v>598</v>
      </c>
      <c r="DIL143" s="15" t="s">
        <v>598</v>
      </c>
      <c r="DIM143" s="15" t="s">
        <v>598</v>
      </c>
      <c r="DIN143" s="15" t="s">
        <v>598</v>
      </c>
      <c r="DIO143" s="15" t="s">
        <v>598</v>
      </c>
      <c r="DIP143" s="15" t="s">
        <v>598</v>
      </c>
      <c r="DIQ143" s="15" t="s">
        <v>598</v>
      </c>
      <c r="DIR143" s="15" t="s">
        <v>598</v>
      </c>
      <c r="DIS143" s="15" t="s">
        <v>598</v>
      </c>
      <c r="DIT143" s="15" t="s">
        <v>598</v>
      </c>
      <c r="DIU143" s="15" t="s">
        <v>598</v>
      </c>
      <c r="DIV143" s="15" t="s">
        <v>598</v>
      </c>
      <c r="DIW143" s="15" t="s">
        <v>598</v>
      </c>
      <c r="DIX143" s="15" t="s">
        <v>598</v>
      </c>
      <c r="DIY143" s="15" t="s">
        <v>598</v>
      </c>
      <c r="DIZ143" s="15" t="s">
        <v>598</v>
      </c>
      <c r="DJA143" s="15" t="s">
        <v>598</v>
      </c>
      <c r="DJB143" s="15" t="s">
        <v>598</v>
      </c>
      <c r="DJC143" s="15" t="s">
        <v>598</v>
      </c>
      <c r="DJD143" s="15" t="s">
        <v>598</v>
      </c>
      <c r="DJE143" s="15" t="s">
        <v>598</v>
      </c>
      <c r="DJF143" s="15" t="s">
        <v>598</v>
      </c>
      <c r="DJG143" s="15" t="s">
        <v>598</v>
      </c>
      <c r="DJH143" s="15" t="s">
        <v>598</v>
      </c>
      <c r="DJI143" s="15" t="s">
        <v>598</v>
      </c>
      <c r="DJJ143" s="15" t="s">
        <v>598</v>
      </c>
      <c r="DJK143" s="15" t="s">
        <v>598</v>
      </c>
      <c r="DJL143" s="15" t="s">
        <v>598</v>
      </c>
      <c r="DJM143" s="15" t="s">
        <v>598</v>
      </c>
      <c r="DJN143" s="15" t="s">
        <v>598</v>
      </c>
      <c r="DJO143" s="15" t="s">
        <v>598</v>
      </c>
      <c r="DJP143" s="15" t="s">
        <v>598</v>
      </c>
      <c r="DJQ143" s="15" t="s">
        <v>598</v>
      </c>
      <c r="DJR143" s="15" t="s">
        <v>598</v>
      </c>
      <c r="DJS143" s="15" t="s">
        <v>598</v>
      </c>
      <c r="DJT143" s="15" t="s">
        <v>598</v>
      </c>
      <c r="DJU143" s="15" t="s">
        <v>598</v>
      </c>
      <c r="DJV143" s="15" t="s">
        <v>598</v>
      </c>
      <c r="DJW143" s="15" t="s">
        <v>598</v>
      </c>
      <c r="DJX143" s="15" t="s">
        <v>598</v>
      </c>
      <c r="DJY143" s="15" t="s">
        <v>598</v>
      </c>
      <c r="DJZ143" s="15" t="s">
        <v>598</v>
      </c>
      <c r="DKA143" s="15" t="s">
        <v>598</v>
      </c>
      <c r="DKB143" s="15" t="s">
        <v>598</v>
      </c>
      <c r="DKC143" s="15" t="s">
        <v>598</v>
      </c>
      <c r="DKD143" s="15" t="s">
        <v>598</v>
      </c>
      <c r="DKE143" s="15" t="s">
        <v>598</v>
      </c>
      <c r="DKF143" s="15" t="s">
        <v>598</v>
      </c>
      <c r="DKG143" s="15" t="s">
        <v>598</v>
      </c>
      <c r="DKH143" s="15" t="s">
        <v>598</v>
      </c>
      <c r="DKI143" s="15" t="s">
        <v>598</v>
      </c>
      <c r="DKJ143" s="15" t="s">
        <v>598</v>
      </c>
      <c r="DKK143" s="15" t="s">
        <v>598</v>
      </c>
      <c r="DKL143" s="15" t="s">
        <v>598</v>
      </c>
      <c r="DKM143" s="15" t="s">
        <v>598</v>
      </c>
      <c r="DKN143" s="15" t="s">
        <v>598</v>
      </c>
      <c r="DKO143" s="15" t="s">
        <v>598</v>
      </c>
      <c r="DKP143" s="15" t="s">
        <v>598</v>
      </c>
      <c r="DKQ143" s="15" t="s">
        <v>598</v>
      </c>
      <c r="DKR143" s="15" t="s">
        <v>598</v>
      </c>
      <c r="DKS143" s="15" t="s">
        <v>598</v>
      </c>
      <c r="DKT143" s="15" t="s">
        <v>598</v>
      </c>
      <c r="DKU143" s="15" t="s">
        <v>598</v>
      </c>
      <c r="DKV143" s="15" t="s">
        <v>598</v>
      </c>
      <c r="DKW143" s="15" t="s">
        <v>598</v>
      </c>
      <c r="DKX143" s="15" t="s">
        <v>598</v>
      </c>
      <c r="DKY143" s="15" t="s">
        <v>598</v>
      </c>
      <c r="DKZ143" s="15" t="s">
        <v>598</v>
      </c>
      <c r="DLA143" s="15" t="s">
        <v>598</v>
      </c>
      <c r="DLB143" s="15" t="s">
        <v>598</v>
      </c>
      <c r="DLC143" s="15" t="s">
        <v>598</v>
      </c>
      <c r="DLD143" s="15" t="s">
        <v>598</v>
      </c>
      <c r="DLE143" s="15" t="s">
        <v>598</v>
      </c>
      <c r="DLF143" s="15" t="s">
        <v>598</v>
      </c>
      <c r="DLG143" s="15" t="s">
        <v>598</v>
      </c>
      <c r="DLH143" s="15" t="s">
        <v>598</v>
      </c>
      <c r="DLI143" s="15" t="s">
        <v>598</v>
      </c>
      <c r="DLJ143" s="15" t="s">
        <v>598</v>
      </c>
      <c r="DLK143" s="15" t="s">
        <v>598</v>
      </c>
      <c r="DLL143" s="15" t="s">
        <v>598</v>
      </c>
      <c r="DLM143" s="15" t="s">
        <v>598</v>
      </c>
      <c r="DLN143" s="15" t="s">
        <v>598</v>
      </c>
      <c r="DLO143" s="15" t="s">
        <v>598</v>
      </c>
      <c r="DLP143" s="15" t="s">
        <v>598</v>
      </c>
      <c r="DLQ143" s="15" t="s">
        <v>598</v>
      </c>
      <c r="DLR143" s="15" t="s">
        <v>598</v>
      </c>
      <c r="DLS143" s="15" t="s">
        <v>598</v>
      </c>
      <c r="DLT143" s="15" t="s">
        <v>598</v>
      </c>
      <c r="DLU143" s="15" t="s">
        <v>598</v>
      </c>
      <c r="DLV143" s="15" t="s">
        <v>598</v>
      </c>
      <c r="DLW143" s="15" t="s">
        <v>598</v>
      </c>
      <c r="DLX143" s="15" t="s">
        <v>598</v>
      </c>
      <c r="DLY143" s="15" t="s">
        <v>598</v>
      </c>
      <c r="DLZ143" s="15" t="s">
        <v>598</v>
      </c>
      <c r="DMA143" s="15" t="s">
        <v>598</v>
      </c>
      <c r="DMB143" s="15" t="s">
        <v>598</v>
      </c>
      <c r="DMC143" s="15" t="s">
        <v>598</v>
      </c>
      <c r="DMD143" s="15" t="s">
        <v>598</v>
      </c>
      <c r="DME143" s="15" t="s">
        <v>598</v>
      </c>
      <c r="DMF143" s="15" t="s">
        <v>598</v>
      </c>
      <c r="DMG143" s="15" t="s">
        <v>598</v>
      </c>
      <c r="DMH143" s="15" t="s">
        <v>598</v>
      </c>
      <c r="DMI143" s="15" t="s">
        <v>598</v>
      </c>
      <c r="DMJ143" s="15" t="s">
        <v>598</v>
      </c>
      <c r="DMK143" s="15" t="s">
        <v>598</v>
      </c>
      <c r="DML143" s="15" t="s">
        <v>598</v>
      </c>
      <c r="DMM143" s="15" t="s">
        <v>598</v>
      </c>
      <c r="DMN143" s="15" t="s">
        <v>598</v>
      </c>
      <c r="DMO143" s="15" t="s">
        <v>598</v>
      </c>
      <c r="DMP143" s="15" t="s">
        <v>598</v>
      </c>
      <c r="DMQ143" s="15" t="s">
        <v>598</v>
      </c>
      <c r="DMR143" s="15" t="s">
        <v>598</v>
      </c>
      <c r="DMS143" s="15" t="s">
        <v>598</v>
      </c>
      <c r="DMT143" s="15" t="s">
        <v>598</v>
      </c>
      <c r="DMU143" s="15" t="s">
        <v>598</v>
      </c>
      <c r="DMV143" s="15" t="s">
        <v>598</v>
      </c>
      <c r="DMW143" s="15" t="s">
        <v>598</v>
      </c>
      <c r="DMX143" s="15" t="s">
        <v>598</v>
      </c>
      <c r="DMY143" s="15" t="s">
        <v>598</v>
      </c>
      <c r="DMZ143" s="15" t="s">
        <v>598</v>
      </c>
      <c r="DNA143" s="15" t="s">
        <v>598</v>
      </c>
      <c r="DNB143" s="15" t="s">
        <v>598</v>
      </c>
      <c r="DNC143" s="15" t="s">
        <v>598</v>
      </c>
      <c r="DND143" s="15" t="s">
        <v>598</v>
      </c>
      <c r="DNE143" s="15" t="s">
        <v>598</v>
      </c>
      <c r="DNF143" s="15" t="s">
        <v>598</v>
      </c>
      <c r="DNG143" s="15" t="s">
        <v>598</v>
      </c>
      <c r="DNH143" s="15" t="s">
        <v>598</v>
      </c>
      <c r="DNI143" s="15" t="s">
        <v>598</v>
      </c>
      <c r="DNJ143" s="15" t="s">
        <v>598</v>
      </c>
      <c r="DNK143" s="15" t="s">
        <v>598</v>
      </c>
      <c r="DNL143" s="15" t="s">
        <v>598</v>
      </c>
      <c r="DNM143" s="15" t="s">
        <v>598</v>
      </c>
      <c r="DNN143" s="15" t="s">
        <v>598</v>
      </c>
      <c r="DNO143" s="15" t="s">
        <v>598</v>
      </c>
      <c r="DNP143" s="15" t="s">
        <v>598</v>
      </c>
      <c r="DNQ143" s="15" t="s">
        <v>598</v>
      </c>
      <c r="DNR143" s="15" t="s">
        <v>598</v>
      </c>
      <c r="DNS143" s="15" t="s">
        <v>598</v>
      </c>
      <c r="DNT143" s="15" t="s">
        <v>598</v>
      </c>
      <c r="DNU143" s="15" t="s">
        <v>598</v>
      </c>
      <c r="DNV143" s="15" t="s">
        <v>598</v>
      </c>
      <c r="DNW143" s="15" t="s">
        <v>598</v>
      </c>
      <c r="DNX143" s="15" t="s">
        <v>598</v>
      </c>
      <c r="DNY143" s="15" t="s">
        <v>598</v>
      </c>
      <c r="DNZ143" s="15" t="s">
        <v>598</v>
      </c>
      <c r="DOA143" s="15" t="s">
        <v>598</v>
      </c>
      <c r="DOB143" s="15" t="s">
        <v>598</v>
      </c>
      <c r="DOC143" s="15" t="s">
        <v>598</v>
      </c>
      <c r="DOD143" s="15" t="s">
        <v>598</v>
      </c>
      <c r="DOE143" s="15" t="s">
        <v>598</v>
      </c>
      <c r="DOF143" s="15" t="s">
        <v>598</v>
      </c>
      <c r="DOG143" s="15" t="s">
        <v>598</v>
      </c>
      <c r="DOH143" s="15" t="s">
        <v>598</v>
      </c>
      <c r="DOI143" s="15" t="s">
        <v>598</v>
      </c>
      <c r="DOJ143" s="15" t="s">
        <v>598</v>
      </c>
      <c r="DOK143" s="15" t="s">
        <v>598</v>
      </c>
      <c r="DOL143" s="15" t="s">
        <v>598</v>
      </c>
      <c r="DOM143" s="15" t="s">
        <v>598</v>
      </c>
      <c r="DON143" s="15" t="s">
        <v>598</v>
      </c>
      <c r="DOO143" s="15" t="s">
        <v>598</v>
      </c>
      <c r="DOP143" s="15" t="s">
        <v>598</v>
      </c>
      <c r="DOQ143" s="15" t="s">
        <v>598</v>
      </c>
      <c r="DOR143" s="15" t="s">
        <v>598</v>
      </c>
      <c r="DOS143" s="15" t="s">
        <v>598</v>
      </c>
      <c r="DOT143" s="15" t="s">
        <v>598</v>
      </c>
      <c r="DOU143" s="15" t="s">
        <v>598</v>
      </c>
      <c r="DOV143" s="15" t="s">
        <v>598</v>
      </c>
      <c r="DOW143" s="15" t="s">
        <v>598</v>
      </c>
      <c r="DOX143" s="15" t="s">
        <v>598</v>
      </c>
      <c r="DOY143" s="15" t="s">
        <v>598</v>
      </c>
      <c r="DOZ143" s="15" t="s">
        <v>598</v>
      </c>
      <c r="DPA143" s="15" t="s">
        <v>598</v>
      </c>
      <c r="DPB143" s="15" t="s">
        <v>598</v>
      </c>
      <c r="DPC143" s="15" t="s">
        <v>598</v>
      </c>
      <c r="DPD143" s="15" t="s">
        <v>598</v>
      </c>
      <c r="DPE143" s="15" t="s">
        <v>598</v>
      </c>
      <c r="DPF143" s="15" t="s">
        <v>598</v>
      </c>
      <c r="DPG143" s="15" t="s">
        <v>598</v>
      </c>
      <c r="DPH143" s="15" t="s">
        <v>598</v>
      </c>
      <c r="DPI143" s="15" t="s">
        <v>598</v>
      </c>
      <c r="DPJ143" s="15" t="s">
        <v>598</v>
      </c>
      <c r="DPK143" s="15" t="s">
        <v>598</v>
      </c>
      <c r="DPL143" s="15" t="s">
        <v>598</v>
      </c>
      <c r="DPM143" s="15" t="s">
        <v>598</v>
      </c>
      <c r="DPN143" s="15" t="s">
        <v>598</v>
      </c>
      <c r="DPO143" s="15" t="s">
        <v>598</v>
      </c>
      <c r="DPP143" s="15" t="s">
        <v>598</v>
      </c>
      <c r="DPQ143" s="15" t="s">
        <v>598</v>
      </c>
      <c r="DPR143" s="15" t="s">
        <v>598</v>
      </c>
      <c r="DPS143" s="15" t="s">
        <v>598</v>
      </c>
      <c r="DPT143" s="15" t="s">
        <v>598</v>
      </c>
      <c r="DPU143" s="15" t="s">
        <v>598</v>
      </c>
      <c r="DPV143" s="15" t="s">
        <v>598</v>
      </c>
      <c r="DPW143" s="15" t="s">
        <v>598</v>
      </c>
      <c r="DPX143" s="15" t="s">
        <v>598</v>
      </c>
      <c r="DPY143" s="15" t="s">
        <v>598</v>
      </c>
      <c r="DPZ143" s="15" t="s">
        <v>598</v>
      </c>
      <c r="DQA143" s="15" t="s">
        <v>598</v>
      </c>
      <c r="DQB143" s="15" t="s">
        <v>598</v>
      </c>
      <c r="DQC143" s="15" t="s">
        <v>598</v>
      </c>
      <c r="DQD143" s="15" t="s">
        <v>598</v>
      </c>
      <c r="DQE143" s="15" t="s">
        <v>598</v>
      </c>
      <c r="DQF143" s="15" t="s">
        <v>598</v>
      </c>
      <c r="DQG143" s="15" t="s">
        <v>598</v>
      </c>
      <c r="DQH143" s="15" t="s">
        <v>598</v>
      </c>
      <c r="DQI143" s="15" t="s">
        <v>598</v>
      </c>
      <c r="DQJ143" s="15" t="s">
        <v>598</v>
      </c>
      <c r="DQK143" s="15" t="s">
        <v>598</v>
      </c>
      <c r="DQL143" s="15" t="s">
        <v>598</v>
      </c>
      <c r="DQM143" s="15" t="s">
        <v>598</v>
      </c>
      <c r="DQN143" s="15" t="s">
        <v>598</v>
      </c>
      <c r="DQO143" s="15" t="s">
        <v>598</v>
      </c>
      <c r="DQP143" s="15" t="s">
        <v>598</v>
      </c>
      <c r="DQQ143" s="15" t="s">
        <v>598</v>
      </c>
      <c r="DQR143" s="15" t="s">
        <v>598</v>
      </c>
      <c r="DQS143" s="15" t="s">
        <v>598</v>
      </c>
      <c r="DQT143" s="15" t="s">
        <v>598</v>
      </c>
      <c r="DQU143" s="15" t="s">
        <v>598</v>
      </c>
      <c r="DQV143" s="15" t="s">
        <v>598</v>
      </c>
      <c r="DQW143" s="15" t="s">
        <v>598</v>
      </c>
      <c r="DQX143" s="15" t="s">
        <v>598</v>
      </c>
      <c r="DQY143" s="15" t="s">
        <v>598</v>
      </c>
      <c r="DQZ143" s="15" t="s">
        <v>598</v>
      </c>
      <c r="DRA143" s="15" t="s">
        <v>598</v>
      </c>
      <c r="DRB143" s="15" t="s">
        <v>598</v>
      </c>
      <c r="DRC143" s="15" t="s">
        <v>598</v>
      </c>
      <c r="DRD143" s="15" t="s">
        <v>598</v>
      </c>
      <c r="DRE143" s="15" t="s">
        <v>598</v>
      </c>
      <c r="DRF143" s="15" t="s">
        <v>598</v>
      </c>
      <c r="DRG143" s="15" t="s">
        <v>598</v>
      </c>
      <c r="DRH143" s="15" t="s">
        <v>598</v>
      </c>
      <c r="DRI143" s="15" t="s">
        <v>598</v>
      </c>
      <c r="DRJ143" s="15" t="s">
        <v>598</v>
      </c>
      <c r="DRK143" s="15" t="s">
        <v>598</v>
      </c>
      <c r="DRL143" s="15" t="s">
        <v>598</v>
      </c>
      <c r="DRM143" s="15" t="s">
        <v>598</v>
      </c>
      <c r="DRN143" s="15" t="s">
        <v>598</v>
      </c>
      <c r="DRO143" s="15" t="s">
        <v>598</v>
      </c>
      <c r="DRP143" s="15" t="s">
        <v>598</v>
      </c>
      <c r="DRQ143" s="15" t="s">
        <v>598</v>
      </c>
      <c r="DRR143" s="15" t="s">
        <v>598</v>
      </c>
      <c r="DRS143" s="15" t="s">
        <v>598</v>
      </c>
      <c r="DRT143" s="15" t="s">
        <v>598</v>
      </c>
      <c r="DRU143" s="15" t="s">
        <v>598</v>
      </c>
      <c r="DRV143" s="15" t="s">
        <v>598</v>
      </c>
      <c r="DRW143" s="15" t="s">
        <v>598</v>
      </c>
      <c r="DRX143" s="15" t="s">
        <v>598</v>
      </c>
      <c r="DRY143" s="15" t="s">
        <v>598</v>
      </c>
      <c r="DRZ143" s="15" t="s">
        <v>598</v>
      </c>
      <c r="DSA143" s="15" t="s">
        <v>598</v>
      </c>
      <c r="DSB143" s="15" t="s">
        <v>598</v>
      </c>
      <c r="DSC143" s="15" t="s">
        <v>598</v>
      </c>
      <c r="DSD143" s="15" t="s">
        <v>598</v>
      </c>
      <c r="DSE143" s="15" t="s">
        <v>598</v>
      </c>
      <c r="DSF143" s="15" t="s">
        <v>598</v>
      </c>
      <c r="DSG143" s="15" t="s">
        <v>598</v>
      </c>
      <c r="DSH143" s="15" t="s">
        <v>598</v>
      </c>
      <c r="DSI143" s="15" t="s">
        <v>598</v>
      </c>
      <c r="DSJ143" s="15" t="s">
        <v>598</v>
      </c>
      <c r="DSK143" s="15" t="s">
        <v>598</v>
      </c>
      <c r="DSL143" s="15" t="s">
        <v>598</v>
      </c>
      <c r="DSM143" s="15" t="s">
        <v>598</v>
      </c>
      <c r="DSN143" s="15" t="s">
        <v>598</v>
      </c>
      <c r="DSO143" s="15" t="s">
        <v>598</v>
      </c>
      <c r="DSP143" s="15" t="s">
        <v>598</v>
      </c>
      <c r="DSQ143" s="15" t="s">
        <v>598</v>
      </c>
      <c r="DSR143" s="15" t="s">
        <v>598</v>
      </c>
      <c r="DSS143" s="15" t="s">
        <v>598</v>
      </c>
      <c r="DST143" s="15" t="s">
        <v>598</v>
      </c>
      <c r="DSU143" s="15" t="s">
        <v>598</v>
      </c>
      <c r="DSV143" s="15" t="s">
        <v>598</v>
      </c>
      <c r="DSW143" s="15" t="s">
        <v>598</v>
      </c>
      <c r="DSX143" s="15" t="s">
        <v>598</v>
      </c>
      <c r="DSY143" s="15" t="s">
        <v>598</v>
      </c>
      <c r="DSZ143" s="15" t="s">
        <v>598</v>
      </c>
      <c r="DTA143" s="15" t="s">
        <v>598</v>
      </c>
      <c r="DTB143" s="15" t="s">
        <v>598</v>
      </c>
      <c r="DTC143" s="15" t="s">
        <v>598</v>
      </c>
      <c r="DTD143" s="15" t="s">
        <v>598</v>
      </c>
      <c r="DTE143" s="15" t="s">
        <v>598</v>
      </c>
      <c r="DTF143" s="15" t="s">
        <v>598</v>
      </c>
      <c r="DTG143" s="15" t="s">
        <v>598</v>
      </c>
      <c r="DTH143" s="15" t="s">
        <v>598</v>
      </c>
      <c r="DTI143" s="15" t="s">
        <v>598</v>
      </c>
      <c r="DTJ143" s="15" t="s">
        <v>598</v>
      </c>
      <c r="DTK143" s="15" t="s">
        <v>598</v>
      </c>
      <c r="DTL143" s="15" t="s">
        <v>598</v>
      </c>
      <c r="DTM143" s="15" t="s">
        <v>598</v>
      </c>
      <c r="DTN143" s="15" t="s">
        <v>598</v>
      </c>
      <c r="DTO143" s="15" t="s">
        <v>598</v>
      </c>
      <c r="DTP143" s="15" t="s">
        <v>598</v>
      </c>
      <c r="DTQ143" s="15" t="s">
        <v>598</v>
      </c>
      <c r="DTR143" s="15" t="s">
        <v>598</v>
      </c>
      <c r="DTS143" s="15" t="s">
        <v>598</v>
      </c>
      <c r="DTT143" s="15" t="s">
        <v>598</v>
      </c>
      <c r="DTU143" s="15" t="s">
        <v>598</v>
      </c>
      <c r="DTV143" s="15" t="s">
        <v>598</v>
      </c>
      <c r="DTW143" s="15" t="s">
        <v>598</v>
      </c>
      <c r="DTX143" s="15" t="s">
        <v>598</v>
      </c>
      <c r="DTY143" s="15" t="s">
        <v>598</v>
      </c>
      <c r="DTZ143" s="15" t="s">
        <v>598</v>
      </c>
      <c r="DUA143" s="15" t="s">
        <v>598</v>
      </c>
      <c r="DUB143" s="15" t="s">
        <v>598</v>
      </c>
      <c r="DUC143" s="15" t="s">
        <v>598</v>
      </c>
      <c r="DUD143" s="15" t="s">
        <v>598</v>
      </c>
      <c r="DUE143" s="15" t="s">
        <v>598</v>
      </c>
      <c r="DUF143" s="15" t="s">
        <v>598</v>
      </c>
      <c r="DUG143" s="15" t="s">
        <v>598</v>
      </c>
      <c r="DUH143" s="15" t="s">
        <v>598</v>
      </c>
      <c r="DUI143" s="15" t="s">
        <v>598</v>
      </c>
      <c r="DUJ143" s="15" t="s">
        <v>598</v>
      </c>
      <c r="DUK143" s="15" t="s">
        <v>598</v>
      </c>
      <c r="DUL143" s="15" t="s">
        <v>598</v>
      </c>
      <c r="DUM143" s="15" t="s">
        <v>598</v>
      </c>
      <c r="DUN143" s="15" t="s">
        <v>598</v>
      </c>
      <c r="DUO143" s="15" t="s">
        <v>598</v>
      </c>
      <c r="DUP143" s="15" t="s">
        <v>598</v>
      </c>
      <c r="DUQ143" s="15" t="s">
        <v>598</v>
      </c>
      <c r="DUR143" s="15" t="s">
        <v>598</v>
      </c>
      <c r="DUS143" s="15" t="s">
        <v>598</v>
      </c>
      <c r="DUT143" s="15" t="s">
        <v>598</v>
      </c>
      <c r="DUU143" s="15" t="s">
        <v>598</v>
      </c>
      <c r="DUV143" s="15" t="s">
        <v>598</v>
      </c>
      <c r="DUW143" s="15" t="s">
        <v>598</v>
      </c>
      <c r="DUX143" s="15" t="s">
        <v>598</v>
      </c>
      <c r="DUY143" s="15" t="s">
        <v>598</v>
      </c>
      <c r="DUZ143" s="15" t="s">
        <v>598</v>
      </c>
      <c r="DVA143" s="15" t="s">
        <v>598</v>
      </c>
      <c r="DVB143" s="15" t="s">
        <v>598</v>
      </c>
      <c r="DVC143" s="15" t="s">
        <v>598</v>
      </c>
      <c r="DVD143" s="15" t="s">
        <v>598</v>
      </c>
      <c r="DVE143" s="15" t="s">
        <v>598</v>
      </c>
      <c r="DVF143" s="15" t="s">
        <v>598</v>
      </c>
      <c r="DVG143" s="15" t="s">
        <v>598</v>
      </c>
      <c r="DVH143" s="15" t="s">
        <v>598</v>
      </c>
      <c r="DVI143" s="15" t="s">
        <v>598</v>
      </c>
      <c r="DVJ143" s="15" t="s">
        <v>598</v>
      </c>
      <c r="DVK143" s="15" t="s">
        <v>598</v>
      </c>
      <c r="DVL143" s="15" t="s">
        <v>598</v>
      </c>
      <c r="DVM143" s="15" t="s">
        <v>598</v>
      </c>
      <c r="DVN143" s="15" t="s">
        <v>598</v>
      </c>
      <c r="DVO143" s="15" t="s">
        <v>598</v>
      </c>
      <c r="DVP143" s="15" t="s">
        <v>598</v>
      </c>
      <c r="DVQ143" s="15" t="s">
        <v>598</v>
      </c>
      <c r="DVR143" s="15" t="s">
        <v>598</v>
      </c>
      <c r="DVS143" s="15" t="s">
        <v>598</v>
      </c>
      <c r="DVT143" s="15" t="s">
        <v>598</v>
      </c>
      <c r="DVU143" s="15" t="s">
        <v>598</v>
      </c>
      <c r="DVV143" s="15" t="s">
        <v>598</v>
      </c>
      <c r="DVW143" s="15" t="s">
        <v>598</v>
      </c>
      <c r="DVX143" s="15" t="s">
        <v>598</v>
      </c>
      <c r="DVY143" s="15" t="s">
        <v>598</v>
      </c>
      <c r="DVZ143" s="15" t="s">
        <v>598</v>
      </c>
      <c r="DWA143" s="15" t="s">
        <v>598</v>
      </c>
      <c r="DWB143" s="15" t="s">
        <v>598</v>
      </c>
      <c r="DWC143" s="15" t="s">
        <v>598</v>
      </c>
      <c r="DWD143" s="15" t="s">
        <v>598</v>
      </c>
      <c r="DWE143" s="15" t="s">
        <v>598</v>
      </c>
      <c r="DWF143" s="15" t="s">
        <v>598</v>
      </c>
      <c r="DWG143" s="15" t="s">
        <v>598</v>
      </c>
      <c r="DWH143" s="15" t="s">
        <v>598</v>
      </c>
      <c r="DWI143" s="15" t="s">
        <v>598</v>
      </c>
      <c r="DWJ143" s="15" t="s">
        <v>598</v>
      </c>
      <c r="DWK143" s="15" t="s">
        <v>598</v>
      </c>
      <c r="DWL143" s="15" t="s">
        <v>598</v>
      </c>
      <c r="DWM143" s="15" t="s">
        <v>598</v>
      </c>
      <c r="DWN143" s="15" t="s">
        <v>598</v>
      </c>
      <c r="DWO143" s="15" t="s">
        <v>598</v>
      </c>
      <c r="DWP143" s="15" t="s">
        <v>598</v>
      </c>
      <c r="DWQ143" s="15" t="s">
        <v>598</v>
      </c>
      <c r="DWR143" s="15" t="s">
        <v>598</v>
      </c>
      <c r="DWS143" s="15" t="s">
        <v>598</v>
      </c>
      <c r="DWT143" s="15" t="s">
        <v>598</v>
      </c>
      <c r="DWU143" s="15" t="s">
        <v>598</v>
      </c>
      <c r="DWV143" s="15" t="s">
        <v>598</v>
      </c>
      <c r="DWW143" s="15" t="s">
        <v>598</v>
      </c>
      <c r="DWX143" s="15" t="s">
        <v>598</v>
      </c>
      <c r="DWY143" s="15" t="s">
        <v>598</v>
      </c>
      <c r="DWZ143" s="15" t="s">
        <v>598</v>
      </c>
      <c r="DXA143" s="15" t="s">
        <v>598</v>
      </c>
      <c r="DXB143" s="15" t="s">
        <v>598</v>
      </c>
      <c r="DXC143" s="15" t="s">
        <v>598</v>
      </c>
      <c r="DXD143" s="15" t="s">
        <v>598</v>
      </c>
      <c r="DXE143" s="15" t="s">
        <v>598</v>
      </c>
      <c r="DXF143" s="15" t="s">
        <v>598</v>
      </c>
      <c r="DXG143" s="15" t="s">
        <v>598</v>
      </c>
      <c r="DXH143" s="15" t="s">
        <v>598</v>
      </c>
      <c r="DXI143" s="15" t="s">
        <v>598</v>
      </c>
      <c r="DXJ143" s="15" t="s">
        <v>598</v>
      </c>
      <c r="DXK143" s="15" t="s">
        <v>598</v>
      </c>
      <c r="DXL143" s="15" t="s">
        <v>598</v>
      </c>
      <c r="DXM143" s="15" t="s">
        <v>598</v>
      </c>
      <c r="DXN143" s="15" t="s">
        <v>598</v>
      </c>
      <c r="DXO143" s="15" t="s">
        <v>598</v>
      </c>
      <c r="DXP143" s="15" t="s">
        <v>598</v>
      </c>
      <c r="DXQ143" s="15" t="s">
        <v>598</v>
      </c>
      <c r="DXR143" s="15" t="s">
        <v>598</v>
      </c>
      <c r="DXS143" s="15" t="s">
        <v>598</v>
      </c>
      <c r="DXT143" s="15" t="s">
        <v>598</v>
      </c>
      <c r="DXU143" s="15" t="s">
        <v>598</v>
      </c>
      <c r="DXV143" s="15" t="s">
        <v>598</v>
      </c>
      <c r="DXW143" s="15" t="s">
        <v>598</v>
      </c>
      <c r="DXX143" s="15" t="s">
        <v>598</v>
      </c>
      <c r="DXY143" s="15" t="s">
        <v>598</v>
      </c>
      <c r="DXZ143" s="15" t="s">
        <v>598</v>
      </c>
      <c r="DYA143" s="15" t="s">
        <v>598</v>
      </c>
      <c r="DYB143" s="15" t="s">
        <v>598</v>
      </c>
      <c r="DYC143" s="15" t="s">
        <v>598</v>
      </c>
      <c r="DYD143" s="15" t="s">
        <v>598</v>
      </c>
      <c r="DYE143" s="15" t="s">
        <v>598</v>
      </c>
      <c r="DYF143" s="15" t="s">
        <v>598</v>
      </c>
      <c r="DYG143" s="15" t="s">
        <v>598</v>
      </c>
      <c r="DYH143" s="15" t="s">
        <v>598</v>
      </c>
      <c r="DYI143" s="15" t="s">
        <v>598</v>
      </c>
      <c r="DYJ143" s="15" t="s">
        <v>598</v>
      </c>
      <c r="DYK143" s="15" t="s">
        <v>598</v>
      </c>
      <c r="DYL143" s="15" t="s">
        <v>598</v>
      </c>
      <c r="DYM143" s="15" t="s">
        <v>598</v>
      </c>
      <c r="DYN143" s="15" t="s">
        <v>598</v>
      </c>
      <c r="DYO143" s="15" t="s">
        <v>598</v>
      </c>
      <c r="DYP143" s="15" t="s">
        <v>598</v>
      </c>
      <c r="DYQ143" s="15" t="s">
        <v>598</v>
      </c>
      <c r="DYR143" s="15" t="s">
        <v>598</v>
      </c>
      <c r="DYS143" s="15" t="s">
        <v>598</v>
      </c>
      <c r="DYT143" s="15" t="s">
        <v>598</v>
      </c>
      <c r="DYU143" s="15" t="s">
        <v>598</v>
      </c>
      <c r="DYV143" s="15" t="s">
        <v>598</v>
      </c>
      <c r="DYW143" s="15" t="s">
        <v>598</v>
      </c>
      <c r="DYX143" s="15" t="s">
        <v>598</v>
      </c>
      <c r="DYY143" s="15" t="s">
        <v>598</v>
      </c>
      <c r="DYZ143" s="15" t="s">
        <v>598</v>
      </c>
      <c r="DZA143" s="15" t="s">
        <v>598</v>
      </c>
      <c r="DZB143" s="15" t="s">
        <v>598</v>
      </c>
      <c r="DZC143" s="15" t="s">
        <v>598</v>
      </c>
      <c r="DZD143" s="15" t="s">
        <v>598</v>
      </c>
      <c r="DZE143" s="15" t="s">
        <v>598</v>
      </c>
      <c r="DZF143" s="15" t="s">
        <v>598</v>
      </c>
      <c r="DZG143" s="15" t="s">
        <v>598</v>
      </c>
      <c r="DZH143" s="15" t="s">
        <v>598</v>
      </c>
      <c r="DZI143" s="15" t="s">
        <v>598</v>
      </c>
      <c r="DZJ143" s="15" t="s">
        <v>598</v>
      </c>
      <c r="DZK143" s="15" t="s">
        <v>598</v>
      </c>
      <c r="DZL143" s="15" t="s">
        <v>598</v>
      </c>
      <c r="DZM143" s="15" t="s">
        <v>598</v>
      </c>
      <c r="DZN143" s="15" t="s">
        <v>598</v>
      </c>
      <c r="DZO143" s="15" t="s">
        <v>598</v>
      </c>
      <c r="DZP143" s="15" t="s">
        <v>598</v>
      </c>
      <c r="DZQ143" s="15" t="s">
        <v>598</v>
      </c>
      <c r="DZR143" s="15" t="s">
        <v>598</v>
      </c>
      <c r="DZS143" s="15" t="s">
        <v>598</v>
      </c>
      <c r="DZT143" s="15" t="s">
        <v>598</v>
      </c>
      <c r="DZU143" s="15" t="s">
        <v>598</v>
      </c>
      <c r="DZV143" s="15" t="s">
        <v>598</v>
      </c>
      <c r="DZW143" s="15" t="s">
        <v>598</v>
      </c>
      <c r="DZX143" s="15" t="s">
        <v>598</v>
      </c>
      <c r="DZY143" s="15" t="s">
        <v>598</v>
      </c>
      <c r="DZZ143" s="15" t="s">
        <v>598</v>
      </c>
      <c r="EAA143" s="15" t="s">
        <v>598</v>
      </c>
      <c r="EAB143" s="15" t="s">
        <v>598</v>
      </c>
      <c r="EAC143" s="15" t="s">
        <v>598</v>
      </c>
      <c r="EAD143" s="15" t="s">
        <v>598</v>
      </c>
      <c r="EAE143" s="15" t="s">
        <v>598</v>
      </c>
      <c r="EAF143" s="15" t="s">
        <v>598</v>
      </c>
      <c r="EAG143" s="15" t="s">
        <v>598</v>
      </c>
      <c r="EAH143" s="15" t="s">
        <v>598</v>
      </c>
      <c r="EAI143" s="15" t="s">
        <v>598</v>
      </c>
      <c r="EAJ143" s="15" t="s">
        <v>598</v>
      </c>
      <c r="EAK143" s="15" t="s">
        <v>598</v>
      </c>
      <c r="EAL143" s="15" t="s">
        <v>598</v>
      </c>
      <c r="EAM143" s="15" t="s">
        <v>598</v>
      </c>
      <c r="EAN143" s="15" t="s">
        <v>598</v>
      </c>
      <c r="EAO143" s="15" t="s">
        <v>598</v>
      </c>
      <c r="EAP143" s="15" t="s">
        <v>598</v>
      </c>
      <c r="EAQ143" s="15" t="s">
        <v>598</v>
      </c>
      <c r="EAR143" s="15" t="s">
        <v>598</v>
      </c>
      <c r="EAS143" s="15" t="s">
        <v>598</v>
      </c>
      <c r="EAT143" s="15" t="s">
        <v>598</v>
      </c>
      <c r="EAU143" s="15" t="s">
        <v>598</v>
      </c>
      <c r="EAV143" s="15" t="s">
        <v>598</v>
      </c>
      <c r="EAW143" s="15" t="s">
        <v>598</v>
      </c>
      <c r="EAX143" s="15" t="s">
        <v>598</v>
      </c>
      <c r="EAY143" s="15" t="s">
        <v>598</v>
      </c>
      <c r="EAZ143" s="15" t="s">
        <v>598</v>
      </c>
      <c r="EBA143" s="15" t="s">
        <v>598</v>
      </c>
      <c r="EBB143" s="15" t="s">
        <v>598</v>
      </c>
      <c r="EBC143" s="15" t="s">
        <v>598</v>
      </c>
      <c r="EBD143" s="15" t="s">
        <v>598</v>
      </c>
      <c r="EBE143" s="15" t="s">
        <v>598</v>
      </c>
      <c r="EBF143" s="15" t="s">
        <v>598</v>
      </c>
      <c r="EBG143" s="15" t="s">
        <v>598</v>
      </c>
      <c r="EBH143" s="15" t="s">
        <v>598</v>
      </c>
      <c r="EBI143" s="15" t="s">
        <v>598</v>
      </c>
      <c r="EBJ143" s="15" t="s">
        <v>598</v>
      </c>
      <c r="EBK143" s="15" t="s">
        <v>598</v>
      </c>
      <c r="EBL143" s="15" t="s">
        <v>598</v>
      </c>
      <c r="EBM143" s="15" t="s">
        <v>598</v>
      </c>
      <c r="EBN143" s="15" t="s">
        <v>598</v>
      </c>
      <c r="EBO143" s="15" t="s">
        <v>598</v>
      </c>
      <c r="EBP143" s="15" t="s">
        <v>598</v>
      </c>
      <c r="EBQ143" s="15" t="s">
        <v>598</v>
      </c>
      <c r="EBR143" s="15" t="s">
        <v>598</v>
      </c>
      <c r="EBS143" s="15" t="s">
        <v>598</v>
      </c>
      <c r="EBT143" s="15" t="s">
        <v>598</v>
      </c>
      <c r="EBU143" s="15" t="s">
        <v>598</v>
      </c>
      <c r="EBV143" s="15" t="s">
        <v>598</v>
      </c>
      <c r="EBW143" s="15" t="s">
        <v>598</v>
      </c>
      <c r="EBX143" s="15" t="s">
        <v>598</v>
      </c>
      <c r="EBY143" s="15" t="s">
        <v>598</v>
      </c>
      <c r="EBZ143" s="15" t="s">
        <v>598</v>
      </c>
      <c r="ECA143" s="15" t="s">
        <v>598</v>
      </c>
      <c r="ECB143" s="15" t="s">
        <v>598</v>
      </c>
      <c r="ECC143" s="15" t="s">
        <v>598</v>
      </c>
      <c r="ECD143" s="15" t="s">
        <v>598</v>
      </c>
      <c r="ECE143" s="15" t="s">
        <v>598</v>
      </c>
      <c r="ECF143" s="15" t="s">
        <v>598</v>
      </c>
      <c r="ECG143" s="15" t="s">
        <v>598</v>
      </c>
      <c r="ECH143" s="15" t="s">
        <v>598</v>
      </c>
      <c r="ECI143" s="15" t="s">
        <v>598</v>
      </c>
      <c r="ECJ143" s="15" t="s">
        <v>598</v>
      </c>
      <c r="ECK143" s="15" t="s">
        <v>598</v>
      </c>
      <c r="ECL143" s="15" t="s">
        <v>598</v>
      </c>
      <c r="ECM143" s="15" t="s">
        <v>598</v>
      </c>
      <c r="ECN143" s="15" t="s">
        <v>598</v>
      </c>
      <c r="ECO143" s="15" t="s">
        <v>598</v>
      </c>
      <c r="ECP143" s="15" t="s">
        <v>598</v>
      </c>
      <c r="ECQ143" s="15" t="s">
        <v>598</v>
      </c>
      <c r="ECR143" s="15" t="s">
        <v>598</v>
      </c>
      <c r="ECS143" s="15" t="s">
        <v>598</v>
      </c>
      <c r="ECT143" s="15" t="s">
        <v>598</v>
      </c>
      <c r="ECU143" s="15" t="s">
        <v>598</v>
      </c>
      <c r="ECV143" s="15" t="s">
        <v>598</v>
      </c>
      <c r="ECW143" s="15" t="s">
        <v>598</v>
      </c>
      <c r="ECX143" s="15" t="s">
        <v>598</v>
      </c>
      <c r="ECY143" s="15" t="s">
        <v>598</v>
      </c>
      <c r="ECZ143" s="15" t="s">
        <v>598</v>
      </c>
      <c r="EDA143" s="15" t="s">
        <v>598</v>
      </c>
      <c r="EDB143" s="15" t="s">
        <v>598</v>
      </c>
      <c r="EDC143" s="15" t="s">
        <v>598</v>
      </c>
      <c r="EDD143" s="15" t="s">
        <v>598</v>
      </c>
      <c r="EDE143" s="15" t="s">
        <v>598</v>
      </c>
      <c r="EDF143" s="15" t="s">
        <v>598</v>
      </c>
      <c r="EDG143" s="15" t="s">
        <v>598</v>
      </c>
      <c r="EDH143" s="15" t="s">
        <v>598</v>
      </c>
      <c r="EDI143" s="15" t="s">
        <v>598</v>
      </c>
      <c r="EDJ143" s="15" t="s">
        <v>598</v>
      </c>
      <c r="EDK143" s="15" t="s">
        <v>598</v>
      </c>
      <c r="EDL143" s="15" t="s">
        <v>598</v>
      </c>
      <c r="EDM143" s="15" t="s">
        <v>598</v>
      </c>
      <c r="EDN143" s="15" t="s">
        <v>598</v>
      </c>
      <c r="EDO143" s="15" t="s">
        <v>598</v>
      </c>
      <c r="EDP143" s="15" t="s">
        <v>598</v>
      </c>
      <c r="EDQ143" s="15" t="s">
        <v>598</v>
      </c>
      <c r="EDR143" s="15" t="s">
        <v>598</v>
      </c>
      <c r="EDS143" s="15" t="s">
        <v>598</v>
      </c>
      <c r="EDT143" s="15" t="s">
        <v>598</v>
      </c>
      <c r="EDU143" s="15" t="s">
        <v>598</v>
      </c>
      <c r="EDV143" s="15" t="s">
        <v>598</v>
      </c>
      <c r="EDW143" s="15" t="s">
        <v>598</v>
      </c>
      <c r="EDX143" s="15" t="s">
        <v>598</v>
      </c>
      <c r="EDY143" s="15" t="s">
        <v>598</v>
      </c>
      <c r="EDZ143" s="15" t="s">
        <v>598</v>
      </c>
      <c r="EEA143" s="15" t="s">
        <v>598</v>
      </c>
      <c r="EEB143" s="15" t="s">
        <v>598</v>
      </c>
      <c r="EEC143" s="15" t="s">
        <v>598</v>
      </c>
      <c r="EED143" s="15" t="s">
        <v>598</v>
      </c>
      <c r="EEE143" s="15" t="s">
        <v>598</v>
      </c>
      <c r="EEF143" s="15" t="s">
        <v>598</v>
      </c>
      <c r="EEG143" s="15" t="s">
        <v>598</v>
      </c>
      <c r="EEH143" s="15" t="s">
        <v>598</v>
      </c>
      <c r="EEI143" s="15" t="s">
        <v>598</v>
      </c>
      <c r="EEJ143" s="15" t="s">
        <v>598</v>
      </c>
      <c r="EEK143" s="15" t="s">
        <v>598</v>
      </c>
      <c r="EEL143" s="15" t="s">
        <v>598</v>
      </c>
      <c r="EEM143" s="15" t="s">
        <v>598</v>
      </c>
      <c r="EEN143" s="15" t="s">
        <v>598</v>
      </c>
      <c r="EEO143" s="15" t="s">
        <v>598</v>
      </c>
      <c r="EEP143" s="15" t="s">
        <v>598</v>
      </c>
      <c r="EEQ143" s="15" t="s">
        <v>598</v>
      </c>
      <c r="EER143" s="15" t="s">
        <v>598</v>
      </c>
      <c r="EES143" s="15" t="s">
        <v>598</v>
      </c>
      <c r="EET143" s="15" t="s">
        <v>598</v>
      </c>
      <c r="EEU143" s="15" t="s">
        <v>598</v>
      </c>
      <c r="EEV143" s="15" t="s">
        <v>598</v>
      </c>
      <c r="EEW143" s="15" t="s">
        <v>598</v>
      </c>
      <c r="EEX143" s="15" t="s">
        <v>598</v>
      </c>
      <c r="EEY143" s="15" t="s">
        <v>598</v>
      </c>
      <c r="EEZ143" s="15" t="s">
        <v>598</v>
      </c>
      <c r="EFA143" s="15" t="s">
        <v>598</v>
      </c>
      <c r="EFB143" s="15" t="s">
        <v>598</v>
      </c>
      <c r="EFC143" s="15" t="s">
        <v>598</v>
      </c>
      <c r="EFD143" s="15" t="s">
        <v>598</v>
      </c>
      <c r="EFE143" s="15" t="s">
        <v>598</v>
      </c>
      <c r="EFF143" s="15" t="s">
        <v>598</v>
      </c>
      <c r="EFG143" s="15" t="s">
        <v>598</v>
      </c>
      <c r="EFH143" s="15" t="s">
        <v>598</v>
      </c>
      <c r="EFI143" s="15" t="s">
        <v>598</v>
      </c>
      <c r="EFJ143" s="15" t="s">
        <v>598</v>
      </c>
      <c r="EFK143" s="15" t="s">
        <v>598</v>
      </c>
      <c r="EFL143" s="15" t="s">
        <v>598</v>
      </c>
      <c r="EFM143" s="15" t="s">
        <v>598</v>
      </c>
      <c r="EFN143" s="15" t="s">
        <v>598</v>
      </c>
      <c r="EFO143" s="15" t="s">
        <v>598</v>
      </c>
      <c r="EFP143" s="15" t="s">
        <v>598</v>
      </c>
      <c r="EFQ143" s="15" t="s">
        <v>598</v>
      </c>
      <c r="EFR143" s="15" t="s">
        <v>598</v>
      </c>
      <c r="EFS143" s="15" t="s">
        <v>598</v>
      </c>
      <c r="EFT143" s="15" t="s">
        <v>598</v>
      </c>
      <c r="EFU143" s="15" t="s">
        <v>598</v>
      </c>
      <c r="EFV143" s="15" t="s">
        <v>598</v>
      </c>
      <c r="EFW143" s="15" t="s">
        <v>598</v>
      </c>
      <c r="EFX143" s="15" t="s">
        <v>598</v>
      </c>
      <c r="EFY143" s="15" t="s">
        <v>598</v>
      </c>
      <c r="EFZ143" s="15" t="s">
        <v>598</v>
      </c>
      <c r="EGA143" s="15" t="s">
        <v>598</v>
      </c>
      <c r="EGB143" s="15" t="s">
        <v>598</v>
      </c>
      <c r="EGC143" s="15" t="s">
        <v>598</v>
      </c>
      <c r="EGD143" s="15" t="s">
        <v>598</v>
      </c>
      <c r="EGE143" s="15" t="s">
        <v>598</v>
      </c>
      <c r="EGF143" s="15" t="s">
        <v>598</v>
      </c>
      <c r="EGG143" s="15" t="s">
        <v>598</v>
      </c>
      <c r="EGH143" s="15" t="s">
        <v>598</v>
      </c>
      <c r="EGI143" s="15" t="s">
        <v>598</v>
      </c>
      <c r="EGJ143" s="15" t="s">
        <v>598</v>
      </c>
      <c r="EGK143" s="15" t="s">
        <v>598</v>
      </c>
      <c r="EGL143" s="15" t="s">
        <v>598</v>
      </c>
      <c r="EGM143" s="15" t="s">
        <v>598</v>
      </c>
      <c r="EGN143" s="15" t="s">
        <v>598</v>
      </c>
      <c r="EGO143" s="15" t="s">
        <v>598</v>
      </c>
      <c r="EGP143" s="15" t="s">
        <v>598</v>
      </c>
      <c r="EGQ143" s="15" t="s">
        <v>598</v>
      </c>
      <c r="EGR143" s="15" t="s">
        <v>598</v>
      </c>
      <c r="EGS143" s="15" t="s">
        <v>598</v>
      </c>
      <c r="EGT143" s="15" t="s">
        <v>598</v>
      </c>
      <c r="EGU143" s="15" t="s">
        <v>598</v>
      </c>
      <c r="EGV143" s="15" t="s">
        <v>598</v>
      </c>
      <c r="EGW143" s="15" t="s">
        <v>598</v>
      </c>
      <c r="EGX143" s="15" t="s">
        <v>598</v>
      </c>
      <c r="EGY143" s="15" t="s">
        <v>598</v>
      </c>
      <c r="EGZ143" s="15" t="s">
        <v>598</v>
      </c>
      <c r="EHA143" s="15" t="s">
        <v>598</v>
      </c>
      <c r="EHB143" s="15" t="s">
        <v>598</v>
      </c>
      <c r="EHC143" s="15" t="s">
        <v>598</v>
      </c>
      <c r="EHD143" s="15" t="s">
        <v>598</v>
      </c>
      <c r="EHE143" s="15" t="s">
        <v>598</v>
      </c>
      <c r="EHF143" s="15" t="s">
        <v>598</v>
      </c>
      <c r="EHG143" s="15" t="s">
        <v>598</v>
      </c>
      <c r="EHH143" s="15" t="s">
        <v>598</v>
      </c>
      <c r="EHI143" s="15" t="s">
        <v>598</v>
      </c>
      <c r="EHJ143" s="15" t="s">
        <v>598</v>
      </c>
      <c r="EHK143" s="15" t="s">
        <v>598</v>
      </c>
      <c r="EHL143" s="15" t="s">
        <v>598</v>
      </c>
      <c r="EHM143" s="15" t="s">
        <v>598</v>
      </c>
      <c r="EHN143" s="15" t="s">
        <v>598</v>
      </c>
      <c r="EHO143" s="15" t="s">
        <v>598</v>
      </c>
      <c r="EHP143" s="15" t="s">
        <v>598</v>
      </c>
      <c r="EHQ143" s="15" t="s">
        <v>598</v>
      </c>
      <c r="EHR143" s="15" t="s">
        <v>598</v>
      </c>
      <c r="EHS143" s="15" t="s">
        <v>598</v>
      </c>
      <c r="EHT143" s="15" t="s">
        <v>598</v>
      </c>
      <c r="EHU143" s="15" t="s">
        <v>598</v>
      </c>
      <c r="EHV143" s="15" t="s">
        <v>598</v>
      </c>
      <c r="EHW143" s="15" t="s">
        <v>598</v>
      </c>
      <c r="EHX143" s="15" t="s">
        <v>598</v>
      </c>
      <c r="EHY143" s="15" t="s">
        <v>598</v>
      </c>
      <c r="EHZ143" s="15" t="s">
        <v>598</v>
      </c>
      <c r="EIA143" s="15" t="s">
        <v>598</v>
      </c>
      <c r="EIB143" s="15" t="s">
        <v>598</v>
      </c>
      <c r="EIC143" s="15" t="s">
        <v>598</v>
      </c>
      <c r="EID143" s="15" t="s">
        <v>598</v>
      </c>
      <c r="EIE143" s="15" t="s">
        <v>598</v>
      </c>
      <c r="EIF143" s="15" t="s">
        <v>598</v>
      </c>
      <c r="EIG143" s="15" t="s">
        <v>598</v>
      </c>
      <c r="EIH143" s="15" t="s">
        <v>598</v>
      </c>
      <c r="EII143" s="15" t="s">
        <v>598</v>
      </c>
      <c r="EIJ143" s="15" t="s">
        <v>598</v>
      </c>
      <c r="EIK143" s="15" t="s">
        <v>598</v>
      </c>
      <c r="EIL143" s="15" t="s">
        <v>598</v>
      </c>
      <c r="EIM143" s="15" t="s">
        <v>598</v>
      </c>
      <c r="EIN143" s="15" t="s">
        <v>598</v>
      </c>
      <c r="EIO143" s="15" t="s">
        <v>598</v>
      </c>
      <c r="EIP143" s="15" t="s">
        <v>598</v>
      </c>
      <c r="EIQ143" s="15" t="s">
        <v>598</v>
      </c>
      <c r="EIR143" s="15" t="s">
        <v>598</v>
      </c>
      <c r="EIS143" s="15" t="s">
        <v>598</v>
      </c>
      <c r="EIT143" s="15" t="s">
        <v>598</v>
      </c>
      <c r="EIU143" s="15" t="s">
        <v>598</v>
      </c>
      <c r="EIV143" s="15" t="s">
        <v>598</v>
      </c>
      <c r="EIW143" s="15" t="s">
        <v>598</v>
      </c>
      <c r="EIX143" s="15" t="s">
        <v>598</v>
      </c>
      <c r="EIY143" s="15" t="s">
        <v>598</v>
      </c>
      <c r="EIZ143" s="15" t="s">
        <v>598</v>
      </c>
      <c r="EJA143" s="15" t="s">
        <v>598</v>
      </c>
      <c r="EJB143" s="15" t="s">
        <v>598</v>
      </c>
      <c r="EJC143" s="15" t="s">
        <v>598</v>
      </c>
      <c r="EJD143" s="15" t="s">
        <v>598</v>
      </c>
      <c r="EJE143" s="15" t="s">
        <v>598</v>
      </c>
      <c r="EJF143" s="15" t="s">
        <v>598</v>
      </c>
      <c r="EJG143" s="15" t="s">
        <v>598</v>
      </c>
      <c r="EJH143" s="15" t="s">
        <v>598</v>
      </c>
      <c r="EJI143" s="15" t="s">
        <v>598</v>
      </c>
      <c r="EJJ143" s="15" t="s">
        <v>598</v>
      </c>
      <c r="EJK143" s="15" t="s">
        <v>598</v>
      </c>
      <c r="EJL143" s="15" t="s">
        <v>598</v>
      </c>
      <c r="EJM143" s="15" t="s">
        <v>598</v>
      </c>
      <c r="EJN143" s="15" t="s">
        <v>598</v>
      </c>
      <c r="EJO143" s="15" t="s">
        <v>598</v>
      </c>
      <c r="EJP143" s="15" t="s">
        <v>598</v>
      </c>
      <c r="EJQ143" s="15" t="s">
        <v>598</v>
      </c>
      <c r="EJR143" s="15" t="s">
        <v>598</v>
      </c>
      <c r="EJS143" s="15" t="s">
        <v>598</v>
      </c>
      <c r="EJT143" s="15" t="s">
        <v>598</v>
      </c>
      <c r="EJU143" s="15" t="s">
        <v>598</v>
      </c>
      <c r="EJV143" s="15" t="s">
        <v>598</v>
      </c>
      <c r="EJW143" s="15" t="s">
        <v>598</v>
      </c>
      <c r="EJX143" s="15" t="s">
        <v>598</v>
      </c>
      <c r="EJY143" s="15" t="s">
        <v>598</v>
      </c>
      <c r="EJZ143" s="15" t="s">
        <v>598</v>
      </c>
      <c r="EKA143" s="15" t="s">
        <v>598</v>
      </c>
      <c r="EKB143" s="15" t="s">
        <v>598</v>
      </c>
      <c r="EKC143" s="15" t="s">
        <v>598</v>
      </c>
      <c r="EKD143" s="15" t="s">
        <v>598</v>
      </c>
      <c r="EKE143" s="15" t="s">
        <v>598</v>
      </c>
      <c r="EKF143" s="15" t="s">
        <v>598</v>
      </c>
      <c r="EKG143" s="15" t="s">
        <v>598</v>
      </c>
      <c r="EKH143" s="15" t="s">
        <v>598</v>
      </c>
      <c r="EKI143" s="15" t="s">
        <v>598</v>
      </c>
      <c r="EKJ143" s="15" t="s">
        <v>598</v>
      </c>
      <c r="EKK143" s="15" t="s">
        <v>598</v>
      </c>
      <c r="EKL143" s="15" t="s">
        <v>598</v>
      </c>
      <c r="EKM143" s="15" t="s">
        <v>598</v>
      </c>
      <c r="EKN143" s="15" t="s">
        <v>598</v>
      </c>
      <c r="EKO143" s="15" t="s">
        <v>598</v>
      </c>
      <c r="EKP143" s="15" t="s">
        <v>598</v>
      </c>
      <c r="EKQ143" s="15" t="s">
        <v>598</v>
      </c>
      <c r="EKR143" s="15" t="s">
        <v>598</v>
      </c>
      <c r="EKS143" s="15" t="s">
        <v>598</v>
      </c>
      <c r="EKT143" s="15" t="s">
        <v>598</v>
      </c>
      <c r="EKU143" s="15" t="s">
        <v>598</v>
      </c>
      <c r="EKV143" s="15" t="s">
        <v>598</v>
      </c>
      <c r="EKW143" s="15" t="s">
        <v>598</v>
      </c>
      <c r="EKX143" s="15" t="s">
        <v>598</v>
      </c>
      <c r="EKY143" s="15" t="s">
        <v>598</v>
      </c>
      <c r="EKZ143" s="15" t="s">
        <v>598</v>
      </c>
      <c r="ELA143" s="15" t="s">
        <v>598</v>
      </c>
      <c r="ELB143" s="15" t="s">
        <v>598</v>
      </c>
      <c r="ELC143" s="15" t="s">
        <v>598</v>
      </c>
      <c r="ELD143" s="15" t="s">
        <v>598</v>
      </c>
      <c r="ELE143" s="15" t="s">
        <v>598</v>
      </c>
      <c r="ELF143" s="15" t="s">
        <v>598</v>
      </c>
      <c r="ELG143" s="15" t="s">
        <v>598</v>
      </c>
      <c r="ELH143" s="15" t="s">
        <v>598</v>
      </c>
      <c r="ELI143" s="15" t="s">
        <v>598</v>
      </c>
      <c r="ELJ143" s="15" t="s">
        <v>598</v>
      </c>
      <c r="ELK143" s="15" t="s">
        <v>598</v>
      </c>
      <c r="ELL143" s="15" t="s">
        <v>598</v>
      </c>
      <c r="ELM143" s="15" t="s">
        <v>598</v>
      </c>
      <c r="ELN143" s="15" t="s">
        <v>598</v>
      </c>
      <c r="ELO143" s="15" t="s">
        <v>598</v>
      </c>
      <c r="ELP143" s="15" t="s">
        <v>598</v>
      </c>
      <c r="ELQ143" s="15" t="s">
        <v>598</v>
      </c>
      <c r="ELR143" s="15" t="s">
        <v>598</v>
      </c>
      <c r="ELS143" s="15" t="s">
        <v>598</v>
      </c>
      <c r="ELT143" s="15" t="s">
        <v>598</v>
      </c>
      <c r="ELU143" s="15" t="s">
        <v>598</v>
      </c>
      <c r="ELV143" s="15" t="s">
        <v>598</v>
      </c>
      <c r="ELW143" s="15" t="s">
        <v>598</v>
      </c>
      <c r="ELX143" s="15" t="s">
        <v>598</v>
      </c>
      <c r="ELY143" s="15" t="s">
        <v>598</v>
      </c>
      <c r="ELZ143" s="15" t="s">
        <v>598</v>
      </c>
      <c r="EMA143" s="15" t="s">
        <v>598</v>
      </c>
      <c r="EMB143" s="15" t="s">
        <v>598</v>
      </c>
      <c r="EMC143" s="15" t="s">
        <v>598</v>
      </c>
      <c r="EMD143" s="15" t="s">
        <v>598</v>
      </c>
      <c r="EME143" s="15" t="s">
        <v>598</v>
      </c>
      <c r="EMF143" s="15" t="s">
        <v>598</v>
      </c>
      <c r="EMG143" s="15" t="s">
        <v>598</v>
      </c>
      <c r="EMH143" s="15" t="s">
        <v>598</v>
      </c>
      <c r="EMI143" s="15" t="s">
        <v>598</v>
      </c>
      <c r="EMJ143" s="15" t="s">
        <v>598</v>
      </c>
      <c r="EMK143" s="15" t="s">
        <v>598</v>
      </c>
      <c r="EML143" s="15" t="s">
        <v>598</v>
      </c>
      <c r="EMM143" s="15" t="s">
        <v>598</v>
      </c>
      <c r="EMN143" s="15" t="s">
        <v>598</v>
      </c>
      <c r="EMO143" s="15" t="s">
        <v>598</v>
      </c>
      <c r="EMP143" s="15" t="s">
        <v>598</v>
      </c>
      <c r="EMQ143" s="15" t="s">
        <v>598</v>
      </c>
      <c r="EMR143" s="15" t="s">
        <v>598</v>
      </c>
      <c r="EMS143" s="15" t="s">
        <v>598</v>
      </c>
      <c r="EMT143" s="15" t="s">
        <v>598</v>
      </c>
      <c r="EMU143" s="15" t="s">
        <v>598</v>
      </c>
      <c r="EMV143" s="15" t="s">
        <v>598</v>
      </c>
      <c r="EMW143" s="15" t="s">
        <v>598</v>
      </c>
      <c r="EMX143" s="15" t="s">
        <v>598</v>
      </c>
      <c r="EMY143" s="15" t="s">
        <v>598</v>
      </c>
      <c r="EMZ143" s="15" t="s">
        <v>598</v>
      </c>
      <c r="ENA143" s="15" t="s">
        <v>598</v>
      </c>
      <c r="ENB143" s="15" t="s">
        <v>598</v>
      </c>
      <c r="ENC143" s="15" t="s">
        <v>598</v>
      </c>
      <c r="END143" s="15" t="s">
        <v>598</v>
      </c>
      <c r="ENE143" s="15" t="s">
        <v>598</v>
      </c>
      <c r="ENF143" s="15" t="s">
        <v>598</v>
      </c>
      <c r="ENG143" s="15" t="s">
        <v>598</v>
      </c>
      <c r="ENH143" s="15" t="s">
        <v>598</v>
      </c>
      <c r="ENI143" s="15" t="s">
        <v>598</v>
      </c>
      <c r="ENJ143" s="15" t="s">
        <v>598</v>
      </c>
      <c r="ENK143" s="15" t="s">
        <v>598</v>
      </c>
      <c r="ENL143" s="15" t="s">
        <v>598</v>
      </c>
      <c r="ENM143" s="15" t="s">
        <v>598</v>
      </c>
      <c r="ENN143" s="15" t="s">
        <v>598</v>
      </c>
      <c r="ENO143" s="15" t="s">
        <v>598</v>
      </c>
      <c r="ENP143" s="15" t="s">
        <v>598</v>
      </c>
      <c r="ENQ143" s="15" t="s">
        <v>598</v>
      </c>
      <c r="ENR143" s="15" t="s">
        <v>598</v>
      </c>
      <c r="ENS143" s="15" t="s">
        <v>598</v>
      </c>
      <c r="ENT143" s="15" t="s">
        <v>598</v>
      </c>
      <c r="ENU143" s="15" t="s">
        <v>598</v>
      </c>
      <c r="ENV143" s="15" t="s">
        <v>598</v>
      </c>
      <c r="ENW143" s="15" t="s">
        <v>598</v>
      </c>
      <c r="ENX143" s="15" t="s">
        <v>598</v>
      </c>
      <c r="ENY143" s="15" t="s">
        <v>598</v>
      </c>
      <c r="ENZ143" s="15" t="s">
        <v>598</v>
      </c>
      <c r="EOA143" s="15" t="s">
        <v>598</v>
      </c>
      <c r="EOB143" s="15" t="s">
        <v>598</v>
      </c>
      <c r="EOC143" s="15" t="s">
        <v>598</v>
      </c>
      <c r="EOD143" s="15" t="s">
        <v>598</v>
      </c>
      <c r="EOE143" s="15" t="s">
        <v>598</v>
      </c>
      <c r="EOF143" s="15" t="s">
        <v>598</v>
      </c>
      <c r="EOG143" s="15" t="s">
        <v>598</v>
      </c>
      <c r="EOH143" s="15" t="s">
        <v>598</v>
      </c>
      <c r="EOI143" s="15" t="s">
        <v>598</v>
      </c>
      <c r="EOJ143" s="15" t="s">
        <v>598</v>
      </c>
      <c r="EOK143" s="15" t="s">
        <v>598</v>
      </c>
      <c r="EOL143" s="15" t="s">
        <v>598</v>
      </c>
      <c r="EOM143" s="15" t="s">
        <v>598</v>
      </c>
      <c r="EON143" s="15" t="s">
        <v>598</v>
      </c>
      <c r="EOO143" s="15" t="s">
        <v>598</v>
      </c>
      <c r="EOP143" s="15" t="s">
        <v>598</v>
      </c>
      <c r="EOQ143" s="15" t="s">
        <v>598</v>
      </c>
      <c r="EOR143" s="15" t="s">
        <v>598</v>
      </c>
      <c r="EOS143" s="15" t="s">
        <v>598</v>
      </c>
      <c r="EOT143" s="15" t="s">
        <v>598</v>
      </c>
      <c r="EOU143" s="15" t="s">
        <v>598</v>
      </c>
      <c r="EOV143" s="15" t="s">
        <v>598</v>
      </c>
      <c r="EOW143" s="15" t="s">
        <v>598</v>
      </c>
      <c r="EOX143" s="15" t="s">
        <v>598</v>
      </c>
      <c r="EOY143" s="15" t="s">
        <v>598</v>
      </c>
      <c r="EOZ143" s="15" t="s">
        <v>598</v>
      </c>
      <c r="EPA143" s="15" t="s">
        <v>598</v>
      </c>
      <c r="EPB143" s="15" t="s">
        <v>598</v>
      </c>
      <c r="EPC143" s="15" t="s">
        <v>598</v>
      </c>
      <c r="EPD143" s="15" t="s">
        <v>598</v>
      </c>
      <c r="EPE143" s="15" t="s">
        <v>598</v>
      </c>
      <c r="EPF143" s="15" t="s">
        <v>598</v>
      </c>
      <c r="EPG143" s="15" t="s">
        <v>598</v>
      </c>
      <c r="EPH143" s="15" t="s">
        <v>598</v>
      </c>
      <c r="EPI143" s="15" t="s">
        <v>598</v>
      </c>
      <c r="EPJ143" s="15" t="s">
        <v>598</v>
      </c>
      <c r="EPK143" s="15" t="s">
        <v>598</v>
      </c>
      <c r="EPL143" s="15" t="s">
        <v>598</v>
      </c>
      <c r="EPM143" s="15" t="s">
        <v>598</v>
      </c>
      <c r="EPN143" s="15" t="s">
        <v>598</v>
      </c>
      <c r="EPO143" s="15" t="s">
        <v>598</v>
      </c>
      <c r="EPP143" s="15" t="s">
        <v>598</v>
      </c>
      <c r="EPQ143" s="15" t="s">
        <v>598</v>
      </c>
      <c r="EPR143" s="15" t="s">
        <v>598</v>
      </c>
      <c r="EPS143" s="15" t="s">
        <v>598</v>
      </c>
      <c r="EPT143" s="15" t="s">
        <v>598</v>
      </c>
      <c r="EPU143" s="15" t="s">
        <v>598</v>
      </c>
      <c r="EPV143" s="15" t="s">
        <v>598</v>
      </c>
      <c r="EPW143" s="15" t="s">
        <v>598</v>
      </c>
      <c r="EPX143" s="15" t="s">
        <v>598</v>
      </c>
      <c r="EPY143" s="15" t="s">
        <v>598</v>
      </c>
      <c r="EPZ143" s="15" t="s">
        <v>598</v>
      </c>
      <c r="EQA143" s="15" t="s">
        <v>598</v>
      </c>
      <c r="EQB143" s="15" t="s">
        <v>598</v>
      </c>
      <c r="EQC143" s="15" t="s">
        <v>598</v>
      </c>
      <c r="EQD143" s="15" t="s">
        <v>598</v>
      </c>
      <c r="EQE143" s="15" t="s">
        <v>598</v>
      </c>
      <c r="EQF143" s="15" t="s">
        <v>598</v>
      </c>
      <c r="EQG143" s="15" t="s">
        <v>598</v>
      </c>
      <c r="EQH143" s="15" t="s">
        <v>598</v>
      </c>
      <c r="EQI143" s="15" t="s">
        <v>598</v>
      </c>
      <c r="EQJ143" s="15" t="s">
        <v>598</v>
      </c>
      <c r="EQK143" s="15" t="s">
        <v>598</v>
      </c>
      <c r="EQL143" s="15" t="s">
        <v>598</v>
      </c>
      <c r="EQM143" s="15" t="s">
        <v>598</v>
      </c>
      <c r="EQN143" s="15" t="s">
        <v>598</v>
      </c>
      <c r="EQO143" s="15" t="s">
        <v>598</v>
      </c>
      <c r="EQP143" s="15" t="s">
        <v>598</v>
      </c>
      <c r="EQQ143" s="15" t="s">
        <v>598</v>
      </c>
      <c r="EQR143" s="15" t="s">
        <v>598</v>
      </c>
      <c r="EQS143" s="15" t="s">
        <v>598</v>
      </c>
      <c r="EQT143" s="15" t="s">
        <v>598</v>
      </c>
      <c r="EQU143" s="15" t="s">
        <v>598</v>
      </c>
      <c r="EQV143" s="15" t="s">
        <v>598</v>
      </c>
      <c r="EQW143" s="15" t="s">
        <v>598</v>
      </c>
      <c r="EQX143" s="15" t="s">
        <v>598</v>
      </c>
      <c r="EQY143" s="15" t="s">
        <v>598</v>
      </c>
      <c r="EQZ143" s="15" t="s">
        <v>598</v>
      </c>
      <c r="ERA143" s="15" t="s">
        <v>598</v>
      </c>
      <c r="ERB143" s="15" t="s">
        <v>598</v>
      </c>
      <c r="ERC143" s="15" t="s">
        <v>598</v>
      </c>
      <c r="ERD143" s="15" t="s">
        <v>598</v>
      </c>
      <c r="ERE143" s="15" t="s">
        <v>598</v>
      </c>
      <c r="ERF143" s="15" t="s">
        <v>598</v>
      </c>
      <c r="ERG143" s="15" t="s">
        <v>598</v>
      </c>
      <c r="ERH143" s="15" t="s">
        <v>598</v>
      </c>
      <c r="ERI143" s="15" t="s">
        <v>598</v>
      </c>
      <c r="ERJ143" s="15" t="s">
        <v>598</v>
      </c>
      <c r="ERK143" s="15" t="s">
        <v>598</v>
      </c>
      <c r="ERL143" s="15" t="s">
        <v>598</v>
      </c>
      <c r="ERM143" s="15" t="s">
        <v>598</v>
      </c>
      <c r="ERN143" s="15" t="s">
        <v>598</v>
      </c>
      <c r="ERO143" s="15" t="s">
        <v>598</v>
      </c>
      <c r="ERP143" s="15" t="s">
        <v>598</v>
      </c>
      <c r="ERQ143" s="15" t="s">
        <v>598</v>
      </c>
      <c r="ERR143" s="15" t="s">
        <v>598</v>
      </c>
      <c r="ERS143" s="15" t="s">
        <v>598</v>
      </c>
      <c r="ERT143" s="15" t="s">
        <v>598</v>
      </c>
      <c r="ERU143" s="15" t="s">
        <v>598</v>
      </c>
      <c r="ERV143" s="15" t="s">
        <v>598</v>
      </c>
      <c r="ERW143" s="15" t="s">
        <v>598</v>
      </c>
      <c r="ERX143" s="15" t="s">
        <v>598</v>
      </c>
      <c r="ERY143" s="15" t="s">
        <v>598</v>
      </c>
      <c r="ERZ143" s="15" t="s">
        <v>598</v>
      </c>
      <c r="ESA143" s="15" t="s">
        <v>598</v>
      </c>
      <c r="ESB143" s="15" t="s">
        <v>598</v>
      </c>
      <c r="ESC143" s="15" t="s">
        <v>598</v>
      </c>
      <c r="ESD143" s="15" t="s">
        <v>598</v>
      </c>
      <c r="ESE143" s="15" t="s">
        <v>598</v>
      </c>
      <c r="ESF143" s="15" t="s">
        <v>598</v>
      </c>
      <c r="ESG143" s="15" t="s">
        <v>598</v>
      </c>
      <c r="ESH143" s="15" t="s">
        <v>598</v>
      </c>
      <c r="ESI143" s="15" t="s">
        <v>598</v>
      </c>
      <c r="ESJ143" s="15" t="s">
        <v>598</v>
      </c>
      <c r="ESK143" s="15" t="s">
        <v>598</v>
      </c>
      <c r="ESL143" s="15" t="s">
        <v>598</v>
      </c>
      <c r="ESM143" s="15" t="s">
        <v>598</v>
      </c>
      <c r="ESN143" s="15" t="s">
        <v>598</v>
      </c>
      <c r="ESO143" s="15" t="s">
        <v>598</v>
      </c>
      <c r="ESP143" s="15" t="s">
        <v>598</v>
      </c>
      <c r="ESQ143" s="15" t="s">
        <v>598</v>
      </c>
      <c r="ESR143" s="15" t="s">
        <v>598</v>
      </c>
      <c r="ESS143" s="15" t="s">
        <v>598</v>
      </c>
      <c r="EST143" s="15" t="s">
        <v>598</v>
      </c>
      <c r="ESU143" s="15" t="s">
        <v>598</v>
      </c>
      <c r="ESV143" s="15" t="s">
        <v>598</v>
      </c>
      <c r="ESW143" s="15" t="s">
        <v>598</v>
      </c>
      <c r="ESX143" s="15" t="s">
        <v>598</v>
      </c>
      <c r="ESY143" s="15" t="s">
        <v>598</v>
      </c>
      <c r="ESZ143" s="15" t="s">
        <v>598</v>
      </c>
      <c r="ETA143" s="15" t="s">
        <v>598</v>
      </c>
      <c r="ETB143" s="15" t="s">
        <v>598</v>
      </c>
      <c r="ETC143" s="15" t="s">
        <v>598</v>
      </c>
      <c r="ETD143" s="15" t="s">
        <v>598</v>
      </c>
      <c r="ETE143" s="15" t="s">
        <v>598</v>
      </c>
      <c r="ETF143" s="15" t="s">
        <v>598</v>
      </c>
      <c r="ETG143" s="15" t="s">
        <v>598</v>
      </c>
      <c r="ETH143" s="15" t="s">
        <v>598</v>
      </c>
      <c r="ETI143" s="15" t="s">
        <v>598</v>
      </c>
      <c r="ETJ143" s="15" t="s">
        <v>598</v>
      </c>
      <c r="ETK143" s="15" t="s">
        <v>598</v>
      </c>
      <c r="ETL143" s="15" t="s">
        <v>598</v>
      </c>
      <c r="ETM143" s="15" t="s">
        <v>598</v>
      </c>
      <c r="ETN143" s="15" t="s">
        <v>598</v>
      </c>
      <c r="ETO143" s="15" t="s">
        <v>598</v>
      </c>
      <c r="ETP143" s="15" t="s">
        <v>598</v>
      </c>
      <c r="ETQ143" s="15" t="s">
        <v>598</v>
      </c>
      <c r="ETR143" s="15" t="s">
        <v>598</v>
      </c>
      <c r="ETS143" s="15" t="s">
        <v>598</v>
      </c>
      <c r="ETT143" s="15" t="s">
        <v>598</v>
      </c>
      <c r="ETU143" s="15" t="s">
        <v>598</v>
      </c>
      <c r="ETV143" s="15" t="s">
        <v>598</v>
      </c>
      <c r="ETW143" s="15" t="s">
        <v>598</v>
      </c>
      <c r="ETX143" s="15" t="s">
        <v>598</v>
      </c>
      <c r="ETY143" s="15" t="s">
        <v>598</v>
      </c>
      <c r="ETZ143" s="15" t="s">
        <v>598</v>
      </c>
      <c r="EUA143" s="15" t="s">
        <v>598</v>
      </c>
      <c r="EUB143" s="15" t="s">
        <v>598</v>
      </c>
      <c r="EUC143" s="15" t="s">
        <v>598</v>
      </c>
      <c r="EUD143" s="15" t="s">
        <v>598</v>
      </c>
      <c r="EUE143" s="15" t="s">
        <v>598</v>
      </c>
      <c r="EUF143" s="15" t="s">
        <v>598</v>
      </c>
      <c r="EUG143" s="15" t="s">
        <v>598</v>
      </c>
      <c r="EUH143" s="15" t="s">
        <v>598</v>
      </c>
      <c r="EUI143" s="15" t="s">
        <v>598</v>
      </c>
      <c r="EUJ143" s="15" t="s">
        <v>598</v>
      </c>
      <c r="EUK143" s="15" t="s">
        <v>598</v>
      </c>
      <c r="EUL143" s="15" t="s">
        <v>598</v>
      </c>
      <c r="EUM143" s="15" t="s">
        <v>598</v>
      </c>
      <c r="EUN143" s="15" t="s">
        <v>598</v>
      </c>
      <c r="EUO143" s="15" t="s">
        <v>598</v>
      </c>
      <c r="EUP143" s="15" t="s">
        <v>598</v>
      </c>
      <c r="EUQ143" s="15" t="s">
        <v>598</v>
      </c>
      <c r="EUR143" s="15" t="s">
        <v>598</v>
      </c>
      <c r="EUS143" s="15" t="s">
        <v>598</v>
      </c>
      <c r="EUT143" s="15" t="s">
        <v>598</v>
      </c>
      <c r="EUU143" s="15" t="s">
        <v>598</v>
      </c>
      <c r="EUV143" s="15" t="s">
        <v>598</v>
      </c>
      <c r="EUW143" s="15" t="s">
        <v>598</v>
      </c>
      <c r="EUX143" s="15" t="s">
        <v>598</v>
      </c>
      <c r="EUY143" s="15" t="s">
        <v>598</v>
      </c>
      <c r="EUZ143" s="15" t="s">
        <v>598</v>
      </c>
      <c r="EVA143" s="15" t="s">
        <v>598</v>
      </c>
      <c r="EVB143" s="15" t="s">
        <v>598</v>
      </c>
      <c r="EVC143" s="15" t="s">
        <v>598</v>
      </c>
      <c r="EVD143" s="15" t="s">
        <v>598</v>
      </c>
      <c r="EVE143" s="15" t="s">
        <v>598</v>
      </c>
      <c r="EVF143" s="15" t="s">
        <v>598</v>
      </c>
      <c r="EVG143" s="15" t="s">
        <v>598</v>
      </c>
      <c r="EVH143" s="15" t="s">
        <v>598</v>
      </c>
      <c r="EVI143" s="15" t="s">
        <v>598</v>
      </c>
      <c r="EVJ143" s="15" t="s">
        <v>598</v>
      </c>
      <c r="EVK143" s="15" t="s">
        <v>598</v>
      </c>
      <c r="EVL143" s="15" t="s">
        <v>598</v>
      </c>
      <c r="EVM143" s="15" t="s">
        <v>598</v>
      </c>
      <c r="EVN143" s="15" t="s">
        <v>598</v>
      </c>
      <c r="EVO143" s="15" t="s">
        <v>598</v>
      </c>
      <c r="EVP143" s="15" t="s">
        <v>598</v>
      </c>
      <c r="EVQ143" s="15" t="s">
        <v>598</v>
      </c>
      <c r="EVR143" s="15" t="s">
        <v>598</v>
      </c>
      <c r="EVS143" s="15" t="s">
        <v>598</v>
      </c>
      <c r="EVT143" s="15" t="s">
        <v>598</v>
      </c>
      <c r="EVU143" s="15" t="s">
        <v>598</v>
      </c>
      <c r="EVV143" s="15" t="s">
        <v>598</v>
      </c>
      <c r="EVW143" s="15" t="s">
        <v>598</v>
      </c>
      <c r="EVX143" s="15" t="s">
        <v>598</v>
      </c>
      <c r="EVY143" s="15" t="s">
        <v>598</v>
      </c>
      <c r="EVZ143" s="15" t="s">
        <v>598</v>
      </c>
      <c r="EWA143" s="15" t="s">
        <v>598</v>
      </c>
      <c r="EWB143" s="15" t="s">
        <v>598</v>
      </c>
      <c r="EWC143" s="15" t="s">
        <v>598</v>
      </c>
      <c r="EWD143" s="15" t="s">
        <v>598</v>
      </c>
      <c r="EWE143" s="15" t="s">
        <v>598</v>
      </c>
      <c r="EWF143" s="15" t="s">
        <v>598</v>
      </c>
      <c r="EWG143" s="15" t="s">
        <v>598</v>
      </c>
      <c r="EWH143" s="15" t="s">
        <v>598</v>
      </c>
      <c r="EWI143" s="15" t="s">
        <v>598</v>
      </c>
      <c r="EWJ143" s="15" t="s">
        <v>598</v>
      </c>
      <c r="EWK143" s="15" t="s">
        <v>598</v>
      </c>
      <c r="EWL143" s="15" t="s">
        <v>598</v>
      </c>
      <c r="EWM143" s="15" t="s">
        <v>598</v>
      </c>
      <c r="EWN143" s="15" t="s">
        <v>598</v>
      </c>
      <c r="EWO143" s="15" t="s">
        <v>598</v>
      </c>
      <c r="EWP143" s="15" t="s">
        <v>598</v>
      </c>
      <c r="EWQ143" s="15" t="s">
        <v>598</v>
      </c>
      <c r="EWR143" s="15" t="s">
        <v>598</v>
      </c>
      <c r="EWS143" s="15" t="s">
        <v>598</v>
      </c>
      <c r="EWT143" s="15" t="s">
        <v>598</v>
      </c>
      <c r="EWU143" s="15" t="s">
        <v>598</v>
      </c>
      <c r="EWV143" s="15" t="s">
        <v>598</v>
      </c>
      <c r="EWW143" s="15" t="s">
        <v>598</v>
      </c>
      <c r="EWX143" s="15" t="s">
        <v>598</v>
      </c>
      <c r="EWY143" s="15" t="s">
        <v>598</v>
      </c>
      <c r="EWZ143" s="15" t="s">
        <v>598</v>
      </c>
      <c r="EXA143" s="15" t="s">
        <v>598</v>
      </c>
      <c r="EXB143" s="15" t="s">
        <v>598</v>
      </c>
      <c r="EXC143" s="15" t="s">
        <v>598</v>
      </c>
      <c r="EXD143" s="15" t="s">
        <v>598</v>
      </c>
      <c r="EXE143" s="15" t="s">
        <v>598</v>
      </c>
      <c r="EXF143" s="15" t="s">
        <v>598</v>
      </c>
      <c r="EXG143" s="15" t="s">
        <v>598</v>
      </c>
      <c r="EXH143" s="15" t="s">
        <v>598</v>
      </c>
      <c r="EXI143" s="15" t="s">
        <v>598</v>
      </c>
      <c r="EXJ143" s="15" t="s">
        <v>598</v>
      </c>
      <c r="EXK143" s="15" t="s">
        <v>598</v>
      </c>
      <c r="EXL143" s="15" t="s">
        <v>598</v>
      </c>
      <c r="EXM143" s="15" t="s">
        <v>598</v>
      </c>
      <c r="EXN143" s="15" t="s">
        <v>598</v>
      </c>
      <c r="EXO143" s="15" t="s">
        <v>598</v>
      </c>
      <c r="EXP143" s="15" t="s">
        <v>598</v>
      </c>
      <c r="EXQ143" s="15" t="s">
        <v>598</v>
      </c>
      <c r="EXR143" s="15" t="s">
        <v>598</v>
      </c>
      <c r="EXS143" s="15" t="s">
        <v>598</v>
      </c>
      <c r="EXT143" s="15" t="s">
        <v>598</v>
      </c>
      <c r="EXU143" s="15" t="s">
        <v>598</v>
      </c>
      <c r="EXV143" s="15" t="s">
        <v>598</v>
      </c>
      <c r="EXW143" s="15" t="s">
        <v>598</v>
      </c>
      <c r="EXX143" s="15" t="s">
        <v>598</v>
      </c>
      <c r="EXY143" s="15" t="s">
        <v>598</v>
      </c>
      <c r="EXZ143" s="15" t="s">
        <v>598</v>
      </c>
      <c r="EYA143" s="15" t="s">
        <v>598</v>
      </c>
      <c r="EYB143" s="15" t="s">
        <v>598</v>
      </c>
      <c r="EYC143" s="15" t="s">
        <v>598</v>
      </c>
      <c r="EYD143" s="15" t="s">
        <v>598</v>
      </c>
      <c r="EYE143" s="15" t="s">
        <v>598</v>
      </c>
      <c r="EYF143" s="15" t="s">
        <v>598</v>
      </c>
      <c r="EYG143" s="15" t="s">
        <v>598</v>
      </c>
      <c r="EYH143" s="15" t="s">
        <v>598</v>
      </c>
      <c r="EYI143" s="15" t="s">
        <v>598</v>
      </c>
      <c r="EYJ143" s="15" t="s">
        <v>598</v>
      </c>
      <c r="EYK143" s="15" t="s">
        <v>598</v>
      </c>
      <c r="EYL143" s="15" t="s">
        <v>598</v>
      </c>
      <c r="EYM143" s="15" t="s">
        <v>598</v>
      </c>
      <c r="EYN143" s="15" t="s">
        <v>598</v>
      </c>
      <c r="EYO143" s="15" t="s">
        <v>598</v>
      </c>
      <c r="EYP143" s="15" t="s">
        <v>598</v>
      </c>
      <c r="EYQ143" s="15" t="s">
        <v>598</v>
      </c>
      <c r="EYR143" s="15" t="s">
        <v>598</v>
      </c>
      <c r="EYS143" s="15" t="s">
        <v>598</v>
      </c>
      <c r="EYT143" s="15" t="s">
        <v>598</v>
      </c>
      <c r="EYU143" s="15" t="s">
        <v>598</v>
      </c>
      <c r="EYV143" s="15" t="s">
        <v>598</v>
      </c>
      <c r="EYW143" s="15" t="s">
        <v>598</v>
      </c>
      <c r="EYX143" s="15" t="s">
        <v>598</v>
      </c>
      <c r="EYY143" s="15" t="s">
        <v>598</v>
      </c>
      <c r="EYZ143" s="15" t="s">
        <v>598</v>
      </c>
      <c r="EZA143" s="15" t="s">
        <v>598</v>
      </c>
      <c r="EZB143" s="15" t="s">
        <v>598</v>
      </c>
      <c r="EZC143" s="15" t="s">
        <v>598</v>
      </c>
      <c r="EZD143" s="15" t="s">
        <v>598</v>
      </c>
      <c r="EZE143" s="15" t="s">
        <v>598</v>
      </c>
      <c r="EZF143" s="15" t="s">
        <v>598</v>
      </c>
      <c r="EZG143" s="15" t="s">
        <v>598</v>
      </c>
      <c r="EZH143" s="15" t="s">
        <v>598</v>
      </c>
      <c r="EZI143" s="15" t="s">
        <v>598</v>
      </c>
      <c r="EZJ143" s="15" t="s">
        <v>598</v>
      </c>
      <c r="EZK143" s="15" t="s">
        <v>598</v>
      </c>
      <c r="EZL143" s="15" t="s">
        <v>598</v>
      </c>
      <c r="EZM143" s="15" t="s">
        <v>598</v>
      </c>
      <c r="EZN143" s="15" t="s">
        <v>598</v>
      </c>
      <c r="EZO143" s="15" t="s">
        <v>598</v>
      </c>
      <c r="EZP143" s="15" t="s">
        <v>598</v>
      </c>
      <c r="EZQ143" s="15" t="s">
        <v>598</v>
      </c>
      <c r="EZR143" s="15" t="s">
        <v>598</v>
      </c>
      <c r="EZS143" s="15" t="s">
        <v>598</v>
      </c>
      <c r="EZT143" s="15" t="s">
        <v>598</v>
      </c>
      <c r="EZU143" s="15" t="s">
        <v>598</v>
      </c>
      <c r="EZV143" s="15" t="s">
        <v>598</v>
      </c>
      <c r="EZW143" s="15" t="s">
        <v>598</v>
      </c>
      <c r="EZX143" s="15" t="s">
        <v>598</v>
      </c>
      <c r="EZY143" s="15" t="s">
        <v>598</v>
      </c>
      <c r="EZZ143" s="15" t="s">
        <v>598</v>
      </c>
      <c r="FAA143" s="15" t="s">
        <v>598</v>
      </c>
      <c r="FAB143" s="15" t="s">
        <v>598</v>
      </c>
      <c r="FAC143" s="15" t="s">
        <v>598</v>
      </c>
      <c r="FAD143" s="15" t="s">
        <v>598</v>
      </c>
      <c r="FAE143" s="15" t="s">
        <v>598</v>
      </c>
      <c r="FAF143" s="15" t="s">
        <v>598</v>
      </c>
      <c r="FAG143" s="15" t="s">
        <v>598</v>
      </c>
      <c r="FAH143" s="15" t="s">
        <v>598</v>
      </c>
      <c r="FAI143" s="15" t="s">
        <v>598</v>
      </c>
      <c r="FAJ143" s="15" t="s">
        <v>598</v>
      </c>
      <c r="FAK143" s="15" t="s">
        <v>598</v>
      </c>
      <c r="FAL143" s="15" t="s">
        <v>598</v>
      </c>
      <c r="FAM143" s="15" t="s">
        <v>598</v>
      </c>
      <c r="FAN143" s="15" t="s">
        <v>598</v>
      </c>
      <c r="FAO143" s="15" t="s">
        <v>598</v>
      </c>
      <c r="FAP143" s="15" t="s">
        <v>598</v>
      </c>
      <c r="FAQ143" s="15" t="s">
        <v>598</v>
      </c>
      <c r="FAR143" s="15" t="s">
        <v>598</v>
      </c>
      <c r="FAS143" s="15" t="s">
        <v>598</v>
      </c>
      <c r="FAT143" s="15" t="s">
        <v>598</v>
      </c>
      <c r="FAU143" s="15" t="s">
        <v>598</v>
      </c>
      <c r="FAV143" s="15" t="s">
        <v>598</v>
      </c>
      <c r="FAW143" s="15" t="s">
        <v>598</v>
      </c>
      <c r="FAX143" s="15" t="s">
        <v>598</v>
      </c>
      <c r="FAY143" s="15" t="s">
        <v>598</v>
      </c>
      <c r="FAZ143" s="15" t="s">
        <v>598</v>
      </c>
      <c r="FBA143" s="15" t="s">
        <v>598</v>
      </c>
      <c r="FBB143" s="15" t="s">
        <v>598</v>
      </c>
      <c r="FBC143" s="15" t="s">
        <v>598</v>
      </c>
      <c r="FBD143" s="15" t="s">
        <v>598</v>
      </c>
      <c r="FBE143" s="15" t="s">
        <v>598</v>
      </c>
      <c r="FBF143" s="15" t="s">
        <v>598</v>
      </c>
      <c r="FBG143" s="15" t="s">
        <v>598</v>
      </c>
      <c r="FBH143" s="15" t="s">
        <v>598</v>
      </c>
      <c r="FBI143" s="15" t="s">
        <v>598</v>
      </c>
      <c r="FBJ143" s="15" t="s">
        <v>598</v>
      </c>
      <c r="FBK143" s="15" t="s">
        <v>598</v>
      </c>
      <c r="FBL143" s="15" t="s">
        <v>598</v>
      </c>
      <c r="FBM143" s="15" t="s">
        <v>598</v>
      </c>
      <c r="FBN143" s="15" t="s">
        <v>598</v>
      </c>
      <c r="FBO143" s="15" t="s">
        <v>598</v>
      </c>
      <c r="FBP143" s="15" t="s">
        <v>598</v>
      </c>
      <c r="FBQ143" s="15" t="s">
        <v>598</v>
      </c>
      <c r="FBR143" s="15" t="s">
        <v>598</v>
      </c>
      <c r="FBS143" s="15" t="s">
        <v>598</v>
      </c>
      <c r="FBT143" s="15" t="s">
        <v>598</v>
      </c>
      <c r="FBU143" s="15" t="s">
        <v>598</v>
      </c>
      <c r="FBV143" s="15" t="s">
        <v>598</v>
      </c>
      <c r="FBW143" s="15" t="s">
        <v>598</v>
      </c>
      <c r="FBX143" s="15" t="s">
        <v>598</v>
      </c>
      <c r="FBY143" s="15" t="s">
        <v>598</v>
      </c>
      <c r="FBZ143" s="15" t="s">
        <v>598</v>
      </c>
      <c r="FCA143" s="15" t="s">
        <v>598</v>
      </c>
      <c r="FCB143" s="15" t="s">
        <v>598</v>
      </c>
      <c r="FCC143" s="15" t="s">
        <v>598</v>
      </c>
      <c r="FCD143" s="15" t="s">
        <v>598</v>
      </c>
      <c r="FCE143" s="15" t="s">
        <v>598</v>
      </c>
      <c r="FCF143" s="15" t="s">
        <v>598</v>
      </c>
      <c r="FCG143" s="15" t="s">
        <v>598</v>
      </c>
      <c r="FCH143" s="15" t="s">
        <v>598</v>
      </c>
      <c r="FCI143" s="15" t="s">
        <v>598</v>
      </c>
      <c r="FCJ143" s="15" t="s">
        <v>598</v>
      </c>
      <c r="FCK143" s="15" t="s">
        <v>598</v>
      </c>
      <c r="FCL143" s="15" t="s">
        <v>598</v>
      </c>
      <c r="FCM143" s="15" t="s">
        <v>598</v>
      </c>
      <c r="FCN143" s="15" t="s">
        <v>598</v>
      </c>
      <c r="FCO143" s="15" t="s">
        <v>598</v>
      </c>
      <c r="FCP143" s="15" t="s">
        <v>598</v>
      </c>
      <c r="FCQ143" s="15" t="s">
        <v>598</v>
      </c>
      <c r="FCR143" s="15" t="s">
        <v>598</v>
      </c>
      <c r="FCS143" s="15" t="s">
        <v>598</v>
      </c>
      <c r="FCT143" s="15" t="s">
        <v>598</v>
      </c>
      <c r="FCU143" s="15" t="s">
        <v>598</v>
      </c>
      <c r="FCV143" s="15" t="s">
        <v>598</v>
      </c>
      <c r="FCW143" s="15" t="s">
        <v>598</v>
      </c>
      <c r="FCX143" s="15" t="s">
        <v>598</v>
      </c>
      <c r="FCY143" s="15" t="s">
        <v>598</v>
      </c>
      <c r="FCZ143" s="15" t="s">
        <v>598</v>
      </c>
      <c r="FDA143" s="15" t="s">
        <v>598</v>
      </c>
      <c r="FDB143" s="15" t="s">
        <v>598</v>
      </c>
      <c r="FDC143" s="15" t="s">
        <v>598</v>
      </c>
      <c r="FDD143" s="15" t="s">
        <v>598</v>
      </c>
      <c r="FDE143" s="15" t="s">
        <v>598</v>
      </c>
      <c r="FDF143" s="15" t="s">
        <v>598</v>
      </c>
      <c r="FDG143" s="15" t="s">
        <v>598</v>
      </c>
      <c r="FDH143" s="15" t="s">
        <v>598</v>
      </c>
      <c r="FDI143" s="15" t="s">
        <v>598</v>
      </c>
      <c r="FDJ143" s="15" t="s">
        <v>598</v>
      </c>
      <c r="FDK143" s="15" t="s">
        <v>598</v>
      </c>
      <c r="FDL143" s="15" t="s">
        <v>598</v>
      </c>
      <c r="FDM143" s="15" t="s">
        <v>598</v>
      </c>
      <c r="FDN143" s="15" t="s">
        <v>598</v>
      </c>
      <c r="FDO143" s="15" t="s">
        <v>598</v>
      </c>
      <c r="FDP143" s="15" t="s">
        <v>598</v>
      </c>
      <c r="FDQ143" s="15" t="s">
        <v>598</v>
      </c>
      <c r="FDR143" s="15" t="s">
        <v>598</v>
      </c>
      <c r="FDS143" s="15" t="s">
        <v>598</v>
      </c>
      <c r="FDT143" s="15" t="s">
        <v>598</v>
      </c>
      <c r="FDU143" s="15" t="s">
        <v>598</v>
      </c>
      <c r="FDV143" s="15" t="s">
        <v>598</v>
      </c>
      <c r="FDW143" s="15" t="s">
        <v>598</v>
      </c>
      <c r="FDX143" s="15" t="s">
        <v>598</v>
      </c>
      <c r="FDY143" s="15" t="s">
        <v>598</v>
      </c>
      <c r="FDZ143" s="15" t="s">
        <v>598</v>
      </c>
      <c r="FEA143" s="15" t="s">
        <v>598</v>
      </c>
      <c r="FEB143" s="15" t="s">
        <v>598</v>
      </c>
      <c r="FEC143" s="15" t="s">
        <v>598</v>
      </c>
      <c r="FED143" s="15" t="s">
        <v>598</v>
      </c>
      <c r="FEE143" s="15" t="s">
        <v>598</v>
      </c>
      <c r="FEF143" s="15" t="s">
        <v>598</v>
      </c>
      <c r="FEG143" s="15" t="s">
        <v>598</v>
      </c>
      <c r="FEH143" s="15" t="s">
        <v>598</v>
      </c>
      <c r="FEI143" s="15" t="s">
        <v>598</v>
      </c>
      <c r="FEJ143" s="15" t="s">
        <v>598</v>
      </c>
      <c r="FEK143" s="15" t="s">
        <v>598</v>
      </c>
      <c r="FEL143" s="15" t="s">
        <v>598</v>
      </c>
      <c r="FEM143" s="15" t="s">
        <v>598</v>
      </c>
      <c r="FEN143" s="15" t="s">
        <v>598</v>
      </c>
      <c r="FEO143" s="15" t="s">
        <v>598</v>
      </c>
      <c r="FEP143" s="15" t="s">
        <v>598</v>
      </c>
      <c r="FEQ143" s="15" t="s">
        <v>598</v>
      </c>
      <c r="FER143" s="15" t="s">
        <v>598</v>
      </c>
      <c r="FES143" s="15" t="s">
        <v>598</v>
      </c>
      <c r="FET143" s="15" t="s">
        <v>598</v>
      </c>
      <c r="FEU143" s="15" t="s">
        <v>598</v>
      </c>
      <c r="FEV143" s="15" t="s">
        <v>598</v>
      </c>
      <c r="FEW143" s="15" t="s">
        <v>598</v>
      </c>
      <c r="FEX143" s="15" t="s">
        <v>598</v>
      </c>
      <c r="FEY143" s="15" t="s">
        <v>598</v>
      </c>
      <c r="FEZ143" s="15" t="s">
        <v>598</v>
      </c>
      <c r="FFA143" s="15" t="s">
        <v>598</v>
      </c>
      <c r="FFB143" s="15" t="s">
        <v>598</v>
      </c>
      <c r="FFC143" s="15" t="s">
        <v>598</v>
      </c>
      <c r="FFD143" s="15" t="s">
        <v>598</v>
      </c>
      <c r="FFE143" s="15" t="s">
        <v>598</v>
      </c>
      <c r="FFF143" s="15" t="s">
        <v>598</v>
      </c>
      <c r="FFG143" s="15" t="s">
        <v>598</v>
      </c>
      <c r="FFH143" s="15" t="s">
        <v>598</v>
      </c>
      <c r="FFI143" s="15" t="s">
        <v>598</v>
      </c>
      <c r="FFJ143" s="15" t="s">
        <v>598</v>
      </c>
      <c r="FFK143" s="15" t="s">
        <v>598</v>
      </c>
      <c r="FFL143" s="15" t="s">
        <v>598</v>
      </c>
      <c r="FFM143" s="15" t="s">
        <v>598</v>
      </c>
      <c r="FFN143" s="15" t="s">
        <v>598</v>
      </c>
      <c r="FFO143" s="15" t="s">
        <v>598</v>
      </c>
      <c r="FFP143" s="15" t="s">
        <v>598</v>
      </c>
      <c r="FFQ143" s="15" t="s">
        <v>598</v>
      </c>
      <c r="FFR143" s="15" t="s">
        <v>598</v>
      </c>
      <c r="FFS143" s="15" t="s">
        <v>598</v>
      </c>
      <c r="FFT143" s="15" t="s">
        <v>598</v>
      </c>
      <c r="FFU143" s="15" t="s">
        <v>598</v>
      </c>
      <c r="FFV143" s="15" t="s">
        <v>598</v>
      </c>
      <c r="FFW143" s="15" t="s">
        <v>598</v>
      </c>
      <c r="FFX143" s="15" t="s">
        <v>598</v>
      </c>
      <c r="FFY143" s="15" t="s">
        <v>598</v>
      </c>
      <c r="FFZ143" s="15" t="s">
        <v>598</v>
      </c>
      <c r="FGA143" s="15" t="s">
        <v>598</v>
      </c>
      <c r="FGB143" s="15" t="s">
        <v>598</v>
      </c>
      <c r="FGC143" s="15" t="s">
        <v>598</v>
      </c>
      <c r="FGD143" s="15" t="s">
        <v>598</v>
      </c>
      <c r="FGE143" s="15" t="s">
        <v>598</v>
      </c>
      <c r="FGF143" s="15" t="s">
        <v>598</v>
      </c>
      <c r="FGG143" s="15" t="s">
        <v>598</v>
      </c>
      <c r="FGH143" s="15" t="s">
        <v>598</v>
      </c>
      <c r="FGI143" s="15" t="s">
        <v>598</v>
      </c>
      <c r="FGJ143" s="15" t="s">
        <v>598</v>
      </c>
      <c r="FGK143" s="15" t="s">
        <v>598</v>
      </c>
      <c r="FGL143" s="15" t="s">
        <v>598</v>
      </c>
      <c r="FGM143" s="15" t="s">
        <v>598</v>
      </c>
      <c r="FGN143" s="15" t="s">
        <v>598</v>
      </c>
      <c r="FGO143" s="15" t="s">
        <v>598</v>
      </c>
      <c r="FGP143" s="15" t="s">
        <v>598</v>
      </c>
      <c r="FGQ143" s="15" t="s">
        <v>598</v>
      </c>
      <c r="FGR143" s="15" t="s">
        <v>598</v>
      </c>
      <c r="FGS143" s="15" t="s">
        <v>598</v>
      </c>
      <c r="FGT143" s="15" t="s">
        <v>598</v>
      </c>
      <c r="FGU143" s="15" t="s">
        <v>598</v>
      </c>
      <c r="FGV143" s="15" t="s">
        <v>598</v>
      </c>
      <c r="FGW143" s="15" t="s">
        <v>598</v>
      </c>
      <c r="FGX143" s="15" t="s">
        <v>598</v>
      </c>
      <c r="FGY143" s="15" t="s">
        <v>598</v>
      </c>
      <c r="FGZ143" s="15" t="s">
        <v>598</v>
      </c>
      <c r="FHA143" s="15" t="s">
        <v>598</v>
      </c>
      <c r="FHB143" s="15" t="s">
        <v>598</v>
      </c>
      <c r="FHC143" s="15" t="s">
        <v>598</v>
      </c>
      <c r="FHD143" s="15" t="s">
        <v>598</v>
      </c>
      <c r="FHE143" s="15" t="s">
        <v>598</v>
      </c>
      <c r="FHF143" s="15" t="s">
        <v>598</v>
      </c>
      <c r="FHG143" s="15" t="s">
        <v>598</v>
      </c>
      <c r="FHH143" s="15" t="s">
        <v>598</v>
      </c>
      <c r="FHI143" s="15" t="s">
        <v>598</v>
      </c>
      <c r="FHJ143" s="15" t="s">
        <v>598</v>
      </c>
      <c r="FHK143" s="15" t="s">
        <v>598</v>
      </c>
      <c r="FHL143" s="15" t="s">
        <v>598</v>
      </c>
      <c r="FHM143" s="15" t="s">
        <v>598</v>
      </c>
      <c r="FHN143" s="15" t="s">
        <v>598</v>
      </c>
      <c r="FHO143" s="15" t="s">
        <v>598</v>
      </c>
      <c r="FHP143" s="15" t="s">
        <v>598</v>
      </c>
      <c r="FHQ143" s="15" t="s">
        <v>598</v>
      </c>
      <c r="FHR143" s="15" t="s">
        <v>598</v>
      </c>
      <c r="FHS143" s="15" t="s">
        <v>598</v>
      </c>
      <c r="FHT143" s="15" t="s">
        <v>598</v>
      </c>
      <c r="FHU143" s="15" t="s">
        <v>598</v>
      </c>
      <c r="FHV143" s="15" t="s">
        <v>598</v>
      </c>
      <c r="FHW143" s="15" t="s">
        <v>598</v>
      </c>
      <c r="FHX143" s="15" t="s">
        <v>598</v>
      </c>
      <c r="FHY143" s="15" t="s">
        <v>598</v>
      </c>
      <c r="FHZ143" s="15" t="s">
        <v>598</v>
      </c>
      <c r="FIA143" s="15" t="s">
        <v>598</v>
      </c>
      <c r="FIB143" s="15" t="s">
        <v>598</v>
      </c>
      <c r="FIC143" s="15" t="s">
        <v>598</v>
      </c>
      <c r="FID143" s="15" t="s">
        <v>598</v>
      </c>
      <c r="FIE143" s="15" t="s">
        <v>598</v>
      </c>
      <c r="FIF143" s="15" t="s">
        <v>598</v>
      </c>
      <c r="FIG143" s="15" t="s">
        <v>598</v>
      </c>
      <c r="FIH143" s="15" t="s">
        <v>598</v>
      </c>
      <c r="FII143" s="15" t="s">
        <v>598</v>
      </c>
      <c r="FIJ143" s="15" t="s">
        <v>598</v>
      </c>
      <c r="FIK143" s="15" t="s">
        <v>598</v>
      </c>
      <c r="FIL143" s="15" t="s">
        <v>598</v>
      </c>
      <c r="FIM143" s="15" t="s">
        <v>598</v>
      </c>
      <c r="FIN143" s="15" t="s">
        <v>598</v>
      </c>
      <c r="FIO143" s="15" t="s">
        <v>598</v>
      </c>
      <c r="FIP143" s="15" t="s">
        <v>598</v>
      </c>
      <c r="FIQ143" s="15" t="s">
        <v>598</v>
      </c>
      <c r="FIR143" s="15" t="s">
        <v>598</v>
      </c>
      <c r="FIS143" s="15" t="s">
        <v>598</v>
      </c>
      <c r="FIT143" s="15" t="s">
        <v>598</v>
      </c>
      <c r="FIU143" s="15" t="s">
        <v>598</v>
      </c>
      <c r="FIV143" s="15" t="s">
        <v>598</v>
      </c>
      <c r="FIW143" s="15" t="s">
        <v>598</v>
      </c>
      <c r="FIX143" s="15" t="s">
        <v>598</v>
      </c>
      <c r="FIY143" s="15" t="s">
        <v>598</v>
      </c>
      <c r="FIZ143" s="15" t="s">
        <v>598</v>
      </c>
      <c r="FJA143" s="15" t="s">
        <v>598</v>
      </c>
      <c r="FJB143" s="15" t="s">
        <v>598</v>
      </c>
      <c r="FJC143" s="15" t="s">
        <v>598</v>
      </c>
      <c r="FJD143" s="15" t="s">
        <v>598</v>
      </c>
      <c r="FJE143" s="15" t="s">
        <v>598</v>
      </c>
      <c r="FJF143" s="15" t="s">
        <v>598</v>
      </c>
      <c r="FJG143" s="15" t="s">
        <v>598</v>
      </c>
      <c r="FJH143" s="15" t="s">
        <v>598</v>
      </c>
      <c r="FJI143" s="15" t="s">
        <v>598</v>
      </c>
      <c r="FJJ143" s="15" t="s">
        <v>598</v>
      </c>
      <c r="FJK143" s="15" t="s">
        <v>598</v>
      </c>
      <c r="FJL143" s="15" t="s">
        <v>598</v>
      </c>
      <c r="FJM143" s="15" t="s">
        <v>598</v>
      </c>
      <c r="FJN143" s="15" t="s">
        <v>598</v>
      </c>
      <c r="FJO143" s="15" t="s">
        <v>598</v>
      </c>
      <c r="FJP143" s="15" t="s">
        <v>598</v>
      </c>
      <c r="FJQ143" s="15" t="s">
        <v>598</v>
      </c>
      <c r="FJR143" s="15" t="s">
        <v>598</v>
      </c>
      <c r="FJS143" s="15" t="s">
        <v>598</v>
      </c>
      <c r="FJT143" s="15" t="s">
        <v>598</v>
      </c>
      <c r="FJU143" s="15" t="s">
        <v>598</v>
      </c>
      <c r="FJV143" s="15" t="s">
        <v>598</v>
      </c>
      <c r="FJW143" s="15" t="s">
        <v>598</v>
      </c>
      <c r="FJX143" s="15" t="s">
        <v>598</v>
      </c>
      <c r="FJY143" s="15" t="s">
        <v>598</v>
      </c>
      <c r="FJZ143" s="15" t="s">
        <v>598</v>
      </c>
      <c r="FKA143" s="15" t="s">
        <v>598</v>
      </c>
      <c r="FKB143" s="15" t="s">
        <v>598</v>
      </c>
      <c r="FKC143" s="15" t="s">
        <v>598</v>
      </c>
      <c r="FKD143" s="15" t="s">
        <v>598</v>
      </c>
      <c r="FKE143" s="15" t="s">
        <v>598</v>
      </c>
      <c r="FKF143" s="15" t="s">
        <v>598</v>
      </c>
      <c r="FKG143" s="15" t="s">
        <v>598</v>
      </c>
      <c r="FKH143" s="15" t="s">
        <v>598</v>
      </c>
      <c r="FKI143" s="15" t="s">
        <v>598</v>
      </c>
      <c r="FKJ143" s="15" t="s">
        <v>598</v>
      </c>
      <c r="FKK143" s="15" t="s">
        <v>598</v>
      </c>
      <c r="FKL143" s="15" t="s">
        <v>598</v>
      </c>
      <c r="FKM143" s="15" t="s">
        <v>598</v>
      </c>
      <c r="FKN143" s="15" t="s">
        <v>598</v>
      </c>
      <c r="FKO143" s="15" t="s">
        <v>598</v>
      </c>
      <c r="FKP143" s="15" t="s">
        <v>598</v>
      </c>
      <c r="FKQ143" s="15" t="s">
        <v>598</v>
      </c>
      <c r="FKR143" s="15" t="s">
        <v>598</v>
      </c>
      <c r="FKS143" s="15" t="s">
        <v>598</v>
      </c>
      <c r="FKT143" s="15" t="s">
        <v>598</v>
      </c>
      <c r="FKU143" s="15" t="s">
        <v>598</v>
      </c>
      <c r="FKV143" s="15" t="s">
        <v>598</v>
      </c>
      <c r="FKW143" s="15" t="s">
        <v>598</v>
      </c>
      <c r="FKX143" s="15" t="s">
        <v>598</v>
      </c>
      <c r="FKY143" s="15" t="s">
        <v>598</v>
      </c>
      <c r="FKZ143" s="15" t="s">
        <v>598</v>
      </c>
      <c r="FLA143" s="15" t="s">
        <v>598</v>
      </c>
      <c r="FLB143" s="15" t="s">
        <v>598</v>
      </c>
      <c r="FLC143" s="15" t="s">
        <v>598</v>
      </c>
      <c r="FLD143" s="15" t="s">
        <v>598</v>
      </c>
      <c r="FLE143" s="15" t="s">
        <v>598</v>
      </c>
      <c r="FLF143" s="15" t="s">
        <v>598</v>
      </c>
      <c r="FLG143" s="15" t="s">
        <v>598</v>
      </c>
      <c r="FLH143" s="15" t="s">
        <v>598</v>
      </c>
      <c r="FLI143" s="15" t="s">
        <v>598</v>
      </c>
      <c r="FLJ143" s="15" t="s">
        <v>598</v>
      </c>
      <c r="FLK143" s="15" t="s">
        <v>598</v>
      </c>
      <c r="FLL143" s="15" t="s">
        <v>598</v>
      </c>
      <c r="FLM143" s="15" t="s">
        <v>598</v>
      </c>
      <c r="FLN143" s="15" t="s">
        <v>598</v>
      </c>
      <c r="FLO143" s="15" t="s">
        <v>598</v>
      </c>
      <c r="FLP143" s="15" t="s">
        <v>598</v>
      </c>
      <c r="FLQ143" s="15" t="s">
        <v>598</v>
      </c>
      <c r="FLR143" s="15" t="s">
        <v>598</v>
      </c>
      <c r="FLS143" s="15" t="s">
        <v>598</v>
      </c>
      <c r="FLT143" s="15" t="s">
        <v>598</v>
      </c>
      <c r="FLU143" s="15" t="s">
        <v>598</v>
      </c>
      <c r="FLV143" s="15" t="s">
        <v>598</v>
      </c>
      <c r="FLW143" s="15" t="s">
        <v>598</v>
      </c>
      <c r="FLX143" s="15" t="s">
        <v>598</v>
      </c>
      <c r="FLY143" s="15" t="s">
        <v>598</v>
      </c>
      <c r="FLZ143" s="15" t="s">
        <v>598</v>
      </c>
      <c r="FMA143" s="15" t="s">
        <v>598</v>
      </c>
      <c r="FMB143" s="15" t="s">
        <v>598</v>
      </c>
      <c r="FMC143" s="15" t="s">
        <v>598</v>
      </c>
      <c r="FMD143" s="15" t="s">
        <v>598</v>
      </c>
      <c r="FME143" s="15" t="s">
        <v>598</v>
      </c>
      <c r="FMF143" s="15" t="s">
        <v>598</v>
      </c>
      <c r="FMG143" s="15" t="s">
        <v>598</v>
      </c>
      <c r="FMH143" s="15" t="s">
        <v>598</v>
      </c>
      <c r="FMI143" s="15" t="s">
        <v>598</v>
      </c>
      <c r="FMJ143" s="15" t="s">
        <v>598</v>
      </c>
      <c r="FMK143" s="15" t="s">
        <v>598</v>
      </c>
      <c r="FML143" s="15" t="s">
        <v>598</v>
      </c>
      <c r="FMM143" s="15" t="s">
        <v>598</v>
      </c>
      <c r="FMN143" s="15" t="s">
        <v>598</v>
      </c>
      <c r="FMO143" s="15" t="s">
        <v>598</v>
      </c>
      <c r="FMP143" s="15" t="s">
        <v>598</v>
      </c>
      <c r="FMQ143" s="15" t="s">
        <v>598</v>
      </c>
      <c r="FMR143" s="15" t="s">
        <v>598</v>
      </c>
      <c r="FMS143" s="15" t="s">
        <v>598</v>
      </c>
      <c r="FMT143" s="15" t="s">
        <v>598</v>
      </c>
      <c r="FMU143" s="15" t="s">
        <v>598</v>
      </c>
      <c r="FMV143" s="15" t="s">
        <v>598</v>
      </c>
      <c r="FMW143" s="15" t="s">
        <v>598</v>
      </c>
      <c r="FMX143" s="15" t="s">
        <v>598</v>
      </c>
      <c r="FMY143" s="15" t="s">
        <v>598</v>
      </c>
      <c r="FMZ143" s="15" t="s">
        <v>598</v>
      </c>
      <c r="FNA143" s="15" t="s">
        <v>598</v>
      </c>
      <c r="FNB143" s="15" t="s">
        <v>598</v>
      </c>
      <c r="FNC143" s="15" t="s">
        <v>598</v>
      </c>
      <c r="FND143" s="15" t="s">
        <v>598</v>
      </c>
      <c r="FNE143" s="15" t="s">
        <v>598</v>
      </c>
      <c r="FNF143" s="15" t="s">
        <v>598</v>
      </c>
      <c r="FNG143" s="15" t="s">
        <v>598</v>
      </c>
      <c r="FNH143" s="15" t="s">
        <v>598</v>
      </c>
      <c r="FNI143" s="15" t="s">
        <v>598</v>
      </c>
      <c r="FNJ143" s="15" t="s">
        <v>598</v>
      </c>
      <c r="FNK143" s="15" t="s">
        <v>598</v>
      </c>
      <c r="FNL143" s="15" t="s">
        <v>598</v>
      </c>
      <c r="FNM143" s="15" t="s">
        <v>598</v>
      </c>
      <c r="FNN143" s="15" t="s">
        <v>598</v>
      </c>
      <c r="FNO143" s="15" t="s">
        <v>598</v>
      </c>
      <c r="FNP143" s="15" t="s">
        <v>598</v>
      </c>
      <c r="FNQ143" s="15" t="s">
        <v>598</v>
      </c>
      <c r="FNR143" s="15" t="s">
        <v>598</v>
      </c>
      <c r="FNS143" s="15" t="s">
        <v>598</v>
      </c>
      <c r="FNT143" s="15" t="s">
        <v>598</v>
      </c>
      <c r="FNU143" s="15" t="s">
        <v>598</v>
      </c>
      <c r="FNV143" s="15" t="s">
        <v>598</v>
      </c>
      <c r="FNW143" s="15" t="s">
        <v>598</v>
      </c>
      <c r="FNX143" s="15" t="s">
        <v>598</v>
      </c>
      <c r="FNY143" s="15" t="s">
        <v>598</v>
      </c>
      <c r="FNZ143" s="15" t="s">
        <v>598</v>
      </c>
      <c r="FOA143" s="15" t="s">
        <v>598</v>
      </c>
      <c r="FOB143" s="15" t="s">
        <v>598</v>
      </c>
      <c r="FOC143" s="15" t="s">
        <v>598</v>
      </c>
      <c r="FOD143" s="15" t="s">
        <v>598</v>
      </c>
      <c r="FOE143" s="15" t="s">
        <v>598</v>
      </c>
      <c r="FOF143" s="15" t="s">
        <v>598</v>
      </c>
      <c r="FOG143" s="15" t="s">
        <v>598</v>
      </c>
      <c r="FOH143" s="15" t="s">
        <v>598</v>
      </c>
      <c r="FOI143" s="15" t="s">
        <v>598</v>
      </c>
      <c r="FOJ143" s="15" t="s">
        <v>598</v>
      </c>
      <c r="FOK143" s="15" t="s">
        <v>598</v>
      </c>
      <c r="FOL143" s="15" t="s">
        <v>598</v>
      </c>
      <c r="FOM143" s="15" t="s">
        <v>598</v>
      </c>
      <c r="FON143" s="15" t="s">
        <v>598</v>
      </c>
      <c r="FOO143" s="15" t="s">
        <v>598</v>
      </c>
      <c r="FOP143" s="15" t="s">
        <v>598</v>
      </c>
      <c r="FOQ143" s="15" t="s">
        <v>598</v>
      </c>
      <c r="FOR143" s="15" t="s">
        <v>598</v>
      </c>
      <c r="FOS143" s="15" t="s">
        <v>598</v>
      </c>
      <c r="FOT143" s="15" t="s">
        <v>598</v>
      </c>
      <c r="FOU143" s="15" t="s">
        <v>598</v>
      </c>
      <c r="FOV143" s="15" t="s">
        <v>598</v>
      </c>
      <c r="FOW143" s="15" t="s">
        <v>598</v>
      </c>
      <c r="FOX143" s="15" t="s">
        <v>598</v>
      </c>
      <c r="FOY143" s="15" t="s">
        <v>598</v>
      </c>
      <c r="FOZ143" s="15" t="s">
        <v>598</v>
      </c>
      <c r="FPA143" s="15" t="s">
        <v>598</v>
      </c>
      <c r="FPB143" s="15" t="s">
        <v>598</v>
      </c>
      <c r="FPC143" s="15" t="s">
        <v>598</v>
      </c>
      <c r="FPD143" s="15" t="s">
        <v>598</v>
      </c>
      <c r="FPE143" s="15" t="s">
        <v>598</v>
      </c>
      <c r="FPF143" s="15" t="s">
        <v>598</v>
      </c>
      <c r="FPG143" s="15" t="s">
        <v>598</v>
      </c>
      <c r="FPH143" s="15" t="s">
        <v>598</v>
      </c>
      <c r="FPI143" s="15" t="s">
        <v>598</v>
      </c>
      <c r="FPJ143" s="15" t="s">
        <v>598</v>
      </c>
      <c r="FPK143" s="15" t="s">
        <v>598</v>
      </c>
      <c r="FPL143" s="15" t="s">
        <v>598</v>
      </c>
      <c r="FPM143" s="15" t="s">
        <v>598</v>
      </c>
      <c r="FPN143" s="15" t="s">
        <v>598</v>
      </c>
      <c r="FPO143" s="15" t="s">
        <v>598</v>
      </c>
      <c r="FPP143" s="15" t="s">
        <v>598</v>
      </c>
      <c r="FPQ143" s="15" t="s">
        <v>598</v>
      </c>
      <c r="FPR143" s="15" t="s">
        <v>598</v>
      </c>
      <c r="FPS143" s="15" t="s">
        <v>598</v>
      </c>
      <c r="FPT143" s="15" t="s">
        <v>598</v>
      </c>
      <c r="FPU143" s="15" t="s">
        <v>598</v>
      </c>
      <c r="FPV143" s="15" t="s">
        <v>598</v>
      </c>
      <c r="FPW143" s="15" t="s">
        <v>598</v>
      </c>
      <c r="FPX143" s="15" t="s">
        <v>598</v>
      </c>
      <c r="FPY143" s="15" t="s">
        <v>598</v>
      </c>
      <c r="FPZ143" s="15" t="s">
        <v>598</v>
      </c>
      <c r="FQA143" s="15" t="s">
        <v>598</v>
      </c>
      <c r="FQB143" s="15" t="s">
        <v>598</v>
      </c>
      <c r="FQC143" s="15" t="s">
        <v>598</v>
      </c>
      <c r="FQD143" s="15" t="s">
        <v>598</v>
      </c>
      <c r="FQE143" s="15" t="s">
        <v>598</v>
      </c>
      <c r="FQF143" s="15" t="s">
        <v>598</v>
      </c>
      <c r="FQG143" s="15" t="s">
        <v>598</v>
      </c>
      <c r="FQH143" s="15" t="s">
        <v>598</v>
      </c>
      <c r="FQI143" s="15" t="s">
        <v>598</v>
      </c>
      <c r="FQJ143" s="15" t="s">
        <v>598</v>
      </c>
      <c r="FQK143" s="15" t="s">
        <v>598</v>
      </c>
      <c r="FQL143" s="15" t="s">
        <v>598</v>
      </c>
      <c r="FQM143" s="15" t="s">
        <v>598</v>
      </c>
      <c r="FQN143" s="15" t="s">
        <v>598</v>
      </c>
      <c r="FQO143" s="15" t="s">
        <v>598</v>
      </c>
      <c r="FQP143" s="15" t="s">
        <v>598</v>
      </c>
      <c r="FQQ143" s="15" t="s">
        <v>598</v>
      </c>
      <c r="FQR143" s="15" t="s">
        <v>598</v>
      </c>
      <c r="FQS143" s="15" t="s">
        <v>598</v>
      </c>
      <c r="FQT143" s="15" t="s">
        <v>598</v>
      </c>
      <c r="FQU143" s="15" t="s">
        <v>598</v>
      </c>
      <c r="FQV143" s="15" t="s">
        <v>598</v>
      </c>
      <c r="FQW143" s="15" t="s">
        <v>598</v>
      </c>
      <c r="FQX143" s="15" t="s">
        <v>598</v>
      </c>
      <c r="FQY143" s="15" t="s">
        <v>598</v>
      </c>
      <c r="FQZ143" s="15" t="s">
        <v>598</v>
      </c>
      <c r="FRA143" s="15" t="s">
        <v>598</v>
      </c>
      <c r="FRB143" s="15" t="s">
        <v>598</v>
      </c>
      <c r="FRC143" s="15" t="s">
        <v>598</v>
      </c>
      <c r="FRD143" s="15" t="s">
        <v>598</v>
      </c>
      <c r="FRE143" s="15" t="s">
        <v>598</v>
      </c>
      <c r="FRF143" s="15" t="s">
        <v>598</v>
      </c>
      <c r="FRG143" s="15" t="s">
        <v>598</v>
      </c>
      <c r="FRH143" s="15" t="s">
        <v>598</v>
      </c>
      <c r="FRI143" s="15" t="s">
        <v>598</v>
      </c>
      <c r="FRJ143" s="15" t="s">
        <v>598</v>
      </c>
      <c r="FRK143" s="15" t="s">
        <v>598</v>
      </c>
      <c r="FRL143" s="15" t="s">
        <v>598</v>
      </c>
      <c r="FRM143" s="15" t="s">
        <v>598</v>
      </c>
      <c r="FRN143" s="15" t="s">
        <v>598</v>
      </c>
      <c r="FRO143" s="15" t="s">
        <v>598</v>
      </c>
      <c r="FRP143" s="15" t="s">
        <v>598</v>
      </c>
      <c r="FRQ143" s="15" t="s">
        <v>598</v>
      </c>
      <c r="FRR143" s="15" t="s">
        <v>598</v>
      </c>
      <c r="FRS143" s="15" t="s">
        <v>598</v>
      </c>
      <c r="FRT143" s="15" t="s">
        <v>598</v>
      </c>
      <c r="FRU143" s="15" t="s">
        <v>598</v>
      </c>
      <c r="FRV143" s="15" t="s">
        <v>598</v>
      </c>
      <c r="FRW143" s="15" t="s">
        <v>598</v>
      </c>
      <c r="FRX143" s="15" t="s">
        <v>598</v>
      </c>
      <c r="FRY143" s="15" t="s">
        <v>598</v>
      </c>
      <c r="FRZ143" s="15" t="s">
        <v>598</v>
      </c>
      <c r="FSA143" s="15" t="s">
        <v>598</v>
      </c>
      <c r="FSB143" s="15" t="s">
        <v>598</v>
      </c>
      <c r="FSC143" s="15" t="s">
        <v>598</v>
      </c>
      <c r="FSD143" s="15" t="s">
        <v>598</v>
      </c>
      <c r="FSE143" s="15" t="s">
        <v>598</v>
      </c>
      <c r="FSF143" s="15" t="s">
        <v>598</v>
      </c>
      <c r="FSG143" s="15" t="s">
        <v>598</v>
      </c>
      <c r="FSH143" s="15" t="s">
        <v>598</v>
      </c>
      <c r="FSI143" s="15" t="s">
        <v>598</v>
      </c>
      <c r="FSJ143" s="15" t="s">
        <v>598</v>
      </c>
      <c r="FSK143" s="15" t="s">
        <v>598</v>
      </c>
      <c r="FSL143" s="15" t="s">
        <v>598</v>
      </c>
      <c r="FSM143" s="15" t="s">
        <v>598</v>
      </c>
      <c r="FSN143" s="15" t="s">
        <v>598</v>
      </c>
      <c r="FSO143" s="15" t="s">
        <v>598</v>
      </c>
      <c r="FSP143" s="15" t="s">
        <v>598</v>
      </c>
      <c r="FSQ143" s="15" t="s">
        <v>598</v>
      </c>
      <c r="FSR143" s="15" t="s">
        <v>598</v>
      </c>
      <c r="FSS143" s="15" t="s">
        <v>598</v>
      </c>
      <c r="FST143" s="15" t="s">
        <v>598</v>
      </c>
      <c r="FSU143" s="15" t="s">
        <v>598</v>
      </c>
      <c r="FSV143" s="15" t="s">
        <v>598</v>
      </c>
      <c r="FSW143" s="15" t="s">
        <v>598</v>
      </c>
      <c r="FSX143" s="15" t="s">
        <v>598</v>
      </c>
      <c r="FSY143" s="15" t="s">
        <v>598</v>
      </c>
      <c r="FSZ143" s="15" t="s">
        <v>598</v>
      </c>
      <c r="FTA143" s="15" t="s">
        <v>598</v>
      </c>
      <c r="FTB143" s="15" t="s">
        <v>598</v>
      </c>
      <c r="FTC143" s="15" t="s">
        <v>598</v>
      </c>
      <c r="FTD143" s="15" t="s">
        <v>598</v>
      </c>
      <c r="FTE143" s="15" t="s">
        <v>598</v>
      </c>
      <c r="FTF143" s="15" t="s">
        <v>598</v>
      </c>
      <c r="FTG143" s="15" t="s">
        <v>598</v>
      </c>
      <c r="FTH143" s="15" t="s">
        <v>598</v>
      </c>
      <c r="FTI143" s="15" t="s">
        <v>598</v>
      </c>
      <c r="FTJ143" s="15" t="s">
        <v>598</v>
      </c>
      <c r="FTK143" s="15" t="s">
        <v>598</v>
      </c>
      <c r="FTL143" s="15" t="s">
        <v>598</v>
      </c>
      <c r="FTM143" s="15" t="s">
        <v>598</v>
      </c>
      <c r="FTN143" s="15" t="s">
        <v>598</v>
      </c>
      <c r="FTO143" s="15" t="s">
        <v>598</v>
      </c>
      <c r="FTP143" s="15" t="s">
        <v>598</v>
      </c>
      <c r="FTQ143" s="15" t="s">
        <v>598</v>
      </c>
      <c r="FTR143" s="15" t="s">
        <v>598</v>
      </c>
      <c r="FTS143" s="15" t="s">
        <v>598</v>
      </c>
      <c r="FTT143" s="15" t="s">
        <v>598</v>
      </c>
      <c r="FTU143" s="15" t="s">
        <v>598</v>
      </c>
      <c r="FTV143" s="15" t="s">
        <v>598</v>
      </c>
      <c r="FTW143" s="15" t="s">
        <v>598</v>
      </c>
      <c r="FTX143" s="15" t="s">
        <v>598</v>
      </c>
      <c r="FTY143" s="15" t="s">
        <v>598</v>
      </c>
      <c r="FTZ143" s="15" t="s">
        <v>598</v>
      </c>
      <c r="FUA143" s="15" t="s">
        <v>598</v>
      </c>
      <c r="FUB143" s="15" t="s">
        <v>598</v>
      </c>
      <c r="FUC143" s="15" t="s">
        <v>598</v>
      </c>
      <c r="FUD143" s="15" t="s">
        <v>598</v>
      </c>
      <c r="FUE143" s="15" t="s">
        <v>598</v>
      </c>
      <c r="FUF143" s="15" t="s">
        <v>598</v>
      </c>
      <c r="FUG143" s="15" t="s">
        <v>598</v>
      </c>
      <c r="FUH143" s="15" t="s">
        <v>598</v>
      </c>
      <c r="FUI143" s="15" t="s">
        <v>598</v>
      </c>
      <c r="FUJ143" s="15" t="s">
        <v>598</v>
      </c>
      <c r="FUK143" s="15" t="s">
        <v>598</v>
      </c>
      <c r="FUL143" s="15" t="s">
        <v>598</v>
      </c>
      <c r="FUM143" s="15" t="s">
        <v>598</v>
      </c>
      <c r="FUN143" s="15" t="s">
        <v>598</v>
      </c>
      <c r="FUO143" s="15" t="s">
        <v>598</v>
      </c>
      <c r="FUP143" s="15" t="s">
        <v>598</v>
      </c>
      <c r="FUQ143" s="15" t="s">
        <v>598</v>
      </c>
      <c r="FUR143" s="15" t="s">
        <v>598</v>
      </c>
      <c r="FUS143" s="15" t="s">
        <v>598</v>
      </c>
      <c r="FUT143" s="15" t="s">
        <v>598</v>
      </c>
      <c r="FUU143" s="15" t="s">
        <v>598</v>
      </c>
      <c r="FUV143" s="15" t="s">
        <v>598</v>
      </c>
      <c r="FUW143" s="15" t="s">
        <v>598</v>
      </c>
      <c r="FUX143" s="15" t="s">
        <v>598</v>
      </c>
      <c r="FUY143" s="15" t="s">
        <v>598</v>
      </c>
      <c r="FUZ143" s="15" t="s">
        <v>598</v>
      </c>
      <c r="FVA143" s="15" t="s">
        <v>598</v>
      </c>
      <c r="FVB143" s="15" t="s">
        <v>598</v>
      </c>
      <c r="FVC143" s="15" t="s">
        <v>598</v>
      </c>
      <c r="FVD143" s="15" t="s">
        <v>598</v>
      </c>
      <c r="FVE143" s="15" t="s">
        <v>598</v>
      </c>
      <c r="FVF143" s="15" t="s">
        <v>598</v>
      </c>
      <c r="FVG143" s="15" t="s">
        <v>598</v>
      </c>
      <c r="FVH143" s="15" t="s">
        <v>598</v>
      </c>
      <c r="FVI143" s="15" t="s">
        <v>598</v>
      </c>
      <c r="FVJ143" s="15" t="s">
        <v>598</v>
      </c>
      <c r="FVK143" s="15" t="s">
        <v>598</v>
      </c>
      <c r="FVL143" s="15" t="s">
        <v>598</v>
      </c>
      <c r="FVM143" s="15" t="s">
        <v>598</v>
      </c>
      <c r="FVN143" s="15" t="s">
        <v>598</v>
      </c>
      <c r="FVO143" s="15" t="s">
        <v>598</v>
      </c>
      <c r="FVP143" s="15" t="s">
        <v>598</v>
      </c>
      <c r="FVQ143" s="15" t="s">
        <v>598</v>
      </c>
      <c r="FVR143" s="15" t="s">
        <v>598</v>
      </c>
      <c r="FVS143" s="15" t="s">
        <v>598</v>
      </c>
      <c r="FVT143" s="15" t="s">
        <v>598</v>
      </c>
      <c r="FVU143" s="15" t="s">
        <v>598</v>
      </c>
      <c r="FVV143" s="15" t="s">
        <v>598</v>
      </c>
      <c r="FVW143" s="15" t="s">
        <v>598</v>
      </c>
      <c r="FVX143" s="15" t="s">
        <v>598</v>
      </c>
      <c r="FVY143" s="15" t="s">
        <v>598</v>
      </c>
      <c r="FVZ143" s="15" t="s">
        <v>598</v>
      </c>
      <c r="FWA143" s="15" t="s">
        <v>598</v>
      </c>
      <c r="FWB143" s="15" t="s">
        <v>598</v>
      </c>
      <c r="FWC143" s="15" t="s">
        <v>598</v>
      </c>
      <c r="FWD143" s="15" t="s">
        <v>598</v>
      </c>
      <c r="FWE143" s="15" t="s">
        <v>598</v>
      </c>
      <c r="FWF143" s="15" t="s">
        <v>598</v>
      </c>
      <c r="FWG143" s="15" t="s">
        <v>598</v>
      </c>
      <c r="FWH143" s="15" t="s">
        <v>598</v>
      </c>
      <c r="FWI143" s="15" t="s">
        <v>598</v>
      </c>
      <c r="FWJ143" s="15" t="s">
        <v>598</v>
      </c>
      <c r="FWK143" s="15" t="s">
        <v>598</v>
      </c>
      <c r="FWL143" s="15" t="s">
        <v>598</v>
      </c>
      <c r="FWM143" s="15" t="s">
        <v>598</v>
      </c>
      <c r="FWN143" s="15" t="s">
        <v>598</v>
      </c>
      <c r="FWO143" s="15" t="s">
        <v>598</v>
      </c>
      <c r="FWP143" s="15" t="s">
        <v>598</v>
      </c>
      <c r="FWQ143" s="15" t="s">
        <v>598</v>
      </c>
      <c r="FWR143" s="15" t="s">
        <v>598</v>
      </c>
      <c r="FWS143" s="15" t="s">
        <v>598</v>
      </c>
      <c r="FWT143" s="15" t="s">
        <v>598</v>
      </c>
      <c r="FWU143" s="15" t="s">
        <v>598</v>
      </c>
      <c r="FWV143" s="15" t="s">
        <v>598</v>
      </c>
      <c r="FWW143" s="15" t="s">
        <v>598</v>
      </c>
      <c r="FWX143" s="15" t="s">
        <v>598</v>
      </c>
      <c r="FWY143" s="15" t="s">
        <v>598</v>
      </c>
      <c r="FWZ143" s="15" t="s">
        <v>598</v>
      </c>
      <c r="FXA143" s="15" t="s">
        <v>598</v>
      </c>
      <c r="FXB143" s="15" t="s">
        <v>598</v>
      </c>
      <c r="FXC143" s="15" t="s">
        <v>598</v>
      </c>
      <c r="FXD143" s="15" t="s">
        <v>598</v>
      </c>
      <c r="FXE143" s="15" t="s">
        <v>598</v>
      </c>
      <c r="FXF143" s="15" t="s">
        <v>598</v>
      </c>
      <c r="FXG143" s="15" t="s">
        <v>598</v>
      </c>
      <c r="FXH143" s="15" t="s">
        <v>598</v>
      </c>
      <c r="FXI143" s="15" t="s">
        <v>598</v>
      </c>
      <c r="FXJ143" s="15" t="s">
        <v>598</v>
      </c>
      <c r="FXK143" s="15" t="s">
        <v>598</v>
      </c>
      <c r="FXL143" s="15" t="s">
        <v>598</v>
      </c>
      <c r="FXM143" s="15" t="s">
        <v>598</v>
      </c>
      <c r="FXN143" s="15" t="s">
        <v>598</v>
      </c>
      <c r="FXO143" s="15" t="s">
        <v>598</v>
      </c>
      <c r="FXP143" s="15" t="s">
        <v>598</v>
      </c>
      <c r="FXQ143" s="15" t="s">
        <v>598</v>
      </c>
      <c r="FXR143" s="15" t="s">
        <v>598</v>
      </c>
      <c r="FXS143" s="15" t="s">
        <v>598</v>
      </c>
      <c r="FXT143" s="15" t="s">
        <v>598</v>
      </c>
      <c r="FXU143" s="15" t="s">
        <v>598</v>
      </c>
      <c r="FXV143" s="15" t="s">
        <v>598</v>
      </c>
      <c r="FXW143" s="15" t="s">
        <v>598</v>
      </c>
      <c r="FXX143" s="15" t="s">
        <v>598</v>
      </c>
      <c r="FXY143" s="15" t="s">
        <v>598</v>
      </c>
      <c r="FXZ143" s="15" t="s">
        <v>598</v>
      </c>
      <c r="FYA143" s="15" t="s">
        <v>598</v>
      </c>
      <c r="FYB143" s="15" t="s">
        <v>598</v>
      </c>
      <c r="FYC143" s="15" t="s">
        <v>598</v>
      </c>
      <c r="FYD143" s="15" t="s">
        <v>598</v>
      </c>
      <c r="FYE143" s="15" t="s">
        <v>598</v>
      </c>
      <c r="FYF143" s="15" t="s">
        <v>598</v>
      </c>
      <c r="FYG143" s="15" t="s">
        <v>598</v>
      </c>
      <c r="FYH143" s="15" t="s">
        <v>598</v>
      </c>
      <c r="FYI143" s="15" t="s">
        <v>598</v>
      </c>
      <c r="FYJ143" s="15" t="s">
        <v>598</v>
      </c>
      <c r="FYK143" s="15" t="s">
        <v>598</v>
      </c>
      <c r="FYL143" s="15" t="s">
        <v>598</v>
      </c>
      <c r="FYM143" s="15" t="s">
        <v>598</v>
      </c>
      <c r="FYN143" s="15" t="s">
        <v>598</v>
      </c>
      <c r="FYO143" s="15" t="s">
        <v>598</v>
      </c>
      <c r="FYP143" s="15" t="s">
        <v>598</v>
      </c>
      <c r="FYQ143" s="15" t="s">
        <v>598</v>
      </c>
      <c r="FYR143" s="15" t="s">
        <v>598</v>
      </c>
      <c r="FYS143" s="15" t="s">
        <v>598</v>
      </c>
      <c r="FYT143" s="15" t="s">
        <v>598</v>
      </c>
      <c r="FYU143" s="15" t="s">
        <v>598</v>
      </c>
      <c r="FYV143" s="15" t="s">
        <v>598</v>
      </c>
      <c r="FYW143" s="15" t="s">
        <v>598</v>
      </c>
      <c r="FYX143" s="15" t="s">
        <v>598</v>
      </c>
      <c r="FYY143" s="15" t="s">
        <v>598</v>
      </c>
      <c r="FYZ143" s="15" t="s">
        <v>598</v>
      </c>
      <c r="FZA143" s="15" t="s">
        <v>598</v>
      </c>
      <c r="FZB143" s="15" t="s">
        <v>598</v>
      </c>
      <c r="FZC143" s="15" t="s">
        <v>598</v>
      </c>
      <c r="FZD143" s="15" t="s">
        <v>598</v>
      </c>
      <c r="FZE143" s="15" t="s">
        <v>598</v>
      </c>
      <c r="FZF143" s="15" t="s">
        <v>598</v>
      </c>
      <c r="FZG143" s="15" t="s">
        <v>598</v>
      </c>
      <c r="FZH143" s="15" t="s">
        <v>598</v>
      </c>
      <c r="FZI143" s="15" t="s">
        <v>598</v>
      </c>
      <c r="FZJ143" s="15" t="s">
        <v>598</v>
      </c>
      <c r="FZK143" s="15" t="s">
        <v>598</v>
      </c>
      <c r="FZL143" s="15" t="s">
        <v>598</v>
      </c>
      <c r="FZM143" s="15" t="s">
        <v>598</v>
      </c>
      <c r="FZN143" s="15" t="s">
        <v>598</v>
      </c>
      <c r="FZO143" s="15" t="s">
        <v>598</v>
      </c>
      <c r="FZP143" s="15" t="s">
        <v>598</v>
      </c>
      <c r="FZQ143" s="15" t="s">
        <v>598</v>
      </c>
      <c r="FZR143" s="15" t="s">
        <v>598</v>
      </c>
      <c r="FZS143" s="15" t="s">
        <v>598</v>
      </c>
      <c r="FZT143" s="15" t="s">
        <v>598</v>
      </c>
      <c r="FZU143" s="15" t="s">
        <v>598</v>
      </c>
      <c r="FZV143" s="15" t="s">
        <v>598</v>
      </c>
      <c r="FZW143" s="15" t="s">
        <v>598</v>
      </c>
      <c r="FZX143" s="15" t="s">
        <v>598</v>
      </c>
      <c r="FZY143" s="15" t="s">
        <v>598</v>
      </c>
      <c r="FZZ143" s="15" t="s">
        <v>598</v>
      </c>
      <c r="GAA143" s="15" t="s">
        <v>598</v>
      </c>
      <c r="GAB143" s="15" t="s">
        <v>598</v>
      </c>
      <c r="GAC143" s="15" t="s">
        <v>598</v>
      </c>
      <c r="GAD143" s="15" t="s">
        <v>598</v>
      </c>
      <c r="GAE143" s="15" t="s">
        <v>598</v>
      </c>
      <c r="GAF143" s="15" t="s">
        <v>598</v>
      </c>
      <c r="GAG143" s="15" t="s">
        <v>598</v>
      </c>
      <c r="GAH143" s="15" t="s">
        <v>598</v>
      </c>
      <c r="GAI143" s="15" t="s">
        <v>598</v>
      </c>
      <c r="GAJ143" s="15" t="s">
        <v>598</v>
      </c>
      <c r="GAK143" s="15" t="s">
        <v>598</v>
      </c>
      <c r="GAL143" s="15" t="s">
        <v>598</v>
      </c>
      <c r="GAM143" s="15" t="s">
        <v>598</v>
      </c>
      <c r="GAN143" s="15" t="s">
        <v>598</v>
      </c>
      <c r="GAO143" s="15" t="s">
        <v>598</v>
      </c>
      <c r="GAP143" s="15" t="s">
        <v>598</v>
      </c>
      <c r="GAQ143" s="15" t="s">
        <v>598</v>
      </c>
      <c r="GAR143" s="15" t="s">
        <v>598</v>
      </c>
      <c r="GAS143" s="15" t="s">
        <v>598</v>
      </c>
      <c r="GAT143" s="15" t="s">
        <v>598</v>
      </c>
      <c r="GAU143" s="15" t="s">
        <v>598</v>
      </c>
      <c r="GAV143" s="15" t="s">
        <v>598</v>
      </c>
      <c r="GAW143" s="15" t="s">
        <v>598</v>
      </c>
      <c r="GAX143" s="15" t="s">
        <v>598</v>
      </c>
      <c r="GAY143" s="15" t="s">
        <v>598</v>
      </c>
      <c r="GAZ143" s="15" t="s">
        <v>598</v>
      </c>
      <c r="GBA143" s="15" t="s">
        <v>598</v>
      </c>
      <c r="GBB143" s="15" t="s">
        <v>598</v>
      </c>
      <c r="GBC143" s="15" t="s">
        <v>598</v>
      </c>
      <c r="GBD143" s="15" t="s">
        <v>598</v>
      </c>
      <c r="GBE143" s="15" t="s">
        <v>598</v>
      </c>
      <c r="GBF143" s="15" t="s">
        <v>598</v>
      </c>
      <c r="GBG143" s="15" t="s">
        <v>598</v>
      </c>
      <c r="GBH143" s="15" t="s">
        <v>598</v>
      </c>
      <c r="GBI143" s="15" t="s">
        <v>598</v>
      </c>
      <c r="GBJ143" s="15" t="s">
        <v>598</v>
      </c>
      <c r="GBK143" s="15" t="s">
        <v>598</v>
      </c>
      <c r="GBL143" s="15" t="s">
        <v>598</v>
      </c>
      <c r="GBM143" s="15" t="s">
        <v>598</v>
      </c>
      <c r="GBN143" s="15" t="s">
        <v>598</v>
      </c>
      <c r="GBO143" s="15" t="s">
        <v>598</v>
      </c>
      <c r="GBP143" s="15" t="s">
        <v>598</v>
      </c>
      <c r="GBQ143" s="15" t="s">
        <v>598</v>
      </c>
      <c r="GBR143" s="15" t="s">
        <v>598</v>
      </c>
      <c r="GBS143" s="15" t="s">
        <v>598</v>
      </c>
      <c r="GBT143" s="15" t="s">
        <v>598</v>
      </c>
      <c r="GBU143" s="15" t="s">
        <v>598</v>
      </c>
      <c r="GBV143" s="15" t="s">
        <v>598</v>
      </c>
      <c r="GBW143" s="15" t="s">
        <v>598</v>
      </c>
      <c r="GBX143" s="15" t="s">
        <v>598</v>
      </c>
      <c r="GBY143" s="15" t="s">
        <v>598</v>
      </c>
      <c r="GBZ143" s="15" t="s">
        <v>598</v>
      </c>
      <c r="GCA143" s="15" t="s">
        <v>598</v>
      </c>
      <c r="GCB143" s="15" t="s">
        <v>598</v>
      </c>
      <c r="GCC143" s="15" t="s">
        <v>598</v>
      </c>
      <c r="GCD143" s="15" t="s">
        <v>598</v>
      </c>
      <c r="GCE143" s="15" t="s">
        <v>598</v>
      </c>
      <c r="GCF143" s="15" t="s">
        <v>598</v>
      </c>
      <c r="GCG143" s="15" t="s">
        <v>598</v>
      </c>
      <c r="GCH143" s="15" t="s">
        <v>598</v>
      </c>
      <c r="GCI143" s="15" t="s">
        <v>598</v>
      </c>
      <c r="GCJ143" s="15" t="s">
        <v>598</v>
      </c>
      <c r="GCK143" s="15" t="s">
        <v>598</v>
      </c>
      <c r="GCL143" s="15" t="s">
        <v>598</v>
      </c>
      <c r="GCM143" s="15" t="s">
        <v>598</v>
      </c>
      <c r="GCN143" s="15" t="s">
        <v>598</v>
      </c>
      <c r="GCO143" s="15" t="s">
        <v>598</v>
      </c>
      <c r="GCP143" s="15" t="s">
        <v>598</v>
      </c>
      <c r="GCQ143" s="15" t="s">
        <v>598</v>
      </c>
      <c r="GCR143" s="15" t="s">
        <v>598</v>
      </c>
      <c r="GCS143" s="15" t="s">
        <v>598</v>
      </c>
      <c r="GCT143" s="15" t="s">
        <v>598</v>
      </c>
      <c r="GCU143" s="15" t="s">
        <v>598</v>
      </c>
      <c r="GCV143" s="15" t="s">
        <v>598</v>
      </c>
      <c r="GCW143" s="15" t="s">
        <v>598</v>
      </c>
      <c r="GCX143" s="15" t="s">
        <v>598</v>
      </c>
      <c r="GCY143" s="15" t="s">
        <v>598</v>
      </c>
      <c r="GCZ143" s="15" t="s">
        <v>598</v>
      </c>
      <c r="GDA143" s="15" t="s">
        <v>598</v>
      </c>
      <c r="GDB143" s="15" t="s">
        <v>598</v>
      </c>
      <c r="GDC143" s="15" t="s">
        <v>598</v>
      </c>
      <c r="GDD143" s="15" t="s">
        <v>598</v>
      </c>
      <c r="GDE143" s="15" t="s">
        <v>598</v>
      </c>
      <c r="GDF143" s="15" t="s">
        <v>598</v>
      </c>
      <c r="GDG143" s="15" t="s">
        <v>598</v>
      </c>
      <c r="GDH143" s="15" t="s">
        <v>598</v>
      </c>
      <c r="GDI143" s="15" t="s">
        <v>598</v>
      </c>
      <c r="GDJ143" s="15" t="s">
        <v>598</v>
      </c>
      <c r="GDK143" s="15" t="s">
        <v>598</v>
      </c>
      <c r="GDL143" s="15" t="s">
        <v>598</v>
      </c>
      <c r="GDM143" s="15" t="s">
        <v>598</v>
      </c>
      <c r="GDN143" s="15" t="s">
        <v>598</v>
      </c>
      <c r="GDO143" s="15" t="s">
        <v>598</v>
      </c>
      <c r="GDP143" s="15" t="s">
        <v>598</v>
      </c>
      <c r="GDQ143" s="15" t="s">
        <v>598</v>
      </c>
      <c r="GDR143" s="15" t="s">
        <v>598</v>
      </c>
      <c r="GDS143" s="15" t="s">
        <v>598</v>
      </c>
      <c r="GDT143" s="15" t="s">
        <v>598</v>
      </c>
      <c r="GDU143" s="15" t="s">
        <v>598</v>
      </c>
      <c r="GDV143" s="15" t="s">
        <v>598</v>
      </c>
      <c r="GDW143" s="15" t="s">
        <v>598</v>
      </c>
      <c r="GDX143" s="15" t="s">
        <v>598</v>
      </c>
      <c r="GDY143" s="15" t="s">
        <v>598</v>
      </c>
      <c r="GDZ143" s="15" t="s">
        <v>598</v>
      </c>
      <c r="GEA143" s="15" t="s">
        <v>598</v>
      </c>
      <c r="GEB143" s="15" t="s">
        <v>598</v>
      </c>
      <c r="GEC143" s="15" t="s">
        <v>598</v>
      </c>
      <c r="GED143" s="15" t="s">
        <v>598</v>
      </c>
      <c r="GEE143" s="15" t="s">
        <v>598</v>
      </c>
      <c r="GEF143" s="15" t="s">
        <v>598</v>
      </c>
      <c r="GEG143" s="15" t="s">
        <v>598</v>
      </c>
      <c r="GEH143" s="15" t="s">
        <v>598</v>
      </c>
      <c r="GEI143" s="15" t="s">
        <v>598</v>
      </c>
      <c r="GEJ143" s="15" t="s">
        <v>598</v>
      </c>
      <c r="GEK143" s="15" t="s">
        <v>598</v>
      </c>
      <c r="GEL143" s="15" t="s">
        <v>598</v>
      </c>
      <c r="GEM143" s="15" t="s">
        <v>598</v>
      </c>
      <c r="GEN143" s="15" t="s">
        <v>598</v>
      </c>
      <c r="GEO143" s="15" t="s">
        <v>598</v>
      </c>
      <c r="GEP143" s="15" t="s">
        <v>598</v>
      </c>
      <c r="GEQ143" s="15" t="s">
        <v>598</v>
      </c>
      <c r="GER143" s="15" t="s">
        <v>598</v>
      </c>
      <c r="GES143" s="15" t="s">
        <v>598</v>
      </c>
      <c r="GET143" s="15" t="s">
        <v>598</v>
      </c>
      <c r="GEU143" s="15" t="s">
        <v>598</v>
      </c>
      <c r="GEV143" s="15" t="s">
        <v>598</v>
      </c>
      <c r="GEW143" s="15" t="s">
        <v>598</v>
      </c>
      <c r="GEX143" s="15" t="s">
        <v>598</v>
      </c>
      <c r="GEY143" s="15" t="s">
        <v>598</v>
      </c>
      <c r="GEZ143" s="15" t="s">
        <v>598</v>
      </c>
      <c r="GFA143" s="15" t="s">
        <v>598</v>
      </c>
      <c r="GFB143" s="15" t="s">
        <v>598</v>
      </c>
      <c r="GFC143" s="15" t="s">
        <v>598</v>
      </c>
      <c r="GFD143" s="15" t="s">
        <v>598</v>
      </c>
      <c r="GFE143" s="15" t="s">
        <v>598</v>
      </c>
      <c r="GFF143" s="15" t="s">
        <v>598</v>
      </c>
      <c r="GFG143" s="15" t="s">
        <v>598</v>
      </c>
      <c r="GFH143" s="15" t="s">
        <v>598</v>
      </c>
      <c r="GFI143" s="15" t="s">
        <v>598</v>
      </c>
      <c r="GFJ143" s="15" t="s">
        <v>598</v>
      </c>
      <c r="GFK143" s="15" t="s">
        <v>598</v>
      </c>
      <c r="GFL143" s="15" t="s">
        <v>598</v>
      </c>
      <c r="GFM143" s="15" t="s">
        <v>598</v>
      </c>
      <c r="GFN143" s="15" t="s">
        <v>598</v>
      </c>
      <c r="GFO143" s="15" t="s">
        <v>598</v>
      </c>
      <c r="GFP143" s="15" t="s">
        <v>598</v>
      </c>
      <c r="GFQ143" s="15" t="s">
        <v>598</v>
      </c>
      <c r="GFR143" s="15" t="s">
        <v>598</v>
      </c>
      <c r="GFS143" s="15" t="s">
        <v>598</v>
      </c>
      <c r="GFT143" s="15" t="s">
        <v>598</v>
      </c>
      <c r="GFU143" s="15" t="s">
        <v>598</v>
      </c>
      <c r="GFV143" s="15" t="s">
        <v>598</v>
      </c>
      <c r="GFW143" s="15" t="s">
        <v>598</v>
      </c>
      <c r="GFX143" s="15" t="s">
        <v>598</v>
      </c>
      <c r="GFY143" s="15" t="s">
        <v>598</v>
      </c>
      <c r="GFZ143" s="15" t="s">
        <v>598</v>
      </c>
      <c r="GGA143" s="15" t="s">
        <v>598</v>
      </c>
      <c r="GGB143" s="15" t="s">
        <v>598</v>
      </c>
      <c r="GGC143" s="15" t="s">
        <v>598</v>
      </c>
      <c r="GGD143" s="15" t="s">
        <v>598</v>
      </c>
      <c r="GGE143" s="15" t="s">
        <v>598</v>
      </c>
      <c r="GGF143" s="15" t="s">
        <v>598</v>
      </c>
      <c r="GGG143" s="15" t="s">
        <v>598</v>
      </c>
      <c r="GGH143" s="15" t="s">
        <v>598</v>
      </c>
      <c r="GGI143" s="15" t="s">
        <v>598</v>
      </c>
      <c r="GGJ143" s="15" t="s">
        <v>598</v>
      </c>
      <c r="GGK143" s="15" t="s">
        <v>598</v>
      </c>
      <c r="GGL143" s="15" t="s">
        <v>598</v>
      </c>
      <c r="GGM143" s="15" t="s">
        <v>598</v>
      </c>
      <c r="GGN143" s="15" t="s">
        <v>598</v>
      </c>
      <c r="GGO143" s="15" t="s">
        <v>598</v>
      </c>
      <c r="GGP143" s="15" t="s">
        <v>598</v>
      </c>
      <c r="GGQ143" s="15" t="s">
        <v>598</v>
      </c>
      <c r="GGR143" s="15" t="s">
        <v>598</v>
      </c>
      <c r="GGS143" s="15" t="s">
        <v>598</v>
      </c>
      <c r="GGT143" s="15" t="s">
        <v>598</v>
      </c>
      <c r="GGU143" s="15" t="s">
        <v>598</v>
      </c>
      <c r="GGV143" s="15" t="s">
        <v>598</v>
      </c>
      <c r="GGW143" s="15" t="s">
        <v>598</v>
      </c>
      <c r="GGX143" s="15" t="s">
        <v>598</v>
      </c>
      <c r="GGY143" s="15" t="s">
        <v>598</v>
      </c>
      <c r="GGZ143" s="15" t="s">
        <v>598</v>
      </c>
      <c r="GHA143" s="15" t="s">
        <v>598</v>
      </c>
      <c r="GHB143" s="15" t="s">
        <v>598</v>
      </c>
      <c r="GHC143" s="15" t="s">
        <v>598</v>
      </c>
      <c r="GHD143" s="15" t="s">
        <v>598</v>
      </c>
      <c r="GHE143" s="15" t="s">
        <v>598</v>
      </c>
      <c r="GHF143" s="15" t="s">
        <v>598</v>
      </c>
      <c r="GHG143" s="15" t="s">
        <v>598</v>
      </c>
      <c r="GHH143" s="15" t="s">
        <v>598</v>
      </c>
      <c r="GHI143" s="15" t="s">
        <v>598</v>
      </c>
      <c r="GHJ143" s="15" t="s">
        <v>598</v>
      </c>
      <c r="GHK143" s="15" t="s">
        <v>598</v>
      </c>
      <c r="GHL143" s="15" t="s">
        <v>598</v>
      </c>
      <c r="GHM143" s="15" t="s">
        <v>598</v>
      </c>
      <c r="GHN143" s="15" t="s">
        <v>598</v>
      </c>
      <c r="GHO143" s="15" t="s">
        <v>598</v>
      </c>
      <c r="GHP143" s="15" t="s">
        <v>598</v>
      </c>
      <c r="GHQ143" s="15" t="s">
        <v>598</v>
      </c>
      <c r="GHR143" s="15" t="s">
        <v>598</v>
      </c>
      <c r="GHS143" s="15" t="s">
        <v>598</v>
      </c>
      <c r="GHT143" s="15" t="s">
        <v>598</v>
      </c>
      <c r="GHU143" s="15" t="s">
        <v>598</v>
      </c>
      <c r="GHV143" s="15" t="s">
        <v>598</v>
      </c>
      <c r="GHW143" s="15" t="s">
        <v>598</v>
      </c>
      <c r="GHX143" s="15" t="s">
        <v>598</v>
      </c>
      <c r="GHY143" s="15" t="s">
        <v>598</v>
      </c>
      <c r="GHZ143" s="15" t="s">
        <v>598</v>
      </c>
      <c r="GIA143" s="15" t="s">
        <v>598</v>
      </c>
      <c r="GIB143" s="15" t="s">
        <v>598</v>
      </c>
      <c r="GIC143" s="15" t="s">
        <v>598</v>
      </c>
      <c r="GID143" s="15" t="s">
        <v>598</v>
      </c>
      <c r="GIE143" s="15" t="s">
        <v>598</v>
      </c>
      <c r="GIF143" s="15" t="s">
        <v>598</v>
      </c>
      <c r="GIG143" s="15" t="s">
        <v>598</v>
      </c>
      <c r="GIH143" s="15" t="s">
        <v>598</v>
      </c>
      <c r="GII143" s="15" t="s">
        <v>598</v>
      </c>
      <c r="GIJ143" s="15" t="s">
        <v>598</v>
      </c>
      <c r="GIK143" s="15" t="s">
        <v>598</v>
      </c>
      <c r="GIL143" s="15" t="s">
        <v>598</v>
      </c>
      <c r="GIM143" s="15" t="s">
        <v>598</v>
      </c>
      <c r="GIN143" s="15" t="s">
        <v>598</v>
      </c>
      <c r="GIO143" s="15" t="s">
        <v>598</v>
      </c>
      <c r="GIP143" s="15" t="s">
        <v>598</v>
      </c>
      <c r="GIQ143" s="15" t="s">
        <v>598</v>
      </c>
      <c r="GIR143" s="15" t="s">
        <v>598</v>
      </c>
      <c r="GIS143" s="15" t="s">
        <v>598</v>
      </c>
      <c r="GIT143" s="15" t="s">
        <v>598</v>
      </c>
      <c r="GIU143" s="15" t="s">
        <v>598</v>
      </c>
      <c r="GIV143" s="15" t="s">
        <v>598</v>
      </c>
      <c r="GIW143" s="15" t="s">
        <v>598</v>
      </c>
      <c r="GIX143" s="15" t="s">
        <v>598</v>
      </c>
      <c r="GIY143" s="15" t="s">
        <v>598</v>
      </c>
      <c r="GIZ143" s="15" t="s">
        <v>598</v>
      </c>
      <c r="GJA143" s="15" t="s">
        <v>598</v>
      </c>
      <c r="GJB143" s="15" t="s">
        <v>598</v>
      </c>
      <c r="GJC143" s="15" t="s">
        <v>598</v>
      </c>
      <c r="GJD143" s="15" t="s">
        <v>598</v>
      </c>
      <c r="GJE143" s="15" t="s">
        <v>598</v>
      </c>
      <c r="GJF143" s="15" t="s">
        <v>598</v>
      </c>
      <c r="GJG143" s="15" t="s">
        <v>598</v>
      </c>
      <c r="GJH143" s="15" t="s">
        <v>598</v>
      </c>
      <c r="GJI143" s="15" t="s">
        <v>598</v>
      </c>
      <c r="GJJ143" s="15" t="s">
        <v>598</v>
      </c>
      <c r="GJK143" s="15" t="s">
        <v>598</v>
      </c>
      <c r="GJL143" s="15" t="s">
        <v>598</v>
      </c>
      <c r="GJM143" s="15" t="s">
        <v>598</v>
      </c>
      <c r="GJN143" s="15" t="s">
        <v>598</v>
      </c>
      <c r="GJO143" s="15" t="s">
        <v>598</v>
      </c>
      <c r="GJP143" s="15" t="s">
        <v>598</v>
      </c>
      <c r="GJQ143" s="15" t="s">
        <v>598</v>
      </c>
      <c r="GJR143" s="15" t="s">
        <v>598</v>
      </c>
      <c r="GJS143" s="15" t="s">
        <v>598</v>
      </c>
      <c r="GJT143" s="15" t="s">
        <v>598</v>
      </c>
      <c r="GJU143" s="15" t="s">
        <v>598</v>
      </c>
      <c r="GJV143" s="15" t="s">
        <v>598</v>
      </c>
      <c r="GJW143" s="15" t="s">
        <v>598</v>
      </c>
      <c r="GJX143" s="15" t="s">
        <v>598</v>
      </c>
      <c r="GJY143" s="15" t="s">
        <v>598</v>
      </c>
      <c r="GJZ143" s="15" t="s">
        <v>598</v>
      </c>
      <c r="GKA143" s="15" t="s">
        <v>598</v>
      </c>
      <c r="GKB143" s="15" t="s">
        <v>598</v>
      </c>
      <c r="GKC143" s="15" t="s">
        <v>598</v>
      </c>
      <c r="GKD143" s="15" t="s">
        <v>598</v>
      </c>
      <c r="GKE143" s="15" t="s">
        <v>598</v>
      </c>
      <c r="GKF143" s="15" t="s">
        <v>598</v>
      </c>
      <c r="GKG143" s="15" t="s">
        <v>598</v>
      </c>
      <c r="GKH143" s="15" t="s">
        <v>598</v>
      </c>
      <c r="GKI143" s="15" t="s">
        <v>598</v>
      </c>
      <c r="GKJ143" s="15" t="s">
        <v>598</v>
      </c>
      <c r="GKK143" s="15" t="s">
        <v>598</v>
      </c>
      <c r="GKL143" s="15" t="s">
        <v>598</v>
      </c>
      <c r="GKM143" s="15" t="s">
        <v>598</v>
      </c>
      <c r="GKN143" s="15" t="s">
        <v>598</v>
      </c>
      <c r="GKO143" s="15" t="s">
        <v>598</v>
      </c>
      <c r="GKP143" s="15" t="s">
        <v>598</v>
      </c>
      <c r="GKQ143" s="15" t="s">
        <v>598</v>
      </c>
      <c r="GKR143" s="15" t="s">
        <v>598</v>
      </c>
      <c r="GKS143" s="15" t="s">
        <v>598</v>
      </c>
      <c r="GKT143" s="15" t="s">
        <v>598</v>
      </c>
      <c r="GKU143" s="15" t="s">
        <v>598</v>
      </c>
      <c r="GKV143" s="15" t="s">
        <v>598</v>
      </c>
      <c r="GKW143" s="15" t="s">
        <v>598</v>
      </c>
      <c r="GKX143" s="15" t="s">
        <v>598</v>
      </c>
      <c r="GKY143" s="15" t="s">
        <v>598</v>
      </c>
      <c r="GKZ143" s="15" t="s">
        <v>598</v>
      </c>
      <c r="GLA143" s="15" t="s">
        <v>598</v>
      </c>
      <c r="GLB143" s="15" t="s">
        <v>598</v>
      </c>
      <c r="GLC143" s="15" t="s">
        <v>598</v>
      </c>
      <c r="GLD143" s="15" t="s">
        <v>598</v>
      </c>
      <c r="GLE143" s="15" t="s">
        <v>598</v>
      </c>
      <c r="GLF143" s="15" t="s">
        <v>598</v>
      </c>
      <c r="GLG143" s="15" t="s">
        <v>598</v>
      </c>
      <c r="GLH143" s="15" t="s">
        <v>598</v>
      </c>
      <c r="GLI143" s="15" t="s">
        <v>598</v>
      </c>
      <c r="GLJ143" s="15" t="s">
        <v>598</v>
      </c>
      <c r="GLK143" s="15" t="s">
        <v>598</v>
      </c>
      <c r="GLL143" s="15" t="s">
        <v>598</v>
      </c>
      <c r="GLM143" s="15" t="s">
        <v>598</v>
      </c>
      <c r="GLN143" s="15" t="s">
        <v>598</v>
      </c>
      <c r="GLO143" s="15" t="s">
        <v>598</v>
      </c>
      <c r="GLP143" s="15" t="s">
        <v>598</v>
      </c>
      <c r="GLQ143" s="15" t="s">
        <v>598</v>
      </c>
      <c r="GLR143" s="15" t="s">
        <v>598</v>
      </c>
      <c r="GLS143" s="15" t="s">
        <v>598</v>
      </c>
      <c r="GLT143" s="15" t="s">
        <v>598</v>
      </c>
      <c r="GLU143" s="15" t="s">
        <v>598</v>
      </c>
      <c r="GLV143" s="15" t="s">
        <v>598</v>
      </c>
      <c r="GLW143" s="15" t="s">
        <v>598</v>
      </c>
      <c r="GLX143" s="15" t="s">
        <v>598</v>
      </c>
      <c r="GLY143" s="15" t="s">
        <v>598</v>
      </c>
      <c r="GLZ143" s="15" t="s">
        <v>598</v>
      </c>
      <c r="GMA143" s="15" t="s">
        <v>598</v>
      </c>
      <c r="GMB143" s="15" t="s">
        <v>598</v>
      </c>
      <c r="GMC143" s="15" t="s">
        <v>598</v>
      </c>
      <c r="GMD143" s="15" t="s">
        <v>598</v>
      </c>
      <c r="GME143" s="15" t="s">
        <v>598</v>
      </c>
      <c r="GMF143" s="15" t="s">
        <v>598</v>
      </c>
      <c r="GMG143" s="15" t="s">
        <v>598</v>
      </c>
      <c r="GMH143" s="15" t="s">
        <v>598</v>
      </c>
      <c r="GMI143" s="15" t="s">
        <v>598</v>
      </c>
      <c r="GMJ143" s="15" t="s">
        <v>598</v>
      </c>
      <c r="GMK143" s="15" t="s">
        <v>598</v>
      </c>
      <c r="GML143" s="15" t="s">
        <v>598</v>
      </c>
      <c r="GMM143" s="15" t="s">
        <v>598</v>
      </c>
      <c r="GMN143" s="15" t="s">
        <v>598</v>
      </c>
      <c r="GMO143" s="15" t="s">
        <v>598</v>
      </c>
      <c r="GMP143" s="15" t="s">
        <v>598</v>
      </c>
      <c r="GMQ143" s="15" t="s">
        <v>598</v>
      </c>
      <c r="GMR143" s="15" t="s">
        <v>598</v>
      </c>
      <c r="GMS143" s="15" t="s">
        <v>598</v>
      </c>
      <c r="GMT143" s="15" t="s">
        <v>598</v>
      </c>
      <c r="GMU143" s="15" t="s">
        <v>598</v>
      </c>
      <c r="GMV143" s="15" t="s">
        <v>598</v>
      </c>
      <c r="GMW143" s="15" t="s">
        <v>598</v>
      </c>
      <c r="GMX143" s="15" t="s">
        <v>598</v>
      </c>
      <c r="GMY143" s="15" t="s">
        <v>598</v>
      </c>
      <c r="GMZ143" s="15" t="s">
        <v>598</v>
      </c>
      <c r="GNA143" s="15" t="s">
        <v>598</v>
      </c>
      <c r="GNB143" s="15" t="s">
        <v>598</v>
      </c>
      <c r="GNC143" s="15" t="s">
        <v>598</v>
      </c>
      <c r="GND143" s="15" t="s">
        <v>598</v>
      </c>
      <c r="GNE143" s="15" t="s">
        <v>598</v>
      </c>
      <c r="GNF143" s="15" t="s">
        <v>598</v>
      </c>
      <c r="GNG143" s="15" t="s">
        <v>598</v>
      </c>
      <c r="GNH143" s="15" t="s">
        <v>598</v>
      </c>
      <c r="GNI143" s="15" t="s">
        <v>598</v>
      </c>
      <c r="GNJ143" s="15" t="s">
        <v>598</v>
      </c>
      <c r="GNK143" s="15" t="s">
        <v>598</v>
      </c>
      <c r="GNL143" s="15" t="s">
        <v>598</v>
      </c>
      <c r="GNM143" s="15" t="s">
        <v>598</v>
      </c>
      <c r="GNN143" s="15" t="s">
        <v>598</v>
      </c>
      <c r="GNO143" s="15" t="s">
        <v>598</v>
      </c>
      <c r="GNP143" s="15" t="s">
        <v>598</v>
      </c>
      <c r="GNQ143" s="15" t="s">
        <v>598</v>
      </c>
      <c r="GNR143" s="15" t="s">
        <v>598</v>
      </c>
      <c r="GNS143" s="15" t="s">
        <v>598</v>
      </c>
      <c r="GNT143" s="15" t="s">
        <v>598</v>
      </c>
      <c r="GNU143" s="15" t="s">
        <v>598</v>
      </c>
      <c r="GNV143" s="15" t="s">
        <v>598</v>
      </c>
      <c r="GNW143" s="15" t="s">
        <v>598</v>
      </c>
      <c r="GNX143" s="15" t="s">
        <v>598</v>
      </c>
      <c r="GNY143" s="15" t="s">
        <v>598</v>
      </c>
      <c r="GNZ143" s="15" t="s">
        <v>598</v>
      </c>
      <c r="GOA143" s="15" t="s">
        <v>598</v>
      </c>
      <c r="GOB143" s="15" t="s">
        <v>598</v>
      </c>
      <c r="GOC143" s="15" t="s">
        <v>598</v>
      </c>
      <c r="GOD143" s="15" t="s">
        <v>598</v>
      </c>
      <c r="GOE143" s="15" t="s">
        <v>598</v>
      </c>
      <c r="GOF143" s="15" t="s">
        <v>598</v>
      </c>
      <c r="GOG143" s="15" t="s">
        <v>598</v>
      </c>
      <c r="GOH143" s="15" t="s">
        <v>598</v>
      </c>
      <c r="GOI143" s="15" t="s">
        <v>598</v>
      </c>
      <c r="GOJ143" s="15" t="s">
        <v>598</v>
      </c>
      <c r="GOK143" s="15" t="s">
        <v>598</v>
      </c>
      <c r="GOL143" s="15" t="s">
        <v>598</v>
      </c>
      <c r="GOM143" s="15" t="s">
        <v>598</v>
      </c>
      <c r="GON143" s="15" t="s">
        <v>598</v>
      </c>
      <c r="GOO143" s="15" t="s">
        <v>598</v>
      </c>
      <c r="GOP143" s="15" t="s">
        <v>598</v>
      </c>
      <c r="GOQ143" s="15" t="s">
        <v>598</v>
      </c>
      <c r="GOR143" s="15" t="s">
        <v>598</v>
      </c>
      <c r="GOS143" s="15" t="s">
        <v>598</v>
      </c>
      <c r="GOT143" s="15" t="s">
        <v>598</v>
      </c>
      <c r="GOU143" s="15" t="s">
        <v>598</v>
      </c>
      <c r="GOV143" s="15" t="s">
        <v>598</v>
      </c>
      <c r="GOW143" s="15" t="s">
        <v>598</v>
      </c>
      <c r="GOX143" s="15" t="s">
        <v>598</v>
      </c>
      <c r="GOY143" s="15" t="s">
        <v>598</v>
      </c>
      <c r="GOZ143" s="15" t="s">
        <v>598</v>
      </c>
      <c r="GPA143" s="15" t="s">
        <v>598</v>
      </c>
      <c r="GPB143" s="15" t="s">
        <v>598</v>
      </c>
      <c r="GPC143" s="15" t="s">
        <v>598</v>
      </c>
      <c r="GPD143" s="15" t="s">
        <v>598</v>
      </c>
      <c r="GPE143" s="15" t="s">
        <v>598</v>
      </c>
      <c r="GPF143" s="15" t="s">
        <v>598</v>
      </c>
      <c r="GPG143" s="15" t="s">
        <v>598</v>
      </c>
      <c r="GPH143" s="15" t="s">
        <v>598</v>
      </c>
      <c r="GPI143" s="15" t="s">
        <v>598</v>
      </c>
      <c r="GPJ143" s="15" t="s">
        <v>598</v>
      </c>
      <c r="GPK143" s="15" t="s">
        <v>598</v>
      </c>
      <c r="GPL143" s="15" t="s">
        <v>598</v>
      </c>
      <c r="GPM143" s="15" t="s">
        <v>598</v>
      </c>
      <c r="GPN143" s="15" t="s">
        <v>598</v>
      </c>
      <c r="GPO143" s="15" t="s">
        <v>598</v>
      </c>
      <c r="GPP143" s="15" t="s">
        <v>598</v>
      </c>
      <c r="GPQ143" s="15" t="s">
        <v>598</v>
      </c>
      <c r="GPR143" s="15" t="s">
        <v>598</v>
      </c>
      <c r="GPS143" s="15" t="s">
        <v>598</v>
      </c>
      <c r="GPT143" s="15" t="s">
        <v>598</v>
      </c>
      <c r="GPU143" s="15" t="s">
        <v>598</v>
      </c>
      <c r="GPV143" s="15" t="s">
        <v>598</v>
      </c>
      <c r="GPW143" s="15" t="s">
        <v>598</v>
      </c>
      <c r="GPX143" s="15" t="s">
        <v>598</v>
      </c>
      <c r="GPY143" s="15" t="s">
        <v>598</v>
      </c>
      <c r="GPZ143" s="15" t="s">
        <v>598</v>
      </c>
      <c r="GQA143" s="15" t="s">
        <v>598</v>
      </c>
      <c r="GQB143" s="15" t="s">
        <v>598</v>
      </c>
      <c r="GQC143" s="15" t="s">
        <v>598</v>
      </c>
      <c r="GQD143" s="15" t="s">
        <v>598</v>
      </c>
      <c r="GQE143" s="15" t="s">
        <v>598</v>
      </c>
      <c r="GQF143" s="15" t="s">
        <v>598</v>
      </c>
      <c r="GQG143" s="15" t="s">
        <v>598</v>
      </c>
      <c r="GQH143" s="15" t="s">
        <v>598</v>
      </c>
      <c r="GQI143" s="15" t="s">
        <v>598</v>
      </c>
      <c r="GQJ143" s="15" t="s">
        <v>598</v>
      </c>
      <c r="GQK143" s="15" t="s">
        <v>598</v>
      </c>
      <c r="GQL143" s="15" t="s">
        <v>598</v>
      </c>
      <c r="GQM143" s="15" t="s">
        <v>598</v>
      </c>
      <c r="GQN143" s="15" t="s">
        <v>598</v>
      </c>
      <c r="GQO143" s="15" t="s">
        <v>598</v>
      </c>
      <c r="GQP143" s="15" t="s">
        <v>598</v>
      </c>
      <c r="GQQ143" s="15" t="s">
        <v>598</v>
      </c>
      <c r="GQR143" s="15" t="s">
        <v>598</v>
      </c>
      <c r="GQS143" s="15" t="s">
        <v>598</v>
      </c>
      <c r="GQT143" s="15" t="s">
        <v>598</v>
      </c>
      <c r="GQU143" s="15" t="s">
        <v>598</v>
      </c>
      <c r="GQV143" s="15" t="s">
        <v>598</v>
      </c>
      <c r="GQW143" s="15" t="s">
        <v>598</v>
      </c>
      <c r="GQX143" s="15" t="s">
        <v>598</v>
      </c>
      <c r="GQY143" s="15" t="s">
        <v>598</v>
      </c>
      <c r="GQZ143" s="15" t="s">
        <v>598</v>
      </c>
      <c r="GRA143" s="15" t="s">
        <v>598</v>
      </c>
      <c r="GRB143" s="15" t="s">
        <v>598</v>
      </c>
      <c r="GRC143" s="15" t="s">
        <v>598</v>
      </c>
      <c r="GRD143" s="15" t="s">
        <v>598</v>
      </c>
      <c r="GRE143" s="15" t="s">
        <v>598</v>
      </c>
      <c r="GRF143" s="15" t="s">
        <v>598</v>
      </c>
      <c r="GRG143" s="15" t="s">
        <v>598</v>
      </c>
      <c r="GRH143" s="15" t="s">
        <v>598</v>
      </c>
      <c r="GRI143" s="15" t="s">
        <v>598</v>
      </c>
      <c r="GRJ143" s="15" t="s">
        <v>598</v>
      </c>
      <c r="GRK143" s="15" t="s">
        <v>598</v>
      </c>
      <c r="GRL143" s="15" t="s">
        <v>598</v>
      </c>
      <c r="GRM143" s="15" t="s">
        <v>598</v>
      </c>
      <c r="GRN143" s="15" t="s">
        <v>598</v>
      </c>
      <c r="GRO143" s="15" t="s">
        <v>598</v>
      </c>
      <c r="GRP143" s="15" t="s">
        <v>598</v>
      </c>
      <c r="GRQ143" s="15" t="s">
        <v>598</v>
      </c>
      <c r="GRR143" s="15" t="s">
        <v>598</v>
      </c>
      <c r="GRS143" s="15" t="s">
        <v>598</v>
      </c>
      <c r="GRT143" s="15" t="s">
        <v>598</v>
      </c>
      <c r="GRU143" s="15" t="s">
        <v>598</v>
      </c>
      <c r="GRV143" s="15" t="s">
        <v>598</v>
      </c>
      <c r="GRW143" s="15" t="s">
        <v>598</v>
      </c>
      <c r="GRX143" s="15" t="s">
        <v>598</v>
      </c>
      <c r="GRY143" s="15" t="s">
        <v>598</v>
      </c>
      <c r="GRZ143" s="15" t="s">
        <v>598</v>
      </c>
      <c r="GSA143" s="15" t="s">
        <v>598</v>
      </c>
      <c r="GSB143" s="15" t="s">
        <v>598</v>
      </c>
      <c r="GSC143" s="15" t="s">
        <v>598</v>
      </c>
      <c r="GSD143" s="15" t="s">
        <v>598</v>
      </c>
      <c r="GSE143" s="15" t="s">
        <v>598</v>
      </c>
      <c r="GSF143" s="15" t="s">
        <v>598</v>
      </c>
      <c r="GSG143" s="15" t="s">
        <v>598</v>
      </c>
      <c r="GSH143" s="15" t="s">
        <v>598</v>
      </c>
      <c r="GSI143" s="15" t="s">
        <v>598</v>
      </c>
      <c r="GSJ143" s="15" t="s">
        <v>598</v>
      </c>
      <c r="GSK143" s="15" t="s">
        <v>598</v>
      </c>
      <c r="GSL143" s="15" t="s">
        <v>598</v>
      </c>
      <c r="GSM143" s="15" t="s">
        <v>598</v>
      </c>
      <c r="GSN143" s="15" t="s">
        <v>598</v>
      </c>
      <c r="GSO143" s="15" t="s">
        <v>598</v>
      </c>
      <c r="GSP143" s="15" t="s">
        <v>598</v>
      </c>
      <c r="GSQ143" s="15" t="s">
        <v>598</v>
      </c>
      <c r="GSR143" s="15" t="s">
        <v>598</v>
      </c>
      <c r="GSS143" s="15" t="s">
        <v>598</v>
      </c>
      <c r="GST143" s="15" t="s">
        <v>598</v>
      </c>
      <c r="GSU143" s="15" t="s">
        <v>598</v>
      </c>
      <c r="GSV143" s="15" t="s">
        <v>598</v>
      </c>
      <c r="GSW143" s="15" t="s">
        <v>598</v>
      </c>
      <c r="GSX143" s="15" t="s">
        <v>598</v>
      </c>
      <c r="GSY143" s="15" t="s">
        <v>598</v>
      </c>
      <c r="GSZ143" s="15" t="s">
        <v>598</v>
      </c>
      <c r="GTA143" s="15" t="s">
        <v>598</v>
      </c>
      <c r="GTB143" s="15" t="s">
        <v>598</v>
      </c>
      <c r="GTC143" s="15" t="s">
        <v>598</v>
      </c>
      <c r="GTD143" s="15" t="s">
        <v>598</v>
      </c>
      <c r="GTE143" s="15" t="s">
        <v>598</v>
      </c>
      <c r="GTF143" s="15" t="s">
        <v>598</v>
      </c>
      <c r="GTG143" s="15" t="s">
        <v>598</v>
      </c>
      <c r="GTH143" s="15" t="s">
        <v>598</v>
      </c>
      <c r="GTI143" s="15" t="s">
        <v>598</v>
      </c>
      <c r="GTJ143" s="15" t="s">
        <v>598</v>
      </c>
      <c r="GTK143" s="15" t="s">
        <v>598</v>
      </c>
      <c r="GTL143" s="15" t="s">
        <v>598</v>
      </c>
      <c r="GTM143" s="15" t="s">
        <v>598</v>
      </c>
      <c r="GTN143" s="15" t="s">
        <v>598</v>
      </c>
      <c r="GTO143" s="15" t="s">
        <v>598</v>
      </c>
      <c r="GTP143" s="15" t="s">
        <v>598</v>
      </c>
      <c r="GTQ143" s="15" t="s">
        <v>598</v>
      </c>
      <c r="GTR143" s="15" t="s">
        <v>598</v>
      </c>
      <c r="GTS143" s="15" t="s">
        <v>598</v>
      </c>
      <c r="GTT143" s="15" t="s">
        <v>598</v>
      </c>
      <c r="GTU143" s="15" t="s">
        <v>598</v>
      </c>
      <c r="GTV143" s="15" t="s">
        <v>598</v>
      </c>
      <c r="GTW143" s="15" t="s">
        <v>598</v>
      </c>
      <c r="GTX143" s="15" t="s">
        <v>598</v>
      </c>
      <c r="GTY143" s="15" t="s">
        <v>598</v>
      </c>
      <c r="GTZ143" s="15" t="s">
        <v>598</v>
      </c>
      <c r="GUA143" s="15" t="s">
        <v>598</v>
      </c>
      <c r="GUB143" s="15" t="s">
        <v>598</v>
      </c>
      <c r="GUC143" s="15" t="s">
        <v>598</v>
      </c>
      <c r="GUD143" s="15" t="s">
        <v>598</v>
      </c>
      <c r="GUE143" s="15" t="s">
        <v>598</v>
      </c>
      <c r="GUF143" s="15" t="s">
        <v>598</v>
      </c>
      <c r="GUG143" s="15" t="s">
        <v>598</v>
      </c>
      <c r="GUH143" s="15" t="s">
        <v>598</v>
      </c>
      <c r="GUI143" s="15" t="s">
        <v>598</v>
      </c>
      <c r="GUJ143" s="15" t="s">
        <v>598</v>
      </c>
      <c r="GUK143" s="15" t="s">
        <v>598</v>
      </c>
      <c r="GUL143" s="15" t="s">
        <v>598</v>
      </c>
      <c r="GUM143" s="15" t="s">
        <v>598</v>
      </c>
      <c r="GUN143" s="15" t="s">
        <v>598</v>
      </c>
      <c r="GUO143" s="15" t="s">
        <v>598</v>
      </c>
      <c r="GUP143" s="15" t="s">
        <v>598</v>
      </c>
      <c r="GUQ143" s="15" t="s">
        <v>598</v>
      </c>
      <c r="GUR143" s="15" t="s">
        <v>598</v>
      </c>
      <c r="GUS143" s="15" t="s">
        <v>598</v>
      </c>
      <c r="GUT143" s="15" t="s">
        <v>598</v>
      </c>
      <c r="GUU143" s="15" t="s">
        <v>598</v>
      </c>
      <c r="GUV143" s="15" t="s">
        <v>598</v>
      </c>
      <c r="GUW143" s="15" t="s">
        <v>598</v>
      </c>
      <c r="GUX143" s="15" t="s">
        <v>598</v>
      </c>
      <c r="GUY143" s="15" t="s">
        <v>598</v>
      </c>
      <c r="GUZ143" s="15" t="s">
        <v>598</v>
      </c>
      <c r="GVA143" s="15" t="s">
        <v>598</v>
      </c>
      <c r="GVB143" s="15" t="s">
        <v>598</v>
      </c>
      <c r="GVC143" s="15" t="s">
        <v>598</v>
      </c>
      <c r="GVD143" s="15" t="s">
        <v>598</v>
      </c>
      <c r="GVE143" s="15" t="s">
        <v>598</v>
      </c>
      <c r="GVF143" s="15" t="s">
        <v>598</v>
      </c>
      <c r="GVG143" s="15" t="s">
        <v>598</v>
      </c>
      <c r="GVH143" s="15" t="s">
        <v>598</v>
      </c>
      <c r="GVI143" s="15" t="s">
        <v>598</v>
      </c>
      <c r="GVJ143" s="15" t="s">
        <v>598</v>
      </c>
      <c r="GVK143" s="15" t="s">
        <v>598</v>
      </c>
      <c r="GVL143" s="15" t="s">
        <v>598</v>
      </c>
      <c r="GVM143" s="15" t="s">
        <v>598</v>
      </c>
      <c r="GVN143" s="15" t="s">
        <v>598</v>
      </c>
      <c r="GVO143" s="15" t="s">
        <v>598</v>
      </c>
      <c r="GVP143" s="15" t="s">
        <v>598</v>
      </c>
      <c r="GVQ143" s="15" t="s">
        <v>598</v>
      </c>
      <c r="GVR143" s="15" t="s">
        <v>598</v>
      </c>
      <c r="GVS143" s="15" t="s">
        <v>598</v>
      </c>
      <c r="GVT143" s="15" t="s">
        <v>598</v>
      </c>
      <c r="GVU143" s="15" t="s">
        <v>598</v>
      </c>
      <c r="GVV143" s="15" t="s">
        <v>598</v>
      </c>
      <c r="GVW143" s="15" t="s">
        <v>598</v>
      </c>
      <c r="GVX143" s="15" t="s">
        <v>598</v>
      </c>
      <c r="GVY143" s="15" t="s">
        <v>598</v>
      </c>
      <c r="GVZ143" s="15" t="s">
        <v>598</v>
      </c>
      <c r="GWA143" s="15" t="s">
        <v>598</v>
      </c>
      <c r="GWB143" s="15" t="s">
        <v>598</v>
      </c>
      <c r="GWC143" s="15" t="s">
        <v>598</v>
      </c>
      <c r="GWD143" s="15" t="s">
        <v>598</v>
      </c>
      <c r="GWE143" s="15" t="s">
        <v>598</v>
      </c>
      <c r="GWF143" s="15" t="s">
        <v>598</v>
      </c>
      <c r="GWG143" s="15" t="s">
        <v>598</v>
      </c>
      <c r="GWH143" s="15" t="s">
        <v>598</v>
      </c>
      <c r="GWI143" s="15" t="s">
        <v>598</v>
      </c>
      <c r="GWJ143" s="15" t="s">
        <v>598</v>
      </c>
      <c r="GWK143" s="15" t="s">
        <v>598</v>
      </c>
      <c r="GWL143" s="15" t="s">
        <v>598</v>
      </c>
      <c r="GWM143" s="15" t="s">
        <v>598</v>
      </c>
      <c r="GWN143" s="15" t="s">
        <v>598</v>
      </c>
      <c r="GWO143" s="15" t="s">
        <v>598</v>
      </c>
      <c r="GWP143" s="15" t="s">
        <v>598</v>
      </c>
      <c r="GWQ143" s="15" t="s">
        <v>598</v>
      </c>
      <c r="GWR143" s="15" t="s">
        <v>598</v>
      </c>
      <c r="GWS143" s="15" t="s">
        <v>598</v>
      </c>
      <c r="GWT143" s="15" t="s">
        <v>598</v>
      </c>
      <c r="GWU143" s="15" t="s">
        <v>598</v>
      </c>
      <c r="GWV143" s="15" t="s">
        <v>598</v>
      </c>
      <c r="GWW143" s="15" t="s">
        <v>598</v>
      </c>
      <c r="GWX143" s="15" t="s">
        <v>598</v>
      </c>
      <c r="GWY143" s="15" t="s">
        <v>598</v>
      </c>
      <c r="GWZ143" s="15" t="s">
        <v>598</v>
      </c>
      <c r="GXA143" s="15" t="s">
        <v>598</v>
      </c>
      <c r="GXB143" s="15" t="s">
        <v>598</v>
      </c>
      <c r="GXC143" s="15" t="s">
        <v>598</v>
      </c>
      <c r="GXD143" s="15" t="s">
        <v>598</v>
      </c>
      <c r="GXE143" s="15" t="s">
        <v>598</v>
      </c>
      <c r="GXF143" s="15" t="s">
        <v>598</v>
      </c>
      <c r="GXG143" s="15" t="s">
        <v>598</v>
      </c>
      <c r="GXH143" s="15" t="s">
        <v>598</v>
      </c>
      <c r="GXI143" s="15" t="s">
        <v>598</v>
      </c>
      <c r="GXJ143" s="15" t="s">
        <v>598</v>
      </c>
      <c r="GXK143" s="15" t="s">
        <v>598</v>
      </c>
      <c r="GXL143" s="15" t="s">
        <v>598</v>
      </c>
      <c r="GXM143" s="15" t="s">
        <v>598</v>
      </c>
      <c r="GXN143" s="15" t="s">
        <v>598</v>
      </c>
      <c r="GXO143" s="15" t="s">
        <v>598</v>
      </c>
      <c r="GXP143" s="15" t="s">
        <v>598</v>
      </c>
      <c r="GXQ143" s="15" t="s">
        <v>598</v>
      </c>
      <c r="GXR143" s="15" t="s">
        <v>598</v>
      </c>
      <c r="GXS143" s="15" t="s">
        <v>598</v>
      </c>
      <c r="GXT143" s="15" t="s">
        <v>598</v>
      </c>
      <c r="GXU143" s="15" t="s">
        <v>598</v>
      </c>
      <c r="GXV143" s="15" t="s">
        <v>598</v>
      </c>
      <c r="GXW143" s="15" t="s">
        <v>598</v>
      </c>
      <c r="GXX143" s="15" t="s">
        <v>598</v>
      </c>
      <c r="GXY143" s="15" t="s">
        <v>598</v>
      </c>
      <c r="GXZ143" s="15" t="s">
        <v>598</v>
      </c>
      <c r="GYA143" s="15" t="s">
        <v>598</v>
      </c>
      <c r="GYB143" s="15" t="s">
        <v>598</v>
      </c>
      <c r="GYC143" s="15" t="s">
        <v>598</v>
      </c>
      <c r="GYD143" s="15" t="s">
        <v>598</v>
      </c>
      <c r="GYE143" s="15" t="s">
        <v>598</v>
      </c>
      <c r="GYF143" s="15" t="s">
        <v>598</v>
      </c>
      <c r="GYG143" s="15" t="s">
        <v>598</v>
      </c>
      <c r="GYH143" s="15" t="s">
        <v>598</v>
      </c>
      <c r="GYI143" s="15" t="s">
        <v>598</v>
      </c>
      <c r="GYJ143" s="15" t="s">
        <v>598</v>
      </c>
      <c r="GYK143" s="15" t="s">
        <v>598</v>
      </c>
      <c r="GYL143" s="15" t="s">
        <v>598</v>
      </c>
      <c r="GYM143" s="15" t="s">
        <v>598</v>
      </c>
      <c r="GYN143" s="15" t="s">
        <v>598</v>
      </c>
      <c r="GYO143" s="15" t="s">
        <v>598</v>
      </c>
      <c r="GYP143" s="15" t="s">
        <v>598</v>
      </c>
      <c r="GYQ143" s="15" t="s">
        <v>598</v>
      </c>
      <c r="GYR143" s="15" t="s">
        <v>598</v>
      </c>
      <c r="GYS143" s="15" t="s">
        <v>598</v>
      </c>
      <c r="GYT143" s="15" t="s">
        <v>598</v>
      </c>
      <c r="GYU143" s="15" t="s">
        <v>598</v>
      </c>
      <c r="GYV143" s="15" t="s">
        <v>598</v>
      </c>
      <c r="GYW143" s="15" t="s">
        <v>598</v>
      </c>
      <c r="GYX143" s="15" t="s">
        <v>598</v>
      </c>
      <c r="GYY143" s="15" t="s">
        <v>598</v>
      </c>
      <c r="GYZ143" s="15" t="s">
        <v>598</v>
      </c>
      <c r="GZA143" s="15" t="s">
        <v>598</v>
      </c>
      <c r="GZB143" s="15" t="s">
        <v>598</v>
      </c>
      <c r="GZC143" s="15" t="s">
        <v>598</v>
      </c>
      <c r="GZD143" s="15" t="s">
        <v>598</v>
      </c>
      <c r="GZE143" s="15" t="s">
        <v>598</v>
      </c>
      <c r="GZF143" s="15" t="s">
        <v>598</v>
      </c>
      <c r="GZG143" s="15" t="s">
        <v>598</v>
      </c>
      <c r="GZH143" s="15" t="s">
        <v>598</v>
      </c>
      <c r="GZI143" s="15" t="s">
        <v>598</v>
      </c>
      <c r="GZJ143" s="15" t="s">
        <v>598</v>
      </c>
      <c r="GZK143" s="15" t="s">
        <v>598</v>
      </c>
      <c r="GZL143" s="15" t="s">
        <v>598</v>
      </c>
      <c r="GZM143" s="15" t="s">
        <v>598</v>
      </c>
      <c r="GZN143" s="15" t="s">
        <v>598</v>
      </c>
      <c r="GZO143" s="15" t="s">
        <v>598</v>
      </c>
      <c r="GZP143" s="15" t="s">
        <v>598</v>
      </c>
      <c r="GZQ143" s="15" t="s">
        <v>598</v>
      </c>
      <c r="GZR143" s="15" t="s">
        <v>598</v>
      </c>
      <c r="GZS143" s="15" t="s">
        <v>598</v>
      </c>
      <c r="GZT143" s="15" t="s">
        <v>598</v>
      </c>
      <c r="GZU143" s="15" t="s">
        <v>598</v>
      </c>
      <c r="GZV143" s="15" t="s">
        <v>598</v>
      </c>
      <c r="GZW143" s="15" t="s">
        <v>598</v>
      </c>
      <c r="GZX143" s="15" t="s">
        <v>598</v>
      </c>
      <c r="GZY143" s="15" t="s">
        <v>598</v>
      </c>
      <c r="GZZ143" s="15" t="s">
        <v>598</v>
      </c>
      <c r="HAA143" s="15" t="s">
        <v>598</v>
      </c>
      <c r="HAB143" s="15" t="s">
        <v>598</v>
      </c>
      <c r="HAC143" s="15" t="s">
        <v>598</v>
      </c>
      <c r="HAD143" s="15" t="s">
        <v>598</v>
      </c>
      <c r="HAE143" s="15" t="s">
        <v>598</v>
      </c>
      <c r="HAF143" s="15" t="s">
        <v>598</v>
      </c>
      <c r="HAG143" s="15" t="s">
        <v>598</v>
      </c>
      <c r="HAH143" s="15" t="s">
        <v>598</v>
      </c>
      <c r="HAI143" s="15" t="s">
        <v>598</v>
      </c>
      <c r="HAJ143" s="15" t="s">
        <v>598</v>
      </c>
      <c r="HAK143" s="15" t="s">
        <v>598</v>
      </c>
      <c r="HAL143" s="15" t="s">
        <v>598</v>
      </c>
      <c r="HAM143" s="15" t="s">
        <v>598</v>
      </c>
      <c r="HAN143" s="15" t="s">
        <v>598</v>
      </c>
      <c r="HAO143" s="15" t="s">
        <v>598</v>
      </c>
      <c r="HAP143" s="15" t="s">
        <v>598</v>
      </c>
      <c r="HAQ143" s="15" t="s">
        <v>598</v>
      </c>
      <c r="HAR143" s="15" t="s">
        <v>598</v>
      </c>
      <c r="HAS143" s="15" t="s">
        <v>598</v>
      </c>
      <c r="HAT143" s="15" t="s">
        <v>598</v>
      </c>
      <c r="HAU143" s="15" t="s">
        <v>598</v>
      </c>
      <c r="HAV143" s="15" t="s">
        <v>598</v>
      </c>
      <c r="HAW143" s="15" t="s">
        <v>598</v>
      </c>
      <c r="HAX143" s="15" t="s">
        <v>598</v>
      </c>
      <c r="HAY143" s="15" t="s">
        <v>598</v>
      </c>
      <c r="HAZ143" s="15" t="s">
        <v>598</v>
      </c>
      <c r="HBA143" s="15" t="s">
        <v>598</v>
      </c>
      <c r="HBB143" s="15" t="s">
        <v>598</v>
      </c>
      <c r="HBC143" s="15" t="s">
        <v>598</v>
      </c>
      <c r="HBD143" s="15" t="s">
        <v>598</v>
      </c>
      <c r="HBE143" s="15" t="s">
        <v>598</v>
      </c>
      <c r="HBF143" s="15" t="s">
        <v>598</v>
      </c>
      <c r="HBG143" s="15" t="s">
        <v>598</v>
      </c>
      <c r="HBH143" s="15" t="s">
        <v>598</v>
      </c>
      <c r="HBI143" s="15" t="s">
        <v>598</v>
      </c>
      <c r="HBJ143" s="15" t="s">
        <v>598</v>
      </c>
      <c r="HBK143" s="15" t="s">
        <v>598</v>
      </c>
      <c r="HBL143" s="15" t="s">
        <v>598</v>
      </c>
      <c r="HBM143" s="15" t="s">
        <v>598</v>
      </c>
      <c r="HBN143" s="15" t="s">
        <v>598</v>
      </c>
      <c r="HBO143" s="15" t="s">
        <v>598</v>
      </c>
      <c r="HBP143" s="15" t="s">
        <v>598</v>
      </c>
      <c r="HBQ143" s="15" t="s">
        <v>598</v>
      </c>
      <c r="HBR143" s="15" t="s">
        <v>598</v>
      </c>
      <c r="HBS143" s="15" t="s">
        <v>598</v>
      </c>
      <c r="HBT143" s="15" t="s">
        <v>598</v>
      </c>
      <c r="HBU143" s="15" t="s">
        <v>598</v>
      </c>
      <c r="HBV143" s="15" t="s">
        <v>598</v>
      </c>
      <c r="HBW143" s="15" t="s">
        <v>598</v>
      </c>
      <c r="HBX143" s="15" t="s">
        <v>598</v>
      </c>
      <c r="HBY143" s="15" t="s">
        <v>598</v>
      </c>
      <c r="HBZ143" s="15" t="s">
        <v>598</v>
      </c>
      <c r="HCA143" s="15" t="s">
        <v>598</v>
      </c>
      <c r="HCB143" s="15" t="s">
        <v>598</v>
      </c>
      <c r="HCC143" s="15" t="s">
        <v>598</v>
      </c>
      <c r="HCD143" s="15" t="s">
        <v>598</v>
      </c>
      <c r="HCE143" s="15" t="s">
        <v>598</v>
      </c>
      <c r="HCF143" s="15" t="s">
        <v>598</v>
      </c>
      <c r="HCG143" s="15" t="s">
        <v>598</v>
      </c>
      <c r="HCH143" s="15" t="s">
        <v>598</v>
      </c>
      <c r="HCI143" s="15" t="s">
        <v>598</v>
      </c>
      <c r="HCJ143" s="15" t="s">
        <v>598</v>
      </c>
      <c r="HCK143" s="15" t="s">
        <v>598</v>
      </c>
      <c r="HCL143" s="15" t="s">
        <v>598</v>
      </c>
      <c r="HCM143" s="15" t="s">
        <v>598</v>
      </c>
      <c r="HCN143" s="15" t="s">
        <v>598</v>
      </c>
      <c r="HCO143" s="15" t="s">
        <v>598</v>
      </c>
      <c r="HCP143" s="15" t="s">
        <v>598</v>
      </c>
      <c r="HCQ143" s="15" t="s">
        <v>598</v>
      </c>
      <c r="HCR143" s="15" t="s">
        <v>598</v>
      </c>
      <c r="HCS143" s="15" t="s">
        <v>598</v>
      </c>
      <c r="HCT143" s="15" t="s">
        <v>598</v>
      </c>
      <c r="HCU143" s="15" t="s">
        <v>598</v>
      </c>
      <c r="HCV143" s="15" t="s">
        <v>598</v>
      </c>
      <c r="HCW143" s="15" t="s">
        <v>598</v>
      </c>
      <c r="HCX143" s="15" t="s">
        <v>598</v>
      </c>
      <c r="HCY143" s="15" t="s">
        <v>598</v>
      </c>
      <c r="HCZ143" s="15" t="s">
        <v>598</v>
      </c>
      <c r="HDA143" s="15" t="s">
        <v>598</v>
      </c>
      <c r="HDB143" s="15" t="s">
        <v>598</v>
      </c>
      <c r="HDC143" s="15" t="s">
        <v>598</v>
      </c>
      <c r="HDD143" s="15" t="s">
        <v>598</v>
      </c>
      <c r="HDE143" s="15" t="s">
        <v>598</v>
      </c>
      <c r="HDF143" s="15" t="s">
        <v>598</v>
      </c>
      <c r="HDG143" s="15" t="s">
        <v>598</v>
      </c>
      <c r="HDH143" s="15" t="s">
        <v>598</v>
      </c>
      <c r="HDI143" s="15" t="s">
        <v>598</v>
      </c>
      <c r="HDJ143" s="15" t="s">
        <v>598</v>
      </c>
      <c r="HDK143" s="15" t="s">
        <v>598</v>
      </c>
      <c r="HDL143" s="15" t="s">
        <v>598</v>
      </c>
      <c r="HDM143" s="15" t="s">
        <v>598</v>
      </c>
      <c r="HDN143" s="15" t="s">
        <v>598</v>
      </c>
      <c r="HDO143" s="15" t="s">
        <v>598</v>
      </c>
      <c r="HDP143" s="15" t="s">
        <v>598</v>
      </c>
      <c r="HDQ143" s="15" t="s">
        <v>598</v>
      </c>
      <c r="HDR143" s="15" t="s">
        <v>598</v>
      </c>
      <c r="HDS143" s="15" t="s">
        <v>598</v>
      </c>
      <c r="HDT143" s="15" t="s">
        <v>598</v>
      </c>
      <c r="HDU143" s="15" t="s">
        <v>598</v>
      </c>
      <c r="HDV143" s="15" t="s">
        <v>598</v>
      </c>
      <c r="HDW143" s="15" t="s">
        <v>598</v>
      </c>
      <c r="HDX143" s="15" t="s">
        <v>598</v>
      </c>
      <c r="HDY143" s="15" t="s">
        <v>598</v>
      </c>
      <c r="HDZ143" s="15" t="s">
        <v>598</v>
      </c>
      <c r="HEA143" s="15" t="s">
        <v>598</v>
      </c>
      <c r="HEB143" s="15" t="s">
        <v>598</v>
      </c>
      <c r="HEC143" s="15" t="s">
        <v>598</v>
      </c>
      <c r="HED143" s="15" t="s">
        <v>598</v>
      </c>
      <c r="HEE143" s="15" t="s">
        <v>598</v>
      </c>
      <c r="HEF143" s="15" t="s">
        <v>598</v>
      </c>
      <c r="HEG143" s="15" t="s">
        <v>598</v>
      </c>
      <c r="HEH143" s="15" t="s">
        <v>598</v>
      </c>
      <c r="HEI143" s="15" t="s">
        <v>598</v>
      </c>
      <c r="HEJ143" s="15" t="s">
        <v>598</v>
      </c>
      <c r="HEK143" s="15" t="s">
        <v>598</v>
      </c>
      <c r="HEL143" s="15" t="s">
        <v>598</v>
      </c>
      <c r="HEM143" s="15" t="s">
        <v>598</v>
      </c>
      <c r="HEN143" s="15" t="s">
        <v>598</v>
      </c>
      <c r="HEO143" s="15" t="s">
        <v>598</v>
      </c>
      <c r="HEP143" s="15" t="s">
        <v>598</v>
      </c>
      <c r="HEQ143" s="15" t="s">
        <v>598</v>
      </c>
      <c r="HER143" s="15" t="s">
        <v>598</v>
      </c>
      <c r="HES143" s="15" t="s">
        <v>598</v>
      </c>
      <c r="HET143" s="15" t="s">
        <v>598</v>
      </c>
      <c r="HEU143" s="15" t="s">
        <v>598</v>
      </c>
      <c r="HEV143" s="15" t="s">
        <v>598</v>
      </c>
      <c r="HEW143" s="15" t="s">
        <v>598</v>
      </c>
      <c r="HEX143" s="15" t="s">
        <v>598</v>
      </c>
      <c r="HEY143" s="15" t="s">
        <v>598</v>
      </c>
      <c r="HEZ143" s="15" t="s">
        <v>598</v>
      </c>
      <c r="HFA143" s="15" t="s">
        <v>598</v>
      </c>
      <c r="HFB143" s="15" t="s">
        <v>598</v>
      </c>
      <c r="HFC143" s="15" t="s">
        <v>598</v>
      </c>
      <c r="HFD143" s="15" t="s">
        <v>598</v>
      </c>
      <c r="HFE143" s="15" t="s">
        <v>598</v>
      </c>
      <c r="HFF143" s="15" t="s">
        <v>598</v>
      </c>
      <c r="HFG143" s="15" t="s">
        <v>598</v>
      </c>
      <c r="HFH143" s="15" t="s">
        <v>598</v>
      </c>
      <c r="HFI143" s="15" t="s">
        <v>598</v>
      </c>
      <c r="HFJ143" s="15" t="s">
        <v>598</v>
      </c>
      <c r="HFK143" s="15" t="s">
        <v>598</v>
      </c>
      <c r="HFL143" s="15" t="s">
        <v>598</v>
      </c>
      <c r="HFM143" s="15" t="s">
        <v>598</v>
      </c>
      <c r="HFN143" s="15" t="s">
        <v>598</v>
      </c>
      <c r="HFO143" s="15" t="s">
        <v>598</v>
      </c>
      <c r="HFP143" s="15" t="s">
        <v>598</v>
      </c>
      <c r="HFQ143" s="15" t="s">
        <v>598</v>
      </c>
      <c r="HFR143" s="15" t="s">
        <v>598</v>
      </c>
      <c r="HFS143" s="15" t="s">
        <v>598</v>
      </c>
      <c r="HFT143" s="15" t="s">
        <v>598</v>
      </c>
      <c r="HFU143" s="15" t="s">
        <v>598</v>
      </c>
      <c r="HFV143" s="15" t="s">
        <v>598</v>
      </c>
      <c r="HFW143" s="15" t="s">
        <v>598</v>
      </c>
      <c r="HFX143" s="15" t="s">
        <v>598</v>
      </c>
      <c r="HFY143" s="15" t="s">
        <v>598</v>
      </c>
      <c r="HFZ143" s="15" t="s">
        <v>598</v>
      </c>
      <c r="HGA143" s="15" t="s">
        <v>598</v>
      </c>
      <c r="HGB143" s="15" t="s">
        <v>598</v>
      </c>
      <c r="HGC143" s="15" t="s">
        <v>598</v>
      </c>
      <c r="HGD143" s="15" t="s">
        <v>598</v>
      </c>
      <c r="HGE143" s="15" t="s">
        <v>598</v>
      </c>
      <c r="HGF143" s="15" t="s">
        <v>598</v>
      </c>
      <c r="HGG143" s="15" t="s">
        <v>598</v>
      </c>
      <c r="HGH143" s="15" t="s">
        <v>598</v>
      </c>
      <c r="HGI143" s="15" t="s">
        <v>598</v>
      </c>
      <c r="HGJ143" s="15" t="s">
        <v>598</v>
      </c>
      <c r="HGK143" s="15" t="s">
        <v>598</v>
      </c>
      <c r="HGL143" s="15" t="s">
        <v>598</v>
      </c>
      <c r="HGM143" s="15" t="s">
        <v>598</v>
      </c>
      <c r="HGN143" s="15" t="s">
        <v>598</v>
      </c>
      <c r="HGO143" s="15" t="s">
        <v>598</v>
      </c>
      <c r="HGP143" s="15" t="s">
        <v>598</v>
      </c>
      <c r="HGQ143" s="15" t="s">
        <v>598</v>
      </c>
      <c r="HGR143" s="15" t="s">
        <v>598</v>
      </c>
      <c r="HGS143" s="15" t="s">
        <v>598</v>
      </c>
      <c r="HGT143" s="15" t="s">
        <v>598</v>
      </c>
      <c r="HGU143" s="15" t="s">
        <v>598</v>
      </c>
      <c r="HGV143" s="15" t="s">
        <v>598</v>
      </c>
      <c r="HGW143" s="15" t="s">
        <v>598</v>
      </c>
      <c r="HGX143" s="15" t="s">
        <v>598</v>
      </c>
      <c r="HGY143" s="15" t="s">
        <v>598</v>
      </c>
      <c r="HGZ143" s="15" t="s">
        <v>598</v>
      </c>
      <c r="HHA143" s="15" t="s">
        <v>598</v>
      </c>
      <c r="HHB143" s="15" t="s">
        <v>598</v>
      </c>
      <c r="HHC143" s="15" t="s">
        <v>598</v>
      </c>
      <c r="HHD143" s="15" t="s">
        <v>598</v>
      </c>
      <c r="HHE143" s="15" t="s">
        <v>598</v>
      </c>
      <c r="HHF143" s="15" t="s">
        <v>598</v>
      </c>
      <c r="HHG143" s="15" t="s">
        <v>598</v>
      </c>
      <c r="HHH143" s="15" t="s">
        <v>598</v>
      </c>
      <c r="HHI143" s="15" t="s">
        <v>598</v>
      </c>
      <c r="HHJ143" s="15" t="s">
        <v>598</v>
      </c>
      <c r="HHK143" s="15" t="s">
        <v>598</v>
      </c>
      <c r="HHL143" s="15" t="s">
        <v>598</v>
      </c>
      <c r="HHM143" s="15" t="s">
        <v>598</v>
      </c>
      <c r="HHN143" s="15" t="s">
        <v>598</v>
      </c>
      <c r="HHO143" s="15" t="s">
        <v>598</v>
      </c>
      <c r="HHP143" s="15" t="s">
        <v>598</v>
      </c>
      <c r="HHQ143" s="15" t="s">
        <v>598</v>
      </c>
      <c r="HHR143" s="15" t="s">
        <v>598</v>
      </c>
      <c r="HHS143" s="15" t="s">
        <v>598</v>
      </c>
      <c r="HHT143" s="15" t="s">
        <v>598</v>
      </c>
      <c r="HHU143" s="15" t="s">
        <v>598</v>
      </c>
      <c r="HHV143" s="15" t="s">
        <v>598</v>
      </c>
      <c r="HHW143" s="15" t="s">
        <v>598</v>
      </c>
      <c r="HHX143" s="15" t="s">
        <v>598</v>
      </c>
      <c r="HHY143" s="15" t="s">
        <v>598</v>
      </c>
      <c r="HHZ143" s="15" t="s">
        <v>598</v>
      </c>
      <c r="HIA143" s="15" t="s">
        <v>598</v>
      </c>
      <c r="HIB143" s="15" t="s">
        <v>598</v>
      </c>
      <c r="HIC143" s="15" t="s">
        <v>598</v>
      </c>
      <c r="HID143" s="15" t="s">
        <v>598</v>
      </c>
      <c r="HIE143" s="15" t="s">
        <v>598</v>
      </c>
      <c r="HIF143" s="15" t="s">
        <v>598</v>
      </c>
      <c r="HIG143" s="15" t="s">
        <v>598</v>
      </c>
      <c r="HIH143" s="15" t="s">
        <v>598</v>
      </c>
      <c r="HII143" s="15" t="s">
        <v>598</v>
      </c>
      <c r="HIJ143" s="15" t="s">
        <v>598</v>
      </c>
      <c r="HIK143" s="15" t="s">
        <v>598</v>
      </c>
      <c r="HIL143" s="15" t="s">
        <v>598</v>
      </c>
      <c r="HIM143" s="15" t="s">
        <v>598</v>
      </c>
      <c r="HIN143" s="15" t="s">
        <v>598</v>
      </c>
      <c r="HIO143" s="15" t="s">
        <v>598</v>
      </c>
      <c r="HIP143" s="15" t="s">
        <v>598</v>
      </c>
      <c r="HIQ143" s="15" t="s">
        <v>598</v>
      </c>
      <c r="HIR143" s="15" t="s">
        <v>598</v>
      </c>
      <c r="HIS143" s="15" t="s">
        <v>598</v>
      </c>
      <c r="HIT143" s="15" t="s">
        <v>598</v>
      </c>
      <c r="HIU143" s="15" t="s">
        <v>598</v>
      </c>
      <c r="HIV143" s="15" t="s">
        <v>598</v>
      </c>
      <c r="HIW143" s="15" t="s">
        <v>598</v>
      </c>
      <c r="HIX143" s="15" t="s">
        <v>598</v>
      </c>
      <c r="HIY143" s="15" t="s">
        <v>598</v>
      </c>
      <c r="HIZ143" s="15" t="s">
        <v>598</v>
      </c>
      <c r="HJA143" s="15" t="s">
        <v>598</v>
      </c>
      <c r="HJB143" s="15" t="s">
        <v>598</v>
      </c>
      <c r="HJC143" s="15" t="s">
        <v>598</v>
      </c>
      <c r="HJD143" s="15" t="s">
        <v>598</v>
      </c>
      <c r="HJE143" s="15" t="s">
        <v>598</v>
      </c>
      <c r="HJF143" s="15" t="s">
        <v>598</v>
      </c>
      <c r="HJG143" s="15" t="s">
        <v>598</v>
      </c>
      <c r="HJH143" s="15" t="s">
        <v>598</v>
      </c>
      <c r="HJI143" s="15" t="s">
        <v>598</v>
      </c>
      <c r="HJJ143" s="15" t="s">
        <v>598</v>
      </c>
      <c r="HJK143" s="15" t="s">
        <v>598</v>
      </c>
      <c r="HJL143" s="15" t="s">
        <v>598</v>
      </c>
      <c r="HJM143" s="15" t="s">
        <v>598</v>
      </c>
      <c r="HJN143" s="15" t="s">
        <v>598</v>
      </c>
      <c r="HJO143" s="15" t="s">
        <v>598</v>
      </c>
      <c r="HJP143" s="15" t="s">
        <v>598</v>
      </c>
      <c r="HJQ143" s="15" t="s">
        <v>598</v>
      </c>
      <c r="HJR143" s="15" t="s">
        <v>598</v>
      </c>
      <c r="HJS143" s="15" t="s">
        <v>598</v>
      </c>
      <c r="HJT143" s="15" t="s">
        <v>598</v>
      </c>
      <c r="HJU143" s="15" t="s">
        <v>598</v>
      </c>
      <c r="HJV143" s="15" t="s">
        <v>598</v>
      </c>
      <c r="HJW143" s="15" t="s">
        <v>598</v>
      </c>
      <c r="HJX143" s="15" t="s">
        <v>598</v>
      </c>
      <c r="HJY143" s="15" t="s">
        <v>598</v>
      </c>
      <c r="HJZ143" s="15" t="s">
        <v>598</v>
      </c>
      <c r="HKA143" s="15" t="s">
        <v>598</v>
      </c>
      <c r="HKB143" s="15" t="s">
        <v>598</v>
      </c>
      <c r="HKC143" s="15" t="s">
        <v>598</v>
      </c>
      <c r="HKD143" s="15" t="s">
        <v>598</v>
      </c>
      <c r="HKE143" s="15" t="s">
        <v>598</v>
      </c>
      <c r="HKF143" s="15" t="s">
        <v>598</v>
      </c>
      <c r="HKG143" s="15" t="s">
        <v>598</v>
      </c>
      <c r="HKH143" s="15" t="s">
        <v>598</v>
      </c>
      <c r="HKI143" s="15" t="s">
        <v>598</v>
      </c>
      <c r="HKJ143" s="15" t="s">
        <v>598</v>
      </c>
      <c r="HKK143" s="15" t="s">
        <v>598</v>
      </c>
      <c r="HKL143" s="15" t="s">
        <v>598</v>
      </c>
      <c r="HKM143" s="15" t="s">
        <v>598</v>
      </c>
      <c r="HKN143" s="15" t="s">
        <v>598</v>
      </c>
      <c r="HKO143" s="15" t="s">
        <v>598</v>
      </c>
      <c r="HKP143" s="15" t="s">
        <v>598</v>
      </c>
      <c r="HKQ143" s="15" t="s">
        <v>598</v>
      </c>
      <c r="HKR143" s="15" t="s">
        <v>598</v>
      </c>
      <c r="HKS143" s="15" t="s">
        <v>598</v>
      </c>
      <c r="HKT143" s="15" t="s">
        <v>598</v>
      </c>
      <c r="HKU143" s="15" t="s">
        <v>598</v>
      </c>
      <c r="HKV143" s="15" t="s">
        <v>598</v>
      </c>
      <c r="HKW143" s="15" t="s">
        <v>598</v>
      </c>
      <c r="HKX143" s="15" t="s">
        <v>598</v>
      </c>
      <c r="HKY143" s="15" t="s">
        <v>598</v>
      </c>
      <c r="HKZ143" s="15" t="s">
        <v>598</v>
      </c>
      <c r="HLA143" s="15" t="s">
        <v>598</v>
      </c>
      <c r="HLB143" s="15" t="s">
        <v>598</v>
      </c>
      <c r="HLC143" s="15" t="s">
        <v>598</v>
      </c>
      <c r="HLD143" s="15" t="s">
        <v>598</v>
      </c>
      <c r="HLE143" s="15" t="s">
        <v>598</v>
      </c>
      <c r="HLF143" s="15" t="s">
        <v>598</v>
      </c>
      <c r="HLG143" s="15" t="s">
        <v>598</v>
      </c>
      <c r="HLH143" s="15" t="s">
        <v>598</v>
      </c>
      <c r="HLI143" s="15" t="s">
        <v>598</v>
      </c>
      <c r="HLJ143" s="15" t="s">
        <v>598</v>
      </c>
      <c r="HLK143" s="15" t="s">
        <v>598</v>
      </c>
      <c r="HLL143" s="15" t="s">
        <v>598</v>
      </c>
      <c r="HLM143" s="15" t="s">
        <v>598</v>
      </c>
      <c r="HLN143" s="15" t="s">
        <v>598</v>
      </c>
      <c r="HLO143" s="15" t="s">
        <v>598</v>
      </c>
      <c r="HLP143" s="15" t="s">
        <v>598</v>
      </c>
      <c r="HLQ143" s="15" t="s">
        <v>598</v>
      </c>
      <c r="HLR143" s="15" t="s">
        <v>598</v>
      </c>
      <c r="HLS143" s="15" t="s">
        <v>598</v>
      </c>
      <c r="HLT143" s="15" t="s">
        <v>598</v>
      </c>
      <c r="HLU143" s="15" t="s">
        <v>598</v>
      </c>
      <c r="HLV143" s="15" t="s">
        <v>598</v>
      </c>
      <c r="HLW143" s="15" t="s">
        <v>598</v>
      </c>
      <c r="HLX143" s="15" t="s">
        <v>598</v>
      </c>
      <c r="HLY143" s="15" t="s">
        <v>598</v>
      </c>
      <c r="HLZ143" s="15" t="s">
        <v>598</v>
      </c>
      <c r="HMA143" s="15" t="s">
        <v>598</v>
      </c>
      <c r="HMB143" s="15" t="s">
        <v>598</v>
      </c>
      <c r="HMC143" s="15" t="s">
        <v>598</v>
      </c>
      <c r="HMD143" s="15" t="s">
        <v>598</v>
      </c>
      <c r="HME143" s="15" t="s">
        <v>598</v>
      </c>
      <c r="HMF143" s="15" t="s">
        <v>598</v>
      </c>
      <c r="HMG143" s="15" t="s">
        <v>598</v>
      </c>
      <c r="HMH143" s="15" t="s">
        <v>598</v>
      </c>
      <c r="HMI143" s="15" t="s">
        <v>598</v>
      </c>
      <c r="HMJ143" s="15" t="s">
        <v>598</v>
      </c>
      <c r="HMK143" s="15" t="s">
        <v>598</v>
      </c>
      <c r="HML143" s="15" t="s">
        <v>598</v>
      </c>
      <c r="HMM143" s="15" t="s">
        <v>598</v>
      </c>
      <c r="HMN143" s="15" t="s">
        <v>598</v>
      </c>
      <c r="HMO143" s="15" t="s">
        <v>598</v>
      </c>
      <c r="HMP143" s="15" t="s">
        <v>598</v>
      </c>
      <c r="HMQ143" s="15" t="s">
        <v>598</v>
      </c>
      <c r="HMR143" s="15" t="s">
        <v>598</v>
      </c>
      <c r="HMS143" s="15" t="s">
        <v>598</v>
      </c>
      <c r="HMT143" s="15" t="s">
        <v>598</v>
      </c>
      <c r="HMU143" s="15" t="s">
        <v>598</v>
      </c>
      <c r="HMV143" s="15" t="s">
        <v>598</v>
      </c>
      <c r="HMW143" s="15" t="s">
        <v>598</v>
      </c>
      <c r="HMX143" s="15" t="s">
        <v>598</v>
      </c>
      <c r="HMY143" s="15" t="s">
        <v>598</v>
      </c>
      <c r="HMZ143" s="15" t="s">
        <v>598</v>
      </c>
      <c r="HNA143" s="15" t="s">
        <v>598</v>
      </c>
      <c r="HNB143" s="15" t="s">
        <v>598</v>
      </c>
      <c r="HNC143" s="15" t="s">
        <v>598</v>
      </c>
      <c r="HND143" s="15" t="s">
        <v>598</v>
      </c>
      <c r="HNE143" s="15" t="s">
        <v>598</v>
      </c>
      <c r="HNF143" s="15" t="s">
        <v>598</v>
      </c>
      <c r="HNG143" s="15" t="s">
        <v>598</v>
      </c>
      <c r="HNH143" s="15" t="s">
        <v>598</v>
      </c>
      <c r="HNI143" s="15" t="s">
        <v>598</v>
      </c>
      <c r="HNJ143" s="15" t="s">
        <v>598</v>
      </c>
      <c r="HNK143" s="15" t="s">
        <v>598</v>
      </c>
      <c r="HNL143" s="15" t="s">
        <v>598</v>
      </c>
      <c r="HNM143" s="15" t="s">
        <v>598</v>
      </c>
      <c r="HNN143" s="15" t="s">
        <v>598</v>
      </c>
      <c r="HNO143" s="15" t="s">
        <v>598</v>
      </c>
      <c r="HNP143" s="15" t="s">
        <v>598</v>
      </c>
      <c r="HNQ143" s="15" t="s">
        <v>598</v>
      </c>
      <c r="HNR143" s="15" t="s">
        <v>598</v>
      </c>
      <c r="HNS143" s="15" t="s">
        <v>598</v>
      </c>
      <c r="HNT143" s="15" t="s">
        <v>598</v>
      </c>
      <c r="HNU143" s="15" t="s">
        <v>598</v>
      </c>
      <c r="HNV143" s="15" t="s">
        <v>598</v>
      </c>
      <c r="HNW143" s="15" t="s">
        <v>598</v>
      </c>
      <c r="HNX143" s="15" t="s">
        <v>598</v>
      </c>
      <c r="HNY143" s="15" t="s">
        <v>598</v>
      </c>
      <c r="HNZ143" s="15" t="s">
        <v>598</v>
      </c>
      <c r="HOA143" s="15" t="s">
        <v>598</v>
      </c>
      <c r="HOB143" s="15" t="s">
        <v>598</v>
      </c>
      <c r="HOC143" s="15" t="s">
        <v>598</v>
      </c>
      <c r="HOD143" s="15" t="s">
        <v>598</v>
      </c>
      <c r="HOE143" s="15" t="s">
        <v>598</v>
      </c>
      <c r="HOF143" s="15" t="s">
        <v>598</v>
      </c>
      <c r="HOG143" s="15" t="s">
        <v>598</v>
      </c>
      <c r="HOH143" s="15" t="s">
        <v>598</v>
      </c>
      <c r="HOI143" s="15" t="s">
        <v>598</v>
      </c>
      <c r="HOJ143" s="15" t="s">
        <v>598</v>
      </c>
      <c r="HOK143" s="15" t="s">
        <v>598</v>
      </c>
      <c r="HOL143" s="15" t="s">
        <v>598</v>
      </c>
      <c r="HOM143" s="15" t="s">
        <v>598</v>
      </c>
      <c r="HON143" s="15" t="s">
        <v>598</v>
      </c>
      <c r="HOO143" s="15" t="s">
        <v>598</v>
      </c>
      <c r="HOP143" s="15" t="s">
        <v>598</v>
      </c>
      <c r="HOQ143" s="15" t="s">
        <v>598</v>
      </c>
      <c r="HOR143" s="15" t="s">
        <v>598</v>
      </c>
      <c r="HOS143" s="15" t="s">
        <v>598</v>
      </c>
      <c r="HOT143" s="15" t="s">
        <v>598</v>
      </c>
      <c r="HOU143" s="15" t="s">
        <v>598</v>
      </c>
      <c r="HOV143" s="15" t="s">
        <v>598</v>
      </c>
      <c r="HOW143" s="15" t="s">
        <v>598</v>
      </c>
      <c r="HOX143" s="15" t="s">
        <v>598</v>
      </c>
      <c r="HOY143" s="15" t="s">
        <v>598</v>
      </c>
      <c r="HOZ143" s="15" t="s">
        <v>598</v>
      </c>
      <c r="HPA143" s="15" t="s">
        <v>598</v>
      </c>
      <c r="HPB143" s="15" t="s">
        <v>598</v>
      </c>
      <c r="HPC143" s="15" t="s">
        <v>598</v>
      </c>
      <c r="HPD143" s="15" t="s">
        <v>598</v>
      </c>
      <c r="HPE143" s="15" t="s">
        <v>598</v>
      </c>
      <c r="HPF143" s="15" t="s">
        <v>598</v>
      </c>
      <c r="HPG143" s="15" t="s">
        <v>598</v>
      </c>
      <c r="HPH143" s="15" t="s">
        <v>598</v>
      </c>
      <c r="HPI143" s="15" t="s">
        <v>598</v>
      </c>
      <c r="HPJ143" s="15" t="s">
        <v>598</v>
      </c>
      <c r="HPK143" s="15" t="s">
        <v>598</v>
      </c>
      <c r="HPL143" s="15" t="s">
        <v>598</v>
      </c>
      <c r="HPM143" s="15" t="s">
        <v>598</v>
      </c>
      <c r="HPN143" s="15" t="s">
        <v>598</v>
      </c>
      <c r="HPO143" s="15" t="s">
        <v>598</v>
      </c>
      <c r="HPP143" s="15" t="s">
        <v>598</v>
      </c>
      <c r="HPQ143" s="15" t="s">
        <v>598</v>
      </c>
      <c r="HPR143" s="15" t="s">
        <v>598</v>
      </c>
      <c r="HPS143" s="15" t="s">
        <v>598</v>
      </c>
      <c r="HPT143" s="15" t="s">
        <v>598</v>
      </c>
      <c r="HPU143" s="15" t="s">
        <v>598</v>
      </c>
      <c r="HPV143" s="15" t="s">
        <v>598</v>
      </c>
      <c r="HPW143" s="15" t="s">
        <v>598</v>
      </c>
      <c r="HPX143" s="15" t="s">
        <v>598</v>
      </c>
      <c r="HPY143" s="15" t="s">
        <v>598</v>
      </c>
      <c r="HPZ143" s="15" t="s">
        <v>598</v>
      </c>
      <c r="HQA143" s="15" t="s">
        <v>598</v>
      </c>
      <c r="HQB143" s="15" t="s">
        <v>598</v>
      </c>
      <c r="HQC143" s="15" t="s">
        <v>598</v>
      </c>
      <c r="HQD143" s="15" t="s">
        <v>598</v>
      </c>
      <c r="HQE143" s="15" t="s">
        <v>598</v>
      </c>
      <c r="HQF143" s="15" t="s">
        <v>598</v>
      </c>
      <c r="HQG143" s="15" t="s">
        <v>598</v>
      </c>
      <c r="HQH143" s="15" t="s">
        <v>598</v>
      </c>
      <c r="HQI143" s="15" t="s">
        <v>598</v>
      </c>
      <c r="HQJ143" s="15" t="s">
        <v>598</v>
      </c>
      <c r="HQK143" s="15" t="s">
        <v>598</v>
      </c>
      <c r="HQL143" s="15" t="s">
        <v>598</v>
      </c>
      <c r="HQM143" s="15" t="s">
        <v>598</v>
      </c>
      <c r="HQN143" s="15" t="s">
        <v>598</v>
      </c>
      <c r="HQO143" s="15" t="s">
        <v>598</v>
      </c>
      <c r="HQP143" s="15" t="s">
        <v>598</v>
      </c>
      <c r="HQQ143" s="15" t="s">
        <v>598</v>
      </c>
      <c r="HQR143" s="15" t="s">
        <v>598</v>
      </c>
      <c r="HQS143" s="15" t="s">
        <v>598</v>
      </c>
      <c r="HQT143" s="15" t="s">
        <v>598</v>
      </c>
      <c r="HQU143" s="15" t="s">
        <v>598</v>
      </c>
      <c r="HQV143" s="15" t="s">
        <v>598</v>
      </c>
      <c r="HQW143" s="15" t="s">
        <v>598</v>
      </c>
      <c r="HQX143" s="15" t="s">
        <v>598</v>
      </c>
      <c r="HQY143" s="15" t="s">
        <v>598</v>
      </c>
      <c r="HQZ143" s="15" t="s">
        <v>598</v>
      </c>
      <c r="HRA143" s="15" t="s">
        <v>598</v>
      </c>
      <c r="HRB143" s="15" t="s">
        <v>598</v>
      </c>
      <c r="HRC143" s="15" t="s">
        <v>598</v>
      </c>
      <c r="HRD143" s="15" t="s">
        <v>598</v>
      </c>
      <c r="HRE143" s="15" t="s">
        <v>598</v>
      </c>
      <c r="HRF143" s="15" t="s">
        <v>598</v>
      </c>
      <c r="HRG143" s="15" t="s">
        <v>598</v>
      </c>
      <c r="HRH143" s="15" t="s">
        <v>598</v>
      </c>
      <c r="HRI143" s="15" t="s">
        <v>598</v>
      </c>
      <c r="HRJ143" s="15" t="s">
        <v>598</v>
      </c>
      <c r="HRK143" s="15" t="s">
        <v>598</v>
      </c>
      <c r="HRL143" s="15" t="s">
        <v>598</v>
      </c>
      <c r="HRM143" s="15" t="s">
        <v>598</v>
      </c>
      <c r="HRN143" s="15" t="s">
        <v>598</v>
      </c>
      <c r="HRO143" s="15" t="s">
        <v>598</v>
      </c>
      <c r="HRP143" s="15" t="s">
        <v>598</v>
      </c>
      <c r="HRQ143" s="15" t="s">
        <v>598</v>
      </c>
      <c r="HRR143" s="15" t="s">
        <v>598</v>
      </c>
      <c r="HRS143" s="15" t="s">
        <v>598</v>
      </c>
      <c r="HRT143" s="15" t="s">
        <v>598</v>
      </c>
      <c r="HRU143" s="15" t="s">
        <v>598</v>
      </c>
      <c r="HRV143" s="15" t="s">
        <v>598</v>
      </c>
      <c r="HRW143" s="15" t="s">
        <v>598</v>
      </c>
      <c r="HRX143" s="15" t="s">
        <v>598</v>
      </c>
      <c r="HRY143" s="15" t="s">
        <v>598</v>
      </c>
      <c r="HRZ143" s="15" t="s">
        <v>598</v>
      </c>
      <c r="HSA143" s="15" t="s">
        <v>598</v>
      </c>
      <c r="HSB143" s="15" t="s">
        <v>598</v>
      </c>
      <c r="HSC143" s="15" t="s">
        <v>598</v>
      </c>
      <c r="HSD143" s="15" t="s">
        <v>598</v>
      </c>
      <c r="HSE143" s="15" t="s">
        <v>598</v>
      </c>
      <c r="HSF143" s="15" t="s">
        <v>598</v>
      </c>
      <c r="HSG143" s="15" t="s">
        <v>598</v>
      </c>
      <c r="HSH143" s="15" t="s">
        <v>598</v>
      </c>
      <c r="HSI143" s="15" t="s">
        <v>598</v>
      </c>
      <c r="HSJ143" s="15" t="s">
        <v>598</v>
      </c>
      <c r="HSK143" s="15" t="s">
        <v>598</v>
      </c>
      <c r="HSL143" s="15" t="s">
        <v>598</v>
      </c>
      <c r="HSM143" s="15" t="s">
        <v>598</v>
      </c>
      <c r="HSN143" s="15" t="s">
        <v>598</v>
      </c>
      <c r="HSO143" s="15" t="s">
        <v>598</v>
      </c>
      <c r="HSP143" s="15" t="s">
        <v>598</v>
      </c>
      <c r="HSQ143" s="15" t="s">
        <v>598</v>
      </c>
      <c r="HSR143" s="15" t="s">
        <v>598</v>
      </c>
      <c r="HSS143" s="15" t="s">
        <v>598</v>
      </c>
      <c r="HST143" s="15" t="s">
        <v>598</v>
      </c>
      <c r="HSU143" s="15" t="s">
        <v>598</v>
      </c>
      <c r="HSV143" s="15" t="s">
        <v>598</v>
      </c>
      <c r="HSW143" s="15" t="s">
        <v>598</v>
      </c>
      <c r="HSX143" s="15" t="s">
        <v>598</v>
      </c>
      <c r="HSY143" s="15" t="s">
        <v>598</v>
      </c>
      <c r="HSZ143" s="15" t="s">
        <v>598</v>
      </c>
      <c r="HTA143" s="15" t="s">
        <v>598</v>
      </c>
      <c r="HTB143" s="15" t="s">
        <v>598</v>
      </c>
      <c r="HTC143" s="15" t="s">
        <v>598</v>
      </c>
      <c r="HTD143" s="15" t="s">
        <v>598</v>
      </c>
      <c r="HTE143" s="15" t="s">
        <v>598</v>
      </c>
      <c r="HTF143" s="15" t="s">
        <v>598</v>
      </c>
      <c r="HTG143" s="15" t="s">
        <v>598</v>
      </c>
      <c r="HTH143" s="15" t="s">
        <v>598</v>
      </c>
      <c r="HTI143" s="15" t="s">
        <v>598</v>
      </c>
      <c r="HTJ143" s="15" t="s">
        <v>598</v>
      </c>
      <c r="HTK143" s="15" t="s">
        <v>598</v>
      </c>
      <c r="HTL143" s="15" t="s">
        <v>598</v>
      </c>
      <c r="HTM143" s="15" t="s">
        <v>598</v>
      </c>
      <c r="HTN143" s="15" t="s">
        <v>598</v>
      </c>
      <c r="HTO143" s="15" t="s">
        <v>598</v>
      </c>
      <c r="HTP143" s="15" t="s">
        <v>598</v>
      </c>
      <c r="HTQ143" s="15" t="s">
        <v>598</v>
      </c>
      <c r="HTR143" s="15" t="s">
        <v>598</v>
      </c>
      <c r="HTS143" s="15" t="s">
        <v>598</v>
      </c>
      <c r="HTT143" s="15" t="s">
        <v>598</v>
      </c>
      <c r="HTU143" s="15" t="s">
        <v>598</v>
      </c>
      <c r="HTV143" s="15" t="s">
        <v>598</v>
      </c>
      <c r="HTW143" s="15" t="s">
        <v>598</v>
      </c>
      <c r="HTX143" s="15" t="s">
        <v>598</v>
      </c>
      <c r="HTY143" s="15" t="s">
        <v>598</v>
      </c>
      <c r="HTZ143" s="15" t="s">
        <v>598</v>
      </c>
      <c r="HUA143" s="15" t="s">
        <v>598</v>
      </c>
      <c r="HUB143" s="15" t="s">
        <v>598</v>
      </c>
      <c r="HUC143" s="15" t="s">
        <v>598</v>
      </c>
      <c r="HUD143" s="15" t="s">
        <v>598</v>
      </c>
      <c r="HUE143" s="15" t="s">
        <v>598</v>
      </c>
      <c r="HUF143" s="15" t="s">
        <v>598</v>
      </c>
      <c r="HUG143" s="15" t="s">
        <v>598</v>
      </c>
      <c r="HUH143" s="15" t="s">
        <v>598</v>
      </c>
      <c r="HUI143" s="15" t="s">
        <v>598</v>
      </c>
      <c r="HUJ143" s="15" t="s">
        <v>598</v>
      </c>
      <c r="HUK143" s="15" t="s">
        <v>598</v>
      </c>
      <c r="HUL143" s="15" t="s">
        <v>598</v>
      </c>
      <c r="HUM143" s="15" t="s">
        <v>598</v>
      </c>
      <c r="HUN143" s="15" t="s">
        <v>598</v>
      </c>
      <c r="HUO143" s="15" t="s">
        <v>598</v>
      </c>
      <c r="HUP143" s="15" t="s">
        <v>598</v>
      </c>
      <c r="HUQ143" s="15" t="s">
        <v>598</v>
      </c>
      <c r="HUR143" s="15" t="s">
        <v>598</v>
      </c>
      <c r="HUS143" s="15" t="s">
        <v>598</v>
      </c>
      <c r="HUT143" s="15" t="s">
        <v>598</v>
      </c>
      <c r="HUU143" s="15" t="s">
        <v>598</v>
      </c>
      <c r="HUV143" s="15" t="s">
        <v>598</v>
      </c>
      <c r="HUW143" s="15" t="s">
        <v>598</v>
      </c>
      <c r="HUX143" s="15" t="s">
        <v>598</v>
      </c>
      <c r="HUY143" s="15" t="s">
        <v>598</v>
      </c>
      <c r="HUZ143" s="15" t="s">
        <v>598</v>
      </c>
      <c r="HVA143" s="15" t="s">
        <v>598</v>
      </c>
      <c r="HVB143" s="15" t="s">
        <v>598</v>
      </c>
      <c r="HVC143" s="15" t="s">
        <v>598</v>
      </c>
      <c r="HVD143" s="15" t="s">
        <v>598</v>
      </c>
      <c r="HVE143" s="15" t="s">
        <v>598</v>
      </c>
      <c r="HVF143" s="15" t="s">
        <v>598</v>
      </c>
      <c r="HVG143" s="15" t="s">
        <v>598</v>
      </c>
      <c r="HVH143" s="15" t="s">
        <v>598</v>
      </c>
      <c r="HVI143" s="15" t="s">
        <v>598</v>
      </c>
      <c r="HVJ143" s="15" t="s">
        <v>598</v>
      </c>
      <c r="HVK143" s="15" t="s">
        <v>598</v>
      </c>
      <c r="HVL143" s="15" t="s">
        <v>598</v>
      </c>
      <c r="HVM143" s="15" t="s">
        <v>598</v>
      </c>
      <c r="HVN143" s="15" t="s">
        <v>598</v>
      </c>
      <c r="HVO143" s="15" t="s">
        <v>598</v>
      </c>
      <c r="HVP143" s="15" t="s">
        <v>598</v>
      </c>
      <c r="HVQ143" s="15" t="s">
        <v>598</v>
      </c>
      <c r="HVR143" s="15" t="s">
        <v>598</v>
      </c>
      <c r="HVS143" s="15" t="s">
        <v>598</v>
      </c>
      <c r="HVT143" s="15" t="s">
        <v>598</v>
      </c>
      <c r="HVU143" s="15" t="s">
        <v>598</v>
      </c>
      <c r="HVV143" s="15" t="s">
        <v>598</v>
      </c>
      <c r="HVW143" s="15" t="s">
        <v>598</v>
      </c>
      <c r="HVX143" s="15" t="s">
        <v>598</v>
      </c>
      <c r="HVY143" s="15" t="s">
        <v>598</v>
      </c>
      <c r="HVZ143" s="15" t="s">
        <v>598</v>
      </c>
      <c r="HWA143" s="15" t="s">
        <v>598</v>
      </c>
      <c r="HWB143" s="15" t="s">
        <v>598</v>
      </c>
      <c r="HWC143" s="15" t="s">
        <v>598</v>
      </c>
      <c r="HWD143" s="15" t="s">
        <v>598</v>
      </c>
      <c r="HWE143" s="15" t="s">
        <v>598</v>
      </c>
      <c r="HWF143" s="15" t="s">
        <v>598</v>
      </c>
      <c r="HWG143" s="15" t="s">
        <v>598</v>
      </c>
      <c r="HWH143" s="15" t="s">
        <v>598</v>
      </c>
      <c r="HWI143" s="15" t="s">
        <v>598</v>
      </c>
      <c r="HWJ143" s="15" t="s">
        <v>598</v>
      </c>
      <c r="HWK143" s="15" t="s">
        <v>598</v>
      </c>
      <c r="HWL143" s="15" t="s">
        <v>598</v>
      </c>
      <c r="HWM143" s="15" t="s">
        <v>598</v>
      </c>
      <c r="HWN143" s="15" t="s">
        <v>598</v>
      </c>
      <c r="HWO143" s="15" t="s">
        <v>598</v>
      </c>
      <c r="HWP143" s="15" t="s">
        <v>598</v>
      </c>
      <c r="HWQ143" s="15" t="s">
        <v>598</v>
      </c>
      <c r="HWR143" s="15" t="s">
        <v>598</v>
      </c>
      <c r="HWS143" s="15" t="s">
        <v>598</v>
      </c>
      <c r="HWT143" s="15" t="s">
        <v>598</v>
      </c>
      <c r="HWU143" s="15" t="s">
        <v>598</v>
      </c>
      <c r="HWV143" s="15" t="s">
        <v>598</v>
      </c>
      <c r="HWW143" s="15" t="s">
        <v>598</v>
      </c>
      <c r="HWX143" s="15" t="s">
        <v>598</v>
      </c>
      <c r="HWY143" s="15" t="s">
        <v>598</v>
      </c>
      <c r="HWZ143" s="15" t="s">
        <v>598</v>
      </c>
      <c r="HXA143" s="15" t="s">
        <v>598</v>
      </c>
      <c r="HXB143" s="15" t="s">
        <v>598</v>
      </c>
      <c r="HXC143" s="15" t="s">
        <v>598</v>
      </c>
      <c r="HXD143" s="15" t="s">
        <v>598</v>
      </c>
      <c r="HXE143" s="15" t="s">
        <v>598</v>
      </c>
      <c r="HXF143" s="15" t="s">
        <v>598</v>
      </c>
      <c r="HXG143" s="15" t="s">
        <v>598</v>
      </c>
      <c r="HXH143" s="15" t="s">
        <v>598</v>
      </c>
      <c r="HXI143" s="15" t="s">
        <v>598</v>
      </c>
      <c r="HXJ143" s="15" t="s">
        <v>598</v>
      </c>
      <c r="HXK143" s="15" t="s">
        <v>598</v>
      </c>
      <c r="HXL143" s="15" t="s">
        <v>598</v>
      </c>
      <c r="HXM143" s="15" t="s">
        <v>598</v>
      </c>
      <c r="HXN143" s="15" t="s">
        <v>598</v>
      </c>
      <c r="HXO143" s="15" t="s">
        <v>598</v>
      </c>
      <c r="HXP143" s="15" t="s">
        <v>598</v>
      </c>
      <c r="HXQ143" s="15" t="s">
        <v>598</v>
      </c>
      <c r="HXR143" s="15" t="s">
        <v>598</v>
      </c>
      <c r="HXS143" s="15" t="s">
        <v>598</v>
      </c>
      <c r="HXT143" s="15" t="s">
        <v>598</v>
      </c>
      <c r="HXU143" s="15" t="s">
        <v>598</v>
      </c>
      <c r="HXV143" s="15" t="s">
        <v>598</v>
      </c>
      <c r="HXW143" s="15" t="s">
        <v>598</v>
      </c>
      <c r="HXX143" s="15" t="s">
        <v>598</v>
      </c>
      <c r="HXY143" s="15" t="s">
        <v>598</v>
      </c>
      <c r="HXZ143" s="15" t="s">
        <v>598</v>
      </c>
      <c r="HYA143" s="15" t="s">
        <v>598</v>
      </c>
      <c r="HYB143" s="15" t="s">
        <v>598</v>
      </c>
      <c r="HYC143" s="15" t="s">
        <v>598</v>
      </c>
      <c r="HYD143" s="15" t="s">
        <v>598</v>
      </c>
      <c r="HYE143" s="15" t="s">
        <v>598</v>
      </c>
      <c r="HYF143" s="15" t="s">
        <v>598</v>
      </c>
      <c r="HYG143" s="15" t="s">
        <v>598</v>
      </c>
      <c r="HYH143" s="15" t="s">
        <v>598</v>
      </c>
      <c r="HYI143" s="15" t="s">
        <v>598</v>
      </c>
      <c r="HYJ143" s="15" t="s">
        <v>598</v>
      </c>
      <c r="HYK143" s="15" t="s">
        <v>598</v>
      </c>
      <c r="HYL143" s="15" t="s">
        <v>598</v>
      </c>
      <c r="HYM143" s="15" t="s">
        <v>598</v>
      </c>
      <c r="HYN143" s="15" t="s">
        <v>598</v>
      </c>
      <c r="HYO143" s="15" t="s">
        <v>598</v>
      </c>
      <c r="HYP143" s="15" t="s">
        <v>598</v>
      </c>
      <c r="HYQ143" s="15" t="s">
        <v>598</v>
      </c>
      <c r="HYR143" s="15" t="s">
        <v>598</v>
      </c>
      <c r="HYS143" s="15" t="s">
        <v>598</v>
      </c>
      <c r="HYT143" s="15" t="s">
        <v>598</v>
      </c>
      <c r="HYU143" s="15" t="s">
        <v>598</v>
      </c>
      <c r="HYV143" s="15" t="s">
        <v>598</v>
      </c>
      <c r="HYW143" s="15" t="s">
        <v>598</v>
      </c>
      <c r="HYX143" s="15" t="s">
        <v>598</v>
      </c>
      <c r="HYY143" s="15" t="s">
        <v>598</v>
      </c>
      <c r="HYZ143" s="15" t="s">
        <v>598</v>
      </c>
      <c r="HZA143" s="15" t="s">
        <v>598</v>
      </c>
      <c r="HZB143" s="15" t="s">
        <v>598</v>
      </c>
      <c r="HZC143" s="15" t="s">
        <v>598</v>
      </c>
      <c r="HZD143" s="15" t="s">
        <v>598</v>
      </c>
      <c r="HZE143" s="15" t="s">
        <v>598</v>
      </c>
      <c r="HZF143" s="15" t="s">
        <v>598</v>
      </c>
      <c r="HZG143" s="15" t="s">
        <v>598</v>
      </c>
      <c r="HZH143" s="15" t="s">
        <v>598</v>
      </c>
      <c r="HZI143" s="15" t="s">
        <v>598</v>
      </c>
      <c r="HZJ143" s="15" t="s">
        <v>598</v>
      </c>
      <c r="HZK143" s="15" t="s">
        <v>598</v>
      </c>
      <c r="HZL143" s="15" t="s">
        <v>598</v>
      </c>
      <c r="HZM143" s="15" t="s">
        <v>598</v>
      </c>
      <c r="HZN143" s="15" t="s">
        <v>598</v>
      </c>
      <c r="HZO143" s="15" t="s">
        <v>598</v>
      </c>
      <c r="HZP143" s="15" t="s">
        <v>598</v>
      </c>
      <c r="HZQ143" s="15" t="s">
        <v>598</v>
      </c>
      <c r="HZR143" s="15" t="s">
        <v>598</v>
      </c>
      <c r="HZS143" s="15" t="s">
        <v>598</v>
      </c>
      <c r="HZT143" s="15" t="s">
        <v>598</v>
      </c>
      <c r="HZU143" s="15" t="s">
        <v>598</v>
      </c>
      <c r="HZV143" s="15" t="s">
        <v>598</v>
      </c>
      <c r="HZW143" s="15" t="s">
        <v>598</v>
      </c>
      <c r="HZX143" s="15" t="s">
        <v>598</v>
      </c>
      <c r="HZY143" s="15" t="s">
        <v>598</v>
      </c>
      <c r="HZZ143" s="15" t="s">
        <v>598</v>
      </c>
      <c r="IAA143" s="15" t="s">
        <v>598</v>
      </c>
      <c r="IAB143" s="15" t="s">
        <v>598</v>
      </c>
      <c r="IAC143" s="15" t="s">
        <v>598</v>
      </c>
      <c r="IAD143" s="15" t="s">
        <v>598</v>
      </c>
      <c r="IAE143" s="15" t="s">
        <v>598</v>
      </c>
      <c r="IAF143" s="15" t="s">
        <v>598</v>
      </c>
      <c r="IAG143" s="15" t="s">
        <v>598</v>
      </c>
      <c r="IAH143" s="15" t="s">
        <v>598</v>
      </c>
      <c r="IAI143" s="15" t="s">
        <v>598</v>
      </c>
      <c r="IAJ143" s="15" t="s">
        <v>598</v>
      </c>
      <c r="IAK143" s="15" t="s">
        <v>598</v>
      </c>
      <c r="IAL143" s="15" t="s">
        <v>598</v>
      </c>
      <c r="IAM143" s="15" t="s">
        <v>598</v>
      </c>
      <c r="IAN143" s="15" t="s">
        <v>598</v>
      </c>
      <c r="IAO143" s="15" t="s">
        <v>598</v>
      </c>
      <c r="IAP143" s="15" t="s">
        <v>598</v>
      </c>
      <c r="IAQ143" s="15" t="s">
        <v>598</v>
      </c>
      <c r="IAR143" s="15" t="s">
        <v>598</v>
      </c>
      <c r="IAS143" s="15" t="s">
        <v>598</v>
      </c>
      <c r="IAT143" s="15" t="s">
        <v>598</v>
      </c>
      <c r="IAU143" s="15" t="s">
        <v>598</v>
      </c>
      <c r="IAV143" s="15" t="s">
        <v>598</v>
      </c>
      <c r="IAW143" s="15" t="s">
        <v>598</v>
      </c>
      <c r="IAX143" s="15" t="s">
        <v>598</v>
      </c>
      <c r="IAY143" s="15" t="s">
        <v>598</v>
      </c>
      <c r="IAZ143" s="15" t="s">
        <v>598</v>
      </c>
      <c r="IBA143" s="15" t="s">
        <v>598</v>
      </c>
      <c r="IBB143" s="15" t="s">
        <v>598</v>
      </c>
      <c r="IBC143" s="15" t="s">
        <v>598</v>
      </c>
      <c r="IBD143" s="15" t="s">
        <v>598</v>
      </c>
      <c r="IBE143" s="15" t="s">
        <v>598</v>
      </c>
      <c r="IBF143" s="15" t="s">
        <v>598</v>
      </c>
      <c r="IBG143" s="15" t="s">
        <v>598</v>
      </c>
      <c r="IBH143" s="15" t="s">
        <v>598</v>
      </c>
      <c r="IBI143" s="15" t="s">
        <v>598</v>
      </c>
      <c r="IBJ143" s="15" t="s">
        <v>598</v>
      </c>
      <c r="IBK143" s="15" t="s">
        <v>598</v>
      </c>
      <c r="IBL143" s="15" t="s">
        <v>598</v>
      </c>
      <c r="IBM143" s="15" t="s">
        <v>598</v>
      </c>
      <c r="IBN143" s="15" t="s">
        <v>598</v>
      </c>
      <c r="IBO143" s="15" t="s">
        <v>598</v>
      </c>
      <c r="IBP143" s="15" t="s">
        <v>598</v>
      </c>
      <c r="IBQ143" s="15" t="s">
        <v>598</v>
      </c>
      <c r="IBR143" s="15" t="s">
        <v>598</v>
      </c>
      <c r="IBS143" s="15" t="s">
        <v>598</v>
      </c>
      <c r="IBT143" s="15" t="s">
        <v>598</v>
      </c>
      <c r="IBU143" s="15" t="s">
        <v>598</v>
      </c>
      <c r="IBV143" s="15" t="s">
        <v>598</v>
      </c>
      <c r="IBW143" s="15" t="s">
        <v>598</v>
      </c>
      <c r="IBX143" s="15" t="s">
        <v>598</v>
      </c>
      <c r="IBY143" s="15" t="s">
        <v>598</v>
      </c>
      <c r="IBZ143" s="15" t="s">
        <v>598</v>
      </c>
      <c r="ICA143" s="15" t="s">
        <v>598</v>
      </c>
      <c r="ICB143" s="15" t="s">
        <v>598</v>
      </c>
      <c r="ICC143" s="15" t="s">
        <v>598</v>
      </c>
      <c r="ICD143" s="15" t="s">
        <v>598</v>
      </c>
      <c r="ICE143" s="15" t="s">
        <v>598</v>
      </c>
      <c r="ICF143" s="15" t="s">
        <v>598</v>
      </c>
      <c r="ICG143" s="15" t="s">
        <v>598</v>
      </c>
      <c r="ICH143" s="15" t="s">
        <v>598</v>
      </c>
      <c r="ICI143" s="15" t="s">
        <v>598</v>
      </c>
      <c r="ICJ143" s="15" t="s">
        <v>598</v>
      </c>
      <c r="ICK143" s="15" t="s">
        <v>598</v>
      </c>
      <c r="ICL143" s="15" t="s">
        <v>598</v>
      </c>
      <c r="ICM143" s="15" t="s">
        <v>598</v>
      </c>
      <c r="ICN143" s="15" t="s">
        <v>598</v>
      </c>
      <c r="ICO143" s="15" t="s">
        <v>598</v>
      </c>
      <c r="ICP143" s="15" t="s">
        <v>598</v>
      </c>
      <c r="ICQ143" s="15" t="s">
        <v>598</v>
      </c>
      <c r="ICR143" s="15" t="s">
        <v>598</v>
      </c>
      <c r="ICS143" s="15" t="s">
        <v>598</v>
      </c>
      <c r="ICT143" s="15" t="s">
        <v>598</v>
      </c>
      <c r="ICU143" s="15" t="s">
        <v>598</v>
      </c>
      <c r="ICV143" s="15" t="s">
        <v>598</v>
      </c>
      <c r="ICW143" s="15" t="s">
        <v>598</v>
      </c>
      <c r="ICX143" s="15" t="s">
        <v>598</v>
      </c>
      <c r="ICY143" s="15" t="s">
        <v>598</v>
      </c>
      <c r="ICZ143" s="15" t="s">
        <v>598</v>
      </c>
      <c r="IDA143" s="15" t="s">
        <v>598</v>
      </c>
      <c r="IDB143" s="15" t="s">
        <v>598</v>
      </c>
      <c r="IDC143" s="15" t="s">
        <v>598</v>
      </c>
      <c r="IDD143" s="15" t="s">
        <v>598</v>
      </c>
      <c r="IDE143" s="15" t="s">
        <v>598</v>
      </c>
      <c r="IDF143" s="15" t="s">
        <v>598</v>
      </c>
      <c r="IDG143" s="15" t="s">
        <v>598</v>
      </c>
      <c r="IDH143" s="15" t="s">
        <v>598</v>
      </c>
      <c r="IDI143" s="15" t="s">
        <v>598</v>
      </c>
      <c r="IDJ143" s="15" t="s">
        <v>598</v>
      </c>
      <c r="IDK143" s="15" t="s">
        <v>598</v>
      </c>
      <c r="IDL143" s="15" t="s">
        <v>598</v>
      </c>
      <c r="IDM143" s="15" t="s">
        <v>598</v>
      </c>
      <c r="IDN143" s="15" t="s">
        <v>598</v>
      </c>
      <c r="IDO143" s="15" t="s">
        <v>598</v>
      </c>
      <c r="IDP143" s="15" t="s">
        <v>598</v>
      </c>
      <c r="IDQ143" s="15" t="s">
        <v>598</v>
      </c>
      <c r="IDR143" s="15" t="s">
        <v>598</v>
      </c>
      <c r="IDS143" s="15" t="s">
        <v>598</v>
      </c>
      <c r="IDT143" s="15" t="s">
        <v>598</v>
      </c>
      <c r="IDU143" s="15" t="s">
        <v>598</v>
      </c>
      <c r="IDV143" s="15" t="s">
        <v>598</v>
      </c>
      <c r="IDW143" s="15" t="s">
        <v>598</v>
      </c>
      <c r="IDX143" s="15" t="s">
        <v>598</v>
      </c>
      <c r="IDY143" s="15" t="s">
        <v>598</v>
      </c>
      <c r="IDZ143" s="15" t="s">
        <v>598</v>
      </c>
      <c r="IEA143" s="15" t="s">
        <v>598</v>
      </c>
      <c r="IEB143" s="15" t="s">
        <v>598</v>
      </c>
      <c r="IEC143" s="15" t="s">
        <v>598</v>
      </c>
      <c r="IED143" s="15" t="s">
        <v>598</v>
      </c>
      <c r="IEE143" s="15" t="s">
        <v>598</v>
      </c>
      <c r="IEF143" s="15" t="s">
        <v>598</v>
      </c>
      <c r="IEG143" s="15" t="s">
        <v>598</v>
      </c>
      <c r="IEH143" s="15" t="s">
        <v>598</v>
      </c>
      <c r="IEI143" s="15" t="s">
        <v>598</v>
      </c>
      <c r="IEJ143" s="15" t="s">
        <v>598</v>
      </c>
      <c r="IEK143" s="15" t="s">
        <v>598</v>
      </c>
      <c r="IEL143" s="15" t="s">
        <v>598</v>
      </c>
      <c r="IEM143" s="15" t="s">
        <v>598</v>
      </c>
      <c r="IEN143" s="15" t="s">
        <v>598</v>
      </c>
      <c r="IEO143" s="15" t="s">
        <v>598</v>
      </c>
      <c r="IEP143" s="15" t="s">
        <v>598</v>
      </c>
      <c r="IEQ143" s="15" t="s">
        <v>598</v>
      </c>
      <c r="IER143" s="15" t="s">
        <v>598</v>
      </c>
      <c r="IES143" s="15" t="s">
        <v>598</v>
      </c>
      <c r="IET143" s="15" t="s">
        <v>598</v>
      </c>
      <c r="IEU143" s="15" t="s">
        <v>598</v>
      </c>
      <c r="IEV143" s="15" t="s">
        <v>598</v>
      </c>
      <c r="IEW143" s="15" t="s">
        <v>598</v>
      </c>
      <c r="IEX143" s="15" t="s">
        <v>598</v>
      </c>
      <c r="IEY143" s="15" t="s">
        <v>598</v>
      </c>
      <c r="IEZ143" s="15" t="s">
        <v>598</v>
      </c>
      <c r="IFA143" s="15" t="s">
        <v>598</v>
      </c>
      <c r="IFB143" s="15" t="s">
        <v>598</v>
      </c>
      <c r="IFC143" s="15" t="s">
        <v>598</v>
      </c>
      <c r="IFD143" s="15" t="s">
        <v>598</v>
      </c>
      <c r="IFE143" s="15" t="s">
        <v>598</v>
      </c>
      <c r="IFF143" s="15" t="s">
        <v>598</v>
      </c>
      <c r="IFG143" s="15" t="s">
        <v>598</v>
      </c>
      <c r="IFH143" s="15" t="s">
        <v>598</v>
      </c>
      <c r="IFI143" s="15" t="s">
        <v>598</v>
      </c>
      <c r="IFJ143" s="15" t="s">
        <v>598</v>
      </c>
      <c r="IFK143" s="15" t="s">
        <v>598</v>
      </c>
      <c r="IFL143" s="15" t="s">
        <v>598</v>
      </c>
      <c r="IFM143" s="15" t="s">
        <v>598</v>
      </c>
      <c r="IFN143" s="15" t="s">
        <v>598</v>
      </c>
      <c r="IFO143" s="15" t="s">
        <v>598</v>
      </c>
      <c r="IFP143" s="15" t="s">
        <v>598</v>
      </c>
      <c r="IFQ143" s="15" t="s">
        <v>598</v>
      </c>
      <c r="IFR143" s="15" t="s">
        <v>598</v>
      </c>
      <c r="IFS143" s="15" t="s">
        <v>598</v>
      </c>
      <c r="IFT143" s="15" t="s">
        <v>598</v>
      </c>
      <c r="IFU143" s="15" t="s">
        <v>598</v>
      </c>
      <c r="IFV143" s="15" t="s">
        <v>598</v>
      </c>
      <c r="IFW143" s="15" t="s">
        <v>598</v>
      </c>
      <c r="IFX143" s="15" t="s">
        <v>598</v>
      </c>
      <c r="IFY143" s="15" t="s">
        <v>598</v>
      </c>
      <c r="IFZ143" s="15" t="s">
        <v>598</v>
      </c>
      <c r="IGA143" s="15" t="s">
        <v>598</v>
      </c>
      <c r="IGB143" s="15" t="s">
        <v>598</v>
      </c>
      <c r="IGC143" s="15" t="s">
        <v>598</v>
      </c>
      <c r="IGD143" s="15" t="s">
        <v>598</v>
      </c>
      <c r="IGE143" s="15" t="s">
        <v>598</v>
      </c>
      <c r="IGF143" s="15" t="s">
        <v>598</v>
      </c>
      <c r="IGG143" s="15" t="s">
        <v>598</v>
      </c>
      <c r="IGH143" s="15" t="s">
        <v>598</v>
      </c>
      <c r="IGI143" s="15" t="s">
        <v>598</v>
      </c>
      <c r="IGJ143" s="15" t="s">
        <v>598</v>
      </c>
      <c r="IGK143" s="15" t="s">
        <v>598</v>
      </c>
      <c r="IGL143" s="15" t="s">
        <v>598</v>
      </c>
      <c r="IGM143" s="15" t="s">
        <v>598</v>
      </c>
      <c r="IGN143" s="15" t="s">
        <v>598</v>
      </c>
      <c r="IGO143" s="15" t="s">
        <v>598</v>
      </c>
      <c r="IGP143" s="15" t="s">
        <v>598</v>
      </c>
      <c r="IGQ143" s="15" t="s">
        <v>598</v>
      </c>
      <c r="IGR143" s="15" t="s">
        <v>598</v>
      </c>
      <c r="IGS143" s="15" t="s">
        <v>598</v>
      </c>
      <c r="IGT143" s="15" t="s">
        <v>598</v>
      </c>
      <c r="IGU143" s="15" t="s">
        <v>598</v>
      </c>
      <c r="IGV143" s="15" t="s">
        <v>598</v>
      </c>
      <c r="IGW143" s="15" t="s">
        <v>598</v>
      </c>
      <c r="IGX143" s="15" t="s">
        <v>598</v>
      </c>
      <c r="IGY143" s="15" t="s">
        <v>598</v>
      </c>
      <c r="IGZ143" s="15" t="s">
        <v>598</v>
      </c>
      <c r="IHA143" s="15" t="s">
        <v>598</v>
      </c>
      <c r="IHB143" s="15" t="s">
        <v>598</v>
      </c>
      <c r="IHC143" s="15" t="s">
        <v>598</v>
      </c>
      <c r="IHD143" s="15" t="s">
        <v>598</v>
      </c>
      <c r="IHE143" s="15" t="s">
        <v>598</v>
      </c>
      <c r="IHF143" s="15" t="s">
        <v>598</v>
      </c>
      <c r="IHG143" s="15" t="s">
        <v>598</v>
      </c>
      <c r="IHH143" s="15" t="s">
        <v>598</v>
      </c>
      <c r="IHI143" s="15" t="s">
        <v>598</v>
      </c>
      <c r="IHJ143" s="15" t="s">
        <v>598</v>
      </c>
      <c r="IHK143" s="15" t="s">
        <v>598</v>
      </c>
      <c r="IHL143" s="15" t="s">
        <v>598</v>
      </c>
      <c r="IHM143" s="15" t="s">
        <v>598</v>
      </c>
      <c r="IHN143" s="15" t="s">
        <v>598</v>
      </c>
      <c r="IHO143" s="15" t="s">
        <v>598</v>
      </c>
      <c r="IHP143" s="15" t="s">
        <v>598</v>
      </c>
      <c r="IHQ143" s="15" t="s">
        <v>598</v>
      </c>
      <c r="IHR143" s="15" t="s">
        <v>598</v>
      </c>
      <c r="IHS143" s="15" t="s">
        <v>598</v>
      </c>
      <c r="IHT143" s="15" t="s">
        <v>598</v>
      </c>
      <c r="IHU143" s="15" t="s">
        <v>598</v>
      </c>
      <c r="IHV143" s="15" t="s">
        <v>598</v>
      </c>
      <c r="IHW143" s="15" t="s">
        <v>598</v>
      </c>
      <c r="IHX143" s="15" t="s">
        <v>598</v>
      </c>
      <c r="IHY143" s="15" t="s">
        <v>598</v>
      </c>
      <c r="IHZ143" s="15" t="s">
        <v>598</v>
      </c>
      <c r="IIA143" s="15" t="s">
        <v>598</v>
      </c>
      <c r="IIB143" s="15" t="s">
        <v>598</v>
      </c>
      <c r="IIC143" s="15" t="s">
        <v>598</v>
      </c>
      <c r="IID143" s="15" t="s">
        <v>598</v>
      </c>
      <c r="IIE143" s="15" t="s">
        <v>598</v>
      </c>
      <c r="IIF143" s="15" t="s">
        <v>598</v>
      </c>
      <c r="IIG143" s="15" t="s">
        <v>598</v>
      </c>
      <c r="IIH143" s="15" t="s">
        <v>598</v>
      </c>
      <c r="III143" s="15" t="s">
        <v>598</v>
      </c>
      <c r="IIJ143" s="15" t="s">
        <v>598</v>
      </c>
      <c r="IIK143" s="15" t="s">
        <v>598</v>
      </c>
      <c r="IIL143" s="15" t="s">
        <v>598</v>
      </c>
      <c r="IIM143" s="15" t="s">
        <v>598</v>
      </c>
      <c r="IIN143" s="15" t="s">
        <v>598</v>
      </c>
      <c r="IIO143" s="15" t="s">
        <v>598</v>
      </c>
      <c r="IIP143" s="15" t="s">
        <v>598</v>
      </c>
      <c r="IIQ143" s="15" t="s">
        <v>598</v>
      </c>
      <c r="IIR143" s="15" t="s">
        <v>598</v>
      </c>
      <c r="IIS143" s="15" t="s">
        <v>598</v>
      </c>
      <c r="IIT143" s="15" t="s">
        <v>598</v>
      </c>
      <c r="IIU143" s="15" t="s">
        <v>598</v>
      </c>
      <c r="IIV143" s="15" t="s">
        <v>598</v>
      </c>
      <c r="IIW143" s="15" t="s">
        <v>598</v>
      </c>
      <c r="IIX143" s="15" t="s">
        <v>598</v>
      </c>
      <c r="IIY143" s="15" t="s">
        <v>598</v>
      </c>
      <c r="IIZ143" s="15" t="s">
        <v>598</v>
      </c>
      <c r="IJA143" s="15" t="s">
        <v>598</v>
      </c>
      <c r="IJB143" s="15" t="s">
        <v>598</v>
      </c>
      <c r="IJC143" s="15" t="s">
        <v>598</v>
      </c>
      <c r="IJD143" s="15" t="s">
        <v>598</v>
      </c>
      <c r="IJE143" s="15" t="s">
        <v>598</v>
      </c>
      <c r="IJF143" s="15" t="s">
        <v>598</v>
      </c>
      <c r="IJG143" s="15" t="s">
        <v>598</v>
      </c>
      <c r="IJH143" s="15" t="s">
        <v>598</v>
      </c>
      <c r="IJI143" s="15" t="s">
        <v>598</v>
      </c>
      <c r="IJJ143" s="15" t="s">
        <v>598</v>
      </c>
      <c r="IJK143" s="15" t="s">
        <v>598</v>
      </c>
      <c r="IJL143" s="15" t="s">
        <v>598</v>
      </c>
      <c r="IJM143" s="15" t="s">
        <v>598</v>
      </c>
      <c r="IJN143" s="15" t="s">
        <v>598</v>
      </c>
      <c r="IJO143" s="15" t="s">
        <v>598</v>
      </c>
      <c r="IJP143" s="15" t="s">
        <v>598</v>
      </c>
      <c r="IJQ143" s="15" t="s">
        <v>598</v>
      </c>
      <c r="IJR143" s="15" t="s">
        <v>598</v>
      </c>
      <c r="IJS143" s="15" t="s">
        <v>598</v>
      </c>
      <c r="IJT143" s="15" t="s">
        <v>598</v>
      </c>
      <c r="IJU143" s="15" t="s">
        <v>598</v>
      </c>
      <c r="IJV143" s="15" t="s">
        <v>598</v>
      </c>
      <c r="IJW143" s="15" t="s">
        <v>598</v>
      </c>
      <c r="IJX143" s="15" t="s">
        <v>598</v>
      </c>
      <c r="IJY143" s="15" t="s">
        <v>598</v>
      </c>
      <c r="IJZ143" s="15" t="s">
        <v>598</v>
      </c>
      <c r="IKA143" s="15" t="s">
        <v>598</v>
      </c>
      <c r="IKB143" s="15" t="s">
        <v>598</v>
      </c>
      <c r="IKC143" s="15" t="s">
        <v>598</v>
      </c>
      <c r="IKD143" s="15" t="s">
        <v>598</v>
      </c>
      <c r="IKE143" s="15" t="s">
        <v>598</v>
      </c>
      <c r="IKF143" s="15" t="s">
        <v>598</v>
      </c>
      <c r="IKG143" s="15" t="s">
        <v>598</v>
      </c>
      <c r="IKH143" s="15" t="s">
        <v>598</v>
      </c>
      <c r="IKI143" s="15" t="s">
        <v>598</v>
      </c>
      <c r="IKJ143" s="15" t="s">
        <v>598</v>
      </c>
      <c r="IKK143" s="15" t="s">
        <v>598</v>
      </c>
      <c r="IKL143" s="15" t="s">
        <v>598</v>
      </c>
      <c r="IKM143" s="15" t="s">
        <v>598</v>
      </c>
      <c r="IKN143" s="15" t="s">
        <v>598</v>
      </c>
      <c r="IKO143" s="15" t="s">
        <v>598</v>
      </c>
      <c r="IKP143" s="15" t="s">
        <v>598</v>
      </c>
      <c r="IKQ143" s="15" t="s">
        <v>598</v>
      </c>
      <c r="IKR143" s="15" t="s">
        <v>598</v>
      </c>
      <c r="IKS143" s="15" t="s">
        <v>598</v>
      </c>
      <c r="IKT143" s="15" t="s">
        <v>598</v>
      </c>
      <c r="IKU143" s="15" t="s">
        <v>598</v>
      </c>
      <c r="IKV143" s="15" t="s">
        <v>598</v>
      </c>
      <c r="IKW143" s="15" t="s">
        <v>598</v>
      </c>
      <c r="IKX143" s="15" t="s">
        <v>598</v>
      </c>
      <c r="IKY143" s="15" t="s">
        <v>598</v>
      </c>
      <c r="IKZ143" s="15" t="s">
        <v>598</v>
      </c>
      <c r="ILA143" s="15" t="s">
        <v>598</v>
      </c>
      <c r="ILB143" s="15" t="s">
        <v>598</v>
      </c>
      <c r="ILC143" s="15" t="s">
        <v>598</v>
      </c>
      <c r="ILD143" s="15" t="s">
        <v>598</v>
      </c>
      <c r="ILE143" s="15" t="s">
        <v>598</v>
      </c>
      <c r="ILF143" s="15" t="s">
        <v>598</v>
      </c>
      <c r="ILG143" s="15" t="s">
        <v>598</v>
      </c>
      <c r="ILH143" s="15" t="s">
        <v>598</v>
      </c>
      <c r="ILI143" s="15" t="s">
        <v>598</v>
      </c>
      <c r="ILJ143" s="15" t="s">
        <v>598</v>
      </c>
      <c r="ILK143" s="15" t="s">
        <v>598</v>
      </c>
      <c r="ILL143" s="15" t="s">
        <v>598</v>
      </c>
      <c r="ILM143" s="15" t="s">
        <v>598</v>
      </c>
      <c r="ILN143" s="15" t="s">
        <v>598</v>
      </c>
      <c r="ILO143" s="15" t="s">
        <v>598</v>
      </c>
      <c r="ILP143" s="15" t="s">
        <v>598</v>
      </c>
      <c r="ILQ143" s="15" t="s">
        <v>598</v>
      </c>
      <c r="ILR143" s="15" t="s">
        <v>598</v>
      </c>
      <c r="ILS143" s="15" t="s">
        <v>598</v>
      </c>
      <c r="ILT143" s="15" t="s">
        <v>598</v>
      </c>
      <c r="ILU143" s="15" t="s">
        <v>598</v>
      </c>
      <c r="ILV143" s="15" t="s">
        <v>598</v>
      </c>
      <c r="ILW143" s="15" t="s">
        <v>598</v>
      </c>
      <c r="ILX143" s="15" t="s">
        <v>598</v>
      </c>
      <c r="ILY143" s="15" t="s">
        <v>598</v>
      </c>
      <c r="ILZ143" s="15" t="s">
        <v>598</v>
      </c>
      <c r="IMA143" s="15" t="s">
        <v>598</v>
      </c>
      <c r="IMB143" s="15" t="s">
        <v>598</v>
      </c>
      <c r="IMC143" s="15" t="s">
        <v>598</v>
      </c>
      <c r="IMD143" s="15" t="s">
        <v>598</v>
      </c>
      <c r="IME143" s="15" t="s">
        <v>598</v>
      </c>
      <c r="IMF143" s="15" t="s">
        <v>598</v>
      </c>
      <c r="IMG143" s="15" t="s">
        <v>598</v>
      </c>
      <c r="IMH143" s="15" t="s">
        <v>598</v>
      </c>
      <c r="IMI143" s="15" t="s">
        <v>598</v>
      </c>
      <c r="IMJ143" s="15" t="s">
        <v>598</v>
      </c>
      <c r="IMK143" s="15" t="s">
        <v>598</v>
      </c>
      <c r="IML143" s="15" t="s">
        <v>598</v>
      </c>
      <c r="IMM143" s="15" t="s">
        <v>598</v>
      </c>
      <c r="IMN143" s="15" t="s">
        <v>598</v>
      </c>
      <c r="IMO143" s="15" t="s">
        <v>598</v>
      </c>
      <c r="IMP143" s="15" t="s">
        <v>598</v>
      </c>
      <c r="IMQ143" s="15" t="s">
        <v>598</v>
      </c>
      <c r="IMR143" s="15" t="s">
        <v>598</v>
      </c>
      <c r="IMS143" s="15" t="s">
        <v>598</v>
      </c>
      <c r="IMT143" s="15" t="s">
        <v>598</v>
      </c>
      <c r="IMU143" s="15" t="s">
        <v>598</v>
      </c>
      <c r="IMV143" s="15" t="s">
        <v>598</v>
      </c>
      <c r="IMW143" s="15" t="s">
        <v>598</v>
      </c>
      <c r="IMX143" s="15" t="s">
        <v>598</v>
      </c>
      <c r="IMY143" s="15" t="s">
        <v>598</v>
      </c>
      <c r="IMZ143" s="15" t="s">
        <v>598</v>
      </c>
      <c r="INA143" s="15" t="s">
        <v>598</v>
      </c>
      <c r="INB143" s="15" t="s">
        <v>598</v>
      </c>
      <c r="INC143" s="15" t="s">
        <v>598</v>
      </c>
      <c r="IND143" s="15" t="s">
        <v>598</v>
      </c>
      <c r="INE143" s="15" t="s">
        <v>598</v>
      </c>
      <c r="INF143" s="15" t="s">
        <v>598</v>
      </c>
      <c r="ING143" s="15" t="s">
        <v>598</v>
      </c>
      <c r="INH143" s="15" t="s">
        <v>598</v>
      </c>
      <c r="INI143" s="15" t="s">
        <v>598</v>
      </c>
      <c r="INJ143" s="15" t="s">
        <v>598</v>
      </c>
      <c r="INK143" s="15" t="s">
        <v>598</v>
      </c>
      <c r="INL143" s="15" t="s">
        <v>598</v>
      </c>
      <c r="INM143" s="15" t="s">
        <v>598</v>
      </c>
      <c r="INN143" s="15" t="s">
        <v>598</v>
      </c>
      <c r="INO143" s="15" t="s">
        <v>598</v>
      </c>
      <c r="INP143" s="15" t="s">
        <v>598</v>
      </c>
      <c r="INQ143" s="15" t="s">
        <v>598</v>
      </c>
      <c r="INR143" s="15" t="s">
        <v>598</v>
      </c>
      <c r="INS143" s="15" t="s">
        <v>598</v>
      </c>
      <c r="INT143" s="15" t="s">
        <v>598</v>
      </c>
      <c r="INU143" s="15" t="s">
        <v>598</v>
      </c>
      <c r="INV143" s="15" t="s">
        <v>598</v>
      </c>
      <c r="INW143" s="15" t="s">
        <v>598</v>
      </c>
      <c r="INX143" s="15" t="s">
        <v>598</v>
      </c>
      <c r="INY143" s="15" t="s">
        <v>598</v>
      </c>
      <c r="INZ143" s="15" t="s">
        <v>598</v>
      </c>
      <c r="IOA143" s="15" t="s">
        <v>598</v>
      </c>
      <c r="IOB143" s="15" t="s">
        <v>598</v>
      </c>
      <c r="IOC143" s="15" t="s">
        <v>598</v>
      </c>
      <c r="IOD143" s="15" t="s">
        <v>598</v>
      </c>
      <c r="IOE143" s="15" t="s">
        <v>598</v>
      </c>
      <c r="IOF143" s="15" t="s">
        <v>598</v>
      </c>
      <c r="IOG143" s="15" t="s">
        <v>598</v>
      </c>
      <c r="IOH143" s="15" t="s">
        <v>598</v>
      </c>
      <c r="IOI143" s="15" t="s">
        <v>598</v>
      </c>
      <c r="IOJ143" s="15" t="s">
        <v>598</v>
      </c>
      <c r="IOK143" s="15" t="s">
        <v>598</v>
      </c>
      <c r="IOL143" s="15" t="s">
        <v>598</v>
      </c>
      <c r="IOM143" s="15" t="s">
        <v>598</v>
      </c>
      <c r="ION143" s="15" t="s">
        <v>598</v>
      </c>
      <c r="IOO143" s="15" t="s">
        <v>598</v>
      </c>
      <c r="IOP143" s="15" t="s">
        <v>598</v>
      </c>
      <c r="IOQ143" s="15" t="s">
        <v>598</v>
      </c>
      <c r="IOR143" s="15" t="s">
        <v>598</v>
      </c>
      <c r="IOS143" s="15" t="s">
        <v>598</v>
      </c>
      <c r="IOT143" s="15" t="s">
        <v>598</v>
      </c>
      <c r="IOU143" s="15" t="s">
        <v>598</v>
      </c>
      <c r="IOV143" s="15" t="s">
        <v>598</v>
      </c>
      <c r="IOW143" s="15" t="s">
        <v>598</v>
      </c>
      <c r="IOX143" s="15" t="s">
        <v>598</v>
      </c>
      <c r="IOY143" s="15" t="s">
        <v>598</v>
      </c>
      <c r="IOZ143" s="15" t="s">
        <v>598</v>
      </c>
      <c r="IPA143" s="15" t="s">
        <v>598</v>
      </c>
      <c r="IPB143" s="15" t="s">
        <v>598</v>
      </c>
      <c r="IPC143" s="15" t="s">
        <v>598</v>
      </c>
      <c r="IPD143" s="15" t="s">
        <v>598</v>
      </c>
      <c r="IPE143" s="15" t="s">
        <v>598</v>
      </c>
      <c r="IPF143" s="15" t="s">
        <v>598</v>
      </c>
      <c r="IPG143" s="15" t="s">
        <v>598</v>
      </c>
      <c r="IPH143" s="15" t="s">
        <v>598</v>
      </c>
      <c r="IPI143" s="15" t="s">
        <v>598</v>
      </c>
      <c r="IPJ143" s="15" t="s">
        <v>598</v>
      </c>
      <c r="IPK143" s="15" t="s">
        <v>598</v>
      </c>
      <c r="IPL143" s="15" t="s">
        <v>598</v>
      </c>
      <c r="IPM143" s="15" t="s">
        <v>598</v>
      </c>
      <c r="IPN143" s="15" t="s">
        <v>598</v>
      </c>
      <c r="IPO143" s="15" t="s">
        <v>598</v>
      </c>
      <c r="IPP143" s="15" t="s">
        <v>598</v>
      </c>
      <c r="IPQ143" s="15" t="s">
        <v>598</v>
      </c>
      <c r="IPR143" s="15" t="s">
        <v>598</v>
      </c>
      <c r="IPS143" s="15" t="s">
        <v>598</v>
      </c>
      <c r="IPT143" s="15" t="s">
        <v>598</v>
      </c>
      <c r="IPU143" s="15" t="s">
        <v>598</v>
      </c>
      <c r="IPV143" s="15" t="s">
        <v>598</v>
      </c>
      <c r="IPW143" s="15" t="s">
        <v>598</v>
      </c>
      <c r="IPX143" s="15" t="s">
        <v>598</v>
      </c>
      <c r="IPY143" s="15" t="s">
        <v>598</v>
      </c>
      <c r="IPZ143" s="15" t="s">
        <v>598</v>
      </c>
      <c r="IQA143" s="15" t="s">
        <v>598</v>
      </c>
      <c r="IQB143" s="15" t="s">
        <v>598</v>
      </c>
      <c r="IQC143" s="15" t="s">
        <v>598</v>
      </c>
      <c r="IQD143" s="15" t="s">
        <v>598</v>
      </c>
      <c r="IQE143" s="15" t="s">
        <v>598</v>
      </c>
      <c r="IQF143" s="15" t="s">
        <v>598</v>
      </c>
      <c r="IQG143" s="15" t="s">
        <v>598</v>
      </c>
      <c r="IQH143" s="15" t="s">
        <v>598</v>
      </c>
      <c r="IQI143" s="15" t="s">
        <v>598</v>
      </c>
      <c r="IQJ143" s="15" t="s">
        <v>598</v>
      </c>
      <c r="IQK143" s="15" t="s">
        <v>598</v>
      </c>
      <c r="IQL143" s="15" t="s">
        <v>598</v>
      </c>
      <c r="IQM143" s="15" t="s">
        <v>598</v>
      </c>
      <c r="IQN143" s="15" t="s">
        <v>598</v>
      </c>
      <c r="IQO143" s="15" t="s">
        <v>598</v>
      </c>
      <c r="IQP143" s="15" t="s">
        <v>598</v>
      </c>
      <c r="IQQ143" s="15" t="s">
        <v>598</v>
      </c>
      <c r="IQR143" s="15" t="s">
        <v>598</v>
      </c>
      <c r="IQS143" s="15" t="s">
        <v>598</v>
      </c>
      <c r="IQT143" s="15" t="s">
        <v>598</v>
      </c>
      <c r="IQU143" s="15" t="s">
        <v>598</v>
      </c>
      <c r="IQV143" s="15" t="s">
        <v>598</v>
      </c>
      <c r="IQW143" s="15" t="s">
        <v>598</v>
      </c>
      <c r="IQX143" s="15" t="s">
        <v>598</v>
      </c>
      <c r="IQY143" s="15" t="s">
        <v>598</v>
      </c>
      <c r="IQZ143" s="15" t="s">
        <v>598</v>
      </c>
      <c r="IRA143" s="15" t="s">
        <v>598</v>
      </c>
      <c r="IRB143" s="15" t="s">
        <v>598</v>
      </c>
      <c r="IRC143" s="15" t="s">
        <v>598</v>
      </c>
      <c r="IRD143" s="15" t="s">
        <v>598</v>
      </c>
      <c r="IRE143" s="15" t="s">
        <v>598</v>
      </c>
      <c r="IRF143" s="15" t="s">
        <v>598</v>
      </c>
      <c r="IRG143" s="15" t="s">
        <v>598</v>
      </c>
      <c r="IRH143" s="15" t="s">
        <v>598</v>
      </c>
      <c r="IRI143" s="15" t="s">
        <v>598</v>
      </c>
      <c r="IRJ143" s="15" t="s">
        <v>598</v>
      </c>
      <c r="IRK143" s="15" t="s">
        <v>598</v>
      </c>
      <c r="IRL143" s="15" t="s">
        <v>598</v>
      </c>
      <c r="IRM143" s="15" t="s">
        <v>598</v>
      </c>
      <c r="IRN143" s="15" t="s">
        <v>598</v>
      </c>
      <c r="IRO143" s="15" t="s">
        <v>598</v>
      </c>
      <c r="IRP143" s="15" t="s">
        <v>598</v>
      </c>
      <c r="IRQ143" s="15" t="s">
        <v>598</v>
      </c>
      <c r="IRR143" s="15" t="s">
        <v>598</v>
      </c>
      <c r="IRS143" s="15" t="s">
        <v>598</v>
      </c>
      <c r="IRT143" s="15" t="s">
        <v>598</v>
      </c>
      <c r="IRU143" s="15" t="s">
        <v>598</v>
      </c>
      <c r="IRV143" s="15" t="s">
        <v>598</v>
      </c>
      <c r="IRW143" s="15" t="s">
        <v>598</v>
      </c>
      <c r="IRX143" s="15" t="s">
        <v>598</v>
      </c>
      <c r="IRY143" s="15" t="s">
        <v>598</v>
      </c>
      <c r="IRZ143" s="15" t="s">
        <v>598</v>
      </c>
      <c r="ISA143" s="15" t="s">
        <v>598</v>
      </c>
      <c r="ISB143" s="15" t="s">
        <v>598</v>
      </c>
      <c r="ISC143" s="15" t="s">
        <v>598</v>
      </c>
      <c r="ISD143" s="15" t="s">
        <v>598</v>
      </c>
      <c r="ISE143" s="15" t="s">
        <v>598</v>
      </c>
      <c r="ISF143" s="15" t="s">
        <v>598</v>
      </c>
      <c r="ISG143" s="15" t="s">
        <v>598</v>
      </c>
      <c r="ISH143" s="15" t="s">
        <v>598</v>
      </c>
      <c r="ISI143" s="15" t="s">
        <v>598</v>
      </c>
      <c r="ISJ143" s="15" t="s">
        <v>598</v>
      </c>
      <c r="ISK143" s="15" t="s">
        <v>598</v>
      </c>
      <c r="ISL143" s="15" t="s">
        <v>598</v>
      </c>
      <c r="ISM143" s="15" t="s">
        <v>598</v>
      </c>
      <c r="ISN143" s="15" t="s">
        <v>598</v>
      </c>
      <c r="ISO143" s="15" t="s">
        <v>598</v>
      </c>
      <c r="ISP143" s="15" t="s">
        <v>598</v>
      </c>
      <c r="ISQ143" s="15" t="s">
        <v>598</v>
      </c>
      <c r="ISR143" s="15" t="s">
        <v>598</v>
      </c>
      <c r="ISS143" s="15" t="s">
        <v>598</v>
      </c>
      <c r="IST143" s="15" t="s">
        <v>598</v>
      </c>
      <c r="ISU143" s="15" t="s">
        <v>598</v>
      </c>
      <c r="ISV143" s="15" t="s">
        <v>598</v>
      </c>
      <c r="ISW143" s="15" t="s">
        <v>598</v>
      </c>
      <c r="ISX143" s="15" t="s">
        <v>598</v>
      </c>
      <c r="ISY143" s="15" t="s">
        <v>598</v>
      </c>
      <c r="ISZ143" s="15" t="s">
        <v>598</v>
      </c>
      <c r="ITA143" s="15" t="s">
        <v>598</v>
      </c>
      <c r="ITB143" s="15" t="s">
        <v>598</v>
      </c>
      <c r="ITC143" s="15" t="s">
        <v>598</v>
      </c>
      <c r="ITD143" s="15" t="s">
        <v>598</v>
      </c>
      <c r="ITE143" s="15" t="s">
        <v>598</v>
      </c>
      <c r="ITF143" s="15" t="s">
        <v>598</v>
      </c>
      <c r="ITG143" s="15" t="s">
        <v>598</v>
      </c>
      <c r="ITH143" s="15" t="s">
        <v>598</v>
      </c>
      <c r="ITI143" s="15" t="s">
        <v>598</v>
      </c>
      <c r="ITJ143" s="15" t="s">
        <v>598</v>
      </c>
      <c r="ITK143" s="15" t="s">
        <v>598</v>
      </c>
      <c r="ITL143" s="15" t="s">
        <v>598</v>
      </c>
      <c r="ITM143" s="15" t="s">
        <v>598</v>
      </c>
      <c r="ITN143" s="15" t="s">
        <v>598</v>
      </c>
      <c r="ITO143" s="15" t="s">
        <v>598</v>
      </c>
      <c r="ITP143" s="15" t="s">
        <v>598</v>
      </c>
      <c r="ITQ143" s="15" t="s">
        <v>598</v>
      </c>
      <c r="ITR143" s="15" t="s">
        <v>598</v>
      </c>
      <c r="ITS143" s="15" t="s">
        <v>598</v>
      </c>
      <c r="ITT143" s="15" t="s">
        <v>598</v>
      </c>
      <c r="ITU143" s="15" t="s">
        <v>598</v>
      </c>
      <c r="ITV143" s="15" t="s">
        <v>598</v>
      </c>
      <c r="ITW143" s="15" t="s">
        <v>598</v>
      </c>
      <c r="ITX143" s="15" t="s">
        <v>598</v>
      </c>
      <c r="ITY143" s="15" t="s">
        <v>598</v>
      </c>
      <c r="ITZ143" s="15" t="s">
        <v>598</v>
      </c>
      <c r="IUA143" s="15" t="s">
        <v>598</v>
      </c>
      <c r="IUB143" s="15" t="s">
        <v>598</v>
      </c>
      <c r="IUC143" s="15" t="s">
        <v>598</v>
      </c>
      <c r="IUD143" s="15" t="s">
        <v>598</v>
      </c>
      <c r="IUE143" s="15" t="s">
        <v>598</v>
      </c>
      <c r="IUF143" s="15" t="s">
        <v>598</v>
      </c>
      <c r="IUG143" s="15" t="s">
        <v>598</v>
      </c>
      <c r="IUH143" s="15" t="s">
        <v>598</v>
      </c>
      <c r="IUI143" s="15" t="s">
        <v>598</v>
      </c>
      <c r="IUJ143" s="15" t="s">
        <v>598</v>
      </c>
      <c r="IUK143" s="15" t="s">
        <v>598</v>
      </c>
      <c r="IUL143" s="15" t="s">
        <v>598</v>
      </c>
      <c r="IUM143" s="15" t="s">
        <v>598</v>
      </c>
      <c r="IUN143" s="15" t="s">
        <v>598</v>
      </c>
      <c r="IUO143" s="15" t="s">
        <v>598</v>
      </c>
      <c r="IUP143" s="15" t="s">
        <v>598</v>
      </c>
      <c r="IUQ143" s="15" t="s">
        <v>598</v>
      </c>
      <c r="IUR143" s="15" t="s">
        <v>598</v>
      </c>
      <c r="IUS143" s="15" t="s">
        <v>598</v>
      </c>
      <c r="IUT143" s="15" t="s">
        <v>598</v>
      </c>
      <c r="IUU143" s="15" t="s">
        <v>598</v>
      </c>
      <c r="IUV143" s="15" t="s">
        <v>598</v>
      </c>
      <c r="IUW143" s="15" t="s">
        <v>598</v>
      </c>
      <c r="IUX143" s="15" t="s">
        <v>598</v>
      </c>
      <c r="IUY143" s="15" t="s">
        <v>598</v>
      </c>
      <c r="IUZ143" s="15" t="s">
        <v>598</v>
      </c>
      <c r="IVA143" s="15" t="s">
        <v>598</v>
      </c>
      <c r="IVB143" s="15" t="s">
        <v>598</v>
      </c>
      <c r="IVC143" s="15" t="s">
        <v>598</v>
      </c>
      <c r="IVD143" s="15" t="s">
        <v>598</v>
      </c>
      <c r="IVE143" s="15" t="s">
        <v>598</v>
      </c>
      <c r="IVF143" s="15" t="s">
        <v>598</v>
      </c>
      <c r="IVG143" s="15" t="s">
        <v>598</v>
      </c>
      <c r="IVH143" s="15" t="s">
        <v>598</v>
      </c>
      <c r="IVI143" s="15" t="s">
        <v>598</v>
      </c>
      <c r="IVJ143" s="15" t="s">
        <v>598</v>
      </c>
      <c r="IVK143" s="15" t="s">
        <v>598</v>
      </c>
      <c r="IVL143" s="15" t="s">
        <v>598</v>
      </c>
      <c r="IVM143" s="15" t="s">
        <v>598</v>
      </c>
      <c r="IVN143" s="15" t="s">
        <v>598</v>
      </c>
      <c r="IVO143" s="15" t="s">
        <v>598</v>
      </c>
      <c r="IVP143" s="15" t="s">
        <v>598</v>
      </c>
      <c r="IVQ143" s="15" t="s">
        <v>598</v>
      </c>
      <c r="IVR143" s="15" t="s">
        <v>598</v>
      </c>
      <c r="IVS143" s="15" t="s">
        <v>598</v>
      </c>
      <c r="IVT143" s="15" t="s">
        <v>598</v>
      </c>
      <c r="IVU143" s="15" t="s">
        <v>598</v>
      </c>
      <c r="IVV143" s="15" t="s">
        <v>598</v>
      </c>
      <c r="IVW143" s="15" t="s">
        <v>598</v>
      </c>
      <c r="IVX143" s="15" t="s">
        <v>598</v>
      </c>
      <c r="IVY143" s="15" t="s">
        <v>598</v>
      </c>
      <c r="IVZ143" s="15" t="s">
        <v>598</v>
      </c>
      <c r="IWA143" s="15" t="s">
        <v>598</v>
      </c>
      <c r="IWB143" s="15" t="s">
        <v>598</v>
      </c>
      <c r="IWC143" s="15" t="s">
        <v>598</v>
      </c>
      <c r="IWD143" s="15" t="s">
        <v>598</v>
      </c>
      <c r="IWE143" s="15" t="s">
        <v>598</v>
      </c>
      <c r="IWF143" s="15" t="s">
        <v>598</v>
      </c>
      <c r="IWG143" s="15" t="s">
        <v>598</v>
      </c>
      <c r="IWH143" s="15" t="s">
        <v>598</v>
      </c>
      <c r="IWI143" s="15" t="s">
        <v>598</v>
      </c>
      <c r="IWJ143" s="15" t="s">
        <v>598</v>
      </c>
      <c r="IWK143" s="15" t="s">
        <v>598</v>
      </c>
      <c r="IWL143" s="15" t="s">
        <v>598</v>
      </c>
      <c r="IWM143" s="15" t="s">
        <v>598</v>
      </c>
      <c r="IWN143" s="15" t="s">
        <v>598</v>
      </c>
      <c r="IWO143" s="15" t="s">
        <v>598</v>
      </c>
      <c r="IWP143" s="15" t="s">
        <v>598</v>
      </c>
      <c r="IWQ143" s="15" t="s">
        <v>598</v>
      </c>
      <c r="IWR143" s="15" t="s">
        <v>598</v>
      </c>
      <c r="IWS143" s="15" t="s">
        <v>598</v>
      </c>
      <c r="IWT143" s="15" t="s">
        <v>598</v>
      </c>
      <c r="IWU143" s="15" t="s">
        <v>598</v>
      </c>
      <c r="IWV143" s="15" t="s">
        <v>598</v>
      </c>
      <c r="IWW143" s="15" t="s">
        <v>598</v>
      </c>
      <c r="IWX143" s="15" t="s">
        <v>598</v>
      </c>
      <c r="IWY143" s="15" t="s">
        <v>598</v>
      </c>
      <c r="IWZ143" s="15" t="s">
        <v>598</v>
      </c>
      <c r="IXA143" s="15" t="s">
        <v>598</v>
      </c>
      <c r="IXB143" s="15" t="s">
        <v>598</v>
      </c>
      <c r="IXC143" s="15" t="s">
        <v>598</v>
      </c>
      <c r="IXD143" s="15" t="s">
        <v>598</v>
      </c>
      <c r="IXE143" s="15" t="s">
        <v>598</v>
      </c>
      <c r="IXF143" s="15" t="s">
        <v>598</v>
      </c>
      <c r="IXG143" s="15" t="s">
        <v>598</v>
      </c>
      <c r="IXH143" s="15" t="s">
        <v>598</v>
      </c>
      <c r="IXI143" s="15" t="s">
        <v>598</v>
      </c>
      <c r="IXJ143" s="15" t="s">
        <v>598</v>
      </c>
      <c r="IXK143" s="15" t="s">
        <v>598</v>
      </c>
      <c r="IXL143" s="15" t="s">
        <v>598</v>
      </c>
      <c r="IXM143" s="15" t="s">
        <v>598</v>
      </c>
      <c r="IXN143" s="15" t="s">
        <v>598</v>
      </c>
      <c r="IXO143" s="15" t="s">
        <v>598</v>
      </c>
      <c r="IXP143" s="15" t="s">
        <v>598</v>
      </c>
      <c r="IXQ143" s="15" t="s">
        <v>598</v>
      </c>
      <c r="IXR143" s="15" t="s">
        <v>598</v>
      </c>
      <c r="IXS143" s="15" t="s">
        <v>598</v>
      </c>
      <c r="IXT143" s="15" t="s">
        <v>598</v>
      </c>
      <c r="IXU143" s="15" t="s">
        <v>598</v>
      </c>
      <c r="IXV143" s="15" t="s">
        <v>598</v>
      </c>
      <c r="IXW143" s="15" t="s">
        <v>598</v>
      </c>
      <c r="IXX143" s="15" t="s">
        <v>598</v>
      </c>
      <c r="IXY143" s="15" t="s">
        <v>598</v>
      </c>
      <c r="IXZ143" s="15" t="s">
        <v>598</v>
      </c>
      <c r="IYA143" s="15" t="s">
        <v>598</v>
      </c>
      <c r="IYB143" s="15" t="s">
        <v>598</v>
      </c>
      <c r="IYC143" s="15" t="s">
        <v>598</v>
      </c>
      <c r="IYD143" s="15" t="s">
        <v>598</v>
      </c>
      <c r="IYE143" s="15" t="s">
        <v>598</v>
      </c>
      <c r="IYF143" s="15" t="s">
        <v>598</v>
      </c>
      <c r="IYG143" s="15" t="s">
        <v>598</v>
      </c>
      <c r="IYH143" s="15" t="s">
        <v>598</v>
      </c>
      <c r="IYI143" s="15" t="s">
        <v>598</v>
      </c>
      <c r="IYJ143" s="15" t="s">
        <v>598</v>
      </c>
      <c r="IYK143" s="15" t="s">
        <v>598</v>
      </c>
      <c r="IYL143" s="15" t="s">
        <v>598</v>
      </c>
      <c r="IYM143" s="15" t="s">
        <v>598</v>
      </c>
      <c r="IYN143" s="15" t="s">
        <v>598</v>
      </c>
      <c r="IYO143" s="15" t="s">
        <v>598</v>
      </c>
      <c r="IYP143" s="15" t="s">
        <v>598</v>
      </c>
      <c r="IYQ143" s="15" t="s">
        <v>598</v>
      </c>
      <c r="IYR143" s="15" t="s">
        <v>598</v>
      </c>
      <c r="IYS143" s="15" t="s">
        <v>598</v>
      </c>
      <c r="IYT143" s="15" t="s">
        <v>598</v>
      </c>
      <c r="IYU143" s="15" t="s">
        <v>598</v>
      </c>
      <c r="IYV143" s="15" t="s">
        <v>598</v>
      </c>
      <c r="IYW143" s="15" t="s">
        <v>598</v>
      </c>
      <c r="IYX143" s="15" t="s">
        <v>598</v>
      </c>
      <c r="IYY143" s="15" t="s">
        <v>598</v>
      </c>
      <c r="IYZ143" s="15" t="s">
        <v>598</v>
      </c>
      <c r="IZA143" s="15" t="s">
        <v>598</v>
      </c>
      <c r="IZB143" s="15" t="s">
        <v>598</v>
      </c>
      <c r="IZC143" s="15" t="s">
        <v>598</v>
      </c>
      <c r="IZD143" s="15" t="s">
        <v>598</v>
      </c>
      <c r="IZE143" s="15" t="s">
        <v>598</v>
      </c>
      <c r="IZF143" s="15" t="s">
        <v>598</v>
      </c>
      <c r="IZG143" s="15" t="s">
        <v>598</v>
      </c>
      <c r="IZH143" s="15" t="s">
        <v>598</v>
      </c>
      <c r="IZI143" s="15" t="s">
        <v>598</v>
      </c>
      <c r="IZJ143" s="15" t="s">
        <v>598</v>
      </c>
      <c r="IZK143" s="15" t="s">
        <v>598</v>
      </c>
      <c r="IZL143" s="15" t="s">
        <v>598</v>
      </c>
      <c r="IZM143" s="15" t="s">
        <v>598</v>
      </c>
      <c r="IZN143" s="15" t="s">
        <v>598</v>
      </c>
      <c r="IZO143" s="15" t="s">
        <v>598</v>
      </c>
      <c r="IZP143" s="15" t="s">
        <v>598</v>
      </c>
      <c r="IZQ143" s="15" t="s">
        <v>598</v>
      </c>
      <c r="IZR143" s="15" t="s">
        <v>598</v>
      </c>
      <c r="IZS143" s="15" t="s">
        <v>598</v>
      </c>
      <c r="IZT143" s="15" t="s">
        <v>598</v>
      </c>
      <c r="IZU143" s="15" t="s">
        <v>598</v>
      </c>
      <c r="IZV143" s="15" t="s">
        <v>598</v>
      </c>
      <c r="IZW143" s="15" t="s">
        <v>598</v>
      </c>
      <c r="IZX143" s="15" t="s">
        <v>598</v>
      </c>
      <c r="IZY143" s="15" t="s">
        <v>598</v>
      </c>
      <c r="IZZ143" s="15" t="s">
        <v>598</v>
      </c>
      <c r="JAA143" s="15" t="s">
        <v>598</v>
      </c>
      <c r="JAB143" s="15" t="s">
        <v>598</v>
      </c>
      <c r="JAC143" s="15" t="s">
        <v>598</v>
      </c>
      <c r="JAD143" s="15" t="s">
        <v>598</v>
      </c>
      <c r="JAE143" s="15" t="s">
        <v>598</v>
      </c>
      <c r="JAF143" s="15" t="s">
        <v>598</v>
      </c>
      <c r="JAG143" s="15" t="s">
        <v>598</v>
      </c>
      <c r="JAH143" s="15" t="s">
        <v>598</v>
      </c>
      <c r="JAI143" s="15" t="s">
        <v>598</v>
      </c>
      <c r="JAJ143" s="15" t="s">
        <v>598</v>
      </c>
      <c r="JAK143" s="15" t="s">
        <v>598</v>
      </c>
      <c r="JAL143" s="15" t="s">
        <v>598</v>
      </c>
      <c r="JAM143" s="15" t="s">
        <v>598</v>
      </c>
      <c r="JAN143" s="15" t="s">
        <v>598</v>
      </c>
      <c r="JAO143" s="15" t="s">
        <v>598</v>
      </c>
      <c r="JAP143" s="15" t="s">
        <v>598</v>
      </c>
      <c r="JAQ143" s="15" t="s">
        <v>598</v>
      </c>
      <c r="JAR143" s="15" t="s">
        <v>598</v>
      </c>
      <c r="JAS143" s="15" t="s">
        <v>598</v>
      </c>
      <c r="JAT143" s="15" t="s">
        <v>598</v>
      </c>
      <c r="JAU143" s="15" t="s">
        <v>598</v>
      </c>
      <c r="JAV143" s="15" t="s">
        <v>598</v>
      </c>
      <c r="JAW143" s="15" t="s">
        <v>598</v>
      </c>
      <c r="JAX143" s="15" t="s">
        <v>598</v>
      </c>
      <c r="JAY143" s="15" t="s">
        <v>598</v>
      </c>
      <c r="JAZ143" s="15" t="s">
        <v>598</v>
      </c>
      <c r="JBA143" s="15" t="s">
        <v>598</v>
      </c>
      <c r="JBB143" s="15" t="s">
        <v>598</v>
      </c>
      <c r="JBC143" s="15" t="s">
        <v>598</v>
      </c>
      <c r="JBD143" s="15" t="s">
        <v>598</v>
      </c>
      <c r="JBE143" s="15" t="s">
        <v>598</v>
      </c>
      <c r="JBF143" s="15" t="s">
        <v>598</v>
      </c>
      <c r="JBG143" s="15" t="s">
        <v>598</v>
      </c>
      <c r="JBH143" s="15" t="s">
        <v>598</v>
      </c>
      <c r="JBI143" s="15" t="s">
        <v>598</v>
      </c>
      <c r="JBJ143" s="15" t="s">
        <v>598</v>
      </c>
      <c r="JBK143" s="15" t="s">
        <v>598</v>
      </c>
      <c r="JBL143" s="15" t="s">
        <v>598</v>
      </c>
      <c r="JBM143" s="15" t="s">
        <v>598</v>
      </c>
      <c r="JBN143" s="15" t="s">
        <v>598</v>
      </c>
      <c r="JBO143" s="15" t="s">
        <v>598</v>
      </c>
      <c r="JBP143" s="15" t="s">
        <v>598</v>
      </c>
      <c r="JBQ143" s="15" t="s">
        <v>598</v>
      </c>
      <c r="JBR143" s="15" t="s">
        <v>598</v>
      </c>
      <c r="JBS143" s="15" t="s">
        <v>598</v>
      </c>
      <c r="JBT143" s="15" t="s">
        <v>598</v>
      </c>
      <c r="JBU143" s="15" t="s">
        <v>598</v>
      </c>
      <c r="JBV143" s="15" t="s">
        <v>598</v>
      </c>
      <c r="JBW143" s="15" t="s">
        <v>598</v>
      </c>
      <c r="JBX143" s="15" t="s">
        <v>598</v>
      </c>
      <c r="JBY143" s="15" t="s">
        <v>598</v>
      </c>
      <c r="JBZ143" s="15" t="s">
        <v>598</v>
      </c>
      <c r="JCA143" s="15" t="s">
        <v>598</v>
      </c>
      <c r="JCB143" s="15" t="s">
        <v>598</v>
      </c>
      <c r="JCC143" s="15" t="s">
        <v>598</v>
      </c>
      <c r="JCD143" s="15" t="s">
        <v>598</v>
      </c>
      <c r="JCE143" s="15" t="s">
        <v>598</v>
      </c>
      <c r="JCF143" s="15" t="s">
        <v>598</v>
      </c>
      <c r="JCG143" s="15" t="s">
        <v>598</v>
      </c>
      <c r="JCH143" s="15" t="s">
        <v>598</v>
      </c>
      <c r="JCI143" s="15" t="s">
        <v>598</v>
      </c>
      <c r="JCJ143" s="15" t="s">
        <v>598</v>
      </c>
      <c r="JCK143" s="15" t="s">
        <v>598</v>
      </c>
      <c r="JCL143" s="15" t="s">
        <v>598</v>
      </c>
      <c r="JCM143" s="15" t="s">
        <v>598</v>
      </c>
      <c r="JCN143" s="15" t="s">
        <v>598</v>
      </c>
      <c r="JCO143" s="15" t="s">
        <v>598</v>
      </c>
      <c r="JCP143" s="15" t="s">
        <v>598</v>
      </c>
      <c r="JCQ143" s="15" t="s">
        <v>598</v>
      </c>
      <c r="JCR143" s="15" t="s">
        <v>598</v>
      </c>
      <c r="JCS143" s="15" t="s">
        <v>598</v>
      </c>
      <c r="JCT143" s="15" t="s">
        <v>598</v>
      </c>
      <c r="JCU143" s="15" t="s">
        <v>598</v>
      </c>
      <c r="JCV143" s="15" t="s">
        <v>598</v>
      </c>
      <c r="JCW143" s="15" t="s">
        <v>598</v>
      </c>
      <c r="JCX143" s="15" t="s">
        <v>598</v>
      </c>
      <c r="JCY143" s="15" t="s">
        <v>598</v>
      </c>
      <c r="JCZ143" s="15" t="s">
        <v>598</v>
      </c>
      <c r="JDA143" s="15" t="s">
        <v>598</v>
      </c>
      <c r="JDB143" s="15" t="s">
        <v>598</v>
      </c>
      <c r="JDC143" s="15" t="s">
        <v>598</v>
      </c>
      <c r="JDD143" s="15" t="s">
        <v>598</v>
      </c>
      <c r="JDE143" s="15" t="s">
        <v>598</v>
      </c>
      <c r="JDF143" s="15" t="s">
        <v>598</v>
      </c>
      <c r="JDG143" s="15" t="s">
        <v>598</v>
      </c>
      <c r="JDH143" s="15" t="s">
        <v>598</v>
      </c>
      <c r="JDI143" s="15" t="s">
        <v>598</v>
      </c>
      <c r="JDJ143" s="15" t="s">
        <v>598</v>
      </c>
      <c r="JDK143" s="15" t="s">
        <v>598</v>
      </c>
      <c r="JDL143" s="15" t="s">
        <v>598</v>
      </c>
      <c r="JDM143" s="15" t="s">
        <v>598</v>
      </c>
      <c r="JDN143" s="15" t="s">
        <v>598</v>
      </c>
      <c r="JDO143" s="15" t="s">
        <v>598</v>
      </c>
      <c r="JDP143" s="15" t="s">
        <v>598</v>
      </c>
      <c r="JDQ143" s="15" t="s">
        <v>598</v>
      </c>
      <c r="JDR143" s="15" t="s">
        <v>598</v>
      </c>
      <c r="JDS143" s="15" t="s">
        <v>598</v>
      </c>
      <c r="JDT143" s="15" t="s">
        <v>598</v>
      </c>
      <c r="JDU143" s="15" t="s">
        <v>598</v>
      </c>
      <c r="JDV143" s="15" t="s">
        <v>598</v>
      </c>
      <c r="JDW143" s="15" t="s">
        <v>598</v>
      </c>
      <c r="JDX143" s="15" t="s">
        <v>598</v>
      </c>
      <c r="JDY143" s="15" t="s">
        <v>598</v>
      </c>
      <c r="JDZ143" s="15" t="s">
        <v>598</v>
      </c>
      <c r="JEA143" s="15" t="s">
        <v>598</v>
      </c>
      <c r="JEB143" s="15" t="s">
        <v>598</v>
      </c>
      <c r="JEC143" s="15" t="s">
        <v>598</v>
      </c>
      <c r="JED143" s="15" t="s">
        <v>598</v>
      </c>
      <c r="JEE143" s="15" t="s">
        <v>598</v>
      </c>
      <c r="JEF143" s="15" t="s">
        <v>598</v>
      </c>
      <c r="JEG143" s="15" t="s">
        <v>598</v>
      </c>
      <c r="JEH143" s="15" t="s">
        <v>598</v>
      </c>
      <c r="JEI143" s="15" t="s">
        <v>598</v>
      </c>
      <c r="JEJ143" s="15" t="s">
        <v>598</v>
      </c>
      <c r="JEK143" s="15" t="s">
        <v>598</v>
      </c>
      <c r="JEL143" s="15" t="s">
        <v>598</v>
      </c>
      <c r="JEM143" s="15" t="s">
        <v>598</v>
      </c>
      <c r="JEN143" s="15" t="s">
        <v>598</v>
      </c>
      <c r="JEO143" s="15" t="s">
        <v>598</v>
      </c>
      <c r="JEP143" s="15" t="s">
        <v>598</v>
      </c>
      <c r="JEQ143" s="15" t="s">
        <v>598</v>
      </c>
      <c r="JER143" s="15" t="s">
        <v>598</v>
      </c>
      <c r="JES143" s="15" t="s">
        <v>598</v>
      </c>
      <c r="JET143" s="15" t="s">
        <v>598</v>
      </c>
      <c r="JEU143" s="15" t="s">
        <v>598</v>
      </c>
      <c r="JEV143" s="15" t="s">
        <v>598</v>
      </c>
      <c r="JEW143" s="15" t="s">
        <v>598</v>
      </c>
      <c r="JEX143" s="15" t="s">
        <v>598</v>
      </c>
      <c r="JEY143" s="15" t="s">
        <v>598</v>
      </c>
      <c r="JEZ143" s="15" t="s">
        <v>598</v>
      </c>
      <c r="JFA143" s="15" t="s">
        <v>598</v>
      </c>
      <c r="JFB143" s="15" t="s">
        <v>598</v>
      </c>
      <c r="JFC143" s="15" t="s">
        <v>598</v>
      </c>
      <c r="JFD143" s="15" t="s">
        <v>598</v>
      </c>
      <c r="JFE143" s="15" t="s">
        <v>598</v>
      </c>
      <c r="JFF143" s="15" t="s">
        <v>598</v>
      </c>
      <c r="JFG143" s="15" t="s">
        <v>598</v>
      </c>
      <c r="JFH143" s="15" t="s">
        <v>598</v>
      </c>
      <c r="JFI143" s="15" t="s">
        <v>598</v>
      </c>
      <c r="JFJ143" s="15" t="s">
        <v>598</v>
      </c>
      <c r="JFK143" s="15" t="s">
        <v>598</v>
      </c>
      <c r="JFL143" s="15" t="s">
        <v>598</v>
      </c>
      <c r="JFM143" s="15" t="s">
        <v>598</v>
      </c>
      <c r="JFN143" s="15" t="s">
        <v>598</v>
      </c>
      <c r="JFO143" s="15" t="s">
        <v>598</v>
      </c>
      <c r="JFP143" s="15" t="s">
        <v>598</v>
      </c>
      <c r="JFQ143" s="15" t="s">
        <v>598</v>
      </c>
      <c r="JFR143" s="15" t="s">
        <v>598</v>
      </c>
      <c r="JFS143" s="15" t="s">
        <v>598</v>
      </c>
      <c r="JFT143" s="15" t="s">
        <v>598</v>
      </c>
      <c r="JFU143" s="15" t="s">
        <v>598</v>
      </c>
      <c r="JFV143" s="15" t="s">
        <v>598</v>
      </c>
      <c r="JFW143" s="15" t="s">
        <v>598</v>
      </c>
      <c r="JFX143" s="15" t="s">
        <v>598</v>
      </c>
      <c r="JFY143" s="15" t="s">
        <v>598</v>
      </c>
      <c r="JFZ143" s="15" t="s">
        <v>598</v>
      </c>
      <c r="JGA143" s="15" t="s">
        <v>598</v>
      </c>
      <c r="JGB143" s="15" t="s">
        <v>598</v>
      </c>
      <c r="JGC143" s="15" t="s">
        <v>598</v>
      </c>
      <c r="JGD143" s="15" t="s">
        <v>598</v>
      </c>
      <c r="JGE143" s="15" t="s">
        <v>598</v>
      </c>
      <c r="JGF143" s="15" t="s">
        <v>598</v>
      </c>
      <c r="JGG143" s="15" t="s">
        <v>598</v>
      </c>
      <c r="JGH143" s="15" t="s">
        <v>598</v>
      </c>
      <c r="JGI143" s="15" t="s">
        <v>598</v>
      </c>
      <c r="JGJ143" s="15" t="s">
        <v>598</v>
      </c>
      <c r="JGK143" s="15" t="s">
        <v>598</v>
      </c>
      <c r="JGL143" s="15" t="s">
        <v>598</v>
      </c>
      <c r="JGM143" s="15" t="s">
        <v>598</v>
      </c>
      <c r="JGN143" s="15" t="s">
        <v>598</v>
      </c>
      <c r="JGO143" s="15" t="s">
        <v>598</v>
      </c>
      <c r="JGP143" s="15" t="s">
        <v>598</v>
      </c>
      <c r="JGQ143" s="15" t="s">
        <v>598</v>
      </c>
      <c r="JGR143" s="15" t="s">
        <v>598</v>
      </c>
      <c r="JGS143" s="15" t="s">
        <v>598</v>
      </c>
      <c r="JGT143" s="15" t="s">
        <v>598</v>
      </c>
      <c r="JGU143" s="15" t="s">
        <v>598</v>
      </c>
      <c r="JGV143" s="15" t="s">
        <v>598</v>
      </c>
      <c r="JGW143" s="15" t="s">
        <v>598</v>
      </c>
      <c r="JGX143" s="15" t="s">
        <v>598</v>
      </c>
      <c r="JGY143" s="15" t="s">
        <v>598</v>
      </c>
      <c r="JGZ143" s="15" t="s">
        <v>598</v>
      </c>
      <c r="JHA143" s="15" t="s">
        <v>598</v>
      </c>
      <c r="JHB143" s="15" t="s">
        <v>598</v>
      </c>
      <c r="JHC143" s="15" t="s">
        <v>598</v>
      </c>
      <c r="JHD143" s="15" t="s">
        <v>598</v>
      </c>
      <c r="JHE143" s="15" t="s">
        <v>598</v>
      </c>
      <c r="JHF143" s="15" t="s">
        <v>598</v>
      </c>
      <c r="JHG143" s="15" t="s">
        <v>598</v>
      </c>
      <c r="JHH143" s="15" t="s">
        <v>598</v>
      </c>
      <c r="JHI143" s="15" t="s">
        <v>598</v>
      </c>
      <c r="JHJ143" s="15" t="s">
        <v>598</v>
      </c>
      <c r="JHK143" s="15" t="s">
        <v>598</v>
      </c>
      <c r="JHL143" s="15" t="s">
        <v>598</v>
      </c>
      <c r="JHM143" s="15" t="s">
        <v>598</v>
      </c>
      <c r="JHN143" s="15" t="s">
        <v>598</v>
      </c>
      <c r="JHO143" s="15" t="s">
        <v>598</v>
      </c>
      <c r="JHP143" s="15" t="s">
        <v>598</v>
      </c>
      <c r="JHQ143" s="15" t="s">
        <v>598</v>
      </c>
      <c r="JHR143" s="15" t="s">
        <v>598</v>
      </c>
      <c r="JHS143" s="15" t="s">
        <v>598</v>
      </c>
      <c r="JHT143" s="15" t="s">
        <v>598</v>
      </c>
      <c r="JHU143" s="15" t="s">
        <v>598</v>
      </c>
      <c r="JHV143" s="15" t="s">
        <v>598</v>
      </c>
      <c r="JHW143" s="15" t="s">
        <v>598</v>
      </c>
      <c r="JHX143" s="15" t="s">
        <v>598</v>
      </c>
      <c r="JHY143" s="15" t="s">
        <v>598</v>
      </c>
      <c r="JHZ143" s="15" t="s">
        <v>598</v>
      </c>
      <c r="JIA143" s="15" t="s">
        <v>598</v>
      </c>
      <c r="JIB143" s="15" t="s">
        <v>598</v>
      </c>
      <c r="JIC143" s="15" t="s">
        <v>598</v>
      </c>
      <c r="JID143" s="15" t="s">
        <v>598</v>
      </c>
      <c r="JIE143" s="15" t="s">
        <v>598</v>
      </c>
      <c r="JIF143" s="15" t="s">
        <v>598</v>
      </c>
      <c r="JIG143" s="15" t="s">
        <v>598</v>
      </c>
      <c r="JIH143" s="15" t="s">
        <v>598</v>
      </c>
      <c r="JII143" s="15" t="s">
        <v>598</v>
      </c>
      <c r="JIJ143" s="15" t="s">
        <v>598</v>
      </c>
      <c r="JIK143" s="15" t="s">
        <v>598</v>
      </c>
      <c r="JIL143" s="15" t="s">
        <v>598</v>
      </c>
      <c r="JIM143" s="15" t="s">
        <v>598</v>
      </c>
      <c r="JIN143" s="15" t="s">
        <v>598</v>
      </c>
      <c r="JIO143" s="15" t="s">
        <v>598</v>
      </c>
      <c r="JIP143" s="15" t="s">
        <v>598</v>
      </c>
      <c r="JIQ143" s="15" t="s">
        <v>598</v>
      </c>
      <c r="JIR143" s="15" t="s">
        <v>598</v>
      </c>
      <c r="JIS143" s="15" t="s">
        <v>598</v>
      </c>
      <c r="JIT143" s="15" t="s">
        <v>598</v>
      </c>
      <c r="JIU143" s="15" t="s">
        <v>598</v>
      </c>
      <c r="JIV143" s="15" t="s">
        <v>598</v>
      </c>
      <c r="JIW143" s="15" t="s">
        <v>598</v>
      </c>
      <c r="JIX143" s="15" t="s">
        <v>598</v>
      </c>
      <c r="JIY143" s="15" t="s">
        <v>598</v>
      </c>
      <c r="JIZ143" s="15" t="s">
        <v>598</v>
      </c>
      <c r="JJA143" s="15" t="s">
        <v>598</v>
      </c>
      <c r="JJB143" s="15" t="s">
        <v>598</v>
      </c>
      <c r="JJC143" s="15" t="s">
        <v>598</v>
      </c>
      <c r="JJD143" s="15" t="s">
        <v>598</v>
      </c>
      <c r="JJE143" s="15" t="s">
        <v>598</v>
      </c>
      <c r="JJF143" s="15" t="s">
        <v>598</v>
      </c>
      <c r="JJG143" s="15" t="s">
        <v>598</v>
      </c>
      <c r="JJH143" s="15" t="s">
        <v>598</v>
      </c>
      <c r="JJI143" s="15" t="s">
        <v>598</v>
      </c>
      <c r="JJJ143" s="15" t="s">
        <v>598</v>
      </c>
      <c r="JJK143" s="15" t="s">
        <v>598</v>
      </c>
      <c r="JJL143" s="15" t="s">
        <v>598</v>
      </c>
      <c r="JJM143" s="15" t="s">
        <v>598</v>
      </c>
      <c r="JJN143" s="15" t="s">
        <v>598</v>
      </c>
      <c r="JJO143" s="15" t="s">
        <v>598</v>
      </c>
      <c r="JJP143" s="15" t="s">
        <v>598</v>
      </c>
      <c r="JJQ143" s="15" t="s">
        <v>598</v>
      </c>
      <c r="JJR143" s="15" t="s">
        <v>598</v>
      </c>
      <c r="JJS143" s="15" t="s">
        <v>598</v>
      </c>
      <c r="JJT143" s="15" t="s">
        <v>598</v>
      </c>
      <c r="JJU143" s="15" t="s">
        <v>598</v>
      </c>
      <c r="JJV143" s="15" t="s">
        <v>598</v>
      </c>
      <c r="JJW143" s="15" t="s">
        <v>598</v>
      </c>
      <c r="JJX143" s="15" t="s">
        <v>598</v>
      </c>
      <c r="JJY143" s="15" t="s">
        <v>598</v>
      </c>
      <c r="JJZ143" s="15" t="s">
        <v>598</v>
      </c>
      <c r="JKA143" s="15" t="s">
        <v>598</v>
      </c>
      <c r="JKB143" s="15" t="s">
        <v>598</v>
      </c>
      <c r="JKC143" s="15" t="s">
        <v>598</v>
      </c>
      <c r="JKD143" s="15" t="s">
        <v>598</v>
      </c>
      <c r="JKE143" s="15" t="s">
        <v>598</v>
      </c>
      <c r="JKF143" s="15" t="s">
        <v>598</v>
      </c>
      <c r="JKG143" s="15" t="s">
        <v>598</v>
      </c>
      <c r="JKH143" s="15" t="s">
        <v>598</v>
      </c>
      <c r="JKI143" s="15" t="s">
        <v>598</v>
      </c>
      <c r="JKJ143" s="15" t="s">
        <v>598</v>
      </c>
      <c r="JKK143" s="15" t="s">
        <v>598</v>
      </c>
      <c r="JKL143" s="15" t="s">
        <v>598</v>
      </c>
      <c r="JKM143" s="15" t="s">
        <v>598</v>
      </c>
      <c r="JKN143" s="15" t="s">
        <v>598</v>
      </c>
      <c r="JKO143" s="15" t="s">
        <v>598</v>
      </c>
      <c r="JKP143" s="15" t="s">
        <v>598</v>
      </c>
      <c r="JKQ143" s="15" t="s">
        <v>598</v>
      </c>
      <c r="JKR143" s="15" t="s">
        <v>598</v>
      </c>
      <c r="JKS143" s="15" t="s">
        <v>598</v>
      </c>
      <c r="JKT143" s="15" t="s">
        <v>598</v>
      </c>
      <c r="JKU143" s="15" t="s">
        <v>598</v>
      </c>
      <c r="JKV143" s="15" t="s">
        <v>598</v>
      </c>
      <c r="JKW143" s="15" t="s">
        <v>598</v>
      </c>
      <c r="JKX143" s="15" t="s">
        <v>598</v>
      </c>
      <c r="JKY143" s="15" t="s">
        <v>598</v>
      </c>
      <c r="JKZ143" s="15" t="s">
        <v>598</v>
      </c>
      <c r="JLA143" s="15" t="s">
        <v>598</v>
      </c>
      <c r="JLB143" s="15" t="s">
        <v>598</v>
      </c>
      <c r="JLC143" s="15" t="s">
        <v>598</v>
      </c>
      <c r="JLD143" s="15" t="s">
        <v>598</v>
      </c>
      <c r="JLE143" s="15" t="s">
        <v>598</v>
      </c>
      <c r="JLF143" s="15" t="s">
        <v>598</v>
      </c>
      <c r="JLG143" s="15" t="s">
        <v>598</v>
      </c>
      <c r="JLH143" s="15" t="s">
        <v>598</v>
      </c>
      <c r="JLI143" s="15" t="s">
        <v>598</v>
      </c>
      <c r="JLJ143" s="15" t="s">
        <v>598</v>
      </c>
      <c r="JLK143" s="15" t="s">
        <v>598</v>
      </c>
      <c r="JLL143" s="15" t="s">
        <v>598</v>
      </c>
      <c r="JLM143" s="15" t="s">
        <v>598</v>
      </c>
      <c r="JLN143" s="15" t="s">
        <v>598</v>
      </c>
      <c r="JLO143" s="15" t="s">
        <v>598</v>
      </c>
      <c r="JLP143" s="15" t="s">
        <v>598</v>
      </c>
      <c r="JLQ143" s="15" t="s">
        <v>598</v>
      </c>
      <c r="JLR143" s="15" t="s">
        <v>598</v>
      </c>
      <c r="JLS143" s="15" t="s">
        <v>598</v>
      </c>
      <c r="JLT143" s="15" t="s">
        <v>598</v>
      </c>
      <c r="JLU143" s="15" t="s">
        <v>598</v>
      </c>
      <c r="JLV143" s="15" t="s">
        <v>598</v>
      </c>
      <c r="JLW143" s="15" t="s">
        <v>598</v>
      </c>
      <c r="JLX143" s="15" t="s">
        <v>598</v>
      </c>
      <c r="JLY143" s="15" t="s">
        <v>598</v>
      </c>
      <c r="JLZ143" s="15" t="s">
        <v>598</v>
      </c>
      <c r="JMA143" s="15" t="s">
        <v>598</v>
      </c>
      <c r="JMB143" s="15" t="s">
        <v>598</v>
      </c>
      <c r="JMC143" s="15" t="s">
        <v>598</v>
      </c>
      <c r="JMD143" s="15" t="s">
        <v>598</v>
      </c>
      <c r="JME143" s="15" t="s">
        <v>598</v>
      </c>
      <c r="JMF143" s="15" t="s">
        <v>598</v>
      </c>
      <c r="JMG143" s="15" t="s">
        <v>598</v>
      </c>
      <c r="JMH143" s="15" t="s">
        <v>598</v>
      </c>
      <c r="JMI143" s="15" t="s">
        <v>598</v>
      </c>
      <c r="JMJ143" s="15" t="s">
        <v>598</v>
      </c>
      <c r="JMK143" s="15" t="s">
        <v>598</v>
      </c>
      <c r="JML143" s="15" t="s">
        <v>598</v>
      </c>
      <c r="JMM143" s="15" t="s">
        <v>598</v>
      </c>
      <c r="JMN143" s="15" t="s">
        <v>598</v>
      </c>
      <c r="JMO143" s="15" t="s">
        <v>598</v>
      </c>
      <c r="JMP143" s="15" t="s">
        <v>598</v>
      </c>
      <c r="JMQ143" s="15" t="s">
        <v>598</v>
      </c>
      <c r="JMR143" s="15" t="s">
        <v>598</v>
      </c>
      <c r="JMS143" s="15" t="s">
        <v>598</v>
      </c>
      <c r="JMT143" s="15" t="s">
        <v>598</v>
      </c>
      <c r="JMU143" s="15" t="s">
        <v>598</v>
      </c>
      <c r="JMV143" s="15" t="s">
        <v>598</v>
      </c>
      <c r="JMW143" s="15" t="s">
        <v>598</v>
      </c>
      <c r="JMX143" s="15" t="s">
        <v>598</v>
      </c>
      <c r="JMY143" s="15" t="s">
        <v>598</v>
      </c>
      <c r="JMZ143" s="15" t="s">
        <v>598</v>
      </c>
      <c r="JNA143" s="15" t="s">
        <v>598</v>
      </c>
      <c r="JNB143" s="15" t="s">
        <v>598</v>
      </c>
      <c r="JNC143" s="15" t="s">
        <v>598</v>
      </c>
      <c r="JND143" s="15" t="s">
        <v>598</v>
      </c>
      <c r="JNE143" s="15" t="s">
        <v>598</v>
      </c>
      <c r="JNF143" s="15" t="s">
        <v>598</v>
      </c>
      <c r="JNG143" s="15" t="s">
        <v>598</v>
      </c>
      <c r="JNH143" s="15" t="s">
        <v>598</v>
      </c>
      <c r="JNI143" s="15" t="s">
        <v>598</v>
      </c>
      <c r="JNJ143" s="15" t="s">
        <v>598</v>
      </c>
      <c r="JNK143" s="15" t="s">
        <v>598</v>
      </c>
      <c r="JNL143" s="15" t="s">
        <v>598</v>
      </c>
      <c r="JNM143" s="15" t="s">
        <v>598</v>
      </c>
      <c r="JNN143" s="15" t="s">
        <v>598</v>
      </c>
      <c r="JNO143" s="15" t="s">
        <v>598</v>
      </c>
      <c r="JNP143" s="15" t="s">
        <v>598</v>
      </c>
      <c r="JNQ143" s="15" t="s">
        <v>598</v>
      </c>
      <c r="JNR143" s="15" t="s">
        <v>598</v>
      </c>
      <c r="JNS143" s="15" t="s">
        <v>598</v>
      </c>
      <c r="JNT143" s="15" t="s">
        <v>598</v>
      </c>
      <c r="JNU143" s="15" t="s">
        <v>598</v>
      </c>
      <c r="JNV143" s="15" t="s">
        <v>598</v>
      </c>
      <c r="JNW143" s="15" t="s">
        <v>598</v>
      </c>
      <c r="JNX143" s="15" t="s">
        <v>598</v>
      </c>
      <c r="JNY143" s="15" t="s">
        <v>598</v>
      </c>
      <c r="JNZ143" s="15" t="s">
        <v>598</v>
      </c>
      <c r="JOA143" s="15" t="s">
        <v>598</v>
      </c>
      <c r="JOB143" s="15" t="s">
        <v>598</v>
      </c>
      <c r="JOC143" s="15" t="s">
        <v>598</v>
      </c>
      <c r="JOD143" s="15" t="s">
        <v>598</v>
      </c>
      <c r="JOE143" s="15" t="s">
        <v>598</v>
      </c>
      <c r="JOF143" s="15" t="s">
        <v>598</v>
      </c>
      <c r="JOG143" s="15" t="s">
        <v>598</v>
      </c>
      <c r="JOH143" s="15" t="s">
        <v>598</v>
      </c>
      <c r="JOI143" s="15" t="s">
        <v>598</v>
      </c>
      <c r="JOJ143" s="15" t="s">
        <v>598</v>
      </c>
      <c r="JOK143" s="15" t="s">
        <v>598</v>
      </c>
      <c r="JOL143" s="15" t="s">
        <v>598</v>
      </c>
      <c r="JOM143" s="15" t="s">
        <v>598</v>
      </c>
      <c r="JON143" s="15" t="s">
        <v>598</v>
      </c>
      <c r="JOO143" s="15" t="s">
        <v>598</v>
      </c>
      <c r="JOP143" s="15" t="s">
        <v>598</v>
      </c>
      <c r="JOQ143" s="15" t="s">
        <v>598</v>
      </c>
      <c r="JOR143" s="15" t="s">
        <v>598</v>
      </c>
      <c r="JOS143" s="15" t="s">
        <v>598</v>
      </c>
      <c r="JOT143" s="15" t="s">
        <v>598</v>
      </c>
      <c r="JOU143" s="15" t="s">
        <v>598</v>
      </c>
      <c r="JOV143" s="15" t="s">
        <v>598</v>
      </c>
      <c r="JOW143" s="15" t="s">
        <v>598</v>
      </c>
      <c r="JOX143" s="15" t="s">
        <v>598</v>
      </c>
      <c r="JOY143" s="15" t="s">
        <v>598</v>
      </c>
      <c r="JOZ143" s="15" t="s">
        <v>598</v>
      </c>
      <c r="JPA143" s="15" t="s">
        <v>598</v>
      </c>
      <c r="JPB143" s="15" t="s">
        <v>598</v>
      </c>
      <c r="JPC143" s="15" t="s">
        <v>598</v>
      </c>
      <c r="JPD143" s="15" t="s">
        <v>598</v>
      </c>
      <c r="JPE143" s="15" t="s">
        <v>598</v>
      </c>
      <c r="JPF143" s="15" t="s">
        <v>598</v>
      </c>
      <c r="JPG143" s="15" t="s">
        <v>598</v>
      </c>
      <c r="JPH143" s="15" t="s">
        <v>598</v>
      </c>
      <c r="JPI143" s="15" t="s">
        <v>598</v>
      </c>
      <c r="JPJ143" s="15" t="s">
        <v>598</v>
      </c>
      <c r="JPK143" s="15" t="s">
        <v>598</v>
      </c>
      <c r="JPL143" s="15" t="s">
        <v>598</v>
      </c>
      <c r="JPM143" s="15" t="s">
        <v>598</v>
      </c>
      <c r="JPN143" s="15" t="s">
        <v>598</v>
      </c>
      <c r="JPO143" s="15" t="s">
        <v>598</v>
      </c>
      <c r="JPP143" s="15" t="s">
        <v>598</v>
      </c>
      <c r="JPQ143" s="15" t="s">
        <v>598</v>
      </c>
      <c r="JPR143" s="15" t="s">
        <v>598</v>
      </c>
      <c r="JPS143" s="15" t="s">
        <v>598</v>
      </c>
      <c r="JPT143" s="15" t="s">
        <v>598</v>
      </c>
      <c r="JPU143" s="15" t="s">
        <v>598</v>
      </c>
      <c r="JPV143" s="15" t="s">
        <v>598</v>
      </c>
      <c r="JPW143" s="15" t="s">
        <v>598</v>
      </c>
      <c r="JPX143" s="15" t="s">
        <v>598</v>
      </c>
      <c r="JPY143" s="15" t="s">
        <v>598</v>
      </c>
      <c r="JPZ143" s="15" t="s">
        <v>598</v>
      </c>
      <c r="JQA143" s="15" t="s">
        <v>598</v>
      </c>
      <c r="JQB143" s="15" t="s">
        <v>598</v>
      </c>
      <c r="JQC143" s="15" t="s">
        <v>598</v>
      </c>
      <c r="JQD143" s="15" t="s">
        <v>598</v>
      </c>
      <c r="JQE143" s="15" t="s">
        <v>598</v>
      </c>
      <c r="JQF143" s="15" t="s">
        <v>598</v>
      </c>
      <c r="JQG143" s="15" t="s">
        <v>598</v>
      </c>
      <c r="JQH143" s="15" t="s">
        <v>598</v>
      </c>
      <c r="JQI143" s="15" t="s">
        <v>598</v>
      </c>
      <c r="JQJ143" s="15" t="s">
        <v>598</v>
      </c>
      <c r="JQK143" s="15" t="s">
        <v>598</v>
      </c>
      <c r="JQL143" s="15" t="s">
        <v>598</v>
      </c>
      <c r="JQM143" s="15" t="s">
        <v>598</v>
      </c>
      <c r="JQN143" s="15" t="s">
        <v>598</v>
      </c>
      <c r="JQO143" s="15" t="s">
        <v>598</v>
      </c>
      <c r="JQP143" s="15" t="s">
        <v>598</v>
      </c>
      <c r="JQQ143" s="15" t="s">
        <v>598</v>
      </c>
      <c r="JQR143" s="15" t="s">
        <v>598</v>
      </c>
      <c r="JQS143" s="15" t="s">
        <v>598</v>
      </c>
      <c r="JQT143" s="15" t="s">
        <v>598</v>
      </c>
      <c r="JQU143" s="15" t="s">
        <v>598</v>
      </c>
      <c r="JQV143" s="15" t="s">
        <v>598</v>
      </c>
      <c r="JQW143" s="15" t="s">
        <v>598</v>
      </c>
      <c r="JQX143" s="15" t="s">
        <v>598</v>
      </c>
      <c r="JQY143" s="15" t="s">
        <v>598</v>
      </c>
      <c r="JQZ143" s="15" t="s">
        <v>598</v>
      </c>
      <c r="JRA143" s="15" t="s">
        <v>598</v>
      </c>
      <c r="JRB143" s="15" t="s">
        <v>598</v>
      </c>
      <c r="JRC143" s="15" t="s">
        <v>598</v>
      </c>
      <c r="JRD143" s="15" t="s">
        <v>598</v>
      </c>
      <c r="JRE143" s="15" t="s">
        <v>598</v>
      </c>
      <c r="JRF143" s="15" t="s">
        <v>598</v>
      </c>
      <c r="JRG143" s="15" t="s">
        <v>598</v>
      </c>
      <c r="JRH143" s="15" t="s">
        <v>598</v>
      </c>
      <c r="JRI143" s="15" t="s">
        <v>598</v>
      </c>
      <c r="JRJ143" s="15" t="s">
        <v>598</v>
      </c>
      <c r="JRK143" s="15" t="s">
        <v>598</v>
      </c>
      <c r="JRL143" s="15" t="s">
        <v>598</v>
      </c>
      <c r="JRM143" s="15" t="s">
        <v>598</v>
      </c>
      <c r="JRN143" s="15" t="s">
        <v>598</v>
      </c>
      <c r="JRO143" s="15" t="s">
        <v>598</v>
      </c>
      <c r="JRP143" s="15" t="s">
        <v>598</v>
      </c>
      <c r="JRQ143" s="15" t="s">
        <v>598</v>
      </c>
      <c r="JRR143" s="15" t="s">
        <v>598</v>
      </c>
      <c r="JRS143" s="15" t="s">
        <v>598</v>
      </c>
      <c r="JRT143" s="15" t="s">
        <v>598</v>
      </c>
      <c r="JRU143" s="15" t="s">
        <v>598</v>
      </c>
      <c r="JRV143" s="15" t="s">
        <v>598</v>
      </c>
      <c r="JRW143" s="15" t="s">
        <v>598</v>
      </c>
      <c r="JRX143" s="15" t="s">
        <v>598</v>
      </c>
      <c r="JRY143" s="15" t="s">
        <v>598</v>
      </c>
      <c r="JRZ143" s="15" t="s">
        <v>598</v>
      </c>
      <c r="JSA143" s="15" t="s">
        <v>598</v>
      </c>
      <c r="JSB143" s="15" t="s">
        <v>598</v>
      </c>
      <c r="JSC143" s="15" t="s">
        <v>598</v>
      </c>
      <c r="JSD143" s="15" t="s">
        <v>598</v>
      </c>
      <c r="JSE143" s="15" t="s">
        <v>598</v>
      </c>
      <c r="JSF143" s="15" t="s">
        <v>598</v>
      </c>
      <c r="JSG143" s="15" t="s">
        <v>598</v>
      </c>
      <c r="JSH143" s="15" t="s">
        <v>598</v>
      </c>
      <c r="JSI143" s="15" t="s">
        <v>598</v>
      </c>
      <c r="JSJ143" s="15" t="s">
        <v>598</v>
      </c>
      <c r="JSK143" s="15" t="s">
        <v>598</v>
      </c>
      <c r="JSL143" s="15" t="s">
        <v>598</v>
      </c>
      <c r="JSM143" s="15" t="s">
        <v>598</v>
      </c>
      <c r="JSN143" s="15" t="s">
        <v>598</v>
      </c>
      <c r="JSO143" s="15" t="s">
        <v>598</v>
      </c>
      <c r="JSP143" s="15" t="s">
        <v>598</v>
      </c>
      <c r="JSQ143" s="15" t="s">
        <v>598</v>
      </c>
      <c r="JSR143" s="15" t="s">
        <v>598</v>
      </c>
      <c r="JSS143" s="15" t="s">
        <v>598</v>
      </c>
      <c r="JST143" s="15" t="s">
        <v>598</v>
      </c>
      <c r="JSU143" s="15" t="s">
        <v>598</v>
      </c>
      <c r="JSV143" s="15" t="s">
        <v>598</v>
      </c>
      <c r="JSW143" s="15" t="s">
        <v>598</v>
      </c>
      <c r="JSX143" s="15" t="s">
        <v>598</v>
      </c>
      <c r="JSY143" s="15" t="s">
        <v>598</v>
      </c>
      <c r="JSZ143" s="15" t="s">
        <v>598</v>
      </c>
      <c r="JTA143" s="15" t="s">
        <v>598</v>
      </c>
      <c r="JTB143" s="15" t="s">
        <v>598</v>
      </c>
      <c r="JTC143" s="15" t="s">
        <v>598</v>
      </c>
      <c r="JTD143" s="15" t="s">
        <v>598</v>
      </c>
      <c r="JTE143" s="15" t="s">
        <v>598</v>
      </c>
      <c r="JTF143" s="15" t="s">
        <v>598</v>
      </c>
      <c r="JTG143" s="15" t="s">
        <v>598</v>
      </c>
      <c r="JTH143" s="15" t="s">
        <v>598</v>
      </c>
      <c r="JTI143" s="15" t="s">
        <v>598</v>
      </c>
      <c r="JTJ143" s="15" t="s">
        <v>598</v>
      </c>
      <c r="JTK143" s="15" t="s">
        <v>598</v>
      </c>
      <c r="JTL143" s="15" t="s">
        <v>598</v>
      </c>
      <c r="JTM143" s="15" t="s">
        <v>598</v>
      </c>
      <c r="JTN143" s="15" t="s">
        <v>598</v>
      </c>
      <c r="JTO143" s="15" t="s">
        <v>598</v>
      </c>
      <c r="JTP143" s="15" t="s">
        <v>598</v>
      </c>
      <c r="JTQ143" s="15" t="s">
        <v>598</v>
      </c>
      <c r="JTR143" s="15" t="s">
        <v>598</v>
      </c>
      <c r="JTS143" s="15" t="s">
        <v>598</v>
      </c>
      <c r="JTT143" s="15" t="s">
        <v>598</v>
      </c>
      <c r="JTU143" s="15" t="s">
        <v>598</v>
      </c>
      <c r="JTV143" s="15" t="s">
        <v>598</v>
      </c>
      <c r="JTW143" s="15" t="s">
        <v>598</v>
      </c>
      <c r="JTX143" s="15" t="s">
        <v>598</v>
      </c>
      <c r="JTY143" s="15" t="s">
        <v>598</v>
      </c>
      <c r="JTZ143" s="15" t="s">
        <v>598</v>
      </c>
      <c r="JUA143" s="15" t="s">
        <v>598</v>
      </c>
      <c r="JUB143" s="15" t="s">
        <v>598</v>
      </c>
      <c r="JUC143" s="15" t="s">
        <v>598</v>
      </c>
      <c r="JUD143" s="15" t="s">
        <v>598</v>
      </c>
      <c r="JUE143" s="15" t="s">
        <v>598</v>
      </c>
      <c r="JUF143" s="15" t="s">
        <v>598</v>
      </c>
      <c r="JUG143" s="15" t="s">
        <v>598</v>
      </c>
      <c r="JUH143" s="15" t="s">
        <v>598</v>
      </c>
      <c r="JUI143" s="15" t="s">
        <v>598</v>
      </c>
      <c r="JUJ143" s="15" t="s">
        <v>598</v>
      </c>
      <c r="JUK143" s="15" t="s">
        <v>598</v>
      </c>
      <c r="JUL143" s="15" t="s">
        <v>598</v>
      </c>
      <c r="JUM143" s="15" t="s">
        <v>598</v>
      </c>
      <c r="JUN143" s="15" t="s">
        <v>598</v>
      </c>
      <c r="JUO143" s="15" t="s">
        <v>598</v>
      </c>
      <c r="JUP143" s="15" t="s">
        <v>598</v>
      </c>
      <c r="JUQ143" s="15" t="s">
        <v>598</v>
      </c>
      <c r="JUR143" s="15" t="s">
        <v>598</v>
      </c>
      <c r="JUS143" s="15" t="s">
        <v>598</v>
      </c>
      <c r="JUT143" s="15" t="s">
        <v>598</v>
      </c>
      <c r="JUU143" s="15" t="s">
        <v>598</v>
      </c>
      <c r="JUV143" s="15" t="s">
        <v>598</v>
      </c>
      <c r="JUW143" s="15" t="s">
        <v>598</v>
      </c>
      <c r="JUX143" s="15" t="s">
        <v>598</v>
      </c>
      <c r="JUY143" s="15" t="s">
        <v>598</v>
      </c>
      <c r="JUZ143" s="15" t="s">
        <v>598</v>
      </c>
      <c r="JVA143" s="15" t="s">
        <v>598</v>
      </c>
      <c r="JVB143" s="15" t="s">
        <v>598</v>
      </c>
      <c r="JVC143" s="15" t="s">
        <v>598</v>
      </c>
      <c r="JVD143" s="15" t="s">
        <v>598</v>
      </c>
      <c r="JVE143" s="15" t="s">
        <v>598</v>
      </c>
      <c r="JVF143" s="15" t="s">
        <v>598</v>
      </c>
      <c r="JVG143" s="15" t="s">
        <v>598</v>
      </c>
      <c r="JVH143" s="15" t="s">
        <v>598</v>
      </c>
      <c r="JVI143" s="15" t="s">
        <v>598</v>
      </c>
      <c r="JVJ143" s="15" t="s">
        <v>598</v>
      </c>
      <c r="JVK143" s="15" t="s">
        <v>598</v>
      </c>
      <c r="JVL143" s="15" t="s">
        <v>598</v>
      </c>
      <c r="JVM143" s="15" t="s">
        <v>598</v>
      </c>
      <c r="JVN143" s="15" t="s">
        <v>598</v>
      </c>
      <c r="JVO143" s="15" t="s">
        <v>598</v>
      </c>
      <c r="JVP143" s="15" t="s">
        <v>598</v>
      </c>
      <c r="JVQ143" s="15" t="s">
        <v>598</v>
      </c>
      <c r="JVR143" s="15" t="s">
        <v>598</v>
      </c>
      <c r="JVS143" s="15" t="s">
        <v>598</v>
      </c>
      <c r="JVT143" s="15" t="s">
        <v>598</v>
      </c>
      <c r="JVU143" s="15" t="s">
        <v>598</v>
      </c>
      <c r="JVV143" s="15" t="s">
        <v>598</v>
      </c>
      <c r="JVW143" s="15" t="s">
        <v>598</v>
      </c>
      <c r="JVX143" s="15" t="s">
        <v>598</v>
      </c>
      <c r="JVY143" s="15" t="s">
        <v>598</v>
      </c>
      <c r="JVZ143" s="15" t="s">
        <v>598</v>
      </c>
      <c r="JWA143" s="15" t="s">
        <v>598</v>
      </c>
      <c r="JWB143" s="15" t="s">
        <v>598</v>
      </c>
      <c r="JWC143" s="15" t="s">
        <v>598</v>
      </c>
      <c r="JWD143" s="15" t="s">
        <v>598</v>
      </c>
      <c r="JWE143" s="15" t="s">
        <v>598</v>
      </c>
      <c r="JWF143" s="15" t="s">
        <v>598</v>
      </c>
      <c r="JWG143" s="15" t="s">
        <v>598</v>
      </c>
      <c r="JWH143" s="15" t="s">
        <v>598</v>
      </c>
      <c r="JWI143" s="15" t="s">
        <v>598</v>
      </c>
      <c r="JWJ143" s="15" t="s">
        <v>598</v>
      </c>
      <c r="JWK143" s="15" t="s">
        <v>598</v>
      </c>
      <c r="JWL143" s="15" t="s">
        <v>598</v>
      </c>
      <c r="JWM143" s="15" t="s">
        <v>598</v>
      </c>
      <c r="JWN143" s="15" t="s">
        <v>598</v>
      </c>
      <c r="JWO143" s="15" t="s">
        <v>598</v>
      </c>
      <c r="JWP143" s="15" t="s">
        <v>598</v>
      </c>
      <c r="JWQ143" s="15" t="s">
        <v>598</v>
      </c>
      <c r="JWR143" s="15" t="s">
        <v>598</v>
      </c>
      <c r="JWS143" s="15" t="s">
        <v>598</v>
      </c>
      <c r="JWT143" s="15" t="s">
        <v>598</v>
      </c>
      <c r="JWU143" s="15" t="s">
        <v>598</v>
      </c>
      <c r="JWV143" s="15" t="s">
        <v>598</v>
      </c>
      <c r="JWW143" s="15" t="s">
        <v>598</v>
      </c>
      <c r="JWX143" s="15" t="s">
        <v>598</v>
      </c>
      <c r="JWY143" s="15" t="s">
        <v>598</v>
      </c>
      <c r="JWZ143" s="15" t="s">
        <v>598</v>
      </c>
      <c r="JXA143" s="15" t="s">
        <v>598</v>
      </c>
      <c r="JXB143" s="15" t="s">
        <v>598</v>
      </c>
      <c r="JXC143" s="15" t="s">
        <v>598</v>
      </c>
      <c r="JXD143" s="15" t="s">
        <v>598</v>
      </c>
      <c r="JXE143" s="15" t="s">
        <v>598</v>
      </c>
      <c r="JXF143" s="15" t="s">
        <v>598</v>
      </c>
      <c r="JXG143" s="15" t="s">
        <v>598</v>
      </c>
      <c r="JXH143" s="15" t="s">
        <v>598</v>
      </c>
      <c r="JXI143" s="15" t="s">
        <v>598</v>
      </c>
      <c r="JXJ143" s="15" t="s">
        <v>598</v>
      </c>
      <c r="JXK143" s="15" t="s">
        <v>598</v>
      </c>
      <c r="JXL143" s="15" t="s">
        <v>598</v>
      </c>
      <c r="JXM143" s="15" t="s">
        <v>598</v>
      </c>
      <c r="JXN143" s="15" t="s">
        <v>598</v>
      </c>
      <c r="JXO143" s="15" t="s">
        <v>598</v>
      </c>
      <c r="JXP143" s="15" t="s">
        <v>598</v>
      </c>
      <c r="JXQ143" s="15" t="s">
        <v>598</v>
      </c>
      <c r="JXR143" s="15" t="s">
        <v>598</v>
      </c>
      <c r="JXS143" s="15" t="s">
        <v>598</v>
      </c>
      <c r="JXT143" s="15" t="s">
        <v>598</v>
      </c>
      <c r="JXU143" s="15" t="s">
        <v>598</v>
      </c>
      <c r="JXV143" s="15" t="s">
        <v>598</v>
      </c>
      <c r="JXW143" s="15" t="s">
        <v>598</v>
      </c>
      <c r="JXX143" s="15" t="s">
        <v>598</v>
      </c>
      <c r="JXY143" s="15" t="s">
        <v>598</v>
      </c>
      <c r="JXZ143" s="15" t="s">
        <v>598</v>
      </c>
      <c r="JYA143" s="15" t="s">
        <v>598</v>
      </c>
      <c r="JYB143" s="15" t="s">
        <v>598</v>
      </c>
      <c r="JYC143" s="15" t="s">
        <v>598</v>
      </c>
      <c r="JYD143" s="15" t="s">
        <v>598</v>
      </c>
      <c r="JYE143" s="15" t="s">
        <v>598</v>
      </c>
      <c r="JYF143" s="15" t="s">
        <v>598</v>
      </c>
      <c r="JYG143" s="15" t="s">
        <v>598</v>
      </c>
      <c r="JYH143" s="15" t="s">
        <v>598</v>
      </c>
      <c r="JYI143" s="15" t="s">
        <v>598</v>
      </c>
      <c r="JYJ143" s="15" t="s">
        <v>598</v>
      </c>
      <c r="JYK143" s="15" t="s">
        <v>598</v>
      </c>
      <c r="JYL143" s="15" t="s">
        <v>598</v>
      </c>
      <c r="JYM143" s="15" t="s">
        <v>598</v>
      </c>
      <c r="JYN143" s="15" t="s">
        <v>598</v>
      </c>
      <c r="JYO143" s="15" t="s">
        <v>598</v>
      </c>
      <c r="JYP143" s="15" t="s">
        <v>598</v>
      </c>
      <c r="JYQ143" s="15" t="s">
        <v>598</v>
      </c>
      <c r="JYR143" s="15" t="s">
        <v>598</v>
      </c>
      <c r="JYS143" s="15" t="s">
        <v>598</v>
      </c>
      <c r="JYT143" s="15" t="s">
        <v>598</v>
      </c>
      <c r="JYU143" s="15" t="s">
        <v>598</v>
      </c>
      <c r="JYV143" s="15" t="s">
        <v>598</v>
      </c>
      <c r="JYW143" s="15" t="s">
        <v>598</v>
      </c>
      <c r="JYX143" s="15" t="s">
        <v>598</v>
      </c>
      <c r="JYY143" s="15" t="s">
        <v>598</v>
      </c>
      <c r="JYZ143" s="15" t="s">
        <v>598</v>
      </c>
      <c r="JZA143" s="15" t="s">
        <v>598</v>
      </c>
      <c r="JZB143" s="15" t="s">
        <v>598</v>
      </c>
      <c r="JZC143" s="15" t="s">
        <v>598</v>
      </c>
      <c r="JZD143" s="15" t="s">
        <v>598</v>
      </c>
      <c r="JZE143" s="15" t="s">
        <v>598</v>
      </c>
      <c r="JZF143" s="15" t="s">
        <v>598</v>
      </c>
      <c r="JZG143" s="15" t="s">
        <v>598</v>
      </c>
      <c r="JZH143" s="15" t="s">
        <v>598</v>
      </c>
      <c r="JZI143" s="15" t="s">
        <v>598</v>
      </c>
      <c r="JZJ143" s="15" t="s">
        <v>598</v>
      </c>
      <c r="JZK143" s="15" t="s">
        <v>598</v>
      </c>
      <c r="JZL143" s="15" t="s">
        <v>598</v>
      </c>
      <c r="JZM143" s="15" t="s">
        <v>598</v>
      </c>
      <c r="JZN143" s="15" t="s">
        <v>598</v>
      </c>
      <c r="JZO143" s="15" t="s">
        <v>598</v>
      </c>
      <c r="JZP143" s="15" t="s">
        <v>598</v>
      </c>
      <c r="JZQ143" s="15" t="s">
        <v>598</v>
      </c>
      <c r="JZR143" s="15" t="s">
        <v>598</v>
      </c>
      <c r="JZS143" s="15" t="s">
        <v>598</v>
      </c>
      <c r="JZT143" s="15" t="s">
        <v>598</v>
      </c>
      <c r="JZU143" s="15" t="s">
        <v>598</v>
      </c>
      <c r="JZV143" s="15" t="s">
        <v>598</v>
      </c>
      <c r="JZW143" s="15" t="s">
        <v>598</v>
      </c>
      <c r="JZX143" s="15" t="s">
        <v>598</v>
      </c>
      <c r="JZY143" s="15" t="s">
        <v>598</v>
      </c>
      <c r="JZZ143" s="15" t="s">
        <v>598</v>
      </c>
      <c r="KAA143" s="15" t="s">
        <v>598</v>
      </c>
      <c r="KAB143" s="15" t="s">
        <v>598</v>
      </c>
      <c r="KAC143" s="15" t="s">
        <v>598</v>
      </c>
      <c r="KAD143" s="15" t="s">
        <v>598</v>
      </c>
      <c r="KAE143" s="15" t="s">
        <v>598</v>
      </c>
      <c r="KAF143" s="15" t="s">
        <v>598</v>
      </c>
      <c r="KAG143" s="15" t="s">
        <v>598</v>
      </c>
      <c r="KAH143" s="15" t="s">
        <v>598</v>
      </c>
      <c r="KAI143" s="15" t="s">
        <v>598</v>
      </c>
      <c r="KAJ143" s="15" t="s">
        <v>598</v>
      </c>
      <c r="KAK143" s="15" t="s">
        <v>598</v>
      </c>
      <c r="KAL143" s="15" t="s">
        <v>598</v>
      </c>
      <c r="KAM143" s="15" t="s">
        <v>598</v>
      </c>
      <c r="KAN143" s="15" t="s">
        <v>598</v>
      </c>
      <c r="KAO143" s="15" t="s">
        <v>598</v>
      </c>
      <c r="KAP143" s="15" t="s">
        <v>598</v>
      </c>
      <c r="KAQ143" s="15" t="s">
        <v>598</v>
      </c>
      <c r="KAR143" s="15" t="s">
        <v>598</v>
      </c>
      <c r="KAS143" s="15" t="s">
        <v>598</v>
      </c>
      <c r="KAT143" s="15" t="s">
        <v>598</v>
      </c>
      <c r="KAU143" s="15" t="s">
        <v>598</v>
      </c>
      <c r="KAV143" s="15" t="s">
        <v>598</v>
      </c>
      <c r="KAW143" s="15" t="s">
        <v>598</v>
      </c>
      <c r="KAX143" s="15" t="s">
        <v>598</v>
      </c>
      <c r="KAY143" s="15" t="s">
        <v>598</v>
      </c>
      <c r="KAZ143" s="15" t="s">
        <v>598</v>
      </c>
      <c r="KBA143" s="15" t="s">
        <v>598</v>
      </c>
      <c r="KBB143" s="15" t="s">
        <v>598</v>
      </c>
      <c r="KBC143" s="15" t="s">
        <v>598</v>
      </c>
      <c r="KBD143" s="15" t="s">
        <v>598</v>
      </c>
      <c r="KBE143" s="15" t="s">
        <v>598</v>
      </c>
      <c r="KBF143" s="15" t="s">
        <v>598</v>
      </c>
      <c r="KBG143" s="15" t="s">
        <v>598</v>
      </c>
      <c r="KBH143" s="15" t="s">
        <v>598</v>
      </c>
      <c r="KBI143" s="15" t="s">
        <v>598</v>
      </c>
      <c r="KBJ143" s="15" t="s">
        <v>598</v>
      </c>
      <c r="KBK143" s="15" t="s">
        <v>598</v>
      </c>
      <c r="KBL143" s="15" t="s">
        <v>598</v>
      </c>
      <c r="KBM143" s="15" t="s">
        <v>598</v>
      </c>
      <c r="KBN143" s="15" t="s">
        <v>598</v>
      </c>
      <c r="KBO143" s="15" t="s">
        <v>598</v>
      </c>
      <c r="KBP143" s="15" t="s">
        <v>598</v>
      </c>
      <c r="KBQ143" s="15" t="s">
        <v>598</v>
      </c>
      <c r="KBR143" s="15" t="s">
        <v>598</v>
      </c>
      <c r="KBS143" s="15" t="s">
        <v>598</v>
      </c>
      <c r="KBT143" s="15" t="s">
        <v>598</v>
      </c>
      <c r="KBU143" s="15" t="s">
        <v>598</v>
      </c>
      <c r="KBV143" s="15" t="s">
        <v>598</v>
      </c>
      <c r="KBW143" s="15" t="s">
        <v>598</v>
      </c>
      <c r="KBX143" s="15" t="s">
        <v>598</v>
      </c>
      <c r="KBY143" s="15" t="s">
        <v>598</v>
      </c>
      <c r="KBZ143" s="15" t="s">
        <v>598</v>
      </c>
      <c r="KCA143" s="15" t="s">
        <v>598</v>
      </c>
      <c r="KCB143" s="15" t="s">
        <v>598</v>
      </c>
      <c r="KCC143" s="15" t="s">
        <v>598</v>
      </c>
      <c r="KCD143" s="15" t="s">
        <v>598</v>
      </c>
      <c r="KCE143" s="15" t="s">
        <v>598</v>
      </c>
      <c r="KCF143" s="15" t="s">
        <v>598</v>
      </c>
      <c r="KCG143" s="15" t="s">
        <v>598</v>
      </c>
      <c r="KCH143" s="15" t="s">
        <v>598</v>
      </c>
      <c r="KCI143" s="15" t="s">
        <v>598</v>
      </c>
      <c r="KCJ143" s="15" t="s">
        <v>598</v>
      </c>
      <c r="KCK143" s="15" t="s">
        <v>598</v>
      </c>
      <c r="KCL143" s="15" t="s">
        <v>598</v>
      </c>
      <c r="KCM143" s="15" t="s">
        <v>598</v>
      </c>
      <c r="KCN143" s="15" t="s">
        <v>598</v>
      </c>
      <c r="KCO143" s="15" t="s">
        <v>598</v>
      </c>
      <c r="KCP143" s="15" t="s">
        <v>598</v>
      </c>
      <c r="KCQ143" s="15" t="s">
        <v>598</v>
      </c>
      <c r="KCR143" s="15" t="s">
        <v>598</v>
      </c>
      <c r="KCS143" s="15" t="s">
        <v>598</v>
      </c>
      <c r="KCT143" s="15" t="s">
        <v>598</v>
      </c>
      <c r="KCU143" s="15" t="s">
        <v>598</v>
      </c>
      <c r="KCV143" s="15" t="s">
        <v>598</v>
      </c>
      <c r="KCW143" s="15" t="s">
        <v>598</v>
      </c>
      <c r="KCX143" s="15" t="s">
        <v>598</v>
      </c>
      <c r="KCY143" s="15" t="s">
        <v>598</v>
      </c>
      <c r="KCZ143" s="15" t="s">
        <v>598</v>
      </c>
      <c r="KDA143" s="15" t="s">
        <v>598</v>
      </c>
      <c r="KDB143" s="15" t="s">
        <v>598</v>
      </c>
      <c r="KDC143" s="15" t="s">
        <v>598</v>
      </c>
      <c r="KDD143" s="15" t="s">
        <v>598</v>
      </c>
      <c r="KDE143" s="15" t="s">
        <v>598</v>
      </c>
      <c r="KDF143" s="15" t="s">
        <v>598</v>
      </c>
      <c r="KDG143" s="15" t="s">
        <v>598</v>
      </c>
      <c r="KDH143" s="15" t="s">
        <v>598</v>
      </c>
      <c r="KDI143" s="15" t="s">
        <v>598</v>
      </c>
      <c r="KDJ143" s="15" t="s">
        <v>598</v>
      </c>
      <c r="KDK143" s="15" t="s">
        <v>598</v>
      </c>
      <c r="KDL143" s="15" t="s">
        <v>598</v>
      </c>
      <c r="KDM143" s="15" t="s">
        <v>598</v>
      </c>
      <c r="KDN143" s="15" t="s">
        <v>598</v>
      </c>
      <c r="KDO143" s="15" t="s">
        <v>598</v>
      </c>
      <c r="KDP143" s="15" t="s">
        <v>598</v>
      </c>
      <c r="KDQ143" s="15" t="s">
        <v>598</v>
      </c>
      <c r="KDR143" s="15" t="s">
        <v>598</v>
      </c>
      <c r="KDS143" s="15" t="s">
        <v>598</v>
      </c>
      <c r="KDT143" s="15" t="s">
        <v>598</v>
      </c>
      <c r="KDU143" s="15" t="s">
        <v>598</v>
      </c>
      <c r="KDV143" s="15" t="s">
        <v>598</v>
      </c>
      <c r="KDW143" s="15" t="s">
        <v>598</v>
      </c>
      <c r="KDX143" s="15" t="s">
        <v>598</v>
      </c>
      <c r="KDY143" s="15" t="s">
        <v>598</v>
      </c>
      <c r="KDZ143" s="15" t="s">
        <v>598</v>
      </c>
      <c r="KEA143" s="15" t="s">
        <v>598</v>
      </c>
      <c r="KEB143" s="15" t="s">
        <v>598</v>
      </c>
      <c r="KEC143" s="15" t="s">
        <v>598</v>
      </c>
      <c r="KED143" s="15" t="s">
        <v>598</v>
      </c>
      <c r="KEE143" s="15" t="s">
        <v>598</v>
      </c>
      <c r="KEF143" s="15" t="s">
        <v>598</v>
      </c>
      <c r="KEG143" s="15" t="s">
        <v>598</v>
      </c>
      <c r="KEH143" s="15" t="s">
        <v>598</v>
      </c>
      <c r="KEI143" s="15" t="s">
        <v>598</v>
      </c>
      <c r="KEJ143" s="15" t="s">
        <v>598</v>
      </c>
      <c r="KEK143" s="15" t="s">
        <v>598</v>
      </c>
      <c r="KEL143" s="15" t="s">
        <v>598</v>
      </c>
      <c r="KEM143" s="15" t="s">
        <v>598</v>
      </c>
      <c r="KEN143" s="15" t="s">
        <v>598</v>
      </c>
      <c r="KEO143" s="15" t="s">
        <v>598</v>
      </c>
      <c r="KEP143" s="15" t="s">
        <v>598</v>
      </c>
      <c r="KEQ143" s="15" t="s">
        <v>598</v>
      </c>
      <c r="KER143" s="15" t="s">
        <v>598</v>
      </c>
      <c r="KES143" s="15" t="s">
        <v>598</v>
      </c>
      <c r="KET143" s="15" t="s">
        <v>598</v>
      </c>
      <c r="KEU143" s="15" t="s">
        <v>598</v>
      </c>
      <c r="KEV143" s="15" t="s">
        <v>598</v>
      </c>
      <c r="KEW143" s="15" t="s">
        <v>598</v>
      </c>
      <c r="KEX143" s="15" t="s">
        <v>598</v>
      </c>
      <c r="KEY143" s="15" t="s">
        <v>598</v>
      </c>
      <c r="KEZ143" s="15" t="s">
        <v>598</v>
      </c>
      <c r="KFA143" s="15" t="s">
        <v>598</v>
      </c>
      <c r="KFB143" s="15" t="s">
        <v>598</v>
      </c>
      <c r="KFC143" s="15" t="s">
        <v>598</v>
      </c>
      <c r="KFD143" s="15" t="s">
        <v>598</v>
      </c>
      <c r="KFE143" s="15" t="s">
        <v>598</v>
      </c>
      <c r="KFF143" s="15" t="s">
        <v>598</v>
      </c>
      <c r="KFG143" s="15" t="s">
        <v>598</v>
      </c>
      <c r="KFH143" s="15" t="s">
        <v>598</v>
      </c>
      <c r="KFI143" s="15" t="s">
        <v>598</v>
      </c>
      <c r="KFJ143" s="15" t="s">
        <v>598</v>
      </c>
      <c r="KFK143" s="15" t="s">
        <v>598</v>
      </c>
      <c r="KFL143" s="15" t="s">
        <v>598</v>
      </c>
      <c r="KFM143" s="15" t="s">
        <v>598</v>
      </c>
      <c r="KFN143" s="15" t="s">
        <v>598</v>
      </c>
      <c r="KFO143" s="15" t="s">
        <v>598</v>
      </c>
      <c r="KFP143" s="15" t="s">
        <v>598</v>
      </c>
      <c r="KFQ143" s="15" t="s">
        <v>598</v>
      </c>
      <c r="KFR143" s="15" t="s">
        <v>598</v>
      </c>
      <c r="KFS143" s="15" t="s">
        <v>598</v>
      </c>
      <c r="KFT143" s="15" t="s">
        <v>598</v>
      </c>
      <c r="KFU143" s="15" t="s">
        <v>598</v>
      </c>
      <c r="KFV143" s="15" t="s">
        <v>598</v>
      </c>
      <c r="KFW143" s="15" t="s">
        <v>598</v>
      </c>
      <c r="KFX143" s="15" t="s">
        <v>598</v>
      </c>
      <c r="KFY143" s="15" t="s">
        <v>598</v>
      </c>
      <c r="KFZ143" s="15" t="s">
        <v>598</v>
      </c>
      <c r="KGA143" s="15" t="s">
        <v>598</v>
      </c>
      <c r="KGB143" s="15" t="s">
        <v>598</v>
      </c>
      <c r="KGC143" s="15" t="s">
        <v>598</v>
      </c>
      <c r="KGD143" s="15" t="s">
        <v>598</v>
      </c>
      <c r="KGE143" s="15" t="s">
        <v>598</v>
      </c>
      <c r="KGF143" s="15" t="s">
        <v>598</v>
      </c>
      <c r="KGG143" s="15" t="s">
        <v>598</v>
      </c>
      <c r="KGH143" s="15" t="s">
        <v>598</v>
      </c>
      <c r="KGI143" s="15" t="s">
        <v>598</v>
      </c>
      <c r="KGJ143" s="15" t="s">
        <v>598</v>
      </c>
      <c r="KGK143" s="15" t="s">
        <v>598</v>
      </c>
      <c r="KGL143" s="15" t="s">
        <v>598</v>
      </c>
      <c r="KGM143" s="15" t="s">
        <v>598</v>
      </c>
      <c r="KGN143" s="15" t="s">
        <v>598</v>
      </c>
      <c r="KGO143" s="15" t="s">
        <v>598</v>
      </c>
      <c r="KGP143" s="15" t="s">
        <v>598</v>
      </c>
      <c r="KGQ143" s="15" t="s">
        <v>598</v>
      </c>
      <c r="KGR143" s="15" t="s">
        <v>598</v>
      </c>
      <c r="KGS143" s="15" t="s">
        <v>598</v>
      </c>
      <c r="KGT143" s="15" t="s">
        <v>598</v>
      </c>
      <c r="KGU143" s="15" t="s">
        <v>598</v>
      </c>
      <c r="KGV143" s="15" t="s">
        <v>598</v>
      </c>
      <c r="KGW143" s="15" t="s">
        <v>598</v>
      </c>
      <c r="KGX143" s="15" t="s">
        <v>598</v>
      </c>
      <c r="KGY143" s="15" t="s">
        <v>598</v>
      </c>
      <c r="KGZ143" s="15" t="s">
        <v>598</v>
      </c>
      <c r="KHA143" s="15" t="s">
        <v>598</v>
      </c>
      <c r="KHB143" s="15" t="s">
        <v>598</v>
      </c>
      <c r="KHC143" s="15" t="s">
        <v>598</v>
      </c>
      <c r="KHD143" s="15" t="s">
        <v>598</v>
      </c>
      <c r="KHE143" s="15" t="s">
        <v>598</v>
      </c>
      <c r="KHF143" s="15" t="s">
        <v>598</v>
      </c>
      <c r="KHG143" s="15" t="s">
        <v>598</v>
      </c>
      <c r="KHH143" s="15" t="s">
        <v>598</v>
      </c>
      <c r="KHI143" s="15" t="s">
        <v>598</v>
      </c>
      <c r="KHJ143" s="15" t="s">
        <v>598</v>
      </c>
      <c r="KHK143" s="15" t="s">
        <v>598</v>
      </c>
      <c r="KHL143" s="15" t="s">
        <v>598</v>
      </c>
      <c r="KHM143" s="15" t="s">
        <v>598</v>
      </c>
      <c r="KHN143" s="15" t="s">
        <v>598</v>
      </c>
      <c r="KHO143" s="15" t="s">
        <v>598</v>
      </c>
      <c r="KHP143" s="15" t="s">
        <v>598</v>
      </c>
      <c r="KHQ143" s="15" t="s">
        <v>598</v>
      </c>
      <c r="KHR143" s="15" t="s">
        <v>598</v>
      </c>
      <c r="KHS143" s="15" t="s">
        <v>598</v>
      </c>
      <c r="KHT143" s="15" t="s">
        <v>598</v>
      </c>
      <c r="KHU143" s="15" t="s">
        <v>598</v>
      </c>
      <c r="KHV143" s="15" t="s">
        <v>598</v>
      </c>
      <c r="KHW143" s="15" t="s">
        <v>598</v>
      </c>
      <c r="KHX143" s="15" t="s">
        <v>598</v>
      </c>
      <c r="KHY143" s="15" t="s">
        <v>598</v>
      </c>
      <c r="KHZ143" s="15" t="s">
        <v>598</v>
      </c>
      <c r="KIA143" s="15" t="s">
        <v>598</v>
      </c>
      <c r="KIB143" s="15" t="s">
        <v>598</v>
      </c>
      <c r="KIC143" s="15" t="s">
        <v>598</v>
      </c>
      <c r="KID143" s="15" t="s">
        <v>598</v>
      </c>
      <c r="KIE143" s="15" t="s">
        <v>598</v>
      </c>
      <c r="KIF143" s="15" t="s">
        <v>598</v>
      </c>
      <c r="KIG143" s="15" t="s">
        <v>598</v>
      </c>
      <c r="KIH143" s="15" t="s">
        <v>598</v>
      </c>
      <c r="KII143" s="15" t="s">
        <v>598</v>
      </c>
      <c r="KIJ143" s="15" t="s">
        <v>598</v>
      </c>
      <c r="KIK143" s="15" t="s">
        <v>598</v>
      </c>
      <c r="KIL143" s="15" t="s">
        <v>598</v>
      </c>
      <c r="KIM143" s="15" t="s">
        <v>598</v>
      </c>
      <c r="KIN143" s="15" t="s">
        <v>598</v>
      </c>
      <c r="KIO143" s="15" t="s">
        <v>598</v>
      </c>
      <c r="KIP143" s="15" t="s">
        <v>598</v>
      </c>
      <c r="KIQ143" s="15" t="s">
        <v>598</v>
      </c>
      <c r="KIR143" s="15" t="s">
        <v>598</v>
      </c>
      <c r="KIS143" s="15" t="s">
        <v>598</v>
      </c>
      <c r="KIT143" s="15" t="s">
        <v>598</v>
      </c>
      <c r="KIU143" s="15" t="s">
        <v>598</v>
      </c>
      <c r="KIV143" s="15" t="s">
        <v>598</v>
      </c>
      <c r="KIW143" s="15" t="s">
        <v>598</v>
      </c>
      <c r="KIX143" s="15" t="s">
        <v>598</v>
      </c>
      <c r="KIY143" s="15" t="s">
        <v>598</v>
      </c>
      <c r="KIZ143" s="15" t="s">
        <v>598</v>
      </c>
      <c r="KJA143" s="15" t="s">
        <v>598</v>
      </c>
      <c r="KJB143" s="15" t="s">
        <v>598</v>
      </c>
      <c r="KJC143" s="15" t="s">
        <v>598</v>
      </c>
      <c r="KJD143" s="15" t="s">
        <v>598</v>
      </c>
      <c r="KJE143" s="15" t="s">
        <v>598</v>
      </c>
      <c r="KJF143" s="15" t="s">
        <v>598</v>
      </c>
      <c r="KJG143" s="15" t="s">
        <v>598</v>
      </c>
      <c r="KJH143" s="15" t="s">
        <v>598</v>
      </c>
      <c r="KJI143" s="15" t="s">
        <v>598</v>
      </c>
      <c r="KJJ143" s="15" t="s">
        <v>598</v>
      </c>
      <c r="KJK143" s="15" t="s">
        <v>598</v>
      </c>
      <c r="KJL143" s="15" t="s">
        <v>598</v>
      </c>
      <c r="KJM143" s="15" t="s">
        <v>598</v>
      </c>
      <c r="KJN143" s="15" t="s">
        <v>598</v>
      </c>
      <c r="KJO143" s="15" t="s">
        <v>598</v>
      </c>
      <c r="KJP143" s="15" t="s">
        <v>598</v>
      </c>
      <c r="KJQ143" s="15" t="s">
        <v>598</v>
      </c>
      <c r="KJR143" s="15" t="s">
        <v>598</v>
      </c>
      <c r="KJS143" s="15" t="s">
        <v>598</v>
      </c>
      <c r="KJT143" s="15" t="s">
        <v>598</v>
      </c>
      <c r="KJU143" s="15" t="s">
        <v>598</v>
      </c>
      <c r="KJV143" s="15" t="s">
        <v>598</v>
      </c>
      <c r="KJW143" s="15" t="s">
        <v>598</v>
      </c>
      <c r="KJX143" s="15" t="s">
        <v>598</v>
      </c>
      <c r="KJY143" s="15" t="s">
        <v>598</v>
      </c>
      <c r="KJZ143" s="15" t="s">
        <v>598</v>
      </c>
      <c r="KKA143" s="15" t="s">
        <v>598</v>
      </c>
      <c r="KKB143" s="15" t="s">
        <v>598</v>
      </c>
      <c r="KKC143" s="15" t="s">
        <v>598</v>
      </c>
      <c r="KKD143" s="15" t="s">
        <v>598</v>
      </c>
      <c r="KKE143" s="15" t="s">
        <v>598</v>
      </c>
      <c r="KKF143" s="15" t="s">
        <v>598</v>
      </c>
      <c r="KKG143" s="15" t="s">
        <v>598</v>
      </c>
      <c r="KKH143" s="15" t="s">
        <v>598</v>
      </c>
      <c r="KKI143" s="15" t="s">
        <v>598</v>
      </c>
      <c r="KKJ143" s="15" t="s">
        <v>598</v>
      </c>
      <c r="KKK143" s="15" t="s">
        <v>598</v>
      </c>
      <c r="KKL143" s="15" t="s">
        <v>598</v>
      </c>
      <c r="KKM143" s="15" t="s">
        <v>598</v>
      </c>
      <c r="KKN143" s="15" t="s">
        <v>598</v>
      </c>
      <c r="KKO143" s="15" t="s">
        <v>598</v>
      </c>
      <c r="KKP143" s="15" t="s">
        <v>598</v>
      </c>
      <c r="KKQ143" s="15" t="s">
        <v>598</v>
      </c>
      <c r="KKR143" s="15" t="s">
        <v>598</v>
      </c>
      <c r="KKS143" s="15" t="s">
        <v>598</v>
      </c>
      <c r="KKT143" s="15" t="s">
        <v>598</v>
      </c>
      <c r="KKU143" s="15" t="s">
        <v>598</v>
      </c>
      <c r="KKV143" s="15" t="s">
        <v>598</v>
      </c>
      <c r="KKW143" s="15" t="s">
        <v>598</v>
      </c>
      <c r="KKX143" s="15" t="s">
        <v>598</v>
      </c>
      <c r="KKY143" s="15" t="s">
        <v>598</v>
      </c>
      <c r="KKZ143" s="15" t="s">
        <v>598</v>
      </c>
      <c r="KLA143" s="15" t="s">
        <v>598</v>
      </c>
      <c r="KLB143" s="15" t="s">
        <v>598</v>
      </c>
      <c r="KLC143" s="15" t="s">
        <v>598</v>
      </c>
      <c r="KLD143" s="15" t="s">
        <v>598</v>
      </c>
      <c r="KLE143" s="15" t="s">
        <v>598</v>
      </c>
      <c r="KLF143" s="15" t="s">
        <v>598</v>
      </c>
      <c r="KLG143" s="15" t="s">
        <v>598</v>
      </c>
      <c r="KLH143" s="15" t="s">
        <v>598</v>
      </c>
      <c r="KLI143" s="15" t="s">
        <v>598</v>
      </c>
      <c r="KLJ143" s="15" t="s">
        <v>598</v>
      </c>
      <c r="KLK143" s="15" t="s">
        <v>598</v>
      </c>
      <c r="KLL143" s="15" t="s">
        <v>598</v>
      </c>
      <c r="KLM143" s="15" t="s">
        <v>598</v>
      </c>
      <c r="KLN143" s="15" t="s">
        <v>598</v>
      </c>
      <c r="KLO143" s="15" t="s">
        <v>598</v>
      </c>
      <c r="KLP143" s="15" t="s">
        <v>598</v>
      </c>
      <c r="KLQ143" s="15" t="s">
        <v>598</v>
      </c>
      <c r="KLR143" s="15" t="s">
        <v>598</v>
      </c>
      <c r="KLS143" s="15" t="s">
        <v>598</v>
      </c>
      <c r="KLT143" s="15" t="s">
        <v>598</v>
      </c>
      <c r="KLU143" s="15" t="s">
        <v>598</v>
      </c>
      <c r="KLV143" s="15" t="s">
        <v>598</v>
      </c>
      <c r="KLW143" s="15" t="s">
        <v>598</v>
      </c>
      <c r="KLX143" s="15" t="s">
        <v>598</v>
      </c>
      <c r="KLY143" s="15" t="s">
        <v>598</v>
      </c>
      <c r="KLZ143" s="15" t="s">
        <v>598</v>
      </c>
      <c r="KMA143" s="15" t="s">
        <v>598</v>
      </c>
      <c r="KMB143" s="15" t="s">
        <v>598</v>
      </c>
      <c r="KMC143" s="15" t="s">
        <v>598</v>
      </c>
      <c r="KMD143" s="15" t="s">
        <v>598</v>
      </c>
      <c r="KME143" s="15" t="s">
        <v>598</v>
      </c>
      <c r="KMF143" s="15" t="s">
        <v>598</v>
      </c>
      <c r="KMG143" s="15" t="s">
        <v>598</v>
      </c>
      <c r="KMH143" s="15" t="s">
        <v>598</v>
      </c>
      <c r="KMI143" s="15" t="s">
        <v>598</v>
      </c>
      <c r="KMJ143" s="15" t="s">
        <v>598</v>
      </c>
      <c r="KMK143" s="15" t="s">
        <v>598</v>
      </c>
      <c r="KML143" s="15" t="s">
        <v>598</v>
      </c>
      <c r="KMM143" s="15" t="s">
        <v>598</v>
      </c>
      <c r="KMN143" s="15" t="s">
        <v>598</v>
      </c>
      <c r="KMO143" s="15" t="s">
        <v>598</v>
      </c>
      <c r="KMP143" s="15" t="s">
        <v>598</v>
      </c>
      <c r="KMQ143" s="15" t="s">
        <v>598</v>
      </c>
      <c r="KMR143" s="15" t="s">
        <v>598</v>
      </c>
      <c r="KMS143" s="15" t="s">
        <v>598</v>
      </c>
      <c r="KMT143" s="15" t="s">
        <v>598</v>
      </c>
      <c r="KMU143" s="15" t="s">
        <v>598</v>
      </c>
      <c r="KMV143" s="15" t="s">
        <v>598</v>
      </c>
      <c r="KMW143" s="15" t="s">
        <v>598</v>
      </c>
      <c r="KMX143" s="15" t="s">
        <v>598</v>
      </c>
      <c r="KMY143" s="15" t="s">
        <v>598</v>
      </c>
      <c r="KMZ143" s="15" t="s">
        <v>598</v>
      </c>
      <c r="KNA143" s="15" t="s">
        <v>598</v>
      </c>
      <c r="KNB143" s="15" t="s">
        <v>598</v>
      </c>
      <c r="KNC143" s="15" t="s">
        <v>598</v>
      </c>
      <c r="KND143" s="15" t="s">
        <v>598</v>
      </c>
      <c r="KNE143" s="15" t="s">
        <v>598</v>
      </c>
      <c r="KNF143" s="15" t="s">
        <v>598</v>
      </c>
      <c r="KNG143" s="15" t="s">
        <v>598</v>
      </c>
      <c r="KNH143" s="15" t="s">
        <v>598</v>
      </c>
      <c r="KNI143" s="15" t="s">
        <v>598</v>
      </c>
      <c r="KNJ143" s="15" t="s">
        <v>598</v>
      </c>
      <c r="KNK143" s="15" t="s">
        <v>598</v>
      </c>
      <c r="KNL143" s="15" t="s">
        <v>598</v>
      </c>
      <c r="KNM143" s="15" t="s">
        <v>598</v>
      </c>
      <c r="KNN143" s="15" t="s">
        <v>598</v>
      </c>
      <c r="KNO143" s="15" t="s">
        <v>598</v>
      </c>
      <c r="KNP143" s="15" t="s">
        <v>598</v>
      </c>
      <c r="KNQ143" s="15" t="s">
        <v>598</v>
      </c>
      <c r="KNR143" s="15" t="s">
        <v>598</v>
      </c>
      <c r="KNS143" s="15" t="s">
        <v>598</v>
      </c>
      <c r="KNT143" s="15" t="s">
        <v>598</v>
      </c>
      <c r="KNU143" s="15" t="s">
        <v>598</v>
      </c>
      <c r="KNV143" s="15" t="s">
        <v>598</v>
      </c>
      <c r="KNW143" s="15" t="s">
        <v>598</v>
      </c>
      <c r="KNX143" s="15" t="s">
        <v>598</v>
      </c>
      <c r="KNY143" s="15" t="s">
        <v>598</v>
      </c>
      <c r="KNZ143" s="15" t="s">
        <v>598</v>
      </c>
      <c r="KOA143" s="15" t="s">
        <v>598</v>
      </c>
      <c r="KOB143" s="15" t="s">
        <v>598</v>
      </c>
      <c r="KOC143" s="15" t="s">
        <v>598</v>
      </c>
      <c r="KOD143" s="15" t="s">
        <v>598</v>
      </c>
      <c r="KOE143" s="15" t="s">
        <v>598</v>
      </c>
      <c r="KOF143" s="15" t="s">
        <v>598</v>
      </c>
      <c r="KOG143" s="15" t="s">
        <v>598</v>
      </c>
      <c r="KOH143" s="15" t="s">
        <v>598</v>
      </c>
      <c r="KOI143" s="15" t="s">
        <v>598</v>
      </c>
      <c r="KOJ143" s="15" t="s">
        <v>598</v>
      </c>
      <c r="KOK143" s="15" t="s">
        <v>598</v>
      </c>
      <c r="KOL143" s="15" t="s">
        <v>598</v>
      </c>
      <c r="KOM143" s="15" t="s">
        <v>598</v>
      </c>
      <c r="KON143" s="15" t="s">
        <v>598</v>
      </c>
      <c r="KOO143" s="15" t="s">
        <v>598</v>
      </c>
      <c r="KOP143" s="15" t="s">
        <v>598</v>
      </c>
      <c r="KOQ143" s="15" t="s">
        <v>598</v>
      </c>
      <c r="KOR143" s="15" t="s">
        <v>598</v>
      </c>
      <c r="KOS143" s="15" t="s">
        <v>598</v>
      </c>
      <c r="KOT143" s="15" t="s">
        <v>598</v>
      </c>
      <c r="KOU143" s="15" t="s">
        <v>598</v>
      </c>
      <c r="KOV143" s="15" t="s">
        <v>598</v>
      </c>
      <c r="KOW143" s="15" t="s">
        <v>598</v>
      </c>
      <c r="KOX143" s="15" t="s">
        <v>598</v>
      </c>
      <c r="KOY143" s="15" t="s">
        <v>598</v>
      </c>
      <c r="KOZ143" s="15" t="s">
        <v>598</v>
      </c>
      <c r="KPA143" s="15" t="s">
        <v>598</v>
      </c>
      <c r="KPB143" s="15" t="s">
        <v>598</v>
      </c>
      <c r="KPC143" s="15" t="s">
        <v>598</v>
      </c>
      <c r="KPD143" s="15" t="s">
        <v>598</v>
      </c>
      <c r="KPE143" s="15" t="s">
        <v>598</v>
      </c>
      <c r="KPF143" s="15" t="s">
        <v>598</v>
      </c>
      <c r="KPG143" s="15" t="s">
        <v>598</v>
      </c>
      <c r="KPH143" s="15" t="s">
        <v>598</v>
      </c>
      <c r="KPI143" s="15" t="s">
        <v>598</v>
      </c>
      <c r="KPJ143" s="15" t="s">
        <v>598</v>
      </c>
      <c r="KPK143" s="15" t="s">
        <v>598</v>
      </c>
      <c r="KPL143" s="15" t="s">
        <v>598</v>
      </c>
      <c r="KPM143" s="15" t="s">
        <v>598</v>
      </c>
      <c r="KPN143" s="15" t="s">
        <v>598</v>
      </c>
      <c r="KPO143" s="15" t="s">
        <v>598</v>
      </c>
      <c r="KPP143" s="15" t="s">
        <v>598</v>
      </c>
      <c r="KPQ143" s="15" t="s">
        <v>598</v>
      </c>
      <c r="KPR143" s="15" t="s">
        <v>598</v>
      </c>
      <c r="KPS143" s="15" t="s">
        <v>598</v>
      </c>
      <c r="KPT143" s="15" t="s">
        <v>598</v>
      </c>
      <c r="KPU143" s="15" t="s">
        <v>598</v>
      </c>
      <c r="KPV143" s="15" t="s">
        <v>598</v>
      </c>
      <c r="KPW143" s="15" t="s">
        <v>598</v>
      </c>
      <c r="KPX143" s="15" t="s">
        <v>598</v>
      </c>
      <c r="KPY143" s="15" t="s">
        <v>598</v>
      </c>
      <c r="KPZ143" s="15" t="s">
        <v>598</v>
      </c>
      <c r="KQA143" s="15" t="s">
        <v>598</v>
      </c>
      <c r="KQB143" s="15" t="s">
        <v>598</v>
      </c>
      <c r="KQC143" s="15" t="s">
        <v>598</v>
      </c>
      <c r="KQD143" s="15" t="s">
        <v>598</v>
      </c>
      <c r="KQE143" s="15" t="s">
        <v>598</v>
      </c>
      <c r="KQF143" s="15" t="s">
        <v>598</v>
      </c>
      <c r="KQG143" s="15" t="s">
        <v>598</v>
      </c>
      <c r="KQH143" s="15" t="s">
        <v>598</v>
      </c>
      <c r="KQI143" s="15" t="s">
        <v>598</v>
      </c>
      <c r="KQJ143" s="15" t="s">
        <v>598</v>
      </c>
      <c r="KQK143" s="15" t="s">
        <v>598</v>
      </c>
      <c r="KQL143" s="15" t="s">
        <v>598</v>
      </c>
      <c r="KQM143" s="15" t="s">
        <v>598</v>
      </c>
      <c r="KQN143" s="15" t="s">
        <v>598</v>
      </c>
      <c r="KQO143" s="15" t="s">
        <v>598</v>
      </c>
      <c r="KQP143" s="15" t="s">
        <v>598</v>
      </c>
      <c r="KQQ143" s="15" t="s">
        <v>598</v>
      </c>
      <c r="KQR143" s="15" t="s">
        <v>598</v>
      </c>
      <c r="KQS143" s="15" t="s">
        <v>598</v>
      </c>
      <c r="KQT143" s="15" t="s">
        <v>598</v>
      </c>
      <c r="KQU143" s="15" t="s">
        <v>598</v>
      </c>
      <c r="KQV143" s="15" t="s">
        <v>598</v>
      </c>
      <c r="KQW143" s="15" t="s">
        <v>598</v>
      </c>
      <c r="KQX143" s="15" t="s">
        <v>598</v>
      </c>
      <c r="KQY143" s="15" t="s">
        <v>598</v>
      </c>
      <c r="KQZ143" s="15" t="s">
        <v>598</v>
      </c>
      <c r="KRA143" s="15" t="s">
        <v>598</v>
      </c>
      <c r="KRB143" s="15" t="s">
        <v>598</v>
      </c>
      <c r="KRC143" s="15" t="s">
        <v>598</v>
      </c>
      <c r="KRD143" s="15" t="s">
        <v>598</v>
      </c>
      <c r="KRE143" s="15" t="s">
        <v>598</v>
      </c>
      <c r="KRF143" s="15" t="s">
        <v>598</v>
      </c>
      <c r="KRG143" s="15" t="s">
        <v>598</v>
      </c>
      <c r="KRH143" s="15" t="s">
        <v>598</v>
      </c>
      <c r="KRI143" s="15" t="s">
        <v>598</v>
      </c>
      <c r="KRJ143" s="15" t="s">
        <v>598</v>
      </c>
      <c r="KRK143" s="15" t="s">
        <v>598</v>
      </c>
      <c r="KRL143" s="15" t="s">
        <v>598</v>
      </c>
      <c r="KRM143" s="15" t="s">
        <v>598</v>
      </c>
      <c r="KRN143" s="15" t="s">
        <v>598</v>
      </c>
      <c r="KRO143" s="15" t="s">
        <v>598</v>
      </c>
      <c r="KRP143" s="15" t="s">
        <v>598</v>
      </c>
      <c r="KRQ143" s="15" t="s">
        <v>598</v>
      </c>
      <c r="KRR143" s="15" t="s">
        <v>598</v>
      </c>
      <c r="KRS143" s="15" t="s">
        <v>598</v>
      </c>
      <c r="KRT143" s="15" t="s">
        <v>598</v>
      </c>
      <c r="KRU143" s="15" t="s">
        <v>598</v>
      </c>
      <c r="KRV143" s="15" t="s">
        <v>598</v>
      </c>
      <c r="KRW143" s="15" t="s">
        <v>598</v>
      </c>
      <c r="KRX143" s="15" t="s">
        <v>598</v>
      </c>
      <c r="KRY143" s="15" t="s">
        <v>598</v>
      </c>
      <c r="KRZ143" s="15" t="s">
        <v>598</v>
      </c>
      <c r="KSA143" s="15" t="s">
        <v>598</v>
      </c>
      <c r="KSB143" s="15" t="s">
        <v>598</v>
      </c>
      <c r="KSC143" s="15" t="s">
        <v>598</v>
      </c>
      <c r="KSD143" s="15" t="s">
        <v>598</v>
      </c>
      <c r="KSE143" s="15" t="s">
        <v>598</v>
      </c>
      <c r="KSF143" s="15" t="s">
        <v>598</v>
      </c>
      <c r="KSG143" s="15" t="s">
        <v>598</v>
      </c>
      <c r="KSH143" s="15" t="s">
        <v>598</v>
      </c>
      <c r="KSI143" s="15" t="s">
        <v>598</v>
      </c>
      <c r="KSJ143" s="15" t="s">
        <v>598</v>
      </c>
      <c r="KSK143" s="15" t="s">
        <v>598</v>
      </c>
      <c r="KSL143" s="15" t="s">
        <v>598</v>
      </c>
      <c r="KSM143" s="15" t="s">
        <v>598</v>
      </c>
      <c r="KSN143" s="15" t="s">
        <v>598</v>
      </c>
      <c r="KSO143" s="15" t="s">
        <v>598</v>
      </c>
      <c r="KSP143" s="15" t="s">
        <v>598</v>
      </c>
      <c r="KSQ143" s="15" t="s">
        <v>598</v>
      </c>
      <c r="KSR143" s="15" t="s">
        <v>598</v>
      </c>
      <c r="KSS143" s="15" t="s">
        <v>598</v>
      </c>
      <c r="KST143" s="15" t="s">
        <v>598</v>
      </c>
      <c r="KSU143" s="15" t="s">
        <v>598</v>
      </c>
      <c r="KSV143" s="15" t="s">
        <v>598</v>
      </c>
      <c r="KSW143" s="15" t="s">
        <v>598</v>
      </c>
      <c r="KSX143" s="15" t="s">
        <v>598</v>
      </c>
      <c r="KSY143" s="15" t="s">
        <v>598</v>
      </c>
      <c r="KSZ143" s="15" t="s">
        <v>598</v>
      </c>
      <c r="KTA143" s="15" t="s">
        <v>598</v>
      </c>
      <c r="KTB143" s="15" t="s">
        <v>598</v>
      </c>
      <c r="KTC143" s="15" t="s">
        <v>598</v>
      </c>
      <c r="KTD143" s="15" t="s">
        <v>598</v>
      </c>
      <c r="KTE143" s="15" t="s">
        <v>598</v>
      </c>
      <c r="KTF143" s="15" t="s">
        <v>598</v>
      </c>
      <c r="KTG143" s="15" t="s">
        <v>598</v>
      </c>
      <c r="KTH143" s="15" t="s">
        <v>598</v>
      </c>
      <c r="KTI143" s="15" t="s">
        <v>598</v>
      </c>
      <c r="KTJ143" s="15" t="s">
        <v>598</v>
      </c>
      <c r="KTK143" s="15" t="s">
        <v>598</v>
      </c>
      <c r="KTL143" s="15" t="s">
        <v>598</v>
      </c>
      <c r="KTM143" s="15" t="s">
        <v>598</v>
      </c>
      <c r="KTN143" s="15" t="s">
        <v>598</v>
      </c>
      <c r="KTO143" s="15" t="s">
        <v>598</v>
      </c>
      <c r="KTP143" s="15" t="s">
        <v>598</v>
      </c>
      <c r="KTQ143" s="15" t="s">
        <v>598</v>
      </c>
      <c r="KTR143" s="15" t="s">
        <v>598</v>
      </c>
      <c r="KTS143" s="15" t="s">
        <v>598</v>
      </c>
      <c r="KTT143" s="15" t="s">
        <v>598</v>
      </c>
      <c r="KTU143" s="15" t="s">
        <v>598</v>
      </c>
      <c r="KTV143" s="15" t="s">
        <v>598</v>
      </c>
      <c r="KTW143" s="15" t="s">
        <v>598</v>
      </c>
      <c r="KTX143" s="15" t="s">
        <v>598</v>
      </c>
      <c r="KTY143" s="15" t="s">
        <v>598</v>
      </c>
      <c r="KTZ143" s="15" t="s">
        <v>598</v>
      </c>
      <c r="KUA143" s="15" t="s">
        <v>598</v>
      </c>
      <c r="KUB143" s="15" t="s">
        <v>598</v>
      </c>
      <c r="KUC143" s="15" t="s">
        <v>598</v>
      </c>
      <c r="KUD143" s="15" t="s">
        <v>598</v>
      </c>
      <c r="KUE143" s="15" t="s">
        <v>598</v>
      </c>
      <c r="KUF143" s="15" t="s">
        <v>598</v>
      </c>
      <c r="KUG143" s="15" t="s">
        <v>598</v>
      </c>
      <c r="KUH143" s="15" t="s">
        <v>598</v>
      </c>
      <c r="KUI143" s="15" t="s">
        <v>598</v>
      </c>
      <c r="KUJ143" s="15" t="s">
        <v>598</v>
      </c>
      <c r="KUK143" s="15" t="s">
        <v>598</v>
      </c>
      <c r="KUL143" s="15" t="s">
        <v>598</v>
      </c>
      <c r="KUM143" s="15" t="s">
        <v>598</v>
      </c>
      <c r="KUN143" s="15" t="s">
        <v>598</v>
      </c>
      <c r="KUO143" s="15" t="s">
        <v>598</v>
      </c>
      <c r="KUP143" s="15" t="s">
        <v>598</v>
      </c>
      <c r="KUQ143" s="15" t="s">
        <v>598</v>
      </c>
      <c r="KUR143" s="15" t="s">
        <v>598</v>
      </c>
      <c r="KUS143" s="15" t="s">
        <v>598</v>
      </c>
      <c r="KUT143" s="15" t="s">
        <v>598</v>
      </c>
      <c r="KUU143" s="15" t="s">
        <v>598</v>
      </c>
      <c r="KUV143" s="15" t="s">
        <v>598</v>
      </c>
      <c r="KUW143" s="15" t="s">
        <v>598</v>
      </c>
      <c r="KUX143" s="15" t="s">
        <v>598</v>
      </c>
      <c r="KUY143" s="15" t="s">
        <v>598</v>
      </c>
      <c r="KUZ143" s="15" t="s">
        <v>598</v>
      </c>
      <c r="KVA143" s="15" t="s">
        <v>598</v>
      </c>
      <c r="KVB143" s="15" t="s">
        <v>598</v>
      </c>
      <c r="KVC143" s="15" t="s">
        <v>598</v>
      </c>
      <c r="KVD143" s="15" t="s">
        <v>598</v>
      </c>
      <c r="KVE143" s="15" t="s">
        <v>598</v>
      </c>
      <c r="KVF143" s="15" t="s">
        <v>598</v>
      </c>
      <c r="KVG143" s="15" t="s">
        <v>598</v>
      </c>
      <c r="KVH143" s="15" t="s">
        <v>598</v>
      </c>
      <c r="KVI143" s="15" t="s">
        <v>598</v>
      </c>
      <c r="KVJ143" s="15" t="s">
        <v>598</v>
      </c>
      <c r="KVK143" s="15" t="s">
        <v>598</v>
      </c>
      <c r="KVL143" s="15" t="s">
        <v>598</v>
      </c>
      <c r="KVM143" s="15" t="s">
        <v>598</v>
      </c>
      <c r="KVN143" s="15" t="s">
        <v>598</v>
      </c>
      <c r="KVO143" s="15" t="s">
        <v>598</v>
      </c>
      <c r="KVP143" s="15" t="s">
        <v>598</v>
      </c>
      <c r="KVQ143" s="15" t="s">
        <v>598</v>
      </c>
      <c r="KVR143" s="15" t="s">
        <v>598</v>
      </c>
      <c r="KVS143" s="15" t="s">
        <v>598</v>
      </c>
      <c r="KVT143" s="15" t="s">
        <v>598</v>
      </c>
      <c r="KVU143" s="15" t="s">
        <v>598</v>
      </c>
      <c r="KVV143" s="15" t="s">
        <v>598</v>
      </c>
      <c r="KVW143" s="15" t="s">
        <v>598</v>
      </c>
      <c r="KVX143" s="15" t="s">
        <v>598</v>
      </c>
      <c r="KVY143" s="15" t="s">
        <v>598</v>
      </c>
      <c r="KVZ143" s="15" t="s">
        <v>598</v>
      </c>
      <c r="KWA143" s="15" t="s">
        <v>598</v>
      </c>
      <c r="KWB143" s="15" t="s">
        <v>598</v>
      </c>
      <c r="KWC143" s="15" t="s">
        <v>598</v>
      </c>
      <c r="KWD143" s="15" t="s">
        <v>598</v>
      </c>
      <c r="KWE143" s="15" t="s">
        <v>598</v>
      </c>
      <c r="KWF143" s="15" t="s">
        <v>598</v>
      </c>
      <c r="KWG143" s="15" t="s">
        <v>598</v>
      </c>
      <c r="KWH143" s="15" t="s">
        <v>598</v>
      </c>
      <c r="KWI143" s="15" t="s">
        <v>598</v>
      </c>
      <c r="KWJ143" s="15" t="s">
        <v>598</v>
      </c>
      <c r="KWK143" s="15" t="s">
        <v>598</v>
      </c>
      <c r="KWL143" s="15" t="s">
        <v>598</v>
      </c>
      <c r="KWM143" s="15" t="s">
        <v>598</v>
      </c>
      <c r="KWN143" s="15" t="s">
        <v>598</v>
      </c>
      <c r="KWO143" s="15" t="s">
        <v>598</v>
      </c>
      <c r="KWP143" s="15" t="s">
        <v>598</v>
      </c>
      <c r="KWQ143" s="15" t="s">
        <v>598</v>
      </c>
      <c r="KWR143" s="15" t="s">
        <v>598</v>
      </c>
      <c r="KWS143" s="15" t="s">
        <v>598</v>
      </c>
      <c r="KWT143" s="15" t="s">
        <v>598</v>
      </c>
      <c r="KWU143" s="15" t="s">
        <v>598</v>
      </c>
      <c r="KWV143" s="15" t="s">
        <v>598</v>
      </c>
      <c r="KWW143" s="15" t="s">
        <v>598</v>
      </c>
      <c r="KWX143" s="15" t="s">
        <v>598</v>
      </c>
      <c r="KWY143" s="15" t="s">
        <v>598</v>
      </c>
      <c r="KWZ143" s="15" t="s">
        <v>598</v>
      </c>
      <c r="KXA143" s="15" t="s">
        <v>598</v>
      </c>
      <c r="KXB143" s="15" t="s">
        <v>598</v>
      </c>
      <c r="KXC143" s="15" t="s">
        <v>598</v>
      </c>
      <c r="KXD143" s="15" t="s">
        <v>598</v>
      </c>
      <c r="KXE143" s="15" t="s">
        <v>598</v>
      </c>
      <c r="KXF143" s="15" t="s">
        <v>598</v>
      </c>
      <c r="KXG143" s="15" t="s">
        <v>598</v>
      </c>
      <c r="KXH143" s="15" t="s">
        <v>598</v>
      </c>
      <c r="KXI143" s="15" t="s">
        <v>598</v>
      </c>
      <c r="KXJ143" s="15" t="s">
        <v>598</v>
      </c>
      <c r="KXK143" s="15" t="s">
        <v>598</v>
      </c>
      <c r="KXL143" s="15" t="s">
        <v>598</v>
      </c>
      <c r="KXM143" s="15" t="s">
        <v>598</v>
      </c>
      <c r="KXN143" s="15" t="s">
        <v>598</v>
      </c>
      <c r="KXO143" s="15" t="s">
        <v>598</v>
      </c>
      <c r="KXP143" s="15" t="s">
        <v>598</v>
      </c>
      <c r="KXQ143" s="15" t="s">
        <v>598</v>
      </c>
      <c r="KXR143" s="15" t="s">
        <v>598</v>
      </c>
      <c r="KXS143" s="15" t="s">
        <v>598</v>
      </c>
      <c r="KXT143" s="15" t="s">
        <v>598</v>
      </c>
      <c r="KXU143" s="15" t="s">
        <v>598</v>
      </c>
      <c r="KXV143" s="15" t="s">
        <v>598</v>
      </c>
      <c r="KXW143" s="15" t="s">
        <v>598</v>
      </c>
      <c r="KXX143" s="15" t="s">
        <v>598</v>
      </c>
      <c r="KXY143" s="15" t="s">
        <v>598</v>
      </c>
      <c r="KXZ143" s="15" t="s">
        <v>598</v>
      </c>
      <c r="KYA143" s="15" t="s">
        <v>598</v>
      </c>
      <c r="KYB143" s="15" t="s">
        <v>598</v>
      </c>
      <c r="KYC143" s="15" t="s">
        <v>598</v>
      </c>
      <c r="KYD143" s="15" t="s">
        <v>598</v>
      </c>
      <c r="KYE143" s="15" t="s">
        <v>598</v>
      </c>
      <c r="KYF143" s="15" t="s">
        <v>598</v>
      </c>
      <c r="KYG143" s="15" t="s">
        <v>598</v>
      </c>
      <c r="KYH143" s="15" t="s">
        <v>598</v>
      </c>
      <c r="KYI143" s="15" t="s">
        <v>598</v>
      </c>
      <c r="KYJ143" s="15" t="s">
        <v>598</v>
      </c>
      <c r="KYK143" s="15" t="s">
        <v>598</v>
      </c>
      <c r="KYL143" s="15" t="s">
        <v>598</v>
      </c>
      <c r="KYM143" s="15" t="s">
        <v>598</v>
      </c>
      <c r="KYN143" s="15" t="s">
        <v>598</v>
      </c>
      <c r="KYO143" s="15" t="s">
        <v>598</v>
      </c>
      <c r="KYP143" s="15" t="s">
        <v>598</v>
      </c>
      <c r="KYQ143" s="15" t="s">
        <v>598</v>
      </c>
      <c r="KYR143" s="15" t="s">
        <v>598</v>
      </c>
      <c r="KYS143" s="15" t="s">
        <v>598</v>
      </c>
      <c r="KYT143" s="15" t="s">
        <v>598</v>
      </c>
      <c r="KYU143" s="15" t="s">
        <v>598</v>
      </c>
      <c r="KYV143" s="15" t="s">
        <v>598</v>
      </c>
      <c r="KYW143" s="15" t="s">
        <v>598</v>
      </c>
      <c r="KYX143" s="15" t="s">
        <v>598</v>
      </c>
      <c r="KYY143" s="15" t="s">
        <v>598</v>
      </c>
      <c r="KYZ143" s="15" t="s">
        <v>598</v>
      </c>
      <c r="KZA143" s="15" t="s">
        <v>598</v>
      </c>
      <c r="KZB143" s="15" t="s">
        <v>598</v>
      </c>
      <c r="KZC143" s="15" t="s">
        <v>598</v>
      </c>
      <c r="KZD143" s="15" t="s">
        <v>598</v>
      </c>
      <c r="KZE143" s="15" t="s">
        <v>598</v>
      </c>
      <c r="KZF143" s="15" t="s">
        <v>598</v>
      </c>
      <c r="KZG143" s="15" t="s">
        <v>598</v>
      </c>
      <c r="KZH143" s="15" t="s">
        <v>598</v>
      </c>
      <c r="KZI143" s="15" t="s">
        <v>598</v>
      </c>
      <c r="KZJ143" s="15" t="s">
        <v>598</v>
      </c>
      <c r="KZK143" s="15" t="s">
        <v>598</v>
      </c>
      <c r="KZL143" s="15" t="s">
        <v>598</v>
      </c>
      <c r="KZM143" s="15" t="s">
        <v>598</v>
      </c>
      <c r="KZN143" s="15" t="s">
        <v>598</v>
      </c>
      <c r="KZO143" s="15" t="s">
        <v>598</v>
      </c>
      <c r="KZP143" s="15" t="s">
        <v>598</v>
      </c>
      <c r="KZQ143" s="15" t="s">
        <v>598</v>
      </c>
      <c r="KZR143" s="15" t="s">
        <v>598</v>
      </c>
      <c r="KZS143" s="15" t="s">
        <v>598</v>
      </c>
      <c r="KZT143" s="15" t="s">
        <v>598</v>
      </c>
      <c r="KZU143" s="15" t="s">
        <v>598</v>
      </c>
      <c r="KZV143" s="15" t="s">
        <v>598</v>
      </c>
      <c r="KZW143" s="15" t="s">
        <v>598</v>
      </c>
      <c r="KZX143" s="15" t="s">
        <v>598</v>
      </c>
      <c r="KZY143" s="15" t="s">
        <v>598</v>
      </c>
      <c r="KZZ143" s="15" t="s">
        <v>598</v>
      </c>
      <c r="LAA143" s="15" t="s">
        <v>598</v>
      </c>
      <c r="LAB143" s="15" t="s">
        <v>598</v>
      </c>
      <c r="LAC143" s="15" t="s">
        <v>598</v>
      </c>
      <c r="LAD143" s="15" t="s">
        <v>598</v>
      </c>
      <c r="LAE143" s="15" t="s">
        <v>598</v>
      </c>
      <c r="LAF143" s="15" t="s">
        <v>598</v>
      </c>
      <c r="LAG143" s="15" t="s">
        <v>598</v>
      </c>
      <c r="LAH143" s="15" t="s">
        <v>598</v>
      </c>
      <c r="LAI143" s="15" t="s">
        <v>598</v>
      </c>
      <c r="LAJ143" s="15" t="s">
        <v>598</v>
      </c>
      <c r="LAK143" s="15" t="s">
        <v>598</v>
      </c>
      <c r="LAL143" s="15" t="s">
        <v>598</v>
      </c>
      <c r="LAM143" s="15" t="s">
        <v>598</v>
      </c>
      <c r="LAN143" s="15" t="s">
        <v>598</v>
      </c>
      <c r="LAO143" s="15" t="s">
        <v>598</v>
      </c>
      <c r="LAP143" s="15" t="s">
        <v>598</v>
      </c>
      <c r="LAQ143" s="15" t="s">
        <v>598</v>
      </c>
      <c r="LAR143" s="15" t="s">
        <v>598</v>
      </c>
      <c r="LAS143" s="15" t="s">
        <v>598</v>
      </c>
      <c r="LAT143" s="15" t="s">
        <v>598</v>
      </c>
      <c r="LAU143" s="15" t="s">
        <v>598</v>
      </c>
      <c r="LAV143" s="15" t="s">
        <v>598</v>
      </c>
      <c r="LAW143" s="15" t="s">
        <v>598</v>
      </c>
      <c r="LAX143" s="15" t="s">
        <v>598</v>
      </c>
      <c r="LAY143" s="15" t="s">
        <v>598</v>
      </c>
      <c r="LAZ143" s="15" t="s">
        <v>598</v>
      </c>
      <c r="LBA143" s="15" t="s">
        <v>598</v>
      </c>
      <c r="LBB143" s="15" t="s">
        <v>598</v>
      </c>
      <c r="LBC143" s="15" t="s">
        <v>598</v>
      </c>
      <c r="LBD143" s="15" t="s">
        <v>598</v>
      </c>
      <c r="LBE143" s="15" t="s">
        <v>598</v>
      </c>
      <c r="LBF143" s="15" t="s">
        <v>598</v>
      </c>
      <c r="LBG143" s="15" t="s">
        <v>598</v>
      </c>
      <c r="LBH143" s="15" t="s">
        <v>598</v>
      </c>
      <c r="LBI143" s="15" t="s">
        <v>598</v>
      </c>
      <c r="LBJ143" s="15" t="s">
        <v>598</v>
      </c>
      <c r="LBK143" s="15" t="s">
        <v>598</v>
      </c>
      <c r="LBL143" s="15" t="s">
        <v>598</v>
      </c>
      <c r="LBM143" s="15" t="s">
        <v>598</v>
      </c>
      <c r="LBN143" s="15" t="s">
        <v>598</v>
      </c>
      <c r="LBO143" s="15" t="s">
        <v>598</v>
      </c>
      <c r="LBP143" s="15" t="s">
        <v>598</v>
      </c>
      <c r="LBQ143" s="15" t="s">
        <v>598</v>
      </c>
      <c r="LBR143" s="15" t="s">
        <v>598</v>
      </c>
      <c r="LBS143" s="15" t="s">
        <v>598</v>
      </c>
      <c r="LBT143" s="15" t="s">
        <v>598</v>
      </c>
      <c r="LBU143" s="15" t="s">
        <v>598</v>
      </c>
      <c r="LBV143" s="15" t="s">
        <v>598</v>
      </c>
      <c r="LBW143" s="15" t="s">
        <v>598</v>
      </c>
      <c r="LBX143" s="15" t="s">
        <v>598</v>
      </c>
      <c r="LBY143" s="15" t="s">
        <v>598</v>
      </c>
      <c r="LBZ143" s="15" t="s">
        <v>598</v>
      </c>
      <c r="LCA143" s="15" t="s">
        <v>598</v>
      </c>
      <c r="LCB143" s="15" t="s">
        <v>598</v>
      </c>
      <c r="LCC143" s="15" t="s">
        <v>598</v>
      </c>
      <c r="LCD143" s="15" t="s">
        <v>598</v>
      </c>
      <c r="LCE143" s="15" t="s">
        <v>598</v>
      </c>
      <c r="LCF143" s="15" t="s">
        <v>598</v>
      </c>
      <c r="LCG143" s="15" t="s">
        <v>598</v>
      </c>
      <c r="LCH143" s="15" t="s">
        <v>598</v>
      </c>
      <c r="LCI143" s="15" t="s">
        <v>598</v>
      </c>
      <c r="LCJ143" s="15" t="s">
        <v>598</v>
      </c>
      <c r="LCK143" s="15" t="s">
        <v>598</v>
      </c>
      <c r="LCL143" s="15" t="s">
        <v>598</v>
      </c>
      <c r="LCM143" s="15" t="s">
        <v>598</v>
      </c>
      <c r="LCN143" s="15" t="s">
        <v>598</v>
      </c>
      <c r="LCO143" s="15" t="s">
        <v>598</v>
      </c>
      <c r="LCP143" s="15" t="s">
        <v>598</v>
      </c>
      <c r="LCQ143" s="15" t="s">
        <v>598</v>
      </c>
      <c r="LCR143" s="15" t="s">
        <v>598</v>
      </c>
      <c r="LCS143" s="15" t="s">
        <v>598</v>
      </c>
      <c r="LCT143" s="15" t="s">
        <v>598</v>
      </c>
      <c r="LCU143" s="15" t="s">
        <v>598</v>
      </c>
      <c r="LCV143" s="15" t="s">
        <v>598</v>
      </c>
      <c r="LCW143" s="15" t="s">
        <v>598</v>
      </c>
      <c r="LCX143" s="15" t="s">
        <v>598</v>
      </c>
      <c r="LCY143" s="15" t="s">
        <v>598</v>
      </c>
      <c r="LCZ143" s="15" t="s">
        <v>598</v>
      </c>
      <c r="LDA143" s="15" t="s">
        <v>598</v>
      </c>
      <c r="LDB143" s="15" t="s">
        <v>598</v>
      </c>
      <c r="LDC143" s="15" t="s">
        <v>598</v>
      </c>
      <c r="LDD143" s="15" t="s">
        <v>598</v>
      </c>
      <c r="LDE143" s="15" t="s">
        <v>598</v>
      </c>
      <c r="LDF143" s="15" t="s">
        <v>598</v>
      </c>
      <c r="LDG143" s="15" t="s">
        <v>598</v>
      </c>
      <c r="LDH143" s="15" t="s">
        <v>598</v>
      </c>
      <c r="LDI143" s="15" t="s">
        <v>598</v>
      </c>
      <c r="LDJ143" s="15" t="s">
        <v>598</v>
      </c>
      <c r="LDK143" s="15" t="s">
        <v>598</v>
      </c>
      <c r="LDL143" s="15" t="s">
        <v>598</v>
      </c>
      <c r="LDM143" s="15" t="s">
        <v>598</v>
      </c>
      <c r="LDN143" s="15" t="s">
        <v>598</v>
      </c>
      <c r="LDO143" s="15" t="s">
        <v>598</v>
      </c>
      <c r="LDP143" s="15" t="s">
        <v>598</v>
      </c>
      <c r="LDQ143" s="15" t="s">
        <v>598</v>
      </c>
      <c r="LDR143" s="15" t="s">
        <v>598</v>
      </c>
      <c r="LDS143" s="15" t="s">
        <v>598</v>
      </c>
      <c r="LDT143" s="15" t="s">
        <v>598</v>
      </c>
      <c r="LDU143" s="15" t="s">
        <v>598</v>
      </c>
      <c r="LDV143" s="15" t="s">
        <v>598</v>
      </c>
      <c r="LDW143" s="15" t="s">
        <v>598</v>
      </c>
      <c r="LDX143" s="15" t="s">
        <v>598</v>
      </c>
      <c r="LDY143" s="15" t="s">
        <v>598</v>
      </c>
      <c r="LDZ143" s="15" t="s">
        <v>598</v>
      </c>
      <c r="LEA143" s="15" t="s">
        <v>598</v>
      </c>
      <c r="LEB143" s="15" t="s">
        <v>598</v>
      </c>
      <c r="LEC143" s="15" t="s">
        <v>598</v>
      </c>
      <c r="LED143" s="15" t="s">
        <v>598</v>
      </c>
      <c r="LEE143" s="15" t="s">
        <v>598</v>
      </c>
      <c r="LEF143" s="15" t="s">
        <v>598</v>
      </c>
      <c r="LEG143" s="15" t="s">
        <v>598</v>
      </c>
      <c r="LEH143" s="15" t="s">
        <v>598</v>
      </c>
      <c r="LEI143" s="15" t="s">
        <v>598</v>
      </c>
      <c r="LEJ143" s="15" t="s">
        <v>598</v>
      </c>
      <c r="LEK143" s="15" t="s">
        <v>598</v>
      </c>
      <c r="LEL143" s="15" t="s">
        <v>598</v>
      </c>
      <c r="LEM143" s="15" t="s">
        <v>598</v>
      </c>
      <c r="LEN143" s="15" t="s">
        <v>598</v>
      </c>
      <c r="LEO143" s="15" t="s">
        <v>598</v>
      </c>
      <c r="LEP143" s="15" t="s">
        <v>598</v>
      </c>
      <c r="LEQ143" s="15" t="s">
        <v>598</v>
      </c>
      <c r="LER143" s="15" t="s">
        <v>598</v>
      </c>
      <c r="LES143" s="15" t="s">
        <v>598</v>
      </c>
      <c r="LET143" s="15" t="s">
        <v>598</v>
      </c>
      <c r="LEU143" s="15" t="s">
        <v>598</v>
      </c>
      <c r="LEV143" s="15" t="s">
        <v>598</v>
      </c>
      <c r="LEW143" s="15" t="s">
        <v>598</v>
      </c>
      <c r="LEX143" s="15" t="s">
        <v>598</v>
      </c>
      <c r="LEY143" s="15" t="s">
        <v>598</v>
      </c>
      <c r="LEZ143" s="15" t="s">
        <v>598</v>
      </c>
      <c r="LFA143" s="15" t="s">
        <v>598</v>
      </c>
      <c r="LFB143" s="15" t="s">
        <v>598</v>
      </c>
      <c r="LFC143" s="15" t="s">
        <v>598</v>
      </c>
      <c r="LFD143" s="15" t="s">
        <v>598</v>
      </c>
      <c r="LFE143" s="15" t="s">
        <v>598</v>
      </c>
      <c r="LFF143" s="15" t="s">
        <v>598</v>
      </c>
      <c r="LFG143" s="15" t="s">
        <v>598</v>
      </c>
      <c r="LFH143" s="15" t="s">
        <v>598</v>
      </c>
      <c r="LFI143" s="15" t="s">
        <v>598</v>
      </c>
      <c r="LFJ143" s="15" t="s">
        <v>598</v>
      </c>
      <c r="LFK143" s="15" t="s">
        <v>598</v>
      </c>
      <c r="LFL143" s="15" t="s">
        <v>598</v>
      </c>
      <c r="LFM143" s="15" t="s">
        <v>598</v>
      </c>
      <c r="LFN143" s="15" t="s">
        <v>598</v>
      </c>
      <c r="LFO143" s="15" t="s">
        <v>598</v>
      </c>
      <c r="LFP143" s="15" t="s">
        <v>598</v>
      </c>
      <c r="LFQ143" s="15" t="s">
        <v>598</v>
      </c>
      <c r="LFR143" s="15" t="s">
        <v>598</v>
      </c>
      <c r="LFS143" s="15" t="s">
        <v>598</v>
      </c>
      <c r="LFT143" s="15" t="s">
        <v>598</v>
      </c>
      <c r="LFU143" s="15" t="s">
        <v>598</v>
      </c>
      <c r="LFV143" s="15" t="s">
        <v>598</v>
      </c>
      <c r="LFW143" s="15" t="s">
        <v>598</v>
      </c>
      <c r="LFX143" s="15" t="s">
        <v>598</v>
      </c>
      <c r="LFY143" s="15" t="s">
        <v>598</v>
      </c>
      <c r="LFZ143" s="15" t="s">
        <v>598</v>
      </c>
      <c r="LGA143" s="15" t="s">
        <v>598</v>
      </c>
      <c r="LGB143" s="15" t="s">
        <v>598</v>
      </c>
      <c r="LGC143" s="15" t="s">
        <v>598</v>
      </c>
      <c r="LGD143" s="15" t="s">
        <v>598</v>
      </c>
      <c r="LGE143" s="15" t="s">
        <v>598</v>
      </c>
      <c r="LGF143" s="15" t="s">
        <v>598</v>
      </c>
      <c r="LGG143" s="15" t="s">
        <v>598</v>
      </c>
      <c r="LGH143" s="15" t="s">
        <v>598</v>
      </c>
      <c r="LGI143" s="15" t="s">
        <v>598</v>
      </c>
      <c r="LGJ143" s="15" t="s">
        <v>598</v>
      </c>
      <c r="LGK143" s="15" t="s">
        <v>598</v>
      </c>
      <c r="LGL143" s="15" t="s">
        <v>598</v>
      </c>
      <c r="LGM143" s="15" t="s">
        <v>598</v>
      </c>
      <c r="LGN143" s="15" t="s">
        <v>598</v>
      </c>
      <c r="LGO143" s="15" t="s">
        <v>598</v>
      </c>
      <c r="LGP143" s="15" t="s">
        <v>598</v>
      </c>
      <c r="LGQ143" s="15" t="s">
        <v>598</v>
      </c>
      <c r="LGR143" s="15" t="s">
        <v>598</v>
      </c>
      <c r="LGS143" s="15" t="s">
        <v>598</v>
      </c>
      <c r="LGT143" s="15" t="s">
        <v>598</v>
      </c>
      <c r="LGU143" s="15" t="s">
        <v>598</v>
      </c>
      <c r="LGV143" s="15" t="s">
        <v>598</v>
      </c>
      <c r="LGW143" s="15" t="s">
        <v>598</v>
      </c>
      <c r="LGX143" s="15" t="s">
        <v>598</v>
      </c>
      <c r="LGY143" s="15" t="s">
        <v>598</v>
      </c>
      <c r="LGZ143" s="15" t="s">
        <v>598</v>
      </c>
      <c r="LHA143" s="15" t="s">
        <v>598</v>
      </c>
      <c r="LHB143" s="15" t="s">
        <v>598</v>
      </c>
      <c r="LHC143" s="15" t="s">
        <v>598</v>
      </c>
      <c r="LHD143" s="15" t="s">
        <v>598</v>
      </c>
      <c r="LHE143" s="15" t="s">
        <v>598</v>
      </c>
      <c r="LHF143" s="15" t="s">
        <v>598</v>
      </c>
      <c r="LHG143" s="15" t="s">
        <v>598</v>
      </c>
      <c r="LHH143" s="15" t="s">
        <v>598</v>
      </c>
      <c r="LHI143" s="15" t="s">
        <v>598</v>
      </c>
      <c r="LHJ143" s="15" t="s">
        <v>598</v>
      </c>
      <c r="LHK143" s="15" t="s">
        <v>598</v>
      </c>
      <c r="LHL143" s="15" t="s">
        <v>598</v>
      </c>
      <c r="LHM143" s="15" t="s">
        <v>598</v>
      </c>
      <c r="LHN143" s="15" t="s">
        <v>598</v>
      </c>
      <c r="LHO143" s="15" t="s">
        <v>598</v>
      </c>
      <c r="LHP143" s="15" t="s">
        <v>598</v>
      </c>
      <c r="LHQ143" s="15" t="s">
        <v>598</v>
      </c>
      <c r="LHR143" s="15" t="s">
        <v>598</v>
      </c>
      <c r="LHS143" s="15" t="s">
        <v>598</v>
      </c>
      <c r="LHT143" s="15" t="s">
        <v>598</v>
      </c>
      <c r="LHU143" s="15" t="s">
        <v>598</v>
      </c>
      <c r="LHV143" s="15" t="s">
        <v>598</v>
      </c>
      <c r="LHW143" s="15" t="s">
        <v>598</v>
      </c>
      <c r="LHX143" s="15" t="s">
        <v>598</v>
      </c>
      <c r="LHY143" s="15" t="s">
        <v>598</v>
      </c>
      <c r="LHZ143" s="15" t="s">
        <v>598</v>
      </c>
      <c r="LIA143" s="15" t="s">
        <v>598</v>
      </c>
      <c r="LIB143" s="15" t="s">
        <v>598</v>
      </c>
      <c r="LIC143" s="15" t="s">
        <v>598</v>
      </c>
      <c r="LID143" s="15" t="s">
        <v>598</v>
      </c>
      <c r="LIE143" s="15" t="s">
        <v>598</v>
      </c>
      <c r="LIF143" s="15" t="s">
        <v>598</v>
      </c>
      <c r="LIG143" s="15" t="s">
        <v>598</v>
      </c>
      <c r="LIH143" s="15" t="s">
        <v>598</v>
      </c>
      <c r="LII143" s="15" t="s">
        <v>598</v>
      </c>
      <c r="LIJ143" s="15" t="s">
        <v>598</v>
      </c>
      <c r="LIK143" s="15" t="s">
        <v>598</v>
      </c>
      <c r="LIL143" s="15" t="s">
        <v>598</v>
      </c>
      <c r="LIM143" s="15" t="s">
        <v>598</v>
      </c>
      <c r="LIN143" s="15" t="s">
        <v>598</v>
      </c>
      <c r="LIO143" s="15" t="s">
        <v>598</v>
      </c>
      <c r="LIP143" s="15" t="s">
        <v>598</v>
      </c>
      <c r="LIQ143" s="15" t="s">
        <v>598</v>
      </c>
      <c r="LIR143" s="15" t="s">
        <v>598</v>
      </c>
      <c r="LIS143" s="15" t="s">
        <v>598</v>
      </c>
      <c r="LIT143" s="15" t="s">
        <v>598</v>
      </c>
      <c r="LIU143" s="15" t="s">
        <v>598</v>
      </c>
      <c r="LIV143" s="15" t="s">
        <v>598</v>
      </c>
      <c r="LIW143" s="15" t="s">
        <v>598</v>
      </c>
      <c r="LIX143" s="15" t="s">
        <v>598</v>
      </c>
      <c r="LIY143" s="15" t="s">
        <v>598</v>
      </c>
      <c r="LIZ143" s="15" t="s">
        <v>598</v>
      </c>
      <c r="LJA143" s="15" t="s">
        <v>598</v>
      </c>
      <c r="LJB143" s="15" t="s">
        <v>598</v>
      </c>
      <c r="LJC143" s="15" t="s">
        <v>598</v>
      </c>
      <c r="LJD143" s="15" t="s">
        <v>598</v>
      </c>
      <c r="LJE143" s="15" t="s">
        <v>598</v>
      </c>
      <c r="LJF143" s="15" t="s">
        <v>598</v>
      </c>
      <c r="LJG143" s="15" t="s">
        <v>598</v>
      </c>
      <c r="LJH143" s="15" t="s">
        <v>598</v>
      </c>
      <c r="LJI143" s="15" t="s">
        <v>598</v>
      </c>
      <c r="LJJ143" s="15" t="s">
        <v>598</v>
      </c>
      <c r="LJK143" s="15" t="s">
        <v>598</v>
      </c>
      <c r="LJL143" s="15" t="s">
        <v>598</v>
      </c>
      <c r="LJM143" s="15" t="s">
        <v>598</v>
      </c>
      <c r="LJN143" s="15" t="s">
        <v>598</v>
      </c>
      <c r="LJO143" s="15" t="s">
        <v>598</v>
      </c>
      <c r="LJP143" s="15" t="s">
        <v>598</v>
      </c>
      <c r="LJQ143" s="15" t="s">
        <v>598</v>
      </c>
      <c r="LJR143" s="15" t="s">
        <v>598</v>
      </c>
      <c r="LJS143" s="15" t="s">
        <v>598</v>
      </c>
      <c r="LJT143" s="15" t="s">
        <v>598</v>
      </c>
      <c r="LJU143" s="15" t="s">
        <v>598</v>
      </c>
      <c r="LJV143" s="15" t="s">
        <v>598</v>
      </c>
      <c r="LJW143" s="15" t="s">
        <v>598</v>
      </c>
      <c r="LJX143" s="15" t="s">
        <v>598</v>
      </c>
      <c r="LJY143" s="15" t="s">
        <v>598</v>
      </c>
      <c r="LJZ143" s="15" t="s">
        <v>598</v>
      </c>
      <c r="LKA143" s="15" t="s">
        <v>598</v>
      </c>
      <c r="LKB143" s="15" t="s">
        <v>598</v>
      </c>
      <c r="LKC143" s="15" t="s">
        <v>598</v>
      </c>
      <c r="LKD143" s="15" t="s">
        <v>598</v>
      </c>
      <c r="LKE143" s="15" t="s">
        <v>598</v>
      </c>
      <c r="LKF143" s="15" t="s">
        <v>598</v>
      </c>
      <c r="LKG143" s="15" t="s">
        <v>598</v>
      </c>
      <c r="LKH143" s="15" t="s">
        <v>598</v>
      </c>
      <c r="LKI143" s="15" t="s">
        <v>598</v>
      </c>
      <c r="LKJ143" s="15" t="s">
        <v>598</v>
      </c>
      <c r="LKK143" s="15" t="s">
        <v>598</v>
      </c>
      <c r="LKL143" s="15" t="s">
        <v>598</v>
      </c>
      <c r="LKM143" s="15" t="s">
        <v>598</v>
      </c>
      <c r="LKN143" s="15" t="s">
        <v>598</v>
      </c>
      <c r="LKO143" s="15" t="s">
        <v>598</v>
      </c>
      <c r="LKP143" s="15" t="s">
        <v>598</v>
      </c>
      <c r="LKQ143" s="15" t="s">
        <v>598</v>
      </c>
      <c r="LKR143" s="15" t="s">
        <v>598</v>
      </c>
      <c r="LKS143" s="15" t="s">
        <v>598</v>
      </c>
      <c r="LKT143" s="15" t="s">
        <v>598</v>
      </c>
      <c r="LKU143" s="15" t="s">
        <v>598</v>
      </c>
      <c r="LKV143" s="15" t="s">
        <v>598</v>
      </c>
      <c r="LKW143" s="15" t="s">
        <v>598</v>
      </c>
      <c r="LKX143" s="15" t="s">
        <v>598</v>
      </c>
      <c r="LKY143" s="15" t="s">
        <v>598</v>
      </c>
      <c r="LKZ143" s="15" t="s">
        <v>598</v>
      </c>
      <c r="LLA143" s="15" t="s">
        <v>598</v>
      </c>
      <c r="LLB143" s="15" t="s">
        <v>598</v>
      </c>
      <c r="LLC143" s="15" t="s">
        <v>598</v>
      </c>
      <c r="LLD143" s="15" t="s">
        <v>598</v>
      </c>
      <c r="LLE143" s="15" t="s">
        <v>598</v>
      </c>
      <c r="LLF143" s="15" t="s">
        <v>598</v>
      </c>
      <c r="LLG143" s="15" t="s">
        <v>598</v>
      </c>
      <c r="LLH143" s="15" t="s">
        <v>598</v>
      </c>
      <c r="LLI143" s="15" t="s">
        <v>598</v>
      </c>
      <c r="LLJ143" s="15" t="s">
        <v>598</v>
      </c>
      <c r="LLK143" s="15" t="s">
        <v>598</v>
      </c>
      <c r="LLL143" s="15" t="s">
        <v>598</v>
      </c>
      <c r="LLM143" s="15" t="s">
        <v>598</v>
      </c>
      <c r="LLN143" s="15" t="s">
        <v>598</v>
      </c>
      <c r="LLO143" s="15" t="s">
        <v>598</v>
      </c>
      <c r="LLP143" s="15" t="s">
        <v>598</v>
      </c>
      <c r="LLQ143" s="15" t="s">
        <v>598</v>
      </c>
      <c r="LLR143" s="15" t="s">
        <v>598</v>
      </c>
      <c r="LLS143" s="15" t="s">
        <v>598</v>
      </c>
      <c r="LLT143" s="15" t="s">
        <v>598</v>
      </c>
      <c r="LLU143" s="15" t="s">
        <v>598</v>
      </c>
      <c r="LLV143" s="15" t="s">
        <v>598</v>
      </c>
      <c r="LLW143" s="15" t="s">
        <v>598</v>
      </c>
      <c r="LLX143" s="15" t="s">
        <v>598</v>
      </c>
      <c r="LLY143" s="15" t="s">
        <v>598</v>
      </c>
      <c r="LLZ143" s="15" t="s">
        <v>598</v>
      </c>
      <c r="LMA143" s="15" t="s">
        <v>598</v>
      </c>
      <c r="LMB143" s="15" t="s">
        <v>598</v>
      </c>
      <c r="LMC143" s="15" t="s">
        <v>598</v>
      </c>
      <c r="LMD143" s="15" t="s">
        <v>598</v>
      </c>
      <c r="LME143" s="15" t="s">
        <v>598</v>
      </c>
      <c r="LMF143" s="15" t="s">
        <v>598</v>
      </c>
      <c r="LMG143" s="15" t="s">
        <v>598</v>
      </c>
      <c r="LMH143" s="15" t="s">
        <v>598</v>
      </c>
      <c r="LMI143" s="15" t="s">
        <v>598</v>
      </c>
      <c r="LMJ143" s="15" t="s">
        <v>598</v>
      </c>
      <c r="LMK143" s="15" t="s">
        <v>598</v>
      </c>
      <c r="LML143" s="15" t="s">
        <v>598</v>
      </c>
      <c r="LMM143" s="15" t="s">
        <v>598</v>
      </c>
      <c r="LMN143" s="15" t="s">
        <v>598</v>
      </c>
      <c r="LMO143" s="15" t="s">
        <v>598</v>
      </c>
      <c r="LMP143" s="15" t="s">
        <v>598</v>
      </c>
      <c r="LMQ143" s="15" t="s">
        <v>598</v>
      </c>
      <c r="LMR143" s="15" t="s">
        <v>598</v>
      </c>
      <c r="LMS143" s="15" t="s">
        <v>598</v>
      </c>
      <c r="LMT143" s="15" t="s">
        <v>598</v>
      </c>
      <c r="LMU143" s="15" t="s">
        <v>598</v>
      </c>
      <c r="LMV143" s="15" t="s">
        <v>598</v>
      </c>
      <c r="LMW143" s="15" t="s">
        <v>598</v>
      </c>
      <c r="LMX143" s="15" t="s">
        <v>598</v>
      </c>
      <c r="LMY143" s="15" t="s">
        <v>598</v>
      </c>
      <c r="LMZ143" s="15" t="s">
        <v>598</v>
      </c>
      <c r="LNA143" s="15" t="s">
        <v>598</v>
      </c>
      <c r="LNB143" s="15" t="s">
        <v>598</v>
      </c>
      <c r="LNC143" s="15" t="s">
        <v>598</v>
      </c>
      <c r="LND143" s="15" t="s">
        <v>598</v>
      </c>
      <c r="LNE143" s="15" t="s">
        <v>598</v>
      </c>
      <c r="LNF143" s="15" t="s">
        <v>598</v>
      </c>
      <c r="LNG143" s="15" t="s">
        <v>598</v>
      </c>
      <c r="LNH143" s="15" t="s">
        <v>598</v>
      </c>
      <c r="LNI143" s="15" t="s">
        <v>598</v>
      </c>
      <c r="LNJ143" s="15" t="s">
        <v>598</v>
      </c>
      <c r="LNK143" s="15" t="s">
        <v>598</v>
      </c>
      <c r="LNL143" s="15" t="s">
        <v>598</v>
      </c>
      <c r="LNM143" s="15" t="s">
        <v>598</v>
      </c>
      <c r="LNN143" s="15" t="s">
        <v>598</v>
      </c>
      <c r="LNO143" s="15" t="s">
        <v>598</v>
      </c>
      <c r="LNP143" s="15" t="s">
        <v>598</v>
      </c>
      <c r="LNQ143" s="15" t="s">
        <v>598</v>
      </c>
      <c r="LNR143" s="15" t="s">
        <v>598</v>
      </c>
      <c r="LNS143" s="15" t="s">
        <v>598</v>
      </c>
      <c r="LNT143" s="15" t="s">
        <v>598</v>
      </c>
      <c r="LNU143" s="15" t="s">
        <v>598</v>
      </c>
      <c r="LNV143" s="15" t="s">
        <v>598</v>
      </c>
      <c r="LNW143" s="15" t="s">
        <v>598</v>
      </c>
      <c r="LNX143" s="15" t="s">
        <v>598</v>
      </c>
      <c r="LNY143" s="15" t="s">
        <v>598</v>
      </c>
      <c r="LNZ143" s="15" t="s">
        <v>598</v>
      </c>
      <c r="LOA143" s="15" t="s">
        <v>598</v>
      </c>
      <c r="LOB143" s="15" t="s">
        <v>598</v>
      </c>
      <c r="LOC143" s="15" t="s">
        <v>598</v>
      </c>
      <c r="LOD143" s="15" t="s">
        <v>598</v>
      </c>
      <c r="LOE143" s="15" t="s">
        <v>598</v>
      </c>
      <c r="LOF143" s="15" t="s">
        <v>598</v>
      </c>
      <c r="LOG143" s="15" t="s">
        <v>598</v>
      </c>
      <c r="LOH143" s="15" t="s">
        <v>598</v>
      </c>
      <c r="LOI143" s="15" t="s">
        <v>598</v>
      </c>
      <c r="LOJ143" s="15" t="s">
        <v>598</v>
      </c>
      <c r="LOK143" s="15" t="s">
        <v>598</v>
      </c>
      <c r="LOL143" s="15" t="s">
        <v>598</v>
      </c>
      <c r="LOM143" s="15" t="s">
        <v>598</v>
      </c>
      <c r="LON143" s="15" t="s">
        <v>598</v>
      </c>
      <c r="LOO143" s="15" t="s">
        <v>598</v>
      </c>
      <c r="LOP143" s="15" t="s">
        <v>598</v>
      </c>
      <c r="LOQ143" s="15" t="s">
        <v>598</v>
      </c>
      <c r="LOR143" s="15" t="s">
        <v>598</v>
      </c>
      <c r="LOS143" s="15" t="s">
        <v>598</v>
      </c>
      <c r="LOT143" s="15" t="s">
        <v>598</v>
      </c>
      <c r="LOU143" s="15" t="s">
        <v>598</v>
      </c>
      <c r="LOV143" s="15" t="s">
        <v>598</v>
      </c>
      <c r="LOW143" s="15" t="s">
        <v>598</v>
      </c>
      <c r="LOX143" s="15" t="s">
        <v>598</v>
      </c>
      <c r="LOY143" s="15" t="s">
        <v>598</v>
      </c>
      <c r="LOZ143" s="15" t="s">
        <v>598</v>
      </c>
      <c r="LPA143" s="15" t="s">
        <v>598</v>
      </c>
      <c r="LPB143" s="15" t="s">
        <v>598</v>
      </c>
      <c r="LPC143" s="15" t="s">
        <v>598</v>
      </c>
      <c r="LPD143" s="15" t="s">
        <v>598</v>
      </c>
      <c r="LPE143" s="15" t="s">
        <v>598</v>
      </c>
      <c r="LPF143" s="15" t="s">
        <v>598</v>
      </c>
      <c r="LPG143" s="15" t="s">
        <v>598</v>
      </c>
      <c r="LPH143" s="15" t="s">
        <v>598</v>
      </c>
      <c r="LPI143" s="15" t="s">
        <v>598</v>
      </c>
      <c r="LPJ143" s="15" t="s">
        <v>598</v>
      </c>
      <c r="LPK143" s="15" t="s">
        <v>598</v>
      </c>
      <c r="LPL143" s="15" t="s">
        <v>598</v>
      </c>
      <c r="LPM143" s="15" t="s">
        <v>598</v>
      </c>
      <c r="LPN143" s="15" t="s">
        <v>598</v>
      </c>
      <c r="LPO143" s="15" t="s">
        <v>598</v>
      </c>
      <c r="LPP143" s="15" t="s">
        <v>598</v>
      </c>
      <c r="LPQ143" s="15" t="s">
        <v>598</v>
      </c>
      <c r="LPR143" s="15" t="s">
        <v>598</v>
      </c>
      <c r="LPS143" s="15" t="s">
        <v>598</v>
      </c>
      <c r="LPT143" s="15" t="s">
        <v>598</v>
      </c>
      <c r="LPU143" s="15" t="s">
        <v>598</v>
      </c>
      <c r="LPV143" s="15" t="s">
        <v>598</v>
      </c>
      <c r="LPW143" s="15" t="s">
        <v>598</v>
      </c>
      <c r="LPX143" s="15" t="s">
        <v>598</v>
      </c>
      <c r="LPY143" s="15" t="s">
        <v>598</v>
      </c>
      <c r="LPZ143" s="15" t="s">
        <v>598</v>
      </c>
      <c r="LQA143" s="15" t="s">
        <v>598</v>
      </c>
      <c r="LQB143" s="15" t="s">
        <v>598</v>
      </c>
      <c r="LQC143" s="15" t="s">
        <v>598</v>
      </c>
      <c r="LQD143" s="15" t="s">
        <v>598</v>
      </c>
      <c r="LQE143" s="15" t="s">
        <v>598</v>
      </c>
      <c r="LQF143" s="15" t="s">
        <v>598</v>
      </c>
      <c r="LQG143" s="15" t="s">
        <v>598</v>
      </c>
      <c r="LQH143" s="15" t="s">
        <v>598</v>
      </c>
      <c r="LQI143" s="15" t="s">
        <v>598</v>
      </c>
      <c r="LQJ143" s="15" t="s">
        <v>598</v>
      </c>
      <c r="LQK143" s="15" t="s">
        <v>598</v>
      </c>
      <c r="LQL143" s="15" t="s">
        <v>598</v>
      </c>
      <c r="LQM143" s="15" t="s">
        <v>598</v>
      </c>
      <c r="LQN143" s="15" t="s">
        <v>598</v>
      </c>
      <c r="LQO143" s="15" t="s">
        <v>598</v>
      </c>
      <c r="LQP143" s="15" t="s">
        <v>598</v>
      </c>
      <c r="LQQ143" s="15" t="s">
        <v>598</v>
      </c>
      <c r="LQR143" s="15" t="s">
        <v>598</v>
      </c>
      <c r="LQS143" s="15" t="s">
        <v>598</v>
      </c>
      <c r="LQT143" s="15" t="s">
        <v>598</v>
      </c>
      <c r="LQU143" s="15" t="s">
        <v>598</v>
      </c>
      <c r="LQV143" s="15" t="s">
        <v>598</v>
      </c>
      <c r="LQW143" s="15" t="s">
        <v>598</v>
      </c>
      <c r="LQX143" s="15" t="s">
        <v>598</v>
      </c>
      <c r="LQY143" s="15" t="s">
        <v>598</v>
      </c>
      <c r="LQZ143" s="15" t="s">
        <v>598</v>
      </c>
      <c r="LRA143" s="15" t="s">
        <v>598</v>
      </c>
      <c r="LRB143" s="15" t="s">
        <v>598</v>
      </c>
      <c r="LRC143" s="15" t="s">
        <v>598</v>
      </c>
      <c r="LRD143" s="15" t="s">
        <v>598</v>
      </c>
      <c r="LRE143" s="15" t="s">
        <v>598</v>
      </c>
      <c r="LRF143" s="15" t="s">
        <v>598</v>
      </c>
      <c r="LRG143" s="15" t="s">
        <v>598</v>
      </c>
      <c r="LRH143" s="15" t="s">
        <v>598</v>
      </c>
      <c r="LRI143" s="15" t="s">
        <v>598</v>
      </c>
      <c r="LRJ143" s="15" t="s">
        <v>598</v>
      </c>
      <c r="LRK143" s="15" t="s">
        <v>598</v>
      </c>
      <c r="LRL143" s="15" t="s">
        <v>598</v>
      </c>
      <c r="LRM143" s="15" t="s">
        <v>598</v>
      </c>
      <c r="LRN143" s="15" t="s">
        <v>598</v>
      </c>
      <c r="LRO143" s="15" t="s">
        <v>598</v>
      </c>
      <c r="LRP143" s="15" t="s">
        <v>598</v>
      </c>
      <c r="LRQ143" s="15" t="s">
        <v>598</v>
      </c>
      <c r="LRR143" s="15" t="s">
        <v>598</v>
      </c>
      <c r="LRS143" s="15" t="s">
        <v>598</v>
      </c>
      <c r="LRT143" s="15" t="s">
        <v>598</v>
      </c>
      <c r="LRU143" s="15" t="s">
        <v>598</v>
      </c>
      <c r="LRV143" s="15" t="s">
        <v>598</v>
      </c>
      <c r="LRW143" s="15" t="s">
        <v>598</v>
      </c>
      <c r="LRX143" s="15" t="s">
        <v>598</v>
      </c>
      <c r="LRY143" s="15" t="s">
        <v>598</v>
      </c>
      <c r="LRZ143" s="15" t="s">
        <v>598</v>
      </c>
      <c r="LSA143" s="15" t="s">
        <v>598</v>
      </c>
      <c r="LSB143" s="15" t="s">
        <v>598</v>
      </c>
      <c r="LSC143" s="15" t="s">
        <v>598</v>
      </c>
      <c r="LSD143" s="15" t="s">
        <v>598</v>
      </c>
      <c r="LSE143" s="15" t="s">
        <v>598</v>
      </c>
      <c r="LSF143" s="15" t="s">
        <v>598</v>
      </c>
      <c r="LSG143" s="15" t="s">
        <v>598</v>
      </c>
      <c r="LSH143" s="15" t="s">
        <v>598</v>
      </c>
      <c r="LSI143" s="15" t="s">
        <v>598</v>
      </c>
      <c r="LSJ143" s="15" t="s">
        <v>598</v>
      </c>
      <c r="LSK143" s="15" t="s">
        <v>598</v>
      </c>
      <c r="LSL143" s="15" t="s">
        <v>598</v>
      </c>
      <c r="LSM143" s="15" t="s">
        <v>598</v>
      </c>
      <c r="LSN143" s="15" t="s">
        <v>598</v>
      </c>
      <c r="LSO143" s="15" t="s">
        <v>598</v>
      </c>
      <c r="LSP143" s="15" t="s">
        <v>598</v>
      </c>
      <c r="LSQ143" s="15" t="s">
        <v>598</v>
      </c>
      <c r="LSR143" s="15" t="s">
        <v>598</v>
      </c>
      <c r="LSS143" s="15" t="s">
        <v>598</v>
      </c>
      <c r="LST143" s="15" t="s">
        <v>598</v>
      </c>
      <c r="LSU143" s="15" t="s">
        <v>598</v>
      </c>
      <c r="LSV143" s="15" t="s">
        <v>598</v>
      </c>
      <c r="LSW143" s="15" t="s">
        <v>598</v>
      </c>
      <c r="LSX143" s="15" t="s">
        <v>598</v>
      </c>
      <c r="LSY143" s="15" t="s">
        <v>598</v>
      </c>
      <c r="LSZ143" s="15" t="s">
        <v>598</v>
      </c>
      <c r="LTA143" s="15" t="s">
        <v>598</v>
      </c>
      <c r="LTB143" s="15" t="s">
        <v>598</v>
      </c>
      <c r="LTC143" s="15" t="s">
        <v>598</v>
      </c>
      <c r="LTD143" s="15" t="s">
        <v>598</v>
      </c>
      <c r="LTE143" s="15" t="s">
        <v>598</v>
      </c>
      <c r="LTF143" s="15" t="s">
        <v>598</v>
      </c>
      <c r="LTG143" s="15" t="s">
        <v>598</v>
      </c>
      <c r="LTH143" s="15" t="s">
        <v>598</v>
      </c>
      <c r="LTI143" s="15" t="s">
        <v>598</v>
      </c>
      <c r="LTJ143" s="15" t="s">
        <v>598</v>
      </c>
      <c r="LTK143" s="15" t="s">
        <v>598</v>
      </c>
      <c r="LTL143" s="15" t="s">
        <v>598</v>
      </c>
      <c r="LTM143" s="15" t="s">
        <v>598</v>
      </c>
      <c r="LTN143" s="15" t="s">
        <v>598</v>
      </c>
      <c r="LTO143" s="15" t="s">
        <v>598</v>
      </c>
      <c r="LTP143" s="15" t="s">
        <v>598</v>
      </c>
      <c r="LTQ143" s="15" t="s">
        <v>598</v>
      </c>
      <c r="LTR143" s="15" t="s">
        <v>598</v>
      </c>
      <c r="LTS143" s="15" t="s">
        <v>598</v>
      </c>
      <c r="LTT143" s="15" t="s">
        <v>598</v>
      </c>
      <c r="LTU143" s="15" t="s">
        <v>598</v>
      </c>
      <c r="LTV143" s="15" t="s">
        <v>598</v>
      </c>
      <c r="LTW143" s="15" t="s">
        <v>598</v>
      </c>
      <c r="LTX143" s="15" t="s">
        <v>598</v>
      </c>
      <c r="LTY143" s="15" t="s">
        <v>598</v>
      </c>
      <c r="LTZ143" s="15" t="s">
        <v>598</v>
      </c>
      <c r="LUA143" s="15" t="s">
        <v>598</v>
      </c>
      <c r="LUB143" s="15" t="s">
        <v>598</v>
      </c>
      <c r="LUC143" s="15" t="s">
        <v>598</v>
      </c>
      <c r="LUD143" s="15" t="s">
        <v>598</v>
      </c>
      <c r="LUE143" s="15" t="s">
        <v>598</v>
      </c>
      <c r="LUF143" s="15" t="s">
        <v>598</v>
      </c>
      <c r="LUG143" s="15" t="s">
        <v>598</v>
      </c>
      <c r="LUH143" s="15" t="s">
        <v>598</v>
      </c>
      <c r="LUI143" s="15" t="s">
        <v>598</v>
      </c>
      <c r="LUJ143" s="15" t="s">
        <v>598</v>
      </c>
      <c r="LUK143" s="15" t="s">
        <v>598</v>
      </c>
      <c r="LUL143" s="15" t="s">
        <v>598</v>
      </c>
      <c r="LUM143" s="15" t="s">
        <v>598</v>
      </c>
      <c r="LUN143" s="15" t="s">
        <v>598</v>
      </c>
      <c r="LUO143" s="15" t="s">
        <v>598</v>
      </c>
      <c r="LUP143" s="15" t="s">
        <v>598</v>
      </c>
      <c r="LUQ143" s="15" t="s">
        <v>598</v>
      </c>
      <c r="LUR143" s="15" t="s">
        <v>598</v>
      </c>
      <c r="LUS143" s="15" t="s">
        <v>598</v>
      </c>
      <c r="LUT143" s="15" t="s">
        <v>598</v>
      </c>
      <c r="LUU143" s="15" t="s">
        <v>598</v>
      </c>
      <c r="LUV143" s="15" t="s">
        <v>598</v>
      </c>
      <c r="LUW143" s="15" t="s">
        <v>598</v>
      </c>
      <c r="LUX143" s="15" t="s">
        <v>598</v>
      </c>
      <c r="LUY143" s="15" t="s">
        <v>598</v>
      </c>
      <c r="LUZ143" s="15" t="s">
        <v>598</v>
      </c>
      <c r="LVA143" s="15" t="s">
        <v>598</v>
      </c>
      <c r="LVB143" s="15" t="s">
        <v>598</v>
      </c>
      <c r="LVC143" s="15" t="s">
        <v>598</v>
      </c>
      <c r="LVD143" s="15" t="s">
        <v>598</v>
      </c>
      <c r="LVE143" s="15" t="s">
        <v>598</v>
      </c>
      <c r="LVF143" s="15" t="s">
        <v>598</v>
      </c>
      <c r="LVG143" s="15" t="s">
        <v>598</v>
      </c>
      <c r="LVH143" s="15" t="s">
        <v>598</v>
      </c>
      <c r="LVI143" s="15" t="s">
        <v>598</v>
      </c>
      <c r="LVJ143" s="15" t="s">
        <v>598</v>
      </c>
      <c r="LVK143" s="15" t="s">
        <v>598</v>
      </c>
      <c r="LVL143" s="15" t="s">
        <v>598</v>
      </c>
      <c r="LVM143" s="15" t="s">
        <v>598</v>
      </c>
      <c r="LVN143" s="15" t="s">
        <v>598</v>
      </c>
      <c r="LVO143" s="15" t="s">
        <v>598</v>
      </c>
      <c r="LVP143" s="15" t="s">
        <v>598</v>
      </c>
      <c r="LVQ143" s="15" t="s">
        <v>598</v>
      </c>
      <c r="LVR143" s="15" t="s">
        <v>598</v>
      </c>
      <c r="LVS143" s="15" t="s">
        <v>598</v>
      </c>
      <c r="LVT143" s="15" t="s">
        <v>598</v>
      </c>
      <c r="LVU143" s="15" t="s">
        <v>598</v>
      </c>
      <c r="LVV143" s="15" t="s">
        <v>598</v>
      </c>
      <c r="LVW143" s="15" t="s">
        <v>598</v>
      </c>
      <c r="LVX143" s="15" t="s">
        <v>598</v>
      </c>
      <c r="LVY143" s="15" t="s">
        <v>598</v>
      </c>
      <c r="LVZ143" s="15" t="s">
        <v>598</v>
      </c>
      <c r="LWA143" s="15" t="s">
        <v>598</v>
      </c>
      <c r="LWB143" s="15" t="s">
        <v>598</v>
      </c>
      <c r="LWC143" s="15" t="s">
        <v>598</v>
      </c>
      <c r="LWD143" s="15" t="s">
        <v>598</v>
      </c>
      <c r="LWE143" s="15" t="s">
        <v>598</v>
      </c>
      <c r="LWF143" s="15" t="s">
        <v>598</v>
      </c>
      <c r="LWG143" s="15" t="s">
        <v>598</v>
      </c>
      <c r="LWH143" s="15" t="s">
        <v>598</v>
      </c>
      <c r="LWI143" s="15" t="s">
        <v>598</v>
      </c>
      <c r="LWJ143" s="15" t="s">
        <v>598</v>
      </c>
      <c r="LWK143" s="15" t="s">
        <v>598</v>
      </c>
      <c r="LWL143" s="15" t="s">
        <v>598</v>
      </c>
      <c r="LWM143" s="15" t="s">
        <v>598</v>
      </c>
      <c r="LWN143" s="15" t="s">
        <v>598</v>
      </c>
      <c r="LWO143" s="15" t="s">
        <v>598</v>
      </c>
      <c r="LWP143" s="15" t="s">
        <v>598</v>
      </c>
      <c r="LWQ143" s="15" t="s">
        <v>598</v>
      </c>
      <c r="LWR143" s="15" t="s">
        <v>598</v>
      </c>
      <c r="LWS143" s="15" t="s">
        <v>598</v>
      </c>
      <c r="LWT143" s="15" t="s">
        <v>598</v>
      </c>
      <c r="LWU143" s="15" t="s">
        <v>598</v>
      </c>
      <c r="LWV143" s="15" t="s">
        <v>598</v>
      </c>
      <c r="LWW143" s="15" t="s">
        <v>598</v>
      </c>
      <c r="LWX143" s="15" t="s">
        <v>598</v>
      </c>
      <c r="LWY143" s="15" t="s">
        <v>598</v>
      </c>
      <c r="LWZ143" s="15" t="s">
        <v>598</v>
      </c>
      <c r="LXA143" s="15" t="s">
        <v>598</v>
      </c>
      <c r="LXB143" s="15" t="s">
        <v>598</v>
      </c>
      <c r="LXC143" s="15" t="s">
        <v>598</v>
      </c>
      <c r="LXD143" s="15" t="s">
        <v>598</v>
      </c>
      <c r="LXE143" s="15" t="s">
        <v>598</v>
      </c>
      <c r="LXF143" s="15" t="s">
        <v>598</v>
      </c>
      <c r="LXG143" s="15" t="s">
        <v>598</v>
      </c>
      <c r="LXH143" s="15" t="s">
        <v>598</v>
      </c>
      <c r="LXI143" s="15" t="s">
        <v>598</v>
      </c>
      <c r="LXJ143" s="15" t="s">
        <v>598</v>
      </c>
      <c r="LXK143" s="15" t="s">
        <v>598</v>
      </c>
      <c r="LXL143" s="15" t="s">
        <v>598</v>
      </c>
      <c r="LXM143" s="15" t="s">
        <v>598</v>
      </c>
      <c r="LXN143" s="15" t="s">
        <v>598</v>
      </c>
      <c r="LXO143" s="15" t="s">
        <v>598</v>
      </c>
      <c r="LXP143" s="15" t="s">
        <v>598</v>
      </c>
      <c r="LXQ143" s="15" t="s">
        <v>598</v>
      </c>
      <c r="LXR143" s="15" t="s">
        <v>598</v>
      </c>
      <c r="LXS143" s="15" t="s">
        <v>598</v>
      </c>
      <c r="LXT143" s="15" t="s">
        <v>598</v>
      </c>
      <c r="LXU143" s="15" t="s">
        <v>598</v>
      </c>
      <c r="LXV143" s="15" t="s">
        <v>598</v>
      </c>
      <c r="LXW143" s="15" t="s">
        <v>598</v>
      </c>
      <c r="LXX143" s="15" t="s">
        <v>598</v>
      </c>
      <c r="LXY143" s="15" t="s">
        <v>598</v>
      </c>
      <c r="LXZ143" s="15" t="s">
        <v>598</v>
      </c>
      <c r="LYA143" s="15" t="s">
        <v>598</v>
      </c>
      <c r="LYB143" s="15" t="s">
        <v>598</v>
      </c>
      <c r="LYC143" s="15" t="s">
        <v>598</v>
      </c>
      <c r="LYD143" s="15" t="s">
        <v>598</v>
      </c>
      <c r="LYE143" s="15" t="s">
        <v>598</v>
      </c>
      <c r="LYF143" s="15" t="s">
        <v>598</v>
      </c>
      <c r="LYG143" s="15" t="s">
        <v>598</v>
      </c>
      <c r="LYH143" s="15" t="s">
        <v>598</v>
      </c>
      <c r="LYI143" s="15" t="s">
        <v>598</v>
      </c>
      <c r="LYJ143" s="15" t="s">
        <v>598</v>
      </c>
      <c r="LYK143" s="15" t="s">
        <v>598</v>
      </c>
      <c r="LYL143" s="15" t="s">
        <v>598</v>
      </c>
      <c r="LYM143" s="15" t="s">
        <v>598</v>
      </c>
      <c r="LYN143" s="15" t="s">
        <v>598</v>
      </c>
      <c r="LYO143" s="15" t="s">
        <v>598</v>
      </c>
      <c r="LYP143" s="15" t="s">
        <v>598</v>
      </c>
      <c r="LYQ143" s="15" t="s">
        <v>598</v>
      </c>
      <c r="LYR143" s="15" t="s">
        <v>598</v>
      </c>
      <c r="LYS143" s="15" t="s">
        <v>598</v>
      </c>
      <c r="LYT143" s="15" t="s">
        <v>598</v>
      </c>
      <c r="LYU143" s="15" t="s">
        <v>598</v>
      </c>
      <c r="LYV143" s="15" t="s">
        <v>598</v>
      </c>
      <c r="LYW143" s="15" t="s">
        <v>598</v>
      </c>
      <c r="LYX143" s="15" t="s">
        <v>598</v>
      </c>
      <c r="LYY143" s="15" t="s">
        <v>598</v>
      </c>
      <c r="LYZ143" s="15" t="s">
        <v>598</v>
      </c>
      <c r="LZA143" s="15" t="s">
        <v>598</v>
      </c>
      <c r="LZB143" s="15" t="s">
        <v>598</v>
      </c>
      <c r="LZC143" s="15" t="s">
        <v>598</v>
      </c>
      <c r="LZD143" s="15" t="s">
        <v>598</v>
      </c>
      <c r="LZE143" s="15" t="s">
        <v>598</v>
      </c>
      <c r="LZF143" s="15" t="s">
        <v>598</v>
      </c>
      <c r="LZG143" s="15" t="s">
        <v>598</v>
      </c>
      <c r="LZH143" s="15" t="s">
        <v>598</v>
      </c>
      <c r="LZI143" s="15" t="s">
        <v>598</v>
      </c>
      <c r="LZJ143" s="15" t="s">
        <v>598</v>
      </c>
      <c r="LZK143" s="15" t="s">
        <v>598</v>
      </c>
      <c r="LZL143" s="15" t="s">
        <v>598</v>
      </c>
      <c r="LZM143" s="15" t="s">
        <v>598</v>
      </c>
      <c r="LZN143" s="15" t="s">
        <v>598</v>
      </c>
      <c r="LZO143" s="15" t="s">
        <v>598</v>
      </c>
      <c r="LZP143" s="15" t="s">
        <v>598</v>
      </c>
      <c r="LZQ143" s="15" t="s">
        <v>598</v>
      </c>
      <c r="LZR143" s="15" t="s">
        <v>598</v>
      </c>
      <c r="LZS143" s="15" t="s">
        <v>598</v>
      </c>
      <c r="LZT143" s="15" t="s">
        <v>598</v>
      </c>
      <c r="LZU143" s="15" t="s">
        <v>598</v>
      </c>
      <c r="LZV143" s="15" t="s">
        <v>598</v>
      </c>
      <c r="LZW143" s="15" t="s">
        <v>598</v>
      </c>
      <c r="LZX143" s="15" t="s">
        <v>598</v>
      </c>
      <c r="LZY143" s="15" t="s">
        <v>598</v>
      </c>
      <c r="LZZ143" s="15" t="s">
        <v>598</v>
      </c>
      <c r="MAA143" s="15" t="s">
        <v>598</v>
      </c>
      <c r="MAB143" s="15" t="s">
        <v>598</v>
      </c>
      <c r="MAC143" s="15" t="s">
        <v>598</v>
      </c>
      <c r="MAD143" s="15" t="s">
        <v>598</v>
      </c>
      <c r="MAE143" s="15" t="s">
        <v>598</v>
      </c>
      <c r="MAF143" s="15" t="s">
        <v>598</v>
      </c>
      <c r="MAG143" s="15" t="s">
        <v>598</v>
      </c>
      <c r="MAH143" s="15" t="s">
        <v>598</v>
      </c>
      <c r="MAI143" s="15" t="s">
        <v>598</v>
      </c>
      <c r="MAJ143" s="15" t="s">
        <v>598</v>
      </c>
      <c r="MAK143" s="15" t="s">
        <v>598</v>
      </c>
      <c r="MAL143" s="15" t="s">
        <v>598</v>
      </c>
      <c r="MAM143" s="15" t="s">
        <v>598</v>
      </c>
      <c r="MAN143" s="15" t="s">
        <v>598</v>
      </c>
      <c r="MAO143" s="15" t="s">
        <v>598</v>
      </c>
      <c r="MAP143" s="15" t="s">
        <v>598</v>
      </c>
      <c r="MAQ143" s="15" t="s">
        <v>598</v>
      </c>
      <c r="MAR143" s="15" t="s">
        <v>598</v>
      </c>
      <c r="MAS143" s="15" t="s">
        <v>598</v>
      </c>
      <c r="MAT143" s="15" t="s">
        <v>598</v>
      </c>
      <c r="MAU143" s="15" t="s">
        <v>598</v>
      </c>
      <c r="MAV143" s="15" t="s">
        <v>598</v>
      </c>
      <c r="MAW143" s="15" t="s">
        <v>598</v>
      </c>
      <c r="MAX143" s="15" t="s">
        <v>598</v>
      </c>
      <c r="MAY143" s="15" t="s">
        <v>598</v>
      </c>
      <c r="MAZ143" s="15" t="s">
        <v>598</v>
      </c>
      <c r="MBA143" s="15" t="s">
        <v>598</v>
      </c>
      <c r="MBB143" s="15" t="s">
        <v>598</v>
      </c>
      <c r="MBC143" s="15" t="s">
        <v>598</v>
      </c>
      <c r="MBD143" s="15" t="s">
        <v>598</v>
      </c>
      <c r="MBE143" s="15" t="s">
        <v>598</v>
      </c>
      <c r="MBF143" s="15" t="s">
        <v>598</v>
      </c>
      <c r="MBG143" s="15" t="s">
        <v>598</v>
      </c>
      <c r="MBH143" s="15" t="s">
        <v>598</v>
      </c>
      <c r="MBI143" s="15" t="s">
        <v>598</v>
      </c>
      <c r="MBJ143" s="15" t="s">
        <v>598</v>
      </c>
      <c r="MBK143" s="15" t="s">
        <v>598</v>
      </c>
      <c r="MBL143" s="15" t="s">
        <v>598</v>
      </c>
      <c r="MBM143" s="15" t="s">
        <v>598</v>
      </c>
      <c r="MBN143" s="15" t="s">
        <v>598</v>
      </c>
      <c r="MBO143" s="15" t="s">
        <v>598</v>
      </c>
      <c r="MBP143" s="15" t="s">
        <v>598</v>
      </c>
      <c r="MBQ143" s="15" t="s">
        <v>598</v>
      </c>
      <c r="MBR143" s="15" t="s">
        <v>598</v>
      </c>
      <c r="MBS143" s="15" t="s">
        <v>598</v>
      </c>
      <c r="MBT143" s="15" t="s">
        <v>598</v>
      </c>
      <c r="MBU143" s="15" t="s">
        <v>598</v>
      </c>
      <c r="MBV143" s="15" t="s">
        <v>598</v>
      </c>
      <c r="MBW143" s="15" t="s">
        <v>598</v>
      </c>
      <c r="MBX143" s="15" t="s">
        <v>598</v>
      </c>
      <c r="MBY143" s="15" t="s">
        <v>598</v>
      </c>
      <c r="MBZ143" s="15" t="s">
        <v>598</v>
      </c>
      <c r="MCA143" s="15" t="s">
        <v>598</v>
      </c>
      <c r="MCB143" s="15" t="s">
        <v>598</v>
      </c>
      <c r="MCC143" s="15" t="s">
        <v>598</v>
      </c>
      <c r="MCD143" s="15" t="s">
        <v>598</v>
      </c>
      <c r="MCE143" s="15" t="s">
        <v>598</v>
      </c>
      <c r="MCF143" s="15" t="s">
        <v>598</v>
      </c>
      <c r="MCG143" s="15" t="s">
        <v>598</v>
      </c>
      <c r="MCH143" s="15" t="s">
        <v>598</v>
      </c>
      <c r="MCI143" s="15" t="s">
        <v>598</v>
      </c>
      <c r="MCJ143" s="15" t="s">
        <v>598</v>
      </c>
      <c r="MCK143" s="15" t="s">
        <v>598</v>
      </c>
      <c r="MCL143" s="15" t="s">
        <v>598</v>
      </c>
      <c r="MCM143" s="15" t="s">
        <v>598</v>
      </c>
      <c r="MCN143" s="15" t="s">
        <v>598</v>
      </c>
      <c r="MCO143" s="15" t="s">
        <v>598</v>
      </c>
      <c r="MCP143" s="15" t="s">
        <v>598</v>
      </c>
      <c r="MCQ143" s="15" t="s">
        <v>598</v>
      </c>
      <c r="MCR143" s="15" t="s">
        <v>598</v>
      </c>
      <c r="MCS143" s="15" t="s">
        <v>598</v>
      </c>
      <c r="MCT143" s="15" t="s">
        <v>598</v>
      </c>
      <c r="MCU143" s="15" t="s">
        <v>598</v>
      </c>
      <c r="MCV143" s="15" t="s">
        <v>598</v>
      </c>
      <c r="MCW143" s="15" t="s">
        <v>598</v>
      </c>
      <c r="MCX143" s="15" t="s">
        <v>598</v>
      </c>
      <c r="MCY143" s="15" t="s">
        <v>598</v>
      </c>
      <c r="MCZ143" s="15" t="s">
        <v>598</v>
      </c>
      <c r="MDA143" s="15" t="s">
        <v>598</v>
      </c>
      <c r="MDB143" s="15" t="s">
        <v>598</v>
      </c>
      <c r="MDC143" s="15" t="s">
        <v>598</v>
      </c>
      <c r="MDD143" s="15" t="s">
        <v>598</v>
      </c>
      <c r="MDE143" s="15" t="s">
        <v>598</v>
      </c>
      <c r="MDF143" s="15" t="s">
        <v>598</v>
      </c>
      <c r="MDG143" s="15" t="s">
        <v>598</v>
      </c>
      <c r="MDH143" s="15" t="s">
        <v>598</v>
      </c>
      <c r="MDI143" s="15" t="s">
        <v>598</v>
      </c>
      <c r="MDJ143" s="15" t="s">
        <v>598</v>
      </c>
      <c r="MDK143" s="15" t="s">
        <v>598</v>
      </c>
      <c r="MDL143" s="15" t="s">
        <v>598</v>
      </c>
      <c r="MDM143" s="15" t="s">
        <v>598</v>
      </c>
      <c r="MDN143" s="15" t="s">
        <v>598</v>
      </c>
      <c r="MDO143" s="15" t="s">
        <v>598</v>
      </c>
      <c r="MDP143" s="15" t="s">
        <v>598</v>
      </c>
      <c r="MDQ143" s="15" t="s">
        <v>598</v>
      </c>
      <c r="MDR143" s="15" t="s">
        <v>598</v>
      </c>
      <c r="MDS143" s="15" t="s">
        <v>598</v>
      </c>
      <c r="MDT143" s="15" t="s">
        <v>598</v>
      </c>
      <c r="MDU143" s="15" t="s">
        <v>598</v>
      </c>
      <c r="MDV143" s="15" t="s">
        <v>598</v>
      </c>
      <c r="MDW143" s="15" t="s">
        <v>598</v>
      </c>
      <c r="MDX143" s="15" t="s">
        <v>598</v>
      </c>
      <c r="MDY143" s="15" t="s">
        <v>598</v>
      </c>
      <c r="MDZ143" s="15" t="s">
        <v>598</v>
      </c>
      <c r="MEA143" s="15" t="s">
        <v>598</v>
      </c>
      <c r="MEB143" s="15" t="s">
        <v>598</v>
      </c>
      <c r="MEC143" s="15" t="s">
        <v>598</v>
      </c>
      <c r="MED143" s="15" t="s">
        <v>598</v>
      </c>
      <c r="MEE143" s="15" t="s">
        <v>598</v>
      </c>
      <c r="MEF143" s="15" t="s">
        <v>598</v>
      </c>
      <c r="MEG143" s="15" t="s">
        <v>598</v>
      </c>
      <c r="MEH143" s="15" t="s">
        <v>598</v>
      </c>
      <c r="MEI143" s="15" t="s">
        <v>598</v>
      </c>
      <c r="MEJ143" s="15" t="s">
        <v>598</v>
      </c>
      <c r="MEK143" s="15" t="s">
        <v>598</v>
      </c>
      <c r="MEL143" s="15" t="s">
        <v>598</v>
      </c>
      <c r="MEM143" s="15" t="s">
        <v>598</v>
      </c>
      <c r="MEN143" s="15" t="s">
        <v>598</v>
      </c>
      <c r="MEO143" s="15" t="s">
        <v>598</v>
      </c>
      <c r="MEP143" s="15" t="s">
        <v>598</v>
      </c>
      <c r="MEQ143" s="15" t="s">
        <v>598</v>
      </c>
      <c r="MER143" s="15" t="s">
        <v>598</v>
      </c>
      <c r="MES143" s="15" t="s">
        <v>598</v>
      </c>
      <c r="MET143" s="15" t="s">
        <v>598</v>
      </c>
      <c r="MEU143" s="15" t="s">
        <v>598</v>
      </c>
      <c r="MEV143" s="15" t="s">
        <v>598</v>
      </c>
      <c r="MEW143" s="15" t="s">
        <v>598</v>
      </c>
      <c r="MEX143" s="15" t="s">
        <v>598</v>
      </c>
      <c r="MEY143" s="15" t="s">
        <v>598</v>
      </c>
      <c r="MEZ143" s="15" t="s">
        <v>598</v>
      </c>
      <c r="MFA143" s="15" t="s">
        <v>598</v>
      </c>
      <c r="MFB143" s="15" t="s">
        <v>598</v>
      </c>
      <c r="MFC143" s="15" t="s">
        <v>598</v>
      </c>
      <c r="MFD143" s="15" t="s">
        <v>598</v>
      </c>
      <c r="MFE143" s="15" t="s">
        <v>598</v>
      </c>
      <c r="MFF143" s="15" t="s">
        <v>598</v>
      </c>
      <c r="MFG143" s="15" t="s">
        <v>598</v>
      </c>
      <c r="MFH143" s="15" t="s">
        <v>598</v>
      </c>
      <c r="MFI143" s="15" t="s">
        <v>598</v>
      </c>
      <c r="MFJ143" s="15" t="s">
        <v>598</v>
      </c>
      <c r="MFK143" s="15" t="s">
        <v>598</v>
      </c>
      <c r="MFL143" s="15" t="s">
        <v>598</v>
      </c>
      <c r="MFM143" s="15" t="s">
        <v>598</v>
      </c>
      <c r="MFN143" s="15" t="s">
        <v>598</v>
      </c>
      <c r="MFO143" s="15" t="s">
        <v>598</v>
      </c>
      <c r="MFP143" s="15" t="s">
        <v>598</v>
      </c>
      <c r="MFQ143" s="15" t="s">
        <v>598</v>
      </c>
      <c r="MFR143" s="15" t="s">
        <v>598</v>
      </c>
      <c r="MFS143" s="15" t="s">
        <v>598</v>
      </c>
      <c r="MFT143" s="15" t="s">
        <v>598</v>
      </c>
      <c r="MFU143" s="15" t="s">
        <v>598</v>
      </c>
      <c r="MFV143" s="15" t="s">
        <v>598</v>
      </c>
      <c r="MFW143" s="15" t="s">
        <v>598</v>
      </c>
      <c r="MFX143" s="15" t="s">
        <v>598</v>
      </c>
      <c r="MFY143" s="15" t="s">
        <v>598</v>
      </c>
      <c r="MFZ143" s="15" t="s">
        <v>598</v>
      </c>
      <c r="MGA143" s="15" t="s">
        <v>598</v>
      </c>
      <c r="MGB143" s="15" t="s">
        <v>598</v>
      </c>
      <c r="MGC143" s="15" t="s">
        <v>598</v>
      </c>
      <c r="MGD143" s="15" t="s">
        <v>598</v>
      </c>
      <c r="MGE143" s="15" t="s">
        <v>598</v>
      </c>
      <c r="MGF143" s="15" t="s">
        <v>598</v>
      </c>
      <c r="MGG143" s="15" t="s">
        <v>598</v>
      </c>
      <c r="MGH143" s="15" t="s">
        <v>598</v>
      </c>
      <c r="MGI143" s="15" t="s">
        <v>598</v>
      </c>
      <c r="MGJ143" s="15" t="s">
        <v>598</v>
      </c>
      <c r="MGK143" s="15" t="s">
        <v>598</v>
      </c>
      <c r="MGL143" s="15" t="s">
        <v>598</v>
      </c>
      <c r="MGM143" s="15" t="s">
        <v>598</v>
      </c>
      <c r="MGN143" s="15" t="s">
        <v>598</v>
      </c>
      <c r="MGO143" s="15" t="s">
        <v>598</v>
      </c>
      <c r="MGP143" s="15" t="s">
        <v>598</v>
      </c>
      <c r="MGQ143" s="15" t="s">
        <v>598</v>
      </c>
      <c r="MGR143" s="15" t="s">
        <v>598</v>
      </c>
      <c r="MGS143" s="15" t="s">
        <v>598</v>
      </c>
      <c r="MGT143" s="15" t="s">
        <v>598</v>
      </c>
      <c r="MGU143" s="15" t="s">
        <v>598</v>
      </c>
      <c r="MGV143" s="15" t="s">
        <v>598</v>
      </c>
      <c r="MGW143" s="15" t="s">
        <v>598</v>
      </c>
      <c r="MGX143" s="15" t="s">
        <v>598</v>
      </c>
      <c r="MGY143" s="15" t="s">
        <v>598</v>
      </c>
      <c r="MGZ143" s="15" t="s">
        <v>598</v>
      </c>
      <c r="MHA143" s="15" t="s">
        <v>598</v>
      </c>
      <c r="MHB143" s="15" t="s">
        <v>598</v>
      </c>
      <c r="MHC143" s="15" t="s">
        <v>598</v>
      </c>
      <c r="MHD143" s="15" t="s">
        <v>598</v>
      </c>
      <c r="MHE143" s="15" t="s">
        <v>598</v>
      </c>
      <c r="MHF143" s="15" t="s">
        <v>598</v>
      </c>
      <c r="MHG143" s="15" t="s">
        <v>598</v>
      </c>
      <c r="MHH143" s="15" t="s">
        <v>598</v>
      </c>
      <c r="MHI143" s="15" t="s">
        <v>598</v>
      </c>
      <c r="MHJ143" s="15" t="s">
        <v>598</v>
      </c>
      <c r="MHK143" s="15" t="s">
        <v>598</v>
      </c>
      <c r="MHL143" s="15" t="s">
        <v>598</v>
      </c>
      <c r="MHM143" s="15" t="s">
        <v>598</v>
      </c>
      <c r="MHN143" s="15" t="s">
        <v>598</v>
      </c>
      <c r="MHO143" s="15" t="s">
        <v>598</v>
      </c>
      <c r="MHP143" s="15" t="s">
        <v>598</v>
      </c>
      <c r="MHQ143" s="15" t="s">
        <v>598</v>
      </c>
      <c r="MHR143" s="15" t="s">
        <v>598</v>
      </c>
      <c r="MHS143" s="15" t="s">
        <v>598</v>
      </c>
      <c r="MHT143" s="15" t="s">
        <v>598</v>
      </c>
      <c r="MHU143" s="15" t="s">
        <v>598</v>
      </c>
      <c r="MHV143" s="15" t="s">
        <v>598</v>
      </c>
      <c r="MHW143" s="15" t="s">
        <v>598</v>
      </c>
      <c r="MHX143" s="15" t="s">
        <v>598</v>
      </c>
      <c r="MHY143" s="15" t="s">
        <v>598</v>
      </c>
      <c r="MHZ143" s="15" t="s">
        <v>598</v>
      </c>
      <c r="MIA143" s="15" t="s">
        <v>598</v>
      </c>
      <c r="MIB143" s="15" t="s">
        <v>598</v>
      </c>
      <c r="MIC143" s="15" t="s">
        <v>598</v>
      </c>
      <c r="MID143" s="15" t="s">
        <v>598</v>
      </c>
      <c r="MIE143" s="15" t="s">
        <v>598</v>
      </c>
      <c r="MIF143" s="15" t="s">
        <v>598</v>
      </c>
      <c r="MIG143" s="15" t="s">
        <v>598</v>
      </c>
      <c r="MIH143" s="15" t="s">
        <v>598</v>
      </c>
      <c r="MII143" s="15" t="s">
        <v>598</v>
      </c>
      <c r="MIJ143" s="15" t="s">
        <v>598</v>
      </c>
      <c r="MIK143" s="15" t="s">
        <v>598</v>
      </c>
      <c r="MIL143" s="15" t="s">
        <v>598</v>
      </c>
      <c r="MIM143" s="15" t="s">
        <v>598</v>
      </c>
      <c r="MIN143" s="15" t="s">
        <v>598</v>
      </c>
      <c r="MIO143" s="15" t="s">
        <v>598</v>
      </c>
      <c r="MIP143" s="15" t="s">
        <v>598</v>
      </c>
      <c r="MIQ143" s="15" t="s">
        <v>598</v>
      </c>
      <c r="MIR143" s="15" t="s">
        <v>598</v>
      </c>
      <c r="MIS143" s="15" t="s">
        <v>598</v>
      </c>
      <c r="MIT143" s="15" t="s">
        <v>598</v>
      </c>
      <c r="MIU143" s="15" t="s">
        <v>598</v>
      </c>
      <c r="MIV143" s="15" t="s">
        <v>598</v>
      </c>
      <c r="MIW143" s="15" t="s">
        <v>598</v>
      </c>
      <c r="MIX143" s="15" t="s">
        <v>598</v>
      </c>
      <c r="MIY143" s="15" t="s">
        <v>598</v>
      </c>
      <c r="MIZ143" s="15" t="s">
        <v>598</v>
      </c>
      <c r="MJA143" s="15" t="s">
        <v>598</v>
      </c>
      <c r="MJB143" s="15" t="s">
        <v>598</v>
      </c>
      <c r="MJC143" s="15" t="s">
        <v>598</v>
      </c>
      <c r="MJD143" s="15" t="s">
        <v>598</v>
      </c>
      <c r="MJE143" s="15" t="s">
        <v>598</v>
      </c>
      <c r="MJF143" s="15" t="s">
        <v>598</v>
      </c>
      <c r="MJG143" s="15" t="s">
        <v>598</v>
      </c>
      <c r="MJH143" s="15" t="s">
        <v>598</v>
      </c>
      <c r="MJI143" s="15" t="s">
        <v>598</v>
      </c>
      <c r="MJJ143" s="15" t="s">
        <v>598</v>
      </c>
      <c r="MJK143" s="15" t="s">
        <v>598</v>
      </c>
      <c r="MJL143" s="15" t="s">
        <v>598</v>
      </c>
      <c r="MJM143" s="15" t="s">
        <v>598</v>
      </c>
      <c r="MJN143" s="15" t="s">
        <v>598</v>
      </c>
      <c r="MJO143" s="15" t="s">
        <v>598</v>
      </c>
      <c r="MJP143" s="15" t="s">
        <v>598</v>
      </c>
      <c r="MJQ143" s="15" t="s">
        <v>598</v>
      </c>
      <c r="MJR143" s="15" t="s">
        <v>598</v>
      </c>
      <c r="MJS143" s="15" t="s">
        <v>598</v>
      </c>
      <c r="MJT143" s="15" t="s">
        <v>598</v>
      </c>
      <c r="MJU143" s="15" t="s">
        <v>598</v>
      </c>
      <c r="MJV143" s="15" t="s">
        <v>598</v>
      </c>
      <c r="MJW143" s="15" t="s">
        <v>598</v>
      </c>
      <c r="MJX143" s="15" t="s">
        <v>598</v>
      </c>
      <c r="MJY143" s="15" t="s">
        <v>598</v>
      </c>
      <c r="MJZ143" s="15" t="s">
        <v>598</v>
      </c>
      <c r="MKA143" s="15" t="s">
        <v>598</v>
      </c>
      <c r="MKB143" s="15" t="s">
        <v>598</v>
      </c>
      <c r="MKC143" s="15" t="s">
        <v>598</v>
      </c>
      <c r="MKD143" s="15" t="s">
        <v>598</v>
      </c>
      <c r="MKE143" s="15" t="s">
        <v>598</v>
      </c>
      <c r="MKF143" s="15" t="s">
        <v>598</v>
      </c>
      <c r="MKG143" s="15" t="s">
        <v>598</v>
      </c>
      <c r="MKH143" s="15" t="s">
        <v>598</v>
      </c>
      <c r="MKI143" s="15" t="s">
        <v>598</v>
      </c>
      <c r="MKJ143" s="15" t="s">
        <v>598</v>
      </c>
      <c r="MKK143" s="15" t="s">
        <v>598</v>
      </c>
      <c r="MKL143" s="15" t="s">
        <v>598</v>
      </c>
      <c r="MKM143" s="15" t="s">
        <v>598</v>
      </c>
      <c r="MKN143" s="15" t="s">
        <v>598</v>
      </c>
      <c r="MKO143" s="15" t="s">
        <v>598</v>
      </c>
      <c r="MKP143" s="15" t="s">
        <v>598</v>
      </c>
      <c r="MKQ143" s="15" t="s">
        <v>598</v>
      </c>
      <c r="MKR143" s="15" t="s">
        <v>598</v>
      </c>
      <c r="MKS143" s="15" t="s">
        <v>598</v>
      </c>
      <c r="MKT143" s="15" t="s">
        <v>598</v>
      </c>
      <c r="MKU143" s="15" t="s">
        <v>598</v>
      </c>
      <c r="MKV143" s="15" t="s">
        <v>598</v>
      </c>
      <c r="MKW143" s="15" t="s">
        <v>598</v>
      </c>
      <c r="MKX143" s="15" t="s">
        <v>598</v>
      </c>
      <c r="MKY143" s="15" t="s">
        <v>598</v>
      </c>
      <c r="MKZ143" s="15" t="s">
        <v>598</v>
      </c>
      <c r="MLA143" s="15" t="s">
        <v>598</v>
      </c>
      <c r="MLB143" s="15" t="s">
        <v>598</v>
      </c>
      <c r="MLC143" s="15" t="s">
        <v>598</v>
      </c>
      <c r="MLD143" s="15" t="s">
        <v>598</v>
      </c>
      <c r="MLE143" s="15" t="s">
        <v>598</v>
      </c>
      <c r="MLF143" s="15" t="s">
        <v>598</v>
      </c>
      <c r="MLG143" s="15" t="s">
        <v>598</v>
      </c>
      <c r="MLH143" s="15" t="s">
        <v>598</v>
      </c>
      <c r="MLI143" s="15" t="s">
        <v>598</v>
      </c>
      <c r="MLJ143" s="15" t="s">
        <v>598</v>
      </c>
      <c r="MLK143" s="15" t="s">
        <v>598</v>
      </c>
      <c r="MLL143" s="15" t="s">
        <v>598</v>
      </c>
      <c r="MLM143" s="15" t="s">
        <v>598</v>
      </c>
      <c r="MLN143" s="15" t="s">
        <v>598</v>
      </c>
      <c r="MLO143" s="15" t="s">
        <v>598</v>
      </c>
      <c r="MLP143" s="15" t="s">
        <v>598</v>
      </c>
      <c r="MLQ143" s="15" t="s">
        <v>598</v>
      </c>
      <c r="MLR143" s="15" t="s">
        <v>598</v>
      </c>
      <c r="MLS143" s="15" t="s">
        <v>598</v>
      </c>
      <c r="MLT143" s="15" t="s">
        <v>598</v>
      </c>
      <c r="MLU143" s="15" t="s">
        <v>598</v>
      </c>
      <c r="MLV143" s="15" t="s">
        <v>598</v>
      </c>
      <c r="MLW143" s="15" t="s">
        <v>598</v>
      </c>
      <c r="MLX143" s="15" t="s">
        <v>598</v>
      </c>
      <c r="MLY143" s="15" t="s">
        <v>598</v>
      </c>
      <c r="MLZ143" s="15" t="s">
        <v>598</v>
      </c>
      <c r="MMA143" s="15" t="s">
        <v>598</v>
      </c>
      <c r="MMB143" s="15" t="s">
        <v>598</v>
      </c>
      <c r="MMC143" s="15" t="s">
        <v>598</v>
      </c>
      <c r="MMD143" s="15" t="s">
        <v>598</v>
      </c>
      <c r="MME143" s="15" t="s">
        <v>598</v>
      </c>
      <c r="MMF143" s="15" t="s">
        <v>598</v>
      </c>
      <c r="MMG143" s="15" t="s">
        <v>598</v>
      </c>
      <c r="MMH143" s="15" t="s">
        <v>598</v>
      </c>
      <c r="MMI143" s="15" t="s">
        <v>598</v>
      </c>
      <c r="MMJ143" s="15" t="s">
        <v>598</v>
      </c>
      <c r="MMK143" s="15" t="s">
        <v>598</v>
      </c>
      <c r="MML143" s="15" t="s">
        <v>598</v>
      </c>
      <c r="MMM143" s="15" t="s">
        <v>598</v>
      </c>
      <c r="MMN143" s="15" t="s">
        <v>598</v>
      </c>
      <c r="MMO143" s="15" t="s">
        <v>598</v>
      </c>
      <c r="MMP143" s="15" t="s">
        <v>598</v>
      </c>
      <c r="MMQ143" s="15" t="s">
        <v>598</v>
      </c>
      <c r="MMR143" s="15" t="s">
        <v>598</v>
      </c>
      <c r="MMS143" s="15" t="s">
        <v>598</v>
      </c>
      <c r="MMT143" s="15" t="s">
        <v>598</v>
      </c>
      <c r="MMU143" s="15" t="s">
        <v>598</v>
      </c>
      <c r="MMV143" s="15" t="s">
        <v>598</v>
      </c>
      <c r="MMW143" s="15" t="s">
        <v>598</v>
      </c>
      <c r="MMX143" s="15" t="s">
        <v>598</v>
      </c>
      <c r="MMY143" s="15" t="s">
        <v>598</v>
      </c>
      <c r="MMZ143" s="15" t="s">
        <v>598</v>
      </c>
      <c r="MNA143" s="15" t="s">
        <v>598</v>
      </c>
      <c r="MNB143" s="15" t="s">
        <v>598</v>
      </c>
      <c r="MNC143" s="15" t="s">
        <v>598</v>
      </c>
      <c r="MND143" s="15" t="s">
        <v>598</v>
      </c>
      <c r="MNE143" s="15" t="s">
        <v>598</v>
      </c>
      <c r="MNF143" s="15" t="s">
        <v>598</v>
      </c>
      <c r="MNG143" s="15" t="s">
        <v>598</v>
      </c>
      <c r="MNH143" s="15" t="s">
        <v>598</v>
      </c>
      <c r="MNI143" s="15" t="s">
        <v>598</v>
      </c>
      <c r="MNJ143" s="15" t="s">
        <v>598</v>
      </c>
      <c r="MNK143" s="15" t="s">
        <v>598</v>
      </c>
      <c r="MNL143" s="15" t="s">
        <v>598</v>
      </c>
      <c r="MNM143" s="15" t="s">
        <v>598</v>
      </c>
      <c r="MNN143" s="15" t="s">
        <v>598</v>
      </c>
      <c r="MNO143" s="15" t="s">
        <v>598</v>
      </c>
      <c r="MNP143" s="15" t="s">
        <v>598</v>
      </c>
      <c r="MNQ143" s="15" t="s">
        <v>598</v>
      </c>
      <c r="MNR143" s="15" t="s">
        <v>598</v>
      </c>
      <c r="MNS143" s="15" t="s">
        <v>598</v>
      </c>
      <c r="MNT143" s="15" t="s">
        <v>598</v>
      </c>
      <c r="MNU143" s="15" t="s">
        <v>598</v>
      </c>
      <c r="MNV143" s="15" t="s">
        <v>598</v>
      </c>
      <c r="MNW143" s="15" t="s">
        <v>598</v>
      </c>
      <c r="MNX143" s="15" t="s">
        <v>598</v>
      </c>
      <c r="MNY143" s="15" t="s">
        <v>598</v>
      </c>
      <c r="MNZ143" s="15" t="s">
        <v>598</v>
      </c>
      <c r="MOA143" s="15" t="s">
        <v>598</v>
      </c>
      <c r="MOB143" s="15" t="s">
        <v>598</v>
      </c>
      <c r="MOC143" s="15" t="s">
        <v>598</v>
      </c>
      <c r="MOD143" s="15" t="s">
        <v>598</v>
      </c>
      <c r="MOE143" s="15" t="s">
        <v>598</v>
      </c>
      <c r="MOF143" s="15" t="s">
        <v>598</v>
      </c>
      <c r="MOG143" s="15" t="s">
        <v>598</v>
      </c>
      <c r="MOH143" s="15" t="s">
        <v>598</v>
      </c>
      <c r="MOI143" s="15" t="s">
        <v>598</v>
      </c>
      <c r="MOJ143" s="15" t="s">
        <v>598</v>
      </c>
      <c r="MOK143" s="15" t="s">
        <v>598</v>
      </c>
      <c r="MOL143" s="15" t="s">
        <v>598</v>
      </c>
      <c r="MOM143" s="15" t="s">
        <v>598</v>
      </c>
      <c r="MON143" s="15" t="s">
        <v>598</v>
      </c>
      <c r="MOO143" s="15" t="s">
        <v>598</v>
      </c>
      <c r="MOP143" s="15" t="s">
        <v>598</v>
      </c>
      <c r="MOQ143" s="15" t="s">
        <v>598</v>
      </c>
      <c r="MOR143" s="15" t="s">
        <v>598</v>
      </c>
      <c r="MOS143" s="15" t="s">
        <v>598</v>
      </c>
      <c r="MOT143" s="15" t="s">
        <v>598</v>
      </c>
      <c r="MOU143" s="15" t="s">
        <v>598</v>
      </c>
      <c r="MOV143" s="15" t="s">
        <v>598</v>
      </c>
      <c r="MOW143" s="15" t="s">
        <v>598</v>
      </c>
      <c r="MOX143" s="15" t="s">
        <v>598</v>
      </c>
      <c r="MOY143" s="15" t="s">
        <v>598</v>
      </c>
      <c r="MOZ143" s="15" t="s">
        <v>598</v>
      </c>
      <c r="MPA143" s="15" t="s">
        <v>598</v>
      </c>
      <c r="MPB143" s="15" t="s">
        <v>598</v>
      </c>
      <c r="MPC143" s="15" t="s">
        <v>598</v>
      </c>
      <c r="MPD143" s="15" t="s">
        <v>598</v>
      </c>
      <c r="MPE143" s="15" t="s">
        <v>598</v>
      </c>
      <c r="MPF143" s="15" t="s">
        <v>598</v>
      </c>
      <c r="MPG143" s="15" t="s">
        <v>598</v>
      </c>
      <c r="MPH143" s="15" t="s">
        <v>598</v>
      </c>
      <c r="MPI143" s="15" t="s">
        <v>598</v>
      </c>
      <c r="MPJ143" s="15" t="s">
        <v>598</v>
      </c>
      <c r="MPK143" s="15" t="s">
        <v>598</v>
      </c>
      <c r="MPL143" s="15" t="s">
        <v>598</v>
      </c>
      <c r="MPM143" s="15" t="s">
        <v>598</v>
      </c>
      <c r="MPN143" s="15" t="s">
        <v>598</v>
      </c>
      <c r="MPO143" s="15" t="s">
        <v>598</v>
      </c>
      <c r="MPP143" s="15" t="s">
        <v>598</v>
      </c>
      <c r="MPQ143" s="15" t="s">
        <v>598</v>
      </c>
      <c r="MPR143" s="15" t="s">
        <v>598</v>
      </c>
      <c r="MPS143" s="15" t="s">
        <v>598</v>
      </c>
      <c r="MPT143" s="15" t="s">
        <v>598</v>
      </c>
      <c r="MPU143" s="15" t="s">
        <v>598</v>
      </c>
      <c r="MPV143" s="15" t="s">
        <v>598</v>
      </c>
      <c r="MPW143" s="15" t="s">
        <v>598</v>
      </c>
      <c r="MPX143" s="15" t="s">
        <v>598</v>
      </c>
      <c r="MPY143" s="15" t="s">
        <v>598</v>
      </c>
      <c r="MPZ143" s="15" t="s">
        <v>598</v>
      </c>
      <c r="MQA143" s="15" t="s">
        <v>598</v>
      </c>
      <c r="MQB143" s="15" t="s">
        <v>598</v>
      </c>
      <c r="MQC143" s="15" t="s">
        <v>598</v>
      </c>
      <c r="MQD143" s="15" t="s">
        <v>598</v>
      </c>
      <c r="MQE143" s="15" t="s">
        <v>598</v>
      </c>
      <c r="MQF143" s="15" t="s">
        <v>598</v>
      </c>
      <c r="MQG143" s="15" t="s">
        <v>598</v>
      </c>
      <c r="MQH143" s="15" t="s">
        <v>598</v>
      </c>
      <c r="MQI143" s="15" t="s">
        <v>598</v>
      </c>
      <c r="MQJ143" s="15" t="s">
        <v>598</v>
      </c>
      <c r="MQK143" s="15" t="s">
        <v>598</v>
      </c>
      <c r="MQL143" s="15" t="s">
        <v>598</v>
      </c>
      <c r="MQM143" s="15" t="s">
        <v>598</v>
      </c>
      <c r="MQN143" s="15" t="s">
        <v>598</v>
      </c>
      <c r="MQO143" s="15" t="s">
        <v>598</v>
      </c>
      <c r="MQP143" s="15" t="s">
        <v>598</v>
      </c>
      <c r="MQQ143" s="15" t="s">
        <v>598</v>
      </c>
      <c r="MQR143" s="15" t="s">
        <v>598</v>
      </c>
      <c r="MQS143" s="15" t="s">
        <v>598</v>
      </c>
      <c r="MQT143" s="15" t="s">
        <v>598</v>
      </c>
      <c r="MQU143" s="15" t="s">
        <v>598</v>
      </c>
      <c r="MQV143" s="15" t="s">
        <v>598</v>
      </c>
      <c r="MQW143" s="15" t="s">
        <v>598</v>
      </c>
      <c r="MQX143" s="15" t="s">
        <v>598</v>
      </c>
      <c r="MQY143" s="15" t="s">
        <v>598</v>
      </c>
      <c r="MQZ143" s="15" t="s">
        <v>598</v>
      </c>
      <c r="MRA143" s="15" t="s">
        <v>598</v>
      </c>
      <c r="MRB143" s="15" t="s">
        <v>598</v>
      </c>
      <c r="MRC143" s="15" t="s">
        <v>598</v>
      </c>
      <c r="MRD143" s="15" t="s">
        <v>598</v>
      </c>
      <c r="MRE143" s="15" t="s">
        <v>598</v>
      </c>
      <c r="MRF143" s="15" t="s">
        <v>598</v>
      </c>
      <c r="MRG143" s="15" t="s">
        <v>598</v>
      </c>
      <c r="MRH143" s="15" t="s">
        <v>598</v>
      </c>
      <c r="MRI143" s="15" t="s">
        <v>598</v>
      </c>
      <c r="MRJ143" s="15" t="s">
        <v>598</v>
      </c>
      <c r="MRK143" s="15" t="s">
        <v>598</v>
      </c>
      <c r="MRL143" s="15" t="s">
        <v>598</v>
      </c>
      <c r="MRM143" s="15" t="s">
        <v>598</v>
      </c>
      <c r="MRN143" s="15" t="s">
        <v>598</v>
      </c>
      <c r="MRO143" s="15" t="s">
        <v>598</v>
      </c>
      <c r="MRP143" s="15" t="s">
        <v>598</v>
      </c>
      <c r="MRQ143" s="15" t="s">
        <v>598</v>
      </c>
      <c r="MRR143" s="15" t="s">
        <v>598</v>
      </c>
      <c r="MRS143" s="15" t="s">
        <v>598</v>
      </c>
      <c r="MRT143" s="15" t="s">
        <v>598</v>
      </c>
      <c r="MRU143" s="15" t="s">
        <v>598</v>
      </c>
      <c r="MRV143" s="15" t="s">
        <v>598</v>
      </c>
      <c r="MRW143" s="15" t="s">
        <v>598</v>
      </c>
      <c r="MRX143" s="15" t="s">
        <v>598</v>
      </c>
      <c r="MRY143" s="15" t="s">
        <v>598</v>
      </c>
      <c r="MRZ143" s="15" t="s">
        <v>598</v>
      </c>
      <c r="MSA143" s="15" t="s">
        <v>598</v>
      </c>
      <c r="MSB143" s="15" t="s">
        <v>598</v>
      </c>
      <c r="MSC143" s="15" t="s">
        <v>598</v>
      </c>
      <c r="MSD143" s="15" t="s">
        <v>598</v>
      </c>
      <c r="MSE143" s="15" t="s">
        <v>598</v>
      </c>
      <c r="MSF143" s="15" t="s">
        <v>598</v>
      </c>
      <c r="MSG143" s="15" t="s">
        <v>598</v>
      </c>
      <c r="MSH143" s="15" t="s">
        <v>598</v>
      </c>
      <c r="MSI143" s="15" t="s">
        <v>598</v>
      </c>
      <c r="MSJ143" s="15" t="s">
        <v>598</v>
      </c>
      <c r="MSK143" s="15" t="s">
        <v>598</v>
      </c>
      <c r="MSL143" s="15" t="s">
        <v>598</v>
      </c>
      <c r="MSM143" s="15" t="s">
        <v>598</v>
      </c>
      <c r="MSN143" s="15" t="s">
        <v>598</v>
      </c>
      <c r="MSO143" s="15" t="s">
        <v>598</v>
      </c>
      <c r="MSP143" s="15" t="s">
        <v>598</v>
      </c>
      <c r="MSQ143" s="15" t="s">
        <v>598</v>
      </c>
      <c r="MSR143" s="15" t="s">
        <v>598</v>
      </c>
      <c r="MSS143" s="15" t="s">
        <v>598</v>
      </c>
      <c r="MST143" s="15" t="s">
        <v>598</v>
      </c>
      <c r="MSU143" s="15" t="s">
        <v>598</v>
      </c>
      <c r="MSV143" s="15" t="s">
        <v>598</v>
      </c>
      <c r="MSW143" s="15" t="s">
        <v>598</v>
      </c>
      <c r="MSX143" s="15" t="s">
        <v>598</v>
      </c>
      <c r="MSY143" s="15" t="s">
        <v>598</v>
      </c>
      <c r="MSZ143" s="15" t="s">
        <v>598</v>
      </c>
      <c r="MTA143" s="15" t="s">
        <v>598</v>
      </c>
      <c r="MTB143" s="15" t="s">
        <v>598</v>
      </c>
      <c r="MTC143" s="15" t="s">
        <v>598</v>
      </c>
      <c r="MTD143" s="15" t="s">
        <v>598</v>
      </c>
      <c r="MTE143" s="15" t="s">
        <v>598</v>
      </c>
      <c r="MTF143" s="15" t="s">
        <v>598</v>
      </c>
      <c r="MTG143" s="15" t="s">
        <v>598</v>
      </c>
      <c r="MTH143" s="15" t="s">
        <v>598</v>
      </c>
      <c r="MTI143" s="15" t="s">
        <v>598</v>
      </c>
      <c r="MTJ143" s="15" t="s">
        <v>598</v>
      </c>
      <c r="MTK143" s="15" t="s">
        <v>598</v>
      </c>
      <c r="MTL143" s="15" t="s">
        <v>598</v>
      </c>
      <c r="MTM143" s="15" t="s">
        <v>598</v>
      </c>
      <c r="MTN143" s="15" t="s">
        <v>598</v>
      </c>
      <c r="MTO143" s="15" t="s">
        <v>598</v>
      </c>
      <c r="MTP143" s="15" t="s">
        <v>598</v>
      </c>
      <c r="MTQ143" s="15" t="s">
        <v>598</v>
      </c>
      <c r="MTR143" s="15" t="s">
        <v>598</v>
      </c>
      <c r="MTS143" s="15" t="s">
        <v>598</v>
      </c>
      <c r="MTT143" s="15" t="s">
        <v>598</v>
      </c>
      <c r="MTU143" s="15" t="s">
        <v>598</v>
      </c>
      <c r="MTV143" s="15" t="s">
        <v>598</v>
      </c>
      <c r="MTW143" s="15" t="s">
        <v>598</v>
      </c>
      <c r="MTX143" s="15" t="s">
        <v>598</v>
      </c>
      <c r="MTY143" s="15" t="s">
        <v>598</v>
      </c>
      <c r="MTZ143" s="15" t="s">
        <v>598</v>
      </c>
      <c r="MUA143" s="15" t="s">
        <v>598</v>
      </c>
      <c r="MUB143" s="15" t="s">
        <v>598</v>
      </c>
      <c r="MUC143" s="15" t="s">
        <v>598</v>
      </c>
      <c r="MUD143" s="15" t="s">
        <v>598</v>
      </c>
      <c r="MUE143" s="15" t="s">
        <v>598</v>
      </c>
      <c r="MUF143" s="15" t="s">
        <v>598</v>
      </c>
      <c r="MUG143" s="15" t="s">
        <v>598</v>
      </c>
      <c r="MUH143" s="15" t="s">
        <v>598</v>
      </c>
      <c r="MUI143" s="15" t="s">
        <v>598</v>
      </c>
      <c r="MUJ143" s="15" t="s">
        <v>598</v>
      </c>
      <c r="MUK143" s="15" t="s">
        <v>598</v>
      </c>
      <c r="MUL143" s="15" t="s">
        <v>598</v>
      </c>
      <c r="MUM143" s="15" t="s">
        <v>598</v>
      </c>
      <c r="MUN143" s="15" t="s">
        <v>598</v>
      </c>
      <c r="MUO143" s="15" t="s">
        <v>598</v>
      </c>
      <c r="MUP143" s="15" t="s">
        <v>598</v>
      </c>
      <c r="MUQ143" s="15" t="s">
        <v>598</v>
      </c>
      <c r="MUR143" s="15" t="s">
        <v>598</v>
      </c>
      <c r="MUS143" s="15" t="s">
        <v>598</v>
      </c>
      <c r="MUT143" s="15" t="s">
        <v>598</v>
      </c>
      <c r="MUU143" s="15" t="s">
        <v>598</v>
      </c>
      <c r="MUV143" s="15" t="s">
        <v>598</v>
      </c>
      <c r="MUW143" s="15" t="s">
        <v>598</v>
      </c>
      <c r="MUX143" s="15" t="s">
        <v>598</v>
      </c>
      <c r="MUY143" s="15" t="s">
        <v>598</v>
      </c>
      <c r="MUZ143" s="15" t="s">
        <v>598</v>
      </c>
      <c r="MVA143" s="15" t="s">
        <v>598</v>
      </c>
      <c r="MVB143" s="15" t="s">
        <v>598</v>
      </c>
      <c r="MVC143" s="15" t="s">
        <v>598</v>
      </c>
      <c r="MVD143" s="15" t="s">
        <v>598</v>
      </c>
      <c r="MVE143" s="15" t="s">
        <v>598</v>
      </c>
      <c r="MVF143" s="15" t="s">
        <v>598</v>
      </c>
      <c r="MVG143" s="15" t="s">
        <v>598</v>
      </c>
      <c r="MVH143" s="15" t="s">
        <v>598</v>
      </c>
      <c r="MVI143" s="15" t="s">
        <v>598</v>
      </c>
      <c r="MVJ143" s="15" t="s">
        <v>598</v>
      </c>
      <c r="MVK143" s="15" t="s">
        <v>598</v>
      </c>
      <c r="MVL143" s="15" t="s">
        <v>598</v>
      </c>
      <c r="MVM143" s="15" t="s">
        <v>598</v>
      </c>
      <c r="MVN143" s="15" t="s">
        <v>598</v>
      </c>
      <c r="MVO143" s="15" t="s">
        <v>598</v>
      </c>
      <c r="MVP143" s="15" t="s">
        <v>598</v>
      </c>
      <c r="MVQ143" s="15" t="s">
        <v>598</v>
      </c>
      <c r="MVR143" s="15" t="s">
        <v>598</v>
      </c>
      <c r="MVS143" s="15" t="s">
        <v>598</v>
      </c>
      <c r="MVT143" s="15" t="s">
        <v>598</v>
      </c>
      <c r="MVU143" s="15" t="s">
        <v>598</v>
      </c>
      <c r="MVV143" s="15" t="s">
        <v>598</v>
      </c>
      <c r="MVW143" s="15" t="s">
        <v>598</v>
      </c>
      <c r="MVX143" s="15" t="s">
        <v>598</v>
      </c>
      <c r="MVY143" s="15" t="s">
        <v>598</v>
      </c>
      <c r="MVZ143" s="15" t="s">
        <v>598</v>
      </c>
      <c r="MWA143" s="15" t="s">
        <v>598</v>
      </c>
      <c r="MWB143" s="15" t="s">
        <v>598</v>
      </c>
      <c r="MWC143" s="15" t="s">
        <v>598</v>
      </c>
      <c r="MWD143" s="15" t="s">
        <v>598</v>
      </c>
      <c r="MWE143" s="15" t="s">
        <v>598</v>
      </c>
      <c r="MWF143" s="15" t="s">
        <v>598</v>
      </c>
      <c r="MWG143" s="15" t="s">
        <v>598</v>
      </c>
      <c r="MWH143" s="15" t="s">
        <v>598</v>
      </c>
      <c r="MWI143" s="15" t="s">
        <v>598</v>
      </c>
      <c r="MWJ143" s="15" t="s">
        <v>598</v>
      </c>
      <c r="MWK143" s="15" t="s">
        <v>598</v>
      </c>
      <c r="MWL143" s="15" t="s">
        <v>598</v>
      </c>
      <c r="MWM143" s="15" t="s">
        <v>598</v>
      </c>
      <c r="MWN143" s="15" t="s">
        <v>598</v>
      </c>
      <c r="MWO143" s="15" t="s">
        <v>598</v>
      </c>
      <c r="MWP143" s="15" t="s">
        <v>598</v>
      </c>
      <c r="MWQ143" s="15" t="s">
        <v>598</v>
      </c>
      <c r="MWR143" s="15" t="s">
        <v>598</v>
      </c>
      <c r="MWS143" s="15" t="s">
        <v>598</v>
      </c>
      <c r="MWT143" s="15" t="s">
        <v>598</v>
      </c>
      <c r="MWU143" s="15" t="s">
        <v>598</v>
      </c>
      <c r="MWV143" s="15" t="s">
        <v>598</v>
      </c>
      <c r="MWW143" s="15" t="s">
        <v>598</v>
      </c>
      <c r="MWX143" s="15" t="s">
        <v>598</v>
      </c>
      <c r="MWY143" s="15" t="s">
        <v>598</v>
      </c>
      <c r="MWZ143" s="15" t="s">
        <v>598</v>
      </c>
      <c r="MXA143" s="15" t="s">
        <v>598</v>
      </c>
      <c r="MXB143" s="15" t="s">
        <v>598</v>
      </c>
      <c r="MXC143" s="15" t="s">
        <v>598</v>
      </c>
      <c r="MXD143" s="15" t="s">
        <v>598</v>
      </c>
      <c r="MXE143" s="15" t="s">
        <v>598</v>
      </c>
      <c r="MXF143" s="15" t="s">
        <v>598</v>
      </c>
      <c r="MXG143" s="15" t="s">
        <v>598</v>
      </c>
      <c r="MXH143" s="15" t="s">
        <v>598</v>
      </c>
      <c r="MXI143" s="15" t="s">
        <v>598</v>
      </c>
      <c r="MXJ143" s="15" t="s">
        <v>598</v>
      </c>
      <c r="MXK143" s="15" t="s">
        <v>598</v>
      </c>
      <c r="MXL143" s="15" t="s">
        <v>598</v>
      </c>
      <c r="MXM143" s="15" t="s">
        <v>598</v>
      </c>
      <c r="MXN143" s="15" t="s">
        <v>598</v>
      </c>
      <c r="MXO143" s="15" t="s">
        <v>598</v>
      </c>
      <c r="MXP143" s="15" t="s">
        <v>598</v>
      </c>
      <c r="MXQ143" s="15" t="s">
        <v>598</v>
      </c>
      <c r="MXR143" s="15" t="s">
        <v>598</v>
      </c>
      <c r="MXS143" s="15" t="s">
        <v>598</v>
      </c>
      <c r="MXT143" s="15" t="s">
        <v>598</v>
      </c>
      <c r="MXU143" s="15" t="s">
        <v>598</v>
      </c>
      <c r="MXV143" s="15" t="s">
        <v>598</v>
      </c>
      <c r="MXW143" s="15" t="s">
        <v>598</v>
      </c>
      <c r="MXX143" s="15" t="s">
        <v>598</v>
      </c>
      <c r="MXY143" s="15" t="s">
        <v>598</v>
      </c>
      <c r="MXZ143" s="15" t="s">
        <v>598</v>
      </c>
      <c r="MYA143" s="15" t="s">
        <v>598</v>
      </c>
      <c r="MYB143" s="15" t="s">
        <v>598</v>
      </c>
      <c r="MYC143" s="15" t="s">
        <v>598</v>
      </c>
      <c r="MYD143" s="15" t="s">
        <v>598</v>
      </c>
      <c r="MYE143" s="15" t="s">
        <v>598</v>
      </c>
      <c r="MYF143" s="15" t="s">
        <v>598</v>
      </c>
      <c r="MYG143" s="15" t="s">
        <v>598</v>
      </c>
      <c r="MYH143" s="15" t="s">
        <v>598</v>
      </c>
      <c r="MYI143" s="15" t="s">
        <v>598</v>
      </c>
      <c r="MYJ143" s="15" t="s">
        <v>598</v>
      </c>
      <c r="MYK143" s="15" t="s">
        <v>598</v>
      </c>
      <c r="MYL143" s="15" t="s">
        <v>598</v>
      </c>
      <c r="MYM143" s="15" t="s">
        <v>598</v>
      </c>
      <c r="MYN143" s="15" t="s">
        <v>598</v>
      </c>
      <c r="MYO143" s="15" t="s">
        <v>598</v>
      </c>
      <c r="MYP143" s="15" t="s">
        <v>598</v>
      </c>
      <c r="MYQ143" s="15" t="s">
        <v>598</v>
      </c>
      <c r="MYR143" s="15" t="s">
        <v>598</v>
      </c>
      <c r="MYS143" s="15" t="s">
        <v>598</v>
      </c>
      <c r="MYT143" s="15" t="s">
        <v>598</v>
      </c>
      <c r="MYU143" s="15" t="s">
        <v>598</v>
      </c>
      <c r="MYV143" s="15" t="s">
        <v>598</v>
      </c>
      <c r="MYW143" s="15" t="s">
        <v>598</v>
      </c>
      <c r="MYX143" s="15" t="s">
        <v>598</v>
      </c>
      <c r="MYY143" s="15" t="s">
        <v>598</v>
      </c>
      <c r="MYZ143" s="15" t="s">
        <v>598</v>
      </c>
      <c r="MZA143" s="15" t="s">
        <v>598</v>
      </c>
      <c r="MZB143" s="15" t="s">
        <v>598</v>
      </c>
      <c r="MZC143" s="15" t="s">
        <v>598</v>
      </c>
      <c r="MZD143" s="15" t="s">
        <v>598</v>
      </c>
      <c r="MZE143" s="15" t="s">
        <v>598</v>
      </c>
      <c r="MZF143" s="15" t="s">
        <v>598</v>
      </c>
      <c r="MZG143" s="15" t="s">
        <v>598</v>
      </c>
      <c r="MZH143" s="15" t="s">
        <v>598</v>
      </c>
      <c r="MZI143" s="15" t="s">
        <v>598</v>
      </c>
      <c r="MZJ143" s="15" t="s">
        <v>598</v>
      </c>
      <c r="MZK143" s="15" t="s">
        <v>598</v>
      </c>
      <c r="MZL143" s="15" t="s">
        <v>598</v>
      </c>
      <c r="MZM143" s="15" t="s">
        <v>598</v>
      </c>
      <c r="MZN143" s="15" t="s">
        <v>598</v>
      </c>
      <c r="MZO143" s="15" t="s">
        <v>598</v>
      </c>
      <c r="MZP143" s="15" t="s">
        <v>598</v>
      </c>
      <c r="MZQ143" s="15" t="s">
        <v>598</v>
      </c>
      <c r="MZR143" s="15" t="s">
        <v>598</v>
      </c>
      <c r="MZS143" s="15" t="s">
        <v>598</v>
      </c>
      <c r="MZT143" s="15" t="s">
        <v>598</v>
      </c>
      <c r="MZU143" s="15" t="s">
        <v>598</v>
      </c>
      <c r="MZV143" s="15" t="s">
        <v>598</v>
      </c>
      <c r="MZW143" s="15" t="s">
        <v>598</v>
      </c>
      <c r="MZX143" s="15" t="s">
        <v>598</v>
      </c>
      <c r="MZY143" s="15" t="s">
        <v>598</v>
      </c>
      <c r="MZZ143" s="15" t="s">
        <v>598</v>
      </c>
      <c r="NAA143" s="15" t="s">
        <v>598</v>
      </c>
      <c r="NAB143" s="15" t="s">
        <v>598</v>
      </c>
      <c r="NAC143" s="15" t="s">
        <v>598</v>
      </c>
      <c r="NAD143" s="15" t="s">
        <v>598</v>
      </c>
      <c r="NAE143" s="15" t="s">
        <v>598</v>
      </c>
      <c r="NAF143" s="15" t="s">
        <v>598</v>
      </c>
      <c r="NAG143" s="15" t="s">
        <v>598</v>
      </c>
      <c r="NAH143" s="15" t="s">
        <v>598</v>
      </c>
      <c r="NAI143" s="15" t="s">
        <v>598</v>
      </c>
      <c r="NAJ143" s="15" t="s">
        <v>598</v>
      </c>
      <c r="NAK143" s="15" t="s">
        <v>598</v>
      </c>
      <c r="NAL143" s="15" t="s">
        <v>598</v>
      </c>
      <c r="NAM143" s="15" t="s">
        <v>598</v>
      </c>
      <c r="NAN143" s="15" t="s">
        <v>598</v>
      </c>
      <c r="NAO143" s="15" t="s">
        <v>598</v>
      </c>
      <c r="NAP143" s="15" t="s">
        <v>598</v>
      </c>
      <c r="NAQ143" s="15" t="s">
        <v>598</v>
      </c>
      <c r="NAR143" s="15" t="s">
        <v>598</v>
      </c>
      <c r="NAS143" s="15" t="s">
        <v>598</v>
      </c>
      <c r="NAT143" s="15" t="s">
        <v>598</v>
      </c>
      <c r="NAU143" s="15" t="s">
        <v>598</v>
      </c>
      <c r="NAV143" s="15" t="s">
        <v>598</v>
      </c>
      <c r="NAW143" s="15" t="s">
        <v>598</v>
      </c>
      <c r="NAX143" s="15" t="s">
        <v>598</v>
      </c>
      <c r="NAY143" s="15" t="s">
        <v>598</v>
      </c>
      <c r="NAZ143" s="15" t="s">
        <v>598</v>
      </c>
      <c r="NBA143" s="15" t="s">
        <v>598</v>
      </c>
      <c r="NBB143" s="15" t="s">
        <v>598</v>
      </c>
      <c r="NBC143" s="15" t="s">
        <v>598</v>
      </c>
      <c r="NBD143" s="15" t="s">
        <v>598</v>
      </c>
      <c r="NBE143" s="15" t="s">
        <v>598</v>
      </c>
      <c r="NBF143" s="15" t="s">
        <v>598</v>
      </c>
      <c r="NBG143" s="15" t="s">
        <v>598</v>
      </c>
      <c r="NBH143" s="15" t="s">
        <v>598</v>
      </c>
      <c r="NBI143" s="15" t="s">
        <v>598</v>
      </c>
      <c r="NBJ143" s="15" t="s">
        <v>598</v>
      </c>
      <c r="NBK143" s="15" t="s">
        <v>598</v>
      </c>
      <c r="NBL143" s="15" t="s">
        <v>598</v>
      </c>
      <c r="NBM143" s="15" t="s">
        <v>598</v>
      </c>
      <c r="NBN143" s="15" t="s">
        <v>598</v>
      </c>
      <c r="NBO143" s="15" t="s">
        <v>598</v>
      </c>
      <c r="NBP143" s="15" t="s">
        <v>598</v>
      </c>
      <c r="NBQ143" s="15" t="s">
        <v>598</v>
      </c>
      <c r="NBR143" s="15" t="s">
        <v>598</v>
      </c>
      <c r="NBS143" s="15" t="s">
        <v>598</v>
      </c>
      <c r="NBT143" s="15" t="s">
        <v>598</v>
      </c>
      <c r="NBU143" s="15" t="s">
        <v>598</v>
      </c>
      <c r="NBV143" s="15" t="s">
        <v>598</v>
      </c>
      <c r="NBW143" s="15" t="s">
        <v>598</v>
      </c>
      <c r="NBX143" s="15" t="s">
        <v>598</v>
      </c>
      <c r="NBY143" s="15" t="s">
        <v>598</v>
      </c>
      <c r="NBZ143" s="15" t="s">
        <v>598</v>
      </c>
      <c r="NCA143" s="15" t="s">
        <v>598</v>
      </c>
      <c r="NCB143" s="15" t="s">
        <v>598</v>
      </c>
      <c r="NCC143" s="15" t="s">
        <v>598</v>
      </c>
      <c r="NCD143" s="15" t="s">
        <v>598</v>
      </c>
      <c r="NCE143" s="15" t="s">
        <v>598</v>
      </c>
      <c r="NCF143" s="15" t="s">
        <v>598</v>
      </c>
      <c r="NCG143" s="15" t="s">
        <v>598</v>
      </c>
      <c r="NCH143" s="15" t="s">
        <v>598</v>
      </c>
      <c r="NCI143" s="15" t="s">
        <v>598</v>
      </c>
      <c r="NCJ143" s="15" t="s">
        <v>598</v>
      </c>
      <c r="NCK143" s="15" t="s">
        <v>598</v>
      </c>
      <c r="NCL143" s="15" t="s">
        <v>598</v>
      </c>
      <c r="NCM143" s="15" t="s">
        <v>598</v>
      </c>
      <c r="NCN143" s="15" t="s">
        <v>598</v>
      </c>
      <c r="NCO143" s="15" t="s">
        <v>598</v>
      </c>
      <c r="NCP143" s="15" t="s">
        <v>598</v>
      </c>
      <c r="NCQ143" s="15" t="s">
        <v>598</v>
      </c>
      <c r="NCR143" s="15" t="s">
        <v>598</v>
      </c>
      <c r="NCS143" s="15" t="s">
        <v>598</v>
      </c>
      <c r="NCT143" s="15" t="s">
        <v>598</v>
      </c>
      <c r="NCU143" s="15" t="s">
        <v>598</v>
      </c>
      <c r="NCV143" s="15" t="s">
        <v>598</v>
      </c>
      <c r="NCW143" s="15" t="s">
        <v>598</v>
      </c>
      <c r="NCX143" s="15" t="s">
        <v>598</v>
      </c>
      <c r="NCY143" s="15" t="s">
        <v>598</v>
      </c>
      <c r="NCZ143" s="15" t="s">
        <v>598</v>
      </c>
      <c r="NDA143" s="15" t="s">
        <v>598</v>
      </c>
      <c r="NDB143" s="15" t="s">
        <v>598</v>
      </c>
      <c r="NDC143" s="15" t="s">
        <v>598</v>
      </c>
      <c r="NDD143" s="15" t="s">
        <v>598</v>
      </c>
      <c r="NDE143" s="15" t="s">
        <v>598</v>
      </c>
      <c r="NDF143" s="15" t="s">
        <v>598</v>
      </c>
      <c r="NDG143" s="15" t="s">
        <v>598</v>
      </c>
      <c r="NDH143" s="15" t="s">
        <v>598</v>
      </c>
      <c r="NDI143" s="15" t="s">
        <v>598</v>
      </c>
      <c r="NDJ143" s="15" t="s">
        <v>598</v>
      </c>
      <c r="NDK143" s="15" t="s">
        <v>598</v>
      </c>
      <c r="NDL143" s="15" t="s">
        <v>598</v>
      </c>
      <c r="NDM143" s="15" t="s">
        <v>598</v>
      </c>
      <c r="NDN143" s="15" t="s">
        <v>598</v>
      </c>
      <c r="NDO143" s="15" t="s">
        <v>598</v>
      </c>
      <c r="NDP143" s="15" t="s">
        <v>598</v>
      </c>
      <c r="NDQ143" s="15" t="s">
        <v>598</v>
      </c>
      <c r="NDR143" s="15" t="s">
        <v>598</v>
      </c>
      <c r="NDS143" s="15" t="s">
        <v>598</v>
      </c>
      <c r="NDT143" s="15" t="s">
        <v>598</v>
      </c>
      <c r="NDU143" s="15" t="s">
        <v>598</v>
      </c>
      <c r="NDV143" s="15" t="s">
        <v>598</v>
      </c>
      <c r="NDW143" s="15" t="s">
        <v>598</v>
      </c>
      <c r="NDX143" s="15" t="s">
        <v>598</v>
      </c>
      <c r="NDY143" s="15" t="s">
        <v>598</v>
      </c>
      <c r="NDZ143" s="15" t="s">
        <v>598</v>
      </c>
      <c r="NEA143" s="15" t="s">
        <v>598</v>
      </c>
      <c r="NEB143" s="15" t="s">
        <v>598</v>
      </c>
      <c r="NEC143" s="15" t="s">
        <v>598</v>
      </c>
      <c r="NED143" s="15" t="s">
        <v>598</v>
      </c>
      <c r="NEE143" s="15" t="s">
        <v>598</v>
      </c>
      <c r="NEF143" s="15" t="s">
        <v>598</v>
      </c>
      <c r="NEG143" s="15" t="s">
        <v>598</v>
      </c>
      <c r="NEH143" s="15" t="s">
        <v>598</v>
      </c>
      <c r="NEI143" s="15" t="s">
        <v>598</v>
      </c>
      <c r="NEJ143" s="15" t="s">
        <v>598</v>
      </c>
      <c r="NEK143" s="15" t="s">
        <v>598</v>
      </c>
      <c r="NEL143" s="15" t="s">
        <v>598</v>
      </c>
      <c r="NEM143" s="15" t="s">
        <v>598</v>
      </c>
      <c r="NEN143" s="15" t="s">
        <v>598</v>
      </c>
      <c r="NEO143" s="15" t="s">
        <v>598</v>
      </c>
      <c r="NEP143" s="15" t="s">
        <v>598</v>
      </c>
      <c r="NEQ143" s="15" t="s">
        <v>598</v>
      </c>
      <c r="NER143" s="15" t="s">
        <v>598</v>
      </c>
      <c r="NES143" s="15" t="s">
        <v>598</v>
      </c>
      <c r="NET143" s="15" t="s">
        <v>598</v>
      </c>
      <c r="NEU143" s="15" t="s">
        <v>598</v>
      </c>
      <c r="NEV143" s="15" t="s">
        <v>598</v>
      </c>
      <c r="NEW143" s="15" t="s">
        <v>598</v>
      </c>
      <c r="NEX143" s="15" t="s">
        <v>598</v>
      </c>
      <c r="NEY143" s="15" t="s">
        <v>598</v>
      </c>
      <c r="NEZ143" s="15" t="s">
        <v>598</v>
      </c>
      <c r="NFA143" s="15" t="s">
        <v>598</v>
      </c>
      <c r="NFB143" s="15" t="s">
        <v>598</v>
      </c>
      <c r="NFC143" s="15" t="s">
        <v>598</v>
      </c>
      <c r="NFD143" s="15" t="s">
        <v>598</v>
      </c>
      <c r="NFE143" s="15" t="s">
        <v>598</v>
      </c>
      <c r="NFF143" s="15" t="s">
        <v>598</v>
      </c>
      <c r="NFG143" s="15" t="s">
        <v>598</v>
      </c>
      <c r="NFH143" s="15" t="s">
        <v>598</v>
      </c>
      <c r="NFI143" s="15" t="s">
        <v>598</v>
      </c>
      <c r="NFJ143" s="15" t="s">
        <v>598</v>
      </c>
      <c r="NFK143" s="15" t="s">
        <v>598</v>
      </c>
      <c r="NFL143" s="15" t="s">
        <v>598</v>
      </c>
      <c r="NFM143" s="15" t="s">
        <v>598</v>
      </c>
      <c r="NFN143" s="15" t="s">
        <v>598</v>
      </c>
      <c r="NFO143" s="15" t="s">
        <v>598</v>
      </c>
      <c r="NFP143" s="15" t="s">
        <v>598</v>
      </c>
      <c r="NFQ143" s="15" t="s">
        <v>598</v>
      </c>
      <c r="NFR143" s="15" t="s">
        <v>598</v>
      </c>
      <c r="NFS143" s="15" t="s">
        <v>598</v>
      </c>
      <c r="NFT143" s="15" t="s">
        <v>598</v>
      </c>
      <c r="NFU143" s="15" t="s">
        <v>598</v>
      </c>
      <c r="NFV143" s="15" t="s">
        <v>598</v>
      </c>
      <c r="NFW143" s="15" t="s">
        <v>598</v>
      </c>
      <c r="NFX143" s="15" t="s">
        <v>598</v>
      </c>
      <c r="NFY143" s="15" t="s">
        <v>598</v>
      </c>
      <c r="NFZ143" s="15" t="s">
        <v>598</v>
      </c>
      <c r="NGA143" s="15" t="s">
        <v>598</v>
      </c>
      <c r="NGB143" s="15" t="s">
        <v>598</v>
      </c>
      <c r="NGC143" s="15" t="s">
        <v>598</v>
      </c>
      <c r="NGD143" s="15" t="s">
        <v>598</v>
      </c>
      <c r="NGE143" s="15" t="s">
        <v>598</v>
      </c>
      <c r="NGF143" s="15" t="s">
        <v>598</v>
      </c>
      <c r="NGG143" s="15" t="s">
        <v>598</v>
      </c>
      <c r="NGH143" s="15" t="s">
        <v>598</v>
      </c>
      <c r="NGI143" s="15" t="s">
        <v>598</v>
      </c>
      <c r="NGJ143" s="15" t="s">
        <v>598</v>
      </c>
      <c r="NGK143" s="15" t="s">
        <v>598</v>
      </c>
      <c r="NGL143" s="15" t="s">
        <v>598</v>
      </c>
      <c r="NGM143" s="15" t="s">
        <v>598</v>
      </c>
      <c r="NGN143" s="15" t="s">
        <v>598</v>
      </c>
      <c r="NGO143" s="15" t="s">
        <v>598</v>
      </c>
      <c r="NGP143" s="15" t="s">
        <v>598</v>
      </c>
      <c r="NGQ143" s="15" t="s">
        <v>598</v>
      </c>
      <c r="NGR143" s="15" t="s">
        <v>598</v>
      </c>
      <c r="NGS143" s="15" t="s">
        <v>598</v>
      </c>
      <c r="NGT143" s="15" t="s">
        <v>598</v>
      </c>
      <c r="NGU143" s="15" t="s">
        <v>598</v>
      </c>
      <c r="NGV143" s="15" t="s">
        <v>598</v>
      </c>
      <c r="NGW143" s="15" t="s">
        <v>598</v>
      </c>
      <c r="NGX143" s="15" t="s">
        <v>598</v>
      </c>
      <c r="NGY143" s="15" t="s">
        <v>598</v>
      </c>
      <c r="NGZ143" s="15" t="s">
        <v>598</v>
      </c>
      <c r="NHA143" s="15" t="s">
        <v>598</v>
      </c>
      <c r="NHB143" s="15" t="s">
        <v>598</v>
      </c>
      <c r="NHC143" s="15" t="s">
        <v>598</v>
      </c>
      <c r="NHD143" s="15" t="s">
        <v>598</v>
      </c>
      <c r="NHE143" s="15" t="s">
        <v>598</v>
      </c>
      <c r="NHF143" s="15" t="s">
        <v>598</v>
      </c>
      <c r="NHG143" s="15" t="s">
        <v>598</v>
      </c>
      <c r="NHH143" s="15" t="s">
        <v>598</v>
      </c>
      <c r="NHI143" s="15" t="s">
        <v>598</v>
      </c>
      <c r="NHJ143" s="15" t="s">
        <v>598</v>
      </c>
      <c r="NHK143" s="15" t="s">
        <v>598</v>
      </c>
      <c r="NHL143" s="15" t="s">
        <v>598</v>
      </c>
      <c r="NHM143" s="15" t="s">
        <v>598</v>
      </c>
      <c r="NHN143" s="15" t="s">
        <v>598</v>
      </c>
      <c r="NHO143" s="15" t="s">
        <v>598</v>
      </c>
      <c r="NHP143" s="15" t="s">
        <v>598</v>
      </c>
      <c r="NHQ143" s="15" t="s">
        <v>598</v>
      </c>
      <c r="NHR143" s="15" t="s">
        <v>598</v>
      </c>
      <c r="NHS143" s="15" t="s">
        <v>598</v>
      </c>
      <c r="NHT143" s="15" t="s">
        <v>598</v>
      </c>
      <c r="NHU143" s="15" t="s">
        <v>598</v>
      </c>
      <c r="NHV143" s="15" t="s">
        <v>598</v>
      </c>
      <c r="NHW143" s="15" t="s">
        <v>598</v>
      </c>
      <c r="NHX143" s="15" t="s">
        <v>598</v>
      </c>
      <c r="NHY143" s="15" t="s">
        <v>598</v>
      </c>
      <c r="NHZ143" s="15" t="s">
        <v>598</v>
      </c>
      <c r="NIA143" s="15" t="s">
        <v>598</v>
      </c>
      <c r="NIB143" s="15" t="s">
        <v>598</v>
      </c>
      <c r="NIC143" s="15" t="s">
        <v>598</v>
      </c>
      <c r="NID143" s="15" t="s">
        <v>598</v>
      </c>
      <c r="NIE143" s="15" t="s">
        <v>598</v>
      </c>
      <c r="NIF143" s="15" t="s">
        <v>598</v>
      </c>
      <c r="NIG143" s="15" t="s">
        <v>598</v>
      </c>
      <c r="NIH143" s="15" t="s">
        <v>598</v>
      </c>
      <c r="NII143" s="15" t="s">
        <v>598</v>
      </c>
      <c r="NIJ143" s="15" t="s">
        <v>598</v>
      </c>
      <c r="NIK143" s="15" t="s">
        <v>598</v>
      </c>
      <c r="NIL143" s="15" t="s">
        <v>598</v>
      </c>
      <c r="NIM143" s="15" t="s">
        <v>598</v>
      </c>
      <c r="NIN143" s="15" t="s">
        <v>598</v>
      </c>
      <c r="NIO143" s="15" t="s">
        <v>598</v>
      </c>
      <c r="NIP143" s="15" t="s">
        <v>598</v>
      </c>
      <c r="NIQ143" s="15" t="s">
        <v>598</v>
      </c>
      <c r="NIR143" s="15" t="s">
        <v>598</v>
      </c>
      <c r="NIS143" s="15" t="s">
        <v>598</v>
      </c>
      <c r="NIT143" s="15" t="s">
        <v>598</v>
      </c>
      <c r="NIU143" s="15" t="s">
        <v>598</v>
      </c>
      <c r="NIV143" s="15" t="s">
        <v>598</v>
      </c>
      <c r="NIW143" s="15" t="s">
        <v>598</v>
      </c>
      <c r="NIX143" s="15" t="s">
        <v>598</v>
      </c>
      <c r="NIY143" s="15" t="s">
        <v>598</v>
      </c>
      <c r="NIZ143" s="15" t="s">
        <v>598</v>
      </c>
      <c r="NJA143" s="15" t="s">
        <v>598</v>
      </c>
      <c r="NJB143" s="15" t="s">
        <v>598</v>
      </c>
      <c r="NJC143" s="15" t="s">
        <v>598</v>
      </c>
      <c r="NJD143" s="15" t="s">
        <v>598</v>
      </c>
      <c r="NJE143" s="15" t="s">
        <v>598</v>
      </c>
      <c r="NJF143" s="15" t="s">
        <v>598</v>
      </c>
      <c r="NJG143" s="15" t="s">
        <v>598</v>
      </c>
      <c r="NJH143" s="15" t="s">
        <v>598</v>
      </c>
      <c r="NJI143" s="15" t="s">
        <v>598</v>
      </c>
      <c r="NJJ143" s="15" t="s">
        <v>598</v>
      </c>
      <c r="NJK143" s="15" t="s">
        <v>598</v>
      </c>
      <c r="NJL143" s="15" t="s">
        <v>598</v>
      </c>
      <c r="NJM143" s="15" t="s">
        <v>598</v>
      </c>
      <c r="NJN143" s="15" t="s">
        <v>598</v>
      </c>
      <c r="NJO143" s="15" t="s">
        <v>598</v>
      </c>
      <c r="NJP143" s="15" t="s">
        <v>598</v>
      </c>
      <c r="NJQ143" s="15" t="s">
        <v>598</v>
      </c>
      <c r="NJR143" s="15" t="s">
        <v>598</v>
      </c>
      <c r="NJS143" s="15" t="s">
        <v>598</v>
      </c>
      <c r="NJT143" s="15" t="s">
        <v>598</v>
      </c>
      <c r="NJU143" s="15" t="s">
        <v>598</v>
      </c>
      <c r="NJV143" s="15" t="s">
        <v>598</v>
      </c>
      <c r="NJW143" s="15" t="s">
        <v>598</v>
      </c>
      <c r="NJX143" s="15" t="s">
        <v>598</v>
      </c>
      <c r="NJY143" s="15" t="s">
        <v>598</v>
      </c>
      <c r="NJZ143" s="15" t="s">
        <v>598</v>
      </c>
      <c r="NKA143" s="15" t="s">
        <v>598</v>
      </c>
      <c r="NKB143" s="15" t="s">
        <v>598</v>
      </c>
      <c r="NKC143" s="15" t="s">
        <v>598</v>
      </c>
      <c r="NKD143" s="15" t="s">
        <v>598</v>
      </c>
      <c r="NKE143" s="15" t="s">
        <v>598</v>
      </c>
      <c r="NKF143" s="15" t="s">
        <v>598</v>
      </c>
      <c r="NKG143" s="15" t="s">
        <v>598</v>
      </c>
      <c r="NKH143" s="15" t="s">
        <v>598</v>
      </c>
      <c r="NKI143" s="15" t="s">
        <v>598</v>
      </c>
      <c r="NKJ143" s="15" t="s">
        <v>598</v>
      </c>
      <c r="NKK143" s="15" t="s">
        <v>598</v>
      </c>
      <c r="NKL143" s="15" t="s">
        <v>598</v>
      </c>
      <c r="NKM143" s="15" t="s">
        <v>598</v>
      </c>
      <c r="NKN143" s="15" t="s">
        <v>598</v>
      </c>
      <c r="NKO143" s="15" t="s">
        <v>598</v>
      </c>
      <c r="NKP143" s="15" t="s">
        <v>598</v>
      </c>
      <c r="NKQ143" s="15" t="s">
        <v>598</v>
      </c>
      <c r="NKR143" s="15" t="s">
        <v>598</v>
      </c>
      <c r="NKS143" s="15" t="s">
        <v>598</v>
      </c>
      <c r="NKT143" s="15" t="s">
        <v>598</v>
      </c>
      <c r="NKU143" s="15" t="s">
        <v>598</v>
      </c>
      <c r="NKV143" s="15" t="s">
        <v>598</v>
      </c>
      <c r="NKW143" s="15" t="s">
        <v>598</v>
      </c>
      <c r="NKX143" s="15" t="s">
        <v>598</v>
      </c>
      <c r="NKY143" s="15" t="s">
        <v>598</v>
      </c>
      <c r="NKZ143" s="15" t="s">
        <v>598</v>
      </c>
      <c r="NLA143" s="15" t="s">
        <v>598</v>
      </c>
      <c r="NLB143" s="15" t="s">
        <v>598</v>
      </c>
      <c r="NLC143" s="15" t="s">
        <v>598</v>
      </c>
      <c r="NLD143" s="15" t="s">
        <v>598</v>
      </c>
      <c r="NLE143" s="15" t="s">
        <v>598</v>
      </c>
      <c r="NLF143" s="15" t="s">
        <v>598</v>
      </c>
      <c r="NLG143" s="15" t="s">
        <v>598</v>
      </c>
      <c r="NLH143" s="15" t="s">
        <v>598</v>
      </c>
      <c r="NLI143" s="15" t="s">
        <v>598</v>
      </c>
      <c r="NLJ143" s="15" t="s">
        <v>598</v>
      </c>
      <c r="NLK143" s="15" t="s">
        <v>598</v>
      </c>
      <c r="NLL143" s="15" t="s">
        <v>598</v>
      </c>
      <c r="NLM143" s="15" t="s">
        <v>598</v>
      </c>
      <c r="NLN143" s="15" t="s">
        <v>598</v>
      </c>
      <c r="NLO143" s="15" t="s">
        <v>598</v>
      </c>
      <c r="NLP143" s="15" t="s">
        <v>598</v>
      </c>
      <c r="NLQ143" s="15" t="s">
        <v>598</v>
      </c>
      <c r="NLR143" s="15" t="s">
        <v>598</v>
      </c>
      <c r="NLS143" s="15" t="s">
        <v>598</v>
      </c>
      <c r="NLT143" s="15" t="s">
        <v>598</v>
      </c>
      <c r="NLU143" s="15" t="s">
        <v>598</v>
      </c>
      <c r="NLV143" s="15" t="s">
        <v>598</v>
      </c>
      <c r="NLW143" s="15" t="s">
        <v>598</v>
      </c>
      <c r="NLX143" s="15" t="s">
        <v>598</v>
      </c>
      <c r="NLY143" s="15" t="s">
        <v>598</v>
      </c>
      <c r="NLZ143" s="15" t="s">
        <v>598</v>
      </c>
      <c r="NMA143" s="15" t="s">
        <v>598</v>
      </c>
      <c r="NMB143" s="15" t="s">
        <v>598</v>
      </c>
      <c r="NMC143" s="15" t="s">
        <v>598</v>
      </c>
      <c r="NMD143" s="15" t="s">
        <v>598</v>
      </c>
      <c r="NME143" s="15" t="s">
        <v>598</v>
      </c>
      <c r="NMF143" s="15" t="s">
        <v>598</v>
      </c>
      <c r="NMG143" s="15" t="s">
        <v>598</v>
      </c>
      <c r="NMH143" s="15" t="s">
        <v>598</v>
      </c>
      <c r="NMI143" s="15" t="s">
        <v>598</v>
      </c>
      <c r="NMJ143" s="15" t="s">
        <v>598</v>
      </c>
      <c r="NMK143" s="15" t="s">
        <v>598</v>
      </c>
      <c r="NML143" s="15" t="s">
        <v>598</v>
      </c>
      <c r="NMM143" s="15" t="s">
        <v>598</v>
      </c>
      <c r="NMN143" s="15" t="s">
        <v>598</v>
      </c>
      <c r="NMO143" s="15" t="s">
        <v>598</v>
      </c>
      <c r="NMP143" s="15" t="s">
        <v>598</v>
      </c>
      <c r="NMQ143" s="15" t="s">
        <v>598</v>
      </c>
      <c r="NMR143" s="15" t="s">
        <v>598</v>
      </c>
      <c r="NMS143" s="15" t="s">
        <v>598</v>
      </c>
      <c r="NMT143" s="15" t="s">
        <v>598</v>
      </c>
      <c r="NMU143" s="15" t="s">
        <v>598</v>
      </c>
      <c r="NMV143" s="15" t="s">
        <v>598</v>
      </c>
      <c r="NMW143" s="15" t="s">
        <v>598</v>
      </c>
      <c r="NMX143" s="15" t="s">
        <v>598</v>
      </c>
      <c r="NMY143" s="15" t="s">
        <v>598</v>
      </c>
      <c r="NMZ143" s="15" t="s">
        <v>598</v>
      </c>
      <c r="NNA143" s="15" t="s">
        <v>598</v>
      </c>
      <c r="NNB143" s="15" t="s">
        <v>598</v>
      </c>
      <c r="NNC143" s="15" t="s">
        <v>598</v>
      </c>
      <c r="NND143" s="15" t="s">
        <v>598</v>
      </c>
      <c r="NNE143" s="15" t="s">
        <v>598</v>
      </c>
      <c r="NNF143" s="15" t="s">
        <v>598</v>
      </c>
      <c r="NNG143" s="15" t="s">
        <v>598</v>
      </c>
      <c r="NNH143" s="15" t="s">
        <v>598</v>
      </c>
      <c r="NNI143" s="15" t="s">
        <v>598</v>
      </c>
      <c r="NNJ143" s="15" t="s">
        <v>598</v>
      </c>
      <c r="NNK143" s="15" t="s">
        <v>598</v>
      </c>
      <c r="NNL143" s="15" t="s">
        <v>598</v>
      </c>
      <c r="NNM143" s="15" t="s">
        <v>598</v>
      </c>
      <c r="NNN143" s="15" t="s">
        <v>598</v>
      </c>
      <c r="NNO143" s="15" t="s">
        <v>598</v>
      </c>
      <c r="NNP143" s="15" t="s">
        <v>598</v>
      </c>
      <c r="NNQ143" s="15" t="s">
        <v>598</v>
      </c>
      <c r="NNR143" s="15" t="s">
        <v>598</v>
      </c>
      <c r="NNS143" s="15" t="s">
        <v>598</v>
      </c>
      <c r="NNT143" s="15" t="s">
        <v>598</v>
      </c>
      <c r="NNU143" s="15" t="s">
        <v>598</v>
      </c>
      <c r="NNV143" s="15" t="s">
        <v>598</v>
      </c>
      <c r="NNW143" s="15" t="s">
        <v>598</v>
      </c>
      <c r="NNX143" s="15" t="s">
        <v>598</v>
      </c>
      <c r="NNY143" s="15" t="s">
        <v>598</v>
      </c>
      <c r="NNZ143" s="15" t="s">
        <v>598</v>
      </c>
      <c r="NOA143" s="15" t="s">
        <v>598</v>
      </c>
      <c r="NOB143" s="15" t="s">
        <v>598</v>
      </c>
      <c r="NOC143" s="15" t="s">
        <v>598</v>
      </c>
      <c r="NOD143" s="15" t="s">
        <v>598</v>
      </c>
      <c r="NOE143" s="15" t="s">
        <v>598</v>
      </c>
      <c r="NOF143" s="15" t="s">
        <v>598</v>
      </c>
      <c r="NOG143" s="15" t="s">
        <v>598</v>
      </c>
      <c r="NOH143" s="15" t="s">
        <v>598</v>
      </c>
      <c r="NOI143" s="15" t="s">
        <v>598</v>
      </c>
      <c r="NOJ143" s="15" t="s">
        <v>598</v>
      </c>
      <c r="NOK143" s="15" t="s">
        <v>598</v>
      </c>
      <c r="NOL143" s="15" t="s">
        <v>598</v>
      </c>
      <c r="NOM143" s="15" t="s">
        <v>598</v>
      </c>
      <c r="NON143" s="15" t="s">
        <v>598</v>
      </c>
      <c r="NOO143" s="15" t="s">
        <v>598</v>
      </c>
      <c r="NOP143" s="15" t="s">
        <v>598</v>
      </c>
      <c r="NOQ143" s="15" t="s">
        <v>598</v>
      </c>
      <c r="NOR143" s="15" t="s">
        <v>598</v>
      </c>
      <c r="NOS143" s="15" t="s">
        <v>598</v>
      </c>
      <c r="NOT143" s="15" t="s">
        <v>598</v>
      </c>
      <c r="NOU143" s="15" t="s">
        <v>598</v>
      </c>
      <c r="NOV143" s="15" t="s">
        <v>598</v>
      </c>
      <c r="NOW143" s="15" t="s">
        <v>598</v>
      </c>
      <c r="NOX143" s="15" t="s">
        <v>598</v>
      </c>
      <c r="NOY143" s="15" t="s">
        <v>598</v>
      </c>
      <c r="NOZ143" s="15" t="s">
        <v>598</v>
      </c>
      <c r="NPA143" s="15" t="s">
        <v>598</v>
      </c>
      <c r="NPB143" s="15" t="s">
        <v>598</v>
      </c>
      <c r="NPC143" s="15" t="s">
        <v>598</v>
      </c>
      <c r="NPD143" s="15" t="s">
        <v>598</v>
      </c>
      <c r="NPE143" s="15" t="s">
        <v>598</v>
      </c>
      <c r="NPF143" s="15" t="s">
        <v>598</v>
      </c>
      <c r="NPG143" s="15" t="s">
        <v>598</v>
      </c>
      <c r="NPH143" s="15" t="s">
        <v>598</v>
      </c>
      <c r="NPI143" s="15" t="s">
        <v>598</v>
      </c>
      <c r="NPJ143" s="15" t="s">
        <v>598</v>
      </c>
      <c r="NPK143" s="15" t="s">
        <v>598</v>
      </c>
      <c r="NPL143" s="15" t="s">
        <v>598</v>
      </c>
      <c r="NPM143" s="15" t="s">
        <v>598</v>
      </c>
      <c r="NPN143" s="15" t="s">
        <v>598</v>
      </c>
      <c r="NPO143" s="15" t="s">
        <v>598</v>
      </c>
      <c r="NPP143" s="15" t="s">
        <v>598</v>
      </c>
      <c r="NPQ143" s="15" t="s">
        <v>598</v>
      </c>
      <c r="NPR143" s="15" t="s">
        <v>598</v>
      </c>
      <c r="NPS143" s="15" t="s">
        <v>598</v>
      </c>
      <c r="NPT143" s="15" t="s">
        <v>598</v>
      </c>
      <c r="NPU143" s="15" t="s">
        <v>598</v>
      </c>
      <c r="NPV143" s="15" t="s">
        <v>598</v>
      </c>
      <c r="NPW143" s="15" t="s">
        <v>598</v>
      </c>
      <c r="NPX143" s="15" t="s">
        <v>598</v>
      </c>
      <c r="NPY143" s="15" t="s">
        <v>598</v>
      </c>
      <c r="NPZ143" s="15" t="s">
        <v>598</v>
      </c>
      <c r="NQA143" s="15" t="s">
        <v>598</v>
      </c>
      <c r="NQB143" s="15" t="s">
        <v>598</v>
      </c>
      <c r="NQC143" s="15" t="s">
        <v>598</v>
      </c>
      <c r="NQD143" s="15" t="s">
        <v>598</v>
      </c>
      <c r="NQE143" s="15" t="s">
        <v>598</v>
      </c>
      <c r="NQF143" s="15" t="s">
        <v>598</v>
      </c>
      <c r="NQG143" s="15" t="s">
        <v>598</v>
      </c>
      <c r="NQH143" s="15" t="s">
        <v>598</v>
      </c>
      <c r="NQI143" s="15" t="s">
        <v>598</v>
      </c>
      <c r="NQJ143" s="15" t="s">
        <v>598</v>
      </c>
      <c r="NQK143" s="15" t="s">
        <v>598</v>
      </c>
      <c r="NQL143" s="15" t="s">
        <v>598</v>
      </c>
      <c r="NQM143" s="15" t="s">
        <v>598</v>
      </c>
      <c r="NQN143" s="15" t="s">
        <v>598</v>
      </c>
      <c r="NQO143" s="15" t="s">
        <v>598</v>
      </c>
      <c r="NQP143" s="15" t="s">
        <v>598</v>
      </c>
      <c r="NQQ143" s="15" t="s">
        <v>598</v>
      </c>
      <c r="NQR143" s="15" t="s">
        <v>598</v>
      </c>
      <c r="NQS143" s="15" t="s">
        <v>598</v>
      </c>
      <c r="NQT143" s="15" t="s">
        <v>598</v>
      </c>
      <c r="NQU143" s="15" t="s">
        <v>598</v>
      </c>
      <c r="NQV143" s="15" t="s">
        <v>598</v>
      </c>
      <c r="NQW143" s="15" t="s">
        <v>598</v>
      </c>
      <c r="NQX143" s="15" t="s">
        <v>598</v>
      </c>
      <c r="NQY143" s="15" t="s">
        <v>598</v>
      </c>
      <c r="NQZ143" s="15" t="s">
        <v>598</v>
      </c>
      <c r="NRA143" s="15" t="s">
        <v>598</v>
      </c>
      <c r="NRB143" s="15" t="s">
        <v>598</v>
      </c>
      <c r="NRC143" s="15" t="s">
        <v>598</v>
      </c>
      <c r="NRD143" s="15" t="s">
        <v>598</v>
      </c>
      <c r="NRE143" s="15" t="s">
        <v>598</v>
      </c>
      <c r="NRF143" s="15" t="s">
        <v>598</v>
      </c>
      <c r="NRG143" s="15" t="s">
        <v>598</v>
      </c>
      <c r="NRH143" s="15" t="s">
        <v>598</v>
      </c>
      <c r="NRI143" s="15" t="s">
        <v>598</v>
      </c>
      <c r="NRJ143" s="15" t="s">
        <v>598</v>
      </c>
      <c r="NRK143" s="15" t="s">
        <v>598</v>
      </c>
      <c r="NRL143" s="15" t="s">
        <v>598</v>
      </c>
      <c r="NRM143" s="15" t="s">
        <v>598</v>
      </c>
      <c r="NRN143" s="15" t="s">
        <v>598</v>
      </c>
      <c r="NRO143" s="15" t="s">
        <v>598</v>
      </c>
      <c r="NRP143" s="15" t="s">
        <v>598</v>
      </c>
      <c r="NRQ143" s="15" t="s">
        <v>598</v>
      </c>
      <c r="NRR143" s="15" t="s">
        <v>598</v>
      </c>
      <c r="NRS143" s="15" t="s">
        <v>598</v>
      </c>
      <c r="NRT143" s="15" t="s">
        <v>598</v>
      </c>
      <c r="NRU143" s="15" t="s">
        <v>598</v>
      </c>
      <c r="NRV143" s="15" t="s">
        <v>598</v>
      </c>
      <c r="NRW143" s="15" t="s">
        <v>598</v>
      </c>
      <c r="NRX143" s="15" t="s">
        <v>598</v>
      </c>
      <c r="NRY143" s="15" t="s">
        <v>598</v>
      </c>
      <c r="NRZ143" s="15" t="s">
        <v>598</v>
      </c>
      <c r="NSA143" s="15" t="s">
        <v>598</v>
      </c>
      <c r="NSB143" s="15" t="s">
        <v>598</v>
      </c>
      <c r="NSC143" s="15" t="s">
        <v>598</v>
      </c>
      <c r="NSD143" s="15" t="s">
        <v>598</v>
      </c>
      <c r="NSE143" s="15" t="s">
        <v>598</v>
      </c>
      <c r="NSF143" s="15" t="s">
        <v>598</v>
      </c>
      <c r="NSG143" s="15" t="s">
        <v>598</v>
      </c>
      <c r="NSH143" s="15" t="s">
        <v>598</v>
      </c>
      <c r="NSI143" s="15" t="s">
        <v>598</v>
      </c>
      <c r="NSJ143" s="15" t="s">
        <v>598</v>
      </c>
      <c r="NSK143" s="15" t="s">
        <v>598</v>
      </c>
      <c r="NSL143" s="15" t="s">
        <v>598</v>
      </c>
      <c r="NSM143" s="15" t="s">
        <v>598</v>
      </c>
      <c r="NSN143" s="15" t="s">
        <v>598</v>
      </c>
      <c r="NSO143" s="15" t="s">
        <v>598</v>
      </c>
      <c r="NSP143" s="15" t="s">
        <v>598</v>
      </c>
      <c r="NSQ143" s="15" t="s">
        <v>598</v>
      </c>
      <c r="NSR143" s="15" t="s">
        <v>598</v>
      </c>
      <c r="NSS143" s="15" t="s">
        <v>598</v>
      </c>
      <c r="NST143" s="15" t="s">
        <v>598</v>
      </c>
      <c r="NSU143" s="15" t="s">
        <v>598</v>
      </c>
      <c r="NSV143" s="15" t="s">
        <v>598</v>
      </c>
      <c r="NSW143" s="15" t="s">
        <v>598</v>
      </c>
      <c r="NSX143" s="15" t="s">
        <v>598</v>
      </c>
      <c r="NSY143" s="15" t="s">
        <v>598</v>
      </c>
      <c r="NSZ143" s="15" t="s">
        <v>598</v>
      </c>
      <c r="NTA143" s="15" t="s">
        <v>598</v>
      </c>
      <c r="NTB143" s="15" t="s">
        <v>598</v>
      </c>
      <c r="NTC143" s="15" t="s">
        <v>598</v>
      </c>
      <c r="NTD143" s="15" t="s">
        <v>598</v>
      </c>
      <c r="NTE143" s="15" t="s">
        <v>598</v>
      </c>
      <c r="NTF143" s="15" t="s">
        <v>598</v>
      </c>
      <c r="NTG143" s="15" t="s">
        <v>598</v>
      </c>
      <c r="NTH143" s="15" t="s">
        <v>598</v>
      </c>
      <c r="NTI143" s="15" t="s">
        <v>598</v>
      </c>
      <c r="NTJ143" s="15" t="s">
        <v>598</v>
      </c>
      <c r="NTK143" s="15" t="s">
        <v>598</v>
      </c>
      <c r="NTL143" s="15" t="s">
        <v>598</v>
      </c>
      <c r="NTM143" s="15" t="s">
        <v>598</v>
      </c>
      <c r="NTN143" s="15" t="s">
        <v>598</v>
      </c>
      <c r="NTO143" s="15" t="s">
        <v>598</v>
      </c>
      <c r="NTP143" s="15" t="s">
        <v>598</v>
      </c>
      <c r="NTQ143" s="15" t="s">
        <v>598</v>
      </c>
      <c r="NTR143" s="15" t="s">
        <v>598</v>
      </c>
      <c r="NTS143" s="15" t="s">
        <v>598</v>
      </c>
      <c r="NTT143" s="15" t="s">
        <v>598</v>
      </c>
      <c r="NTU143" s="15" t="s">
        <v>598</v>
      </c>
      <c r="NTV143" s="15" t="s">
        <v>598</v>
      </c>
      <c r="NTW143" s="15" t="s">
        <v>598</v>
      </c>
      <c r="NTX143" s="15" t="s">
        <v>598</v>
      </c>
      <c r="NTY143" s="15" t="s">
        <v>598</v>
      </c>
      <c r="NTZ143" s="15" t="s">
        <v>598</v>
      </c>
      <c r="NUA143" s="15" t="s">
        <v>598</v>
      </c>
      <c r="NUB143" s="15" t="s">
        <v>598</v>
      </c>
      <c r="NUC143" s="15" t="s">
        <v>598</v>
      </c>
      <c r="NUD143" s="15" t="s">
        <v>598</v>
      </c>
      <c r="NUE143" s="15" t="s">
        <v>598</v>
      </c>
      <c r="NUF143" s="15" t="s">
        <v>598</v>
      </c>
      <c r="NUG143" s="15" t="s">
        <v>598</v>
      </c>
      <c r="NUH143" s="15" t="s">
        <v>598</v>
      </c>
      <c r="NUI143" s="15" t="s">
        <v>598</v>
      </c>
      <c r="NUJ143" s="15" t="s">
        <v>598</v>
      </c>
      <c r="NUK143" s="15" t="s">
        <v>598</v>
      </c>
      <c r="NUL143" s="15" t="s">
        <v>598</v>
      </c>
      <c r="NUM143" s="15" t="s">
        <v>598</v>
      </c>
      <c r="NUN143" s="15" t="s">
        <v>598</v>
      </c>
      <c r="NUO143" s="15" t="s">
        <v>598</v>
      </c>
      <c r="NUP143" s="15" t="s">
        <v>598</v>
      </c>
      <c r="NUQ143" s="15" t="s">
        <v>598</v>
      </c>
      <c r="NUR143" s="15" t="s">
        <v>598</v>
      </c>
      <c r="NUS143" s="15" t="s">
        <v>598</v>
      </c>
      <c r="NUT143" s="15" t="s">
        <v>598</v>
      </c>
      <c r="NUU143" s="15" t="s">
        <v>598</v>
      </c>
      <c r="NUV143" s="15" t="s">
        <v>598</v>
      </c>
      <c r="NUW143" s="15" t="s">
        <v>598</v>
      </c>
      <c r="NUX143" s="15" t="s">
        <v>598</v>
      </c>
      <c r="NUY143" s="15" t="s">
        <v>598</v>
      </c>
      <c r="NUZ143" s="15" t="s">
        <v>598</v>
      </c>
      <c r="NVA143" s="15" t="s">
        <v>598</v>
      </c>
      <c r="NVB143" s="15" t="s">
        <v>598</v>
      </c>
      <c r="NVC143" s="15" t="s">
        <v>598</v>
      </c>
      <c r="NVD143" s="15" t="s">
        <v>598</v>
      </c>
      <c r="NVE143" s="15" t="s">
        <v>598</v>
      </c>
      <c r="NVF143" s="15" t="s">
        <v>598</v>
      </c>
      <c r="NVG143" s="15" t="s">
        <v>598</v>
      </c>
      <c r="NVH143" s="15" t="s">
        <v>598</v>
      </c>
      <c r="NVI143" s="15" t="s">
        <v>598</v>
      </c>
      <c r="NVJ143" s="15" t="s">
        <v>598</v>
      </c>
      <c r="NVK143" s="15" t="s">
        <v>598</v>
      </c>
      <c r="NVL143" s="15" t="s">
        <v>598</v>
      </c>
      <c r="NVM143" s="15" t="s">
        <v>598</v>
      </c>
      <c r="NVN143" s="15" t="s">
        <v>598</v>
      </c>
      <c r="NVO143" s="15" t="s">
        <v>598</v>
      </c>
      <c r="NVP143" s="15" t="s">
        <v>598</v>
      </c>
      <c r="NVQ143" s="15" t="s">
        <v>598</v>
      </c>
      <c r="NVR143" s="15" t="s">
        <v>598</v>
      </c>
      <c r="NVS143" s="15" t="s">
        <v>598</v>
      </c>
      <c r="NVT143" s="15" t="s">
        <v>598</v>
      </c>
      <c r="NVU143" s="15" t="s">
        <v>598</v>
      </c>
      <c r="NVV143" s="15" t="s">
        <v>598</v>
      </c>
      <c r="NVW143" s="15" t="s">
        <v>598</v>
      </c>
      <c r="NVX143" s="15" t="s">
        <v>598</v>
      </c>
      <c r="NVY143" s="15" t="s">
        <v>598</v>
      </c>
      <c r="NVZ143" s="15" t="s">
        <v>598</v>
      </c>
      <c r="NWA143" s="15" t="s">
        <v>598</v>
      </c>
      <c r="NWB143" s="15" t="s">
        <v>598</v>
      </c>
      <c r="NWC143" s="15" t="s">
        <v>598</v>
      </c>
      <c r="NWD143" s="15" t="s">
        <v>598</v>
      </c>
      <c r="NWE143" s="15" t="s">
        <v>598</v>
      </c>
      <c r="NWF143" s="15" t="s">
        <v>598</v>
      </c>
      <c r="NWG143" s="15" t="s">
        <v>598</v>
      </c>
      <c r="NWH143" s="15" t="s">
        <v>598</v>
      </c>
      <c r="NWI143" s="15" t="s">
        <v>598</v>
      </c>
      <c r="NWJ143" s="15" t="s">
        <v>598</v>
      </c>
      <c r="NWK143" s="15" t="s">
        <v>598</v>
      </c>
      <c r="NWL143" s="15" t="s">
        <v>598</v>
      </c>
      <c r="NWM143" s="15" t="s">
        <v>598</v>
      </c>
      <c r="NWN143" s="15" t="s">
        <v>598</v>
      </c>
      <c r="NWO143" s="15" t="s">
        <v>598</v>
      </c>
      <c r="NWP143" s="15" t="s">
        <v>598</v>
      </c>
      <c r="NWQ143" s="15" t="s">
        <v>598</v>
      </c>
      <c r="NWR143" s="15" t="s">
        <v>598</v>
      </c>
      <c r="NWS143" s="15" t="s">
        <v>598</v>
      </c>
      <c r="NWT143" s="15" t="s">
        <v>598</v>
      </c>
      <c r="NWU143" s="15" t="s">
        <v>598</v>
      </c>
      <c r="NWV143" s="15" t="s">
        <v>598</v>
      </c>
      <c r="NWW143" s="15" t="s">
        <v>598</v>
      </c>
      <c r="NWX143" s="15" t="s">
        <v>598</v>
      </c>
      <c r="NWY143" s="15" t="s">
        <v>598</v>
      </c>
      <c r="NWZ143" s="15" t="s">
        <v>598</v>
      </c>
      <c r="NXA143" s="15" t="s">
        <v>598</v>
      </c>
      <c r="NXB143" s="15" t="s">
        <v>598</v>
      </c>
      <c r="NXC143" s="15" t="s">
        <v>598</v>
      </c>
      <c r="NXD143" s="15" t="s">
        <v>598</v>
      </c>
      <c r="NXE143" s="15" t="s">
        <v>598</v>
      </c>
      <c r="NXF143" s="15" t="s">
        <v>598</v>
      </c>
      <c r="NXG143" s="15" t="s">
        <v>598</v>
      </c>
      <c r="NXH143" s="15" t="s">
        <v>598</v>
      </c>
      <c r="NXI143" s="15" t="s">
        <v>598</v>
      </c>
      <c r="NXJ143" s="15" t="s">
        <v>598</v>
      </c>
      <c r="NXK143" s="15" t="s">
        <v>598</v>
      </c>
      <c r="NXL143" s="15" t="s">
        <v>598</v>
      </c>
      <c r="NXM143" s="15" t="s">
        <v>598</v>
      </c>
      <c r="NXN143" s="15" t="s">
        <v>598</v>
      </c>
      <c r="NXO143" s="15" t="s">
        <v>598</v>
      </c>
      <c r="NXP143" s="15" t="s">
        <v>598</v>
      </c>
      <c r="NXQ143" s="15" t="s">
        <v>598</v>
      </c>
      <c r="NXR143" s="15" t="s">
        <v>598</v>
      </c>
      <c r="NXS143" s="15" t="s">
        <v>598</v>
      </c>
      <c r="NXT143" s="15" t="s">
        <v>598</v>
      </c>
      <c r="NXU143" s="15" t="s">
        <v>598</v>
      </c>
      <c r="NXV143" s="15" t="s">
        <v>598</v>
      </c>
      <c r="NXW143" s="15" t="s">
        <v>598</v>
      </c>
      <c r="NXX143" s="15" t="s">
        <v>598</v>
      </c>
      <c r="NXY143" s="15" t="s">
        <v>598</v>
      </c>
      <c r="NXZ143" s="15" t="s">
        <v>598</v>
      </c>
      <c r="NYA143" s="15" t="s">
        <v>598</v>
      </c>
      <c r="NYB143" s="15" t="s">
        <v>598</v>
      </c>
      <c r="NYC143" s="15" t="s">
        <v>598</v>
      </c>
      <c r="NYD143" s="15" t="s">
        <v>598</v>
      </c>
      <c r="NYE143" s="15" t="s">
        <v>598</v>
      </c>
      <c r="NYF143" s="15" t="s">
        <v>598</v>
      </c>
      <c r="NYG143" s="15" t="s">
        <v>598</v>
      </c>
      <c r="NYH143" s="15" t="s">
        <v>598</v>
      </c>
      <c r="NYI143" s="15" t="s">
        <v>598</v>
      </c>
      <c r="NYJ143" s="15" t="s">
        <v>598</v>
      </c>
      <c r="NYK143" s="15" t="s">
        <v>598</v>
      </c>
      <c r="NYL143" s="15" t="s">
        <v>598</v>
      </c>
      <c r="NYM143" s="15" t="s">
        <v>598</v>
      </c>
      <c r="NYN143" s="15" t="s">
        <v>598</v>
      </c>
      <c r="NYO143" s="15" t="s">
        <v>598</v>
      </c>
      <c r="NYP143" s="15" t="s">
        <v>598</v>
      </c>
      <c r="NYQ143" s="15" t="s">
        <v>598</v>
      </c>
      <c r="NYR143" s="15" t="s">
        <v>598</v>
      </c>
      <c r="NYS143" s="15" t="s">
        <v>598</v>
      </c>
      <c r="NYT143" s="15" t="s">
        <v>598</v>
      </c>
      <c r="NYU143" s="15" t="s">
        <v>598</v>
      </c>
      <c r="NYV143" s="15" t="s">
        <v>598</v>
      </c>
      <c r="NYW143" s="15" t="s">
        <v>598</v>
      </c>
      <c r="NYX143" s="15" t="s">
        <v>598</v>
      </c>
      <c r="NYY143" s="15" t="s">
        <v>598</v>
      </c>
      <c r="NYZ143" s="15" t="s">
        <v>598</v>
      </c>
      <c r="NZA143" s="15" t="s">
        <v>598</v>
      </c>
      <c r="NZB143" s="15" t="s">
        <v>598</v>
      </c>
      <c r="NZC143" s="15" t="s">
        <v>598</v>
      </c>
      <c r="NZD143" s="15" t="s">
        <v>598</v>
      </c>
      <c r="NZE143" s="15" t="s">
        <v>598</v>
      </c>
      <c r="NZF143" s="15" t="s">
        <v>598</v>
      </c>
      <c r="NZG143" s="15" t="s">
        <v>598</v>
      </c>
      <c r="NZH143" s="15" t="s">
        <v>598</v>
      </c>
      <c r="NZI143" s="15" t="s">
        <v>598</v>
      </c>
      <c r="NZJ143" s="15" t="s">
        <v>598</v>
      </c>
      <c r="NZK143" s="15" t="s">
        <v>598</v>
      </c>
      <c r="NZL143" s="15" t="s">
        <v>598</v>
      </c>
      <c r="NZM143" s="15" t="s">
        <v>598</v>
      </c>
      <c r="NZN143" s="15" t="s">
        <v>598</v>
      </c>
      <c r="NZO143" s="15" t="s">
        <v>598</v>
      </c>
      <c r="NZP143" s="15" t="s">
        <v>598</v>
      </c>
      <c r="NZQ143" s="15" t="s">
        <v>598</v>
      </c>
      <c r="NZR143" s="15" t="s">
        <v>598</v>
      </c>
      <c r="NZS143" s="15" t="s">
        <v>598</v>
      </c>
      <c r="NZT143" s="15" t="s">
        <v>598</v>
      </c>
      <c r="NZU143" s="15" t="s">
        <v>598</v>
      </c>
      <c r="NZV143" s="15" t="s">
        <v>598</v>
      </c>
      <c r="NZW143" s="15" t="s">
        <v>598</v>
      </c>
      <c r="NZX143" s="15" t="s">
        <v>598</v>
      </c>
      <c r="NZY143" s="15" t="s">
        <v>598</v>
      </c>
      <c r="NZZ143" s="15" t="s">
        <v>598</v>
      </c>
      <c r="OAA143" s="15" t="s">
        <v>598</v>
      </c>
      <c r="OAB143" s="15" t="s">
        <v>598</v>
      </c>
      <c r="OAC143" s="15" t="s">
        <v>598</v>
      </c>
      <c r="OAD143" s="15" t="s">
        <v>598</v>
      </c>
      <c r="OAE143" s="15" t="s">
        <v>598</v>
      </c>
      <c r="OAF143" s="15" t="s">
        <v>598</v>
      </c>
      <c r="OAG143" s="15" t="s">
        <v>598</v>
      </c>
      <c r="OAH143" s="15" t="s">
        <v>598</v>
      </c>
      <c r="OAI143" s="15" t="s">
        <v>598</v>
      </c>
      <c r="OAJ143" s="15" t="s">
        <v>598</v>
      </c>
      <c r="OAK143" s="15" t="s">
        <v>598</v>
      </c>
      <c r="OAL143" s="15" t="s">
        <v>598</v>
      </c>
      <c r="OAM143" s="15" t="s">
        <v>598</v>
      </c>
      <c r="OAN143" s="15" t="s">
        <v>598</v>
      </c>
      <c r="OAO143" s="15" t="s">
        <v>598</v>
      </c>
      <c r="OAP143" s="15" t="s">
        <v>598</v>
      </c>
      <c r="OAQ143" s="15" t="s">
        <v>598</v>
      </c>
      <c r="OAR143" s="15" t="s">
        <v>598</v>
      </c>
      <c r="OAS143" s="15" t="s">
        <v>598</v>
      </c>
      <c r="OAT143" s="15" t="s">
        <v>598</v>
      </c>
      <c r="OAU143" s="15" t="s">
        <v>598</v>
      </c>
      <c r="OAV143" s="15" t="s">
        <v>598</v>
      </c>
      <c r="OAW143" s="15" t="s">
        <v>598</v>
      </c>
      <c r="OAX143" s="15" t="s">
        <v>598</v>
      </c>
      <c r="OAY143" s="15" t="s">
        <v>598</v>
      </c>
      <c r="OAZ143" s="15" t="s">
        <v>598</v>
      </c>
      <c r="OBA143" s="15" t="s">
        <v>598</v>
      </c>
      <c r="OBB143" s="15" t="s">
        <v>598</v>
      </c>
      <c r="OBC143" s="15" t="s">
        <v>598</v>
      </c>
      <c r="OBD143" s="15" t="s">
        <v>598</v>
      </c>
      <c r="OBE143" s="15" t="s">
        <v>598</v>
      </c>
      <c r="OBF143" s="15" t="s">
        <v>598</v>
      </c>
      <c r="OBG143" s="15" t="s">
        <v>598</v>
      </c>
      <c r="OBH143" s="15" t="s">
        <v>598</v>
      </c>
      <c r="OBI143" s="15" t="s">
        <v>598</v>
      </c>
      <c r="OBJ143" s="15" t="s">
        <v>598</v>
      </c>
      <c r="OBK143" s="15" t="s">
        <v>598</v>
      </c>
      <c r="OBL143" s="15" t="s">
        <v>598</v>
      </c>
      <c r="OBM143" s="15" t="s">
        <v>598</v>
      </c>
      <c r="OBN143" s="15" t="s">
        <v>598</v>
      </c>
      <c r="OBO143" s="15" t="s">
        <v>598</v>
      </c>
      <c r="OBP143" s="15" t="s">
        <v>598</v>
      </c>
      <c r="OBQ143" s="15" t="s">
        <v>598</v>
      </c>
      <c r="OBR143" s="15" t="s">
        <v>598</v>
      </c>
      <c r="OBS143" s="15" t="s">
        <v>598</v>
      </c>
      <c r="OBT143" s="15" t="s">
        <v>598</v>
      </c>
      <c r="OBU143" s="15" t="s">
        <v>598</v>
      </c>
      <c r="OBV143" s="15" t="s">
        <v>598</v>
      </c>
      <c r="OBW143" s="15" t="s">
        <v>598</v>
      </c>
      <c r="OBX143" s="15" t="s">
        <v>598</v>
      </c>
      <c r="OBY143" s="15" t="s">
        <v>598</v>
      </c>
      <c r="OBZ143" s="15" t="s">
        <v>598</v>
      </c>
      <c r="OCA143" s="15" t="s">
        <v>598</v>
      </c>
      <c r="OCB143" s="15" t="s">
        <v>598</v>
      </c>
      <c r="OCC143" s="15" t="s">
        <v>598</v>
      </c>
      <c r="OCD143" s="15" t="s">
        <v>598</v>
      </c>
      <c r="OCE143" s="15" t="s">
        <v>598</v>
      </c>
      <c r="OCF143" s="15" t="s">
        <v>598</v>
      </c>
      <c r="OCG143" s="15" t="s">
        <v>598</v>
      </c>
      <c r="OCH143" s="15" t="s">
        <v>598</v>
      </c>
      <c r="OCI143" s="15" t="s">
        <v>598</v>
      </c>
      <c r="OCJ143" s="15" t="s">
        <v>598</v>
      </c>
      <c r="OCK143" s="15" t="s">
        <v>598</v>
      </c>
      <c r="OCL143" s="15" t="s">
        <v>598</v>
      </c>
      <c r="OCM143" s="15" t="s">
        <v>598</v>
      </c>
      <c r="OCN143" s="15" t="s">
        <v>598</v>
      </c>
      <c r="OCO143" s="15" t="s">
        <v>598</v>
      </c>
      <c r="OCP143" s="15" t="s">
        <v>598</v>
      </c>
      <c r="OCQ143" s="15" t="s">
        <v>598</v>
      </c>
      <c r="OCR143" s="15" t="s">
        <v>598</v>
      </c>
      <c r="OCS143" s="15" t="s">
        <v>598</v>
      </c>
      <c r="OCT143" s="15" t="s">
        <v>598</v>
      </c>
      <c r="OCU143" s="15" t="s">
        <v>598</v>
      </c>
      <c r="OCV143" s="15" t="s">
        <v>598</v>
      </c>
      <c r="OCW143" s="15" t="s">
        <v>598</v>
      </c>
      <c r="OCX143" s="15" t="s">
        <v>598</v>
      </c>
      <c r="OCY143" s="15" t="s">
        <v>598</v>
      </c>
      <c r="OCZ143" s="15" t="s">
        <v>598</v>
      </c>
      <c r="ODA143" s="15" t="s">
        <v>598</v>
      </c>
      <c r="ODB143" s="15" t="s">
        <v>598</v>
      </c>
      <c r="ODC143" s="15" t="s">
        <v>598</v>
      </c>
      <c r="ODD143" s="15" t="s">
        <v>598</v>
      </c>
      <c r="ODE143" s="15" t="s">
        <v>598</v>
      </c>
      <c r="ODF143" s="15" t="s">
        <v>598</v>
      </c>
      <c r="ODG143" s="15" t="s">
        <v>598</v>
      </c>
      <c r="ODH143" s="15" t="s">
        <v>598</v>
      </c>
      <c r="ODI143" s="15" t="s">
        <v>598</v>
      </c>
      <c r="ODJ143" s="15" t="s">
        <v>598</v>
      </c>
      <c r="ODK143" s="15" t="s">
        <v>598</v>
      </c>
      <c r="ODL143" s="15" t="s">
        <v>598</v>
      </c>
      <c r="ODM143" s="15" t="s">
        <v>598</v>
      </c>
      <c r="ODN143" s="15" t="s">
        <v>598</v>
      </c>
      <c r="ODO143" s="15" t="s">
        <v>598</v>
      </c>
      <c r="ODP143" s="15" t="s">
        <v>598</v>
      </c>
      <c r="ODQ143" s="15" t="s">
        <v>598</v>
      </c>
      <c r="ODR143" s="15" t="s">
        <v>598</v>
      </c>
      <c r="ODS143" s="15" t="s">
        <v>598</v>
      </c>
      <c r="ODT143" s="15" t="s">
        <v>598</v>
      </c>
      <c r="ODU143" s="15" t="s">
        <v>598</v>
      </c>
      <c r="ODV143" s="15" t="s">
        <v>598</v>
      </c>
      <c r="ODW143" s="15" t="s">
        <v>598</v>
      </c>
      <c r="ODX143" s="15" t="s">
        <v>598</v>
      </c>
      <c r="ODY143" s="15" t="s">
        <v>598</v>
      </c>
      <c r="ODZ143" s="15" t="s">
        <v>598</v>
      </c>
      <c r="OEA143" s="15" t="s">
        <v>598</v>
      </c>
      <c r="OEB143" s="15" t="s">
        <v>598</v>
      </c>
      <c r="OEC143" s="15" t="s">
        <v>598</v>
      </c>
      <c r="OED143" s="15" t="s">
        <v>598</v>
      </c>
      <c r="OEE143" s="15" t="s">
        <v>598</v>
      </c>
      <c r="OEF143" s="15" t="s">
        <v>598</v>
      </c>
      <c r="OEG143" s="15" t="s">
        <v>598</v>
      </c>
      <c r="OEH143" s="15" t="s">
        <v>598</v>
      </c>
      <c r="OEI143" s="15" t="s">
        <v>598</v>
      </c>
      <c r="OEJ143" s="15" t="s">
        <v>598</v>
      </c>
      <c r="OEK143" s="15" t="s">
        <v>598</v>
      </c>
      <c r="OEL143" s="15" t="s">
        <v>598</v>
      </c>
      <c r="OEM143" s="15" t="s">
        <v>598</v>
      </c>
      <c r="OEN143" s="15" t="s">
        <v>598</v>
      </c>
      <c r="OEO143" s="15" t="s">
        <v>598</v>
      </c>
      <c r="OEP143" s="15" t="s">
        <v>598</v>
      </c>
      <c r="OEQ143" s="15" t="s">
        <v>598</v>
      </c>
      <c r="OER143" s="15" t="s">
        <v>598</v>
      </c>
      <c r="OES143" s="15" t="s">
        <v>598</v>
      </c>
      <c r="OET143" s="15" t="s">
        <v>598</v>
      </c>
      <c r="OEU143" s="15" t="s">
        <v>598</v>
      </c>
      <c r="OEV143" s="15" t="s">
        <v>598</v>
      </c>
      <c r="OEW143" s="15" t="s">
        <v>598</v>
      </c>
      <c r="OEX143" s="15" t="s">
        <v>598</v>
      </c>
      <c r="OEY143" s="15" t="s">
        <v>598</v>
      </c>
      <c r="OEZ143" s="15" t="s">
        <v>598</v>
      </c>
      <c r="OFA143" s="15" t="s">
        <v>598</v>
      </c>
      <c r="OFB143" s="15" t="s">
        <v>598</v>
      </c>
      <c r="OFC143" s="15" t="s">
        <v>598</v>
      </c>
      <c r="OFD143" s="15" t="s">
        <v>598</v>
      </c>
      <c r="OFE143" s="15" t="s">
        <v>598</v>
      </c>
      <c r="OFF143" s="15" t="s">
        <v>598</v>
      </c>
      <c r="OFG143" s="15" t="s">
        <v>598</v>
      </c>
      <c r="OFH143" s="15" t="s">
        <v>598</v>
      </c>
      <c r="OFI143" s="15" t="s">
        <v>598</v>
      </c>
      <c r="OFJ143" s="15" t="s">
        <v>598</v>
      </c>
      <c r="OFK143" s="15" t="s">
        <v>598</v>
      </c>
      <c r="OFL143" s="15" t="s">
        <v>598</v>
      </c>
      <c r="OFM143" s="15" t="s">
        <v>598</v>
      </c>
      <c r="OFN143" s="15" t="s">
        <v>598</v>
      </c>
      <c r="OFO143" s="15" t="s">
        <v>598</v>
      </c>
      <c r="OFP143" s="15" t="s">
        <v>598</v>
      </c>
      <c r="OFQ143" s="15" t="s">
        <v>598</v>
      </c>
      <c r="OFR143" s="15" t="s">
        <v>598</v>
      </c>
      <c r="OFS143" s="15" t="s">
        <v>598</v>
      </c>
      <c r="OFT143" s="15" t="s">
        <v>598</v>
      </c>
      <c r="OFU143" s="15" t="s">
        <v>598</v>
      </c>
      <c r="OFV143" s="15" t="s">
        <v>598</v>
      </c>
      <c r="OFW143" s="15" t="s">
        <v>598</v>
      </c>
      <c r="OFX143" s="15" t="s">
        <v>598</v>
      </c>
      <c r="OFY143" s="15" t="s">
        <v>598</v>
      </c>
      <c r="OFZ143" s="15" t="s">
        <v>598</v>
      </c>
      <c r="OGA143" s="15" t="s">
        <v>598</v>
      </c>
      <c r="OGB143" s="15" t="s">
        <v>598</v>
      </c>
      <c r="OGC143" s="15" t="s">
        <v>598</v>
      </c>
      <c r="OGD143" s="15" t="s">
        <v>598</v>
      </c>
      <c r="OGE143" s="15" t="s">
        <v>598</v>
      </c>
      <c r="OGF143" s="15" t="s">
        <v>598</v>
      </c>
      <c r="OGG143" s="15" t="s">
        <v>598</v>
      </c>
      <c r="OGH143" s="15" t="s">
        <v>598</v>
      </c>
      <c r="OGI143" s="15" t="s">
        <v>598</v>
      </c>
      <c r="OGJ143" s="15" t="s">
        <v>598</v>
      </c>
      <c r="OGK143" s="15" t="s">
        <v>598</v>
      </c>
      <c r="OGL143" s="15" t="s">
        <v>598</v>
      </c>
      <c r="OGM143" s="15" t="s">
        <v>598</v>
      </c>
      <c r="OGN143" s="15" t="s">
        <v>598</v>
      </c>
      <c r="OGO143" s="15" t="s">
        <v>598</v>
      </c>
      <c r="OGP143" s="15" t="s">
        <v>598</v>
      </c>
      <c r="OGQ143" s="15" t="s">
        <v>598</v>
      </c>
      <c r="OGR143" s="15" t="s">
        <v>598</v>
      </c>
      <c r="OGS143" s="15" t="s">
        <v>598</v>
      </c>
      <c r="OGT143" s="15" t="s">
        <v>598</v>
      </c>
      <c r="OGU143" s="15" t="s">
        <v>598</v>
      </c>
      <c r="OGV143" s="15" t="s">
        <v>598</v>
      </c>
      <c r="OGW143" s="15" t="s">
        <v>598</v>
      </c>
      <c r="OGX143" s="15" t="s">
        <v>598</v>
      </c>
      <c r="OGY143" s="15" t="s">
        <v>598</v>
      </c>
      <c r="OGZ143" s="15" t="s">
        <v>598</v>
      </c>
      <c r="OHA143" s="15" t="s">
        <v>598</v>
      </c>
      <c r="OHB143" s="15" t="s">
        <v>598</v>
      </c>
      <c r="OHC143" s="15" t="s">
        <v>598</v>
      </c>
      <c r="OHD143" s="15" t="s">
        <v>598</v>
      </c>
      <c r="OHE143" s="15" t="s">
        <v>598</v>
      </c>
      <c r="OHF143" s="15" t="s">
        <v>598</v>
      </c>
      <c r="OHG143" s="15" t="s">
        <v>598</v>
      </c>
      <c r="OHH143" s="15" t="s">
        <v>598</v>
      </c>
      <c r="OHI143" s="15" t="s">
        <v>598</v>
      </c>
      <c r="OHJ143" s="15" t="s">
        <v>598</v>
      </c>
      <c r="OHK143" s="15" t="s">
        <v>598</v>
      </c>
      <c r="OHL143" s="15" t="s">
        <v>598</v>
      </c>
      <c r="OHM143" s="15" t="s">
        <v>598</v>
      </c>
      <c r="OHN143" s="15" t="s">
        <v>598</v>
      </c>
      <c r="OHO143" s="15" t="s">
        <v>598</v>
      </c>
      <c r="OHP143" s="15" t="s">
        <v>598</v>
      </c>
      <c r="OHQ143" s="15" t="s">
        <v>598</v>
      </c>
      <c r="OHR143" s="15" t="s">
        <v>598</v>
      </c>
      <c r="OHS143" s="15" t="s">
        <v>598</v>
      </c>
      <c r="OHT143" s="15" t="s">
        <v>598</v>
      </c>
      <c r="OHU143" s="15" t="s">
        <v>598</v>
      </c>
      <c r="OHV143" s="15" t="s">
        <v>598</v>
      </c>
      <c r="OHW143" s="15" t="s">
        <v>598</v>
      </c>
      <c r="OHX143" s="15" t="s">
        <v>598</v>
      </c>
      <c r="OHY143" s="15" t="s">
        <v>598</v>
      </c>
      <c r="OHZ143" s="15" t="s">
        <v>598</v>
      </c>
      <c r="OIA143" s="15" t="s">
        <v>598</v>
      </c>
      <c r="OIB143" s="15" t="s">
        <v>598</v>
      </c>
      <c r="OIC143" s="15" t="s">
        <v>598</v>
      </c>
      <c r="OID143" s="15" t="s">
        <v>598</v>
      </c>
      <c r="OIE143" s="15" t="s">
        <v>598</v>
      </c>
      <c r="OIF143" s="15" t="s">
        <v>598</v>
      </c>
      <c r="OIG143" s="15" t="s">
        <v>598</v>
      </c>
      <c r="OIH143" s="15" t="s">
        <v>598</v>
      </c>
      <c r="OII143" s="15" t="s">
        <v>598</v>
      </c>
      <c r="OIJ143" s="15" t="s">
        <v>598</v>
      </c>
      <c r="OIK143" s="15" t="s">
        <v>598</v>
      </c>
      <c r="OIL143" s="15" t="s">
        <v>598</v>
      </c>
      <c r="OIM143" s="15" t="s">
        <v>598</v>
      </c>
      <c r="OIN143" s="15" t="s">
        <v>598</v>
      </c>
      <c r="OIO143" s="15" t="s">
        <v>598</v>
      </c>
      <c r="OIP143" s="15" t="s">
        <v>598</v>
      </c>
      <c r="OIQ143" s="15" t="s">
        <v>598</v>
      </c>
      <c r="OIR143" s="15" t="s">
        <v>598</v>
      </c>
      <c r="OIS143" s="15" t="s">
        <v>598</v>
      </c>
      <c r="OIT143" s="15" t="s">
        <v>598</v>
      </c>
      <c r="OIU143" s="15" t="s">
        <v>598</v>
      </c>
      <c r="OIV143" s="15" t="s">
        <v>598</v>
      </c>
      <c r="OIW143" s="15" t="s">
        <v>598</v>
      </c>
      <c r="OIX143" s="15" t="s">
        <v>598</v>
      </c>
      <c r="OIY143" s="15" t="s">
        <v>598</v>
      </c>
      <c r="OIZ143" s="15" t="s">
        <v>598</v>
      </c>
      <c r="OJA143" s="15" t="s">
        <v>598</v>
      </c>
      <c r="OJB143" s="15" t="s">
        <v>598</v>
      </c>
      <c r="OJC143" s="15" t="s">
        <v>598</v>
      </c>
      <c r="OJD143" s="15" t="s">
        <v>598</v>
      </c>
      <c r="OJE143" s="15" t="s">
        <v>598</v>
      </c>
      <c r="OJF143" s="15" t="s">
        <v>598</v>
      </c>
      <c r="OJG143" s="15" t="s">
        <v>598</v>
      </c>
      <c r="OJH143" s="15" t="s">
        <v>598</v>
      </c>
      <c r="OJI143" s="15" t="s">
        <v>598</v>
      </c>
      <c r="OJJ143" s="15" t="s">
        <v>598</v>
      </c>
      <c r="OJK143" s="15" t="s">
        <v>598</v>
      </c>
      <c r="OJL143" s="15" t="s">
        <v>598</v>
      </c>
      <c r="OJM143" s="15" t="s">
        <v>598</v>
      </c>
      <c r="OJN143" s="15" t="s">
        <v>598</v>
      </c>
      <c r="OJO143" s="15" t="s">
        <v>598</v>
      </c>
      <c r="OJP143" s="15" t="s">
        <v>598</v>
      </c>
      <c r="OJQ143" s="15" t="s">
        <v>598</v>
      </c>
      <c r="OJR143" s="15" t="s">
        <v>598</v>
      </c>
      <c r="OJS143" s="15" t="s">
        <v>598</v>
      </c>
      <c r="OJT143" s="15" t="s">
        <v>598</v>
      </c>
      <c r="OJU143" s="15" t="s">
        <v>598</v>
      </c>
      <c r="OJV143" s="15" t="s">
        <v>598</v>
      </c>
      <c r="OJW143" s="15" t="s">
        <v>598</v>
      </c>
      <c r="OJX143" s="15" t="s">
        <v>598</v>
      </c>
      <c r="OJY143" s="15" t="s">
        <v>598</v>
      </c>
      <c r="OJZ143" s="15" t="s">
        <v>598</v>
      </c>
      <c r="OKA143" s="15" t="s">
        <v>598</v>
      </c>
      <c r="OKB143" s="15" t="s">
        <v>598</v>
      </c>
      <c r="OKC143" s="15" t="s">
        <v>598</v>
      </c>
      <c r="OKD143" s="15" t="s">
        <v>598</v>
      </c>
      <c r="OKE143" s="15" t="s">
        <v>598</v>
      </c>
      <c r="OKF143" s="15" t="s">
        <v>598</v>
      </c>
      <c r="OKG143" s="15" t="s">
        <v>598</v>
      </c>
      <c r="OKH143" s="15" t="s">
        <v>598</v>
      </c>
      <c r="OKI143" s="15" t="s">
        <v>598</v>
      </c>
      <c r="OKJ143" s="15" t="s">
        <v>598</v>
      </c>
      <c r="OKK143" s="15" t="s">
        <v>598</v>
      </c>
      <c r="OKL143" s="15" t="s">
        <v>598</v>
      </c>
      <c r="OKM143" s="15" t="s">
        <v>598</v>
      </c>
      <c r="OKN143" s="15" t="s">
        <v>598</v>
      </c>
      <c r="OKO143" s="15" t="s">
        <v>598</v>
      </c>
      <c r="OKP143" s="15" t="s">
        <v>598</v>
      </c>
      <c r="OKQ143" s="15" t="s">
        <v>598</v>
      </c>
      <c r="OKR143" s="15" t="s">
        <v>598</v>
      </c>
      <c r="OKS143" s="15" t="s">
        <v>598</v>
      </c>
      <c r="OKT143" s="15" t="s">
        <v>598</v>
      </c>
      <c r="OKU143" s="15" t="s">
        <v>598</v>
      </c>
      <c r="OKV143" s="15" t="s">
        <v>598</v>
      </c>
      <c r="OKW143" s="15" t="s">
        <v>598</v>
      </c>
      <c r="OKX143" s="15" t="s">
        <v>598</v>
      </c>
      <c r="OKY143" s="15" t="s">
        <v>598</v>
      </c>
      <c r="OKZ143" s="15" t="s">
        <v>598</v>
      </c>
      <c r="OLA143" s="15" t="s">
        <v>598</v>
      </c>
      <c r="OLB143" s="15" t="s">
        <v>598</v>
      </c>
      <c r="OLC143" s="15" t="s">
        <v>598</v>
      </c>
      <c r="OLD143" s="15" t="s">
        <v>598</v>
      </c>
      <c r="OLE143" s="15" t="s">
        <v>598</v>
      </c>
      <c r="OLF143" s="15" t="s">
        <v>598</v>
      </c>
      <c r="OLG143" s="15" t="s">
        <v>598</v>
      </c>
      <c r="OLH143" s="15" t="s">
        <v>598</v>
      </c>
      <c r="OLI143" s="15" t="s">
        <v>598</v>
      </c>
      <c r="OLJ143" s="15" t="s">
        <v>598</v>
      </c>
      <c r="OLK143" s="15" t="s">
        <v>598</v>
      </c>
      <c r="OLL143" s="15" t="s">
        <v>598</v>
      </c>
      <c r="OLM143" s="15" t="s">
        <v>598</v>
      </c>
      <c r="OLN143" s="15" t="s">
        <v>598</v>
      </c>
      <c r="OLO143" s="15" t="s">
        <v>598</v>
      </c>
      <c r="OLP143" s="15" t="s">
        <v>598</v>
      </c>
      <c r="OLQ143" s="15" t="s">
        <v>598</v>
      </c>
      <c r="OLR143" s="15" t="s">
        <v>598</v>
      </c>
      <c r="OLS143" s="15" t="s">
        <v>598</v>
      </c>
      <c r="OLT143" s="15" t="s">
        <v>598</v>
      </c>
      <c r="OLU143" s="15" t="s">
        <v>598</v>
      </c>
      <c r="OLV143" s="15" t="s">
        <v>598</v>
      </c>
      <c r="OLW143" s="15" t="s">
        <v>598</v>
      </c>
      <c r="OLX143" s="15" t="s">
        <v>598</v>
      </c>
      <c r="OLY143" s="15" t="s">
        <v>598</v>
      </c>
      <c r="OLZ143" s="15" t="s">
        <v>598</v>
      </c>
      <c r="OMA143" s="15" t="s">
        <v>598</v>
      </c>
      <c r="OMB143" s="15" t="s">
        <v>598</v>
      </c>
      <c r="OMC143" s="15" t="s">
        <v>598</v>
      </c>
      <c r="OMD143" s="15" t="s">
        <v>598</v>
      </c>
      <c r="OME143" s="15" t="s">
        <v>598</v>
      </c>
      <c r="OMF143" s="15" t="s">
        <v>598</v>
      </c>
      <c r="OMG143" s="15" t="s">
        <v>598</v>
      </c>
      <c r="OMH143" s="15" t="s">
        <v>598</v>
      </c>
      <c r="OMI143" s="15" t="s">
        <v>598</v>
      </c>
      <c r="OMJ143" s="15" t="s">
        <v>598</v>
      </c>
      <c r="OMK143" s="15" t="s">
        <v>598</v>
      </c>
      <c r="OML143" s="15" t="s">
        <v>598</v>
      </c>
      <c r="OMM143" s="15" t="s">
        <v>598</v>
      </c>
      <c r="OMN143" s="15" t="s">
        <v>598</v>
      </c>
      <c r="OMO143" s="15" t="s">
        <v>598</v>
      </c>
      <c r="OMP143" s="15" t="s">
        <v>598</v>
      </c>
      <c r="OMQ143" s="15" t="s">
        <v>598</v>
      </c>
      <c r="OMR143" s="15" t="s">
        <v>598</v>
      </c>
      <c r="OMS143" s="15" t="s">
        <v>598</v>
      </c>
      <c r="OMT143" s="15" t="s">
        <v>598</v>
      </c>
      <c r="OMU143" s="15" t="s">
        <v>598</v>
      </c>
      <c r="OMV143" s="15" t="s">
        <v>598</v>
      </c>
      <c r="OMW143" s="15" t="s">
        <v>598</v>
      </c>
      <c r="OMX143" s="15" t="s">
        <v>598</v>
      </c>
      <c r="OMY143" s="15" t="s">
        <v>598</v>
      </c>
      <c r="OMZ143" s="15" t="s">
        <v>598</v>
      </c>
      <c r="ONA143" s="15" t="s">
        <v>598</v>
      </c>
      <c r="ONB143" s="15" t="s">
        <v>598</v>
      </c>
      <c r="ONC143" s="15" t="s">
        <v>598</v>
      </c>
      <c r="OND143" s="15" t="s">
        <v>598</v>
      </c>
      <c r="ONE143" s="15" t="s">
        <v>598</v>
      </c>
      <c r="ONF143" s="15" t="s">
        <v>598</v>
      </c>
      <c r="ONG143" s="15" t="s">
        <v>598</v>
      </c>
      <c r="ONH143" s="15" t="s">
        <v>598</v>
      </c>
      <c r="ONI143" s="15" t="s">
        <v>598</v>
      </c>
      <c r="ONJ143" s="15" t="s">
        <v>598</v>
      </c>
      <c r="ONK143" s="15" t="s">
        <v>598</v>
      </c>
      <c r="ONL143" s="15" t="s">
        <v>598</v>
      </c>
      <c r="ONM143" s="15" t="s">
        <v>598</v>
      </c>
      <c r="ONN143" s="15" t="s">
        <v>598</v>
      </c>
      <c r="ONO143" s="15" t="s">
        <v>598</v>
      </c>
      <c r="ONP143" s="15" t="s">
        <v>598</v>
      </c>
      <c r="ONQ143" s="15" t="s">
        <v>598</v>
      </c>
      <c r="ONR143" s="15" t="s">
        <v>598</v>
      </c>
      <c r="ONS143" s="15" t="s">
        <v>598</v>
      </c>
      <c r="ONT143" s="15" t="s">
        <v>598</v>
      </c>
      <c r="ONU143" s="15" t="s">
        <v>598</v>
      </c>
      <c r="ONV143" s="15" t="s">
        <v>598</v>
      </c>
      <c r="ONW143" s="15" t="s">
        <v>598</v>
      </c>
      <c r="ONX143" s="15" t="s">
        <v>598</v>
      </c>
      <c r="ONY143" s="15" t="s">
        <v>598</v>
      </c>
      <c r="ONZ143" s="15" t="s">
        <v>598</v>
      </c>
      <c r="OOA143" s="15" t="s">
        <v>598</v>
      </c>
      <c r="OOB143" s="15" t="s">
        <v>598</v>
      </c>
      <c r="OOC143" s="15" t="s">
        <v>598</v>
      </c>
      <c r="OOD143" s="15" t="s">
        <v>598</v>
      </c>
      <c r="OOE143" s="15" t="s">
        <v>598</v>
      </c>
      <c r="OOF143" s="15" t="s">
        <v>598</v>
      </c>
      <c r="OOG143" s="15" t="s">
        <v>598</v>
      </c>
      <c r="OOH143" s="15" t="s">
        <v>598</v>
      </c>
      <c r="OOI143" s="15" t="s">
        <v>598</v>
      </c>
      <c r="OOJ143" s="15" t="s">
        <v>598</v>
      </c>
      <c r="OOK143" s="15" t="s">
        <v>598</v>
      </c>
      <c r="OOL143" s="15" t="s">
        <v>598</v>
      </c>
      <c r="OOM143" s="15" t="s">
        <v>598</v>
      </c>
      <c r="OON143" s="15" t="s">
        <v>598</v>
      </c>
      <c r="OOO143" s="15" t="s">
        <v>598</v>
      </c>
      <c r="OOP143" s="15" t="s">
        <v>598</v>
      </c>
      <c r="OOQ143" s="15" t="s">
        <v>598</v>
      </c>
      <c r="OOR143" s="15" t="s">
        <v>598</v>
      </c>
      <c r="OOS143" s="15" t="s">
        <v>598</v>
      </c>
      <c r="OOT143" s="15" t="s">
        <v>598</v>
      </c>
      <c r="OOU143" s="15" t="s">
        <v>598</v>
      </c>
      <c r="OOV143" s="15" t="s">
        <v>598</v>
      </c>
      <c r="OOW143" s="15" t="s">
        <v>598</v>
      </c>
      <c r="OOX143" s="15" t="s">
        <v>598</v>
      </c>
      <c r="OOY143" s="15" t="s">
        <v>598</v>
      </c>
      <c r="OOZ143" s="15" t="s">
        <v>598</v>
      </c>
      <c r="OPA143" s="15" t="s">
        <v>598</v>
      </c>
      <c r="OPB143" s="15" t="s">
        <v>598</v>
      </c>
      <c r="OPC143" s="15" t="s">
        <v>598</v>
      </c>
      <c r="OPD143" s="15" t="s">
        <v>598</v>
      </c>
      <c r="OPE143" s="15" t="s">
        <v>598</v>
      </c>
      <c r="OPF143" s="15" t="s">
        <v>598</v>
      </c>
      <c r="OPG143" s="15" t="s">
        <v>598</v>
      </c>
      <c r="OPH143" s="15" t="s">
        <v>598</v>
      </c>
      <c r="OPI143" s="15" t="s">
        <v>598</v>
      </c>
      <c r="OPJ143" s="15" t="s">
        <v>598</v>
      </c>
      <c r="OPK143" s="15" t="s">
        <v>598</v>
      </c>
      <c r="OPL143" s="15" t="s">
        <v>598</v>
      </c>
      <c r="OPM143" s="15" t="s">
        <v>598</v>
      </c>
      <c r="OPN143" s="15" t="s">
        <v>598</v>
      </c>
      <c r="OPO143" s="15" t="s">
        <v>598</v>
      </c>
      <c r="OPP143" s="15" t="s">
        <v>598</v>
      </c>
      <c r="OPQ143" s="15" t="s">
        <v>598</v>
      </c>
      <c r="OPR143" s="15" t="s">
        <v>598</v>
      </c>
      <c r="OPS143" s="15" t="s">
        <v>598</v>
      </c>
      <c r="OPT143" s="15" t="s">
        <v>598</v>
      </c>
      <c r="OPU143" s="15" t="s">
        <v>598</v>
      </c>
      <c r="OPV143" s="15" t="s">
        <v>598</v>
      </c>
      <c r="OPW143" s="15" t="s">
        <v>598</v>
      </c>
      <c r="OPX143" s="15" t="s">
        <v>598</v>
      </c>
      <c r="OPY143" s="15" t="s">
        <v>598</v>
      </c>
      <c r="OPZ143" s="15" t="s">
        <v>598</v>
      </c>
      <c r="OQA143" s="15" t="s">
        <v>598</v>
      </c>
      <c r="OQB143" s="15" t="s">
        <v>598</v>
      </c>
      <c r="OQC143" s="15" t="s">
        <v>598</v>
      </c>
      <c r="OQD143" s="15" t="s">
        <v>598</v>
      </c>
      <c r="OQE143" s="15" t="s">
        <v>598</v>
      </c>
      <c r="OQF143" s="15" t="s">
        <v>598</v>
      </c>
      <c r="OQG143" s="15" t="s">
        <v>598</v>
      </c>
      <c r="OQH143" s="15" t="s">
        <v>598</v>
      </c>
      <c r="OQI143" s="15" t="s">
        <v>598</v>
      </c>
      <c r="OQJ143" s="15" t="s">
        <v>598</v>
      </c>
      <c r="OQK143" s="15" t="s">
        <v>598</v>
      </c>
      <c r="OQL143" s="15" t="s">
        <v>598</v>
      </c>
      <c r="OQM143" s="15" t="s">
        <v>598</v>
      </c>
      <c r="OQN143" s="15" t="s">
        <v>598</v>
      </c>
      <c r="OQO143" s="15" t="s">
        <v>598</v>
      </c>
      <c r="OQP143" s="15" t="s">
        <v>598</v>
      </c>
      <c r="OQQ143" s="15" t="s">
        <v>598</v>
      </c>
      <c r="OQR143" s="15" t="s">
        <v>598</v>
      </c>
      <c r="OQS143" s="15" t="s">
        <v>598</v>
      </c>
      <c r="OQT143" s="15" t="s">
        <v>598</v>
      </c>
      <c r="OQU143" s="15" t="s">
        <v>598</v>
      </c>
      <c r="OQV143" s="15" t="s">
        <v>598</v>
      </c>
      <c r="OQW143" s="15" t="s">
        <v>598</v>
      </c>
      <c r="OQX143" s="15" t="s">
        <v>598</v>
      </c>
      <c r="OQY143" s="15" t="s">
        <v>598</v>
      </c>
      <c r="OQZ143" s="15" t="s">
        <v>598</v>
      </c>
      <c r="ORA143" s="15" t="s">
        <v>598</v>
      </c>
      <c r="ORB143" s="15" t="s">
        <v>598</v>
      </c>
      <c r="ORC143" s="15" t="s">
        <v>598</v>
      </c>
      <c r="ORD143" s="15" t="s">
        <v>598</v>
      </c>
      <c r="ORE143" s="15" t="s">
        <v>598</v>
      </c>
      <c r="ORF143" s="15" t="s">
        <v>598</v>
      </c>
      <c r="ORG143" s="15" t="s">
        <v>598</v>
      </c>
      <c r="ORH143" s="15" t="s">
        <v>598</v>
      </c>
      <c r="ORI143" s="15" t="s">
        <v>598</v>
      </c>
      <c r="ORJ143" s="15" t="s">
        <v>598</v>
      </c>
      <c r="ORK143" s="15" t="s">
        <v>598</v>
      </c>
      <c r="ORL143" s="15" t="s">
        <v>598</v>
      </c>
      <c r="ORM143" s="15" t="s">
        <v>598</v>
      </c>
      <c r="ORN143" s="15" t="s">
        <v>598</v>
      </c>
      <c r="ORO143" s="15" t="s">
        <v>598</v>
      </c>
      <c r="ORP143" s="15" t="s">
        <v>598</v>
      </c>
      <c r="ORQ143" s="15" t="s">
        <v>598</v>
      </c>
      <c r="ORR143" s="15" t="s">
        <v>598</v>
      </c>
      <c r="ORS143" s="15" t="s">
        <v>598</v>
      </c>
      <c r="ORT143" s="15" t="s">
        <v>598</v>
      </c>
      <c r="ORU143" s="15" t="s">
        <v>598</v>
      </c>
      <c r="ORV143" s="15" t="s">
        <v>598</v>
      </c>
      <c r="ORW143" s="15" t="s">
        <v>598</v>
      </c>
      <c r="ORX143" s="15" t="s">
        <v>598</v>
      </c>
      <c r="ORY143" s="15" t="s">
        <v>598</v>
      </c>
      <c r="ORZ143" s="15" t="s">
        <v>598</v>
      </c>
      <c r="OSA143" s="15" t="s">
        <v>598</v>
      </c>
      <c r="OSB143" s="15" t="s">
        <v>598</v>
      </c>
      <c r="OSC143" s="15" t="s">
        <v>598</v>
      </c>
      <c r="OSD143" s="15" t="s">
        <v>598</v>
      </c>
      <c r="OSE143" s="15" t="s">
        <v>598</v>
      </c>
      <c r="OSF143" s="15" t="s">
        <v>598</v>
      </c>
      <c r="OSG143" s="15" t="s">
        <v>598</v>
      </c>
      <c r="OSH143" s="15" t="s">
        <v>598</v>
      </c>
      <c r="OSI143" s="15" t="s">
        <v>598</v>
      </c>
      <c r="OSJ143" s="15" t="s">
        <v>598</v>
      </c>
      <c r="OSK143" s="15" t="s">
        <v>598</v>
      </c>
      <c r="OSL143" s="15" t="s">
        <v>598</v>
      </c>
      <c r="OSM143" s="15" t="s">
        <v>598</v>
      </c>
      <c r="OSN143" s="15" t="s">
        <v>598</v>
      </c>
      <c r="OSO143" s="15" t="s">
        <v>598</v>
      </c>
      <c r="OSP143" s="15" t="s">
        <v>598</v>
      </c>
      <c r="OSQ143" s="15" t="s">
        <v>598</v>
      </c>
      <c r="OSR143" s="15" t="s">
        <v>598</v>
      </c>
      <c r="OSS143" s="15" t="s">
        <v>598</v>
      </c>
      <c r="OST143" s="15" t="s">
        <v>598</v>
      </c>
      <c r="OSU143" s="15" t="s">
        <v>598</v>
      </c>
      <c r="OSV143" s="15" t="s">
        <v>598</v>
      </c>
      <c r="OSW143" s="15" t="s">
        <v>598</v>
      </c>
      <c r="OSX143" s="15" t="s">
        <v>598</v>
      </c>
      <c r="OSY143" s="15" t="s">
        <v>598</v>
      </c>
      <c r="OSZ143" s="15" t="s">
        <v>598</v>
      </c>
      <c r="OTA143" s="15" t="s">
        <v>598</v>
      </c>
      <c r="OTB143" s="15" t="s">
        <v>598</v>
      </c>
      <c r="OTC143" s="15" t="s">
        <v>598</v>
      </c>
      <c r="OTD143" s="15" t="s">
        <v>598</v>
      </c>
      <c r="OTE143" s="15" t="s">
        <v>598</v>
      </c>
      <c r="OTF143" s="15" t="s">
        <v>598</v>
      </c>
      <c r="OTG143" s="15" t="s">
        <v>598</v>
      </c>
      <c r="OTH143" s="15" t="s">
        <v>598</v>
      </c>
      <c r="OTI143" s="15" t="s">
        <v>598</v>
      </c>
      <c r="OTJ143" s="15" t="s">
        <v>598</v>
      </c>
      <c r="OTK143" s="15" t="s">
        <v>598</v>
      </c>
      <c r="OTL143" s="15" t="s">
        <v>598</v>
      </c>
      <c r="OTM143" s="15" t="s">
        <v>598</v>
      </c>
      <c r="OTN143" s="15" t="s">
        <v>598</v>
      </c>
      <c r="OTO143" s="15" t="s">
        <v>598</v>
      </c>
      <c r="OTP143" s="15" t="s">
        <v>598</v>
      </c>
      <c r="OTQ143" s="15" t="s">
        <v>598</v>
      </c>
      <c r="OTR143" s="15" t="s">
        <v>598</v>
      </c>
      <c r="OTS143" s="15" t="s">
        <v>598</v>
      </c>
      <c r="OTT143" s="15" t="s">
        <v>598</v>
      </c>
      <c r="OTU143" s="15" t="s">
        <v>598</v>
      </c>
      <c r="OTV143" s="15" t="s">
        <v>598</v>
      </c>
      <c r="OTW143" s="15" t="s">
        <v>598</v>
      </c>
      <c r="OTX143" s="15" t="s">
        <v>598</v>
      </c>
      <c r="OTY143" s="15" t="s">
        <v>598</v>
      </c>
      <c r="OTZ143" s="15" t="s">
        <v>598</v>
      </c>
      <c r="OUA143" s="15" t="s">
        <v>598</v>
      </c>
      <c r="OUB143" s="15" t="s">
        <v>598</v>
      </c>
      <c r="OUC143" s="15" t="s">
        <v>598</v>
      </c>
      <c r="OUD143" s="15" t="s">
        <v>598</v>
      </c>
      <c r="OUE143" s="15" t="s">
        <v>598</v>
      </c>
      <c r="OUF143" s="15" t="s">
        <v>598</v>
      </c>
      <c r="OUG143" s="15" t="s">
        <v>598</v>
      </c>
      <c r="OUH143" s="15" t="s">
        <v>598</v>
      </c>
      <c r="OUI143" s="15" t="s">
        <v>598</v>
      </c>
      <c r="OUJ143" s="15" t="s">
        <v>598</v>
      </c>
      <c r="OUK143" s="15" t="s">
        <v>598</v>
      </c>
      <c r="OUL143" s="15" t="s">
        <v>598</v>
      </c>
      <c r="OUM143" s="15" t="s">
        <v>598</v>
      </c>
      <c r="OUN143" s="15" t="s">
        <v>598</v>
      </c>
      <c r="OUO143" s="15" t="s">
        <v>598</v>
      </c>
      <c r="OUP143" s="15" t="s">
        <v>598</v>
      </c>
      <c r="OUQ143" s="15" t="s">
        <v>598</v>
      </c>
      <c r="OUR143" s="15" t="s">
        <v>598</v>
      </c>
      <c r="OUS143" s="15" t="s">
        <v>598</v>
      </c>
      <c r="OUT143" s="15" t="s">
        <v>598</v>
      </c>
      <c r="OUU143" s="15" t="s">
        <v>598</v>
      </c>
      <c r="OUV143" s="15" t="s">
        <v>598</v>
      </c>
      <c r="OUW143" s="15" t="s">
        <v>598</v>
      </c>
      <c r="OUX143" s="15" t="s">
        <v>598</v>
      </c>
      <c r="OUY143" s="15" t="s">
        <v>598</v>
      </c>
      <c r="OUZ143" s="15" t="s">
        <v>598</v>
      </c>
      <c r="OVA143" s="15" t="s">
        <v>598</v>
      </c>
      <c r="OVB143" s="15" t="s">
        <v>598</v>
      </c>
      <c r="OVC143" s="15" t="s">
        <v>598</v>
      </c>
      <c r="OVD143" s="15" t="s">
        <v>598</v>
      </c>
      <c r="OVE143" s="15" t="s">
        <v>598</v>
      </c>
      <c r="OVF143" s="15" t="s">
        <v>598</v>
      </c>
      <c r="OVG143" s="15" t="s">
        <v>598</v>
      </c>
      <c r="OVH143" s="15" t="s">
        <v>598</v>
      </c>
      <c r="OVI143" s="15" t="s">
        <v>598</v>
      </c>
      <c r="OVJ143" s="15" t="s">
        <v>598</v>
      </c>
      <c r="OVK143" s="15" t="s">
        <v>598</v>
      </c>
      <c r="OVL143" s="15" t="s">
        <v>598</v>
      </c>
      <c r="OVM143" s="15" t="s">
        <v>598</v>
      </c>
      <c r="OVN143" s="15" t="s">
        <v>598</v>
      </c>
      <c r="OVO143" s="15" t="s">
        <v>598</v>
      </c>
      <c r="OVP143" s="15" t="s">
        <v>598</v>
      </c>
      <c r="OVQ143" s="15" t="s">
        <v>598</v>
      </c>
      <c r="OVR143" s="15" t="s">
        <v>598</v>
      </c>
      <c r="OVS143" s="15" t="s">
        <v>598</v>
      </c>
      <c r="OVT143" s="15" t="s">
        <v>598</v>
      </c>
      <c r="OVU143" s="15" t="s">
        <v>598</v>
      </c>
      <c r="OVV143" s="15" t="s">
        <v>598</v>
      </c>
      <c r="OVW143" s="15" t="s">
        <v>598</v>
      </c>
      <c r="OVX143" s="15" t="s">
        <v>598</v>
      </c>
      <c r="OVY143" s="15" t="s">
        <v>598</v>
      </c>
      <c r="OVZ143" s="15" t="s">
        <v>598</v>
      </c>
      <c r="OWA143" s="15" t="s">
        <v>598</v>
      </c>
      <c r="OWB143" s="15" t="s">
        <v>598</v>
      </c>
      <c r="OWC143" s="15" t="s">
        <v>598</v>
      </c>
      <c r="OWD143" s="15" t="s">
        <v>598</v>
      </c>
      <c r="OWE143" s="15" t="s">
        <v>598</v>
      </c>
      <c r="OWF143" s="15" t="s">
        <v>598</v>
      </c>
      <c r="OWG143" s="15" t="s">
        <v>598</v>
      </c>
      <c r="OWH143" s="15" t="s">
        <v>598</v>
      </c>
      <c r="OWI143" s="15" t="s">
        <v>598</v>
      </c>
      <c r="OWJ143" s="15" t="s">
        <v>598</v>
      </c>
      <c r="OWK143" s="15" t="s">
        <v>598</v>
      </c>
      <c r="OWL143" s="15" t="s">
        <v>598</v>
      </c>
      <c r="OWM143" s="15" t="s">
        <v>598</v>
      </c>
      <c r="OWN143" s="15" t="s">
        <v>598</v>
      </c>
      <c r="OWO143" s="15" t="s">
        <v>598</v>
      </c>
      <c r="OWP143" s="15" t="s">
        <v>598</v>
      </c>
      <c r="OWQ143" s="15" t="s">
        <v>598</v>
      </c>
      <c r="OWR143" s="15" t="s">
        <v>598</v>
      </c>
      <c r="OWS143" s="15" t="s">
        <v>598</v>
      </c>
      <c r="OWT143" s="15" t="s">
        <v>598</v>
      </c>
      <c r="OWU143" s="15" t="s">
        <v>598</v>
      </c>
      <c r="OWV143" s="15" t="s">
        <v>598</v>
      </c>
      <c r="OWW143" s="15" t="s">
        <v>598</v>
      </c>
      <c r="OWX143" s="15" t="s">
        <v>598</v>
      </c>
      <c r="OWY143" s="15" t="s">
        <v>598</v>
      </c>
      <c r="OWZ143" s="15" t="s">
        <v>598</v>
      </c>
      <c r="OXA143" s="15" t="s">
        <v>598</v>
      </c>
      <c r="OXB143" s="15" t="s">
        <v>598</v>
      </c>
      <c r="OXC143" s="15" t="s">
        <v>598</v>
      </c>
      <c r="OXD143" s="15" t="s">
        <v>598</v>
      </c>
      <c r="OXE143" s="15" t="s">
        <v>598</v>
      </c>
      <c r="OXF143" s="15" t="s">
        <v>598</v>
      </c>
      <c r="OXG143" s="15" t="s">
        <v>598</v>
      </c>
      <c r="OXH143" s="15" t="s">
        <v>598</v>
      </c>
      <c r="OXI143" s="15" t="s">
        <v>598</v>
      </c>
      <c r="OXJ143" s="15" t="s">
        <v>598</v>
      </c>
      <c r="OXK143" s="15" t="s">
        <v>598</v>
      </c>
      <c r="OXL143" s="15" t="s">
        <v>598</v>
      </c>
      <c r="OXM143" s="15" t="s">
        <v>598</v>
      </c>
      <c r="OXN143" s="15" t="s">
        <v>598</v>
      </c>
      <c r="OXO143" s="15" t="s">
        <v>598</v>
      </c>
      <c r="OXP143" s="15" t="s">
        <v>598</v>
      </c>
      <c r="OXQ143" s="15" t="s">
        <v>598</v>
      </c>
      <c r="OXR143" s="15" t="s">
        <v>598</v>
      </c>
      <c r="OXS143" s="15" t="s">
        <v>598</v>
      </c>
      <c r="OXT143" s="15" t="s">
        <v>598</v>
      </c>
      <c r="OXU143" s="15" t="s">
        <v>598</v>
      </c>
      <c r="OXV143" s="15" t="s">
        <v>598</v>
      </c>
      <c r="OXW143" s="15" t="s">
        <v>598</v>
      </c>
      <c r="OXX143" s="15" t="s">
        <v>598</v>
      </c>
      <c r="OXY143" s="15" t="s">
        <v>598</v>
      </c>
      <c r="OXZ143" s="15" t="s">
        <v>598</v>
      </c>
      <c r="OYA143" s="15" t="s">
        <v>598</v>
      </c>
      <c r="OYB143" s="15" t="s">
        <v>598</v>
      </c>
      <c r="OYC143" s="15" t="s">
        <v>598</v>
      </c>
      <c r="OYD143" s="15" t="s">
        <v>598</v>
      </c>
      <c r="OYE143" s="15" t="s">
        <v>598</v>
      </c>
      <c r="OYF143" s="15" t="s">
        <v>598</v>
      </c>
      <c r="OYG143" s="15" t="s">
        <v>598</v>
      </c>
      <c r="OYH143" s="15" t="s">
        <v>598</v>
      </c>
      <c r="OYI143" s="15" t="s">
        <v>598</v>
      </c>
      <c r="OYJ143" s="15" t="s">
        <v>598</v>
      </c>
      <c r="OYK143" s="15" t="s">
        <v>598</v>
      </c>
      <c r="OYL143" s="15" t="s">
        <v>598</v>
      </c>
      <c r="OYM143" s="15" t="s">
        <v>598</v>
      </c>
      <c r="OYN143" s="15" t="s">
        <v>598</v>
      </c>
      <c r="OYO143" s="15" t="s">
        <v>598</v>
      </c>
      <c r="OYP143" s="15" t="s">
        <v>598</v>
      </c>
      <c r="OYQ143" s="15" t="s">
        <v>598</v>
      </c>
      <c r="OYR143" s="15" t="s">
        <v>598</v>
      </c>
      <c r="OYS143" s="15" t="s">
        <v>598</v>
      </c>
      <c r="OYT143" s="15" t="s">
        <v>598</v>
      </c>
      <c r="OYU143" s="15" t="s">
        <v>598</v>
      </c>
      <c r="OYV143" s="15" t="s">
        <v>598</v>
      </c>
      <c r="OYW143" s="15" t="s">
        <v>598</v>
      </c>
      <c r="OYX143" s="15" t="s">
        <v>598</v>
      </c>
      <c r="OYY143" s="15" t="s">
        <v>598</v>
      </c>
      <c r="OYZ143" s="15" t="s">
        <v>598</v>
      </c>
      <c r="OZA143" s="15" t="s">
        <v>598</v>
      </c>
      <c r="OZB143" s="15" t="s">
        <v>598</v>
      </c>
      <c r="OZC143" s="15" t="s">
        <v>598</v>
      </c>
      <c r="OZD143" s="15" t="s">
        <v>598</v>
      </c>
      <c r="OZE143" s="15" t="s">
        <v>598</v>
      </c>
      <c r="OZF143" s="15" t="s">
        <v>598</v>
      </c>
      <c r="OZG143" s="15" t="s">
        <v>598</v>
      </c>
      <c r="OZH143" s="15" t="s">
        <v>598</v>
      </c>
      <c r="OZI143" s="15" t="s">
        <v>598</v>
      </c>
      <c r="OZJ143" s="15" t="s">
        <v>598</v>
      </c>
      <c r="OZK143" s="15" t="s">
        <v>598</v>
      </c>
      <c r="OZL143" s="15" t="s">
        <v>598</v>
      </c>
      <c r="OZM143" s="15" t="s">
        <v>598</v>
      </c>
      <c r="OZN143" s="15" t="s">
        <v>598</v>
      </c>
      <c r="OZO143" s="15" t="s">
        <v>598</v>
      </c>
      <c r="OZP143" s="15" t="s">
        <v>598</v>
      </c>
      <c r="OZQ143" s="15" t="s">
        <v>598</v>
      </c>
      <c r="OZR143" s="15" t="s">
        <v>598</v>
      </c>
      <c r="OZS143" s="15" t="s">
        <v>598</v>
      </c>
      <c r="OZT143" s="15" t="s">
        <v>598</v>
      </c>
      <c r="OZU143" s="15" t="s">
        <v>598</v>
      </c>
      <c r="OZV143" s="15" t="s">
        <v>598</v>
      </c>
      <c r="OZW143" s="15" t="s">
        <v>598</v>
      </c>
      <c r="OZX143" s="15" t="s">
        <v>598</v>
      </c>
      <c r="OZY143" s="15" t="s">
        <v>598</v>
      </c>
      <c r="OZZ143" s="15" t="s">
        <v>598</v>
      </c>
      <c r="PAA143" s="15" t="s">
        <v>598</v>
      </c>
      <c r="PAB143" s="15" t="s">
        <v>598</v>
      </c>
      <c r="PAC143" s="15" t="s">
        <v>598</v>
      </c>
      <c r="PAD143" s="15" t="s">
        <v>598</v>
      </c>
      <c r="PAE143" s="15" t="s">
        <v>598</v>
      </c>
      <c r="PAF143" s="15" t="s">
        <v>598</v>
      </c>
      <c r="PAG143" s="15" t="s">
        <v>598</v>
      </c>
      <c r="PAH143" s="15" t="s">
        <v>598</v>
      </c>
      <c r="PAI143" s="15" t="s">
        <v>598</v>
      </c>
      <c r="PAJ143" s="15" t="s">
        <v>598</v>
      </c>
      <c r="PAK143" s="15" t="s">
        <v>598</v>
      </c>
      <c r="PAL143" s="15" t="s">
        <v>598</v>
      </c>
      <c r="PAM143" s="15" t="s">
        <v>598</v>
      </c>
      <c r="PAN143" s="15" t="s">
        <v>598</v>
      </c>
      <c r="PAO143" s="15" t="s">
        <v>598</v>
      </c>
      <c r="PAP143" s="15" t="s">
        <v>598</v>
      </c>
      <c r="PAQ143" s="15" t="s">
        <v>598</v>
      </c>
      <c r="PAR143" s="15" t="s">
        <v>598</v>
      </c>
      <c r="PAS143" s="15" t="s">
        <v>598</v>
      </c>
      <c r="PAT143" s="15" t="s">
        <v>598</v>
      </c>
      <c r="PAU143" s="15" t="s">
        <v>598</v>
      </c>
      <c r="PAV143" s="15" t="s">
        <v>598</v>
      </c>
      <c r="PAW143" s="15" t="s">
        <v>598</v>
      </c>
      <c r="PAX143" s="15" t="s">
        <v>598</v>
      </c>
      <c r="PAY143" s="15" t="s">
        <v>598</v>
      </c>
      <c r="PAZ143" s="15" t="s">
        <v>598</v>
      </c>
      <c r="PBA143" s="15" t="s">
        <v>598</v>
      </c>
      <c r="PBB143" s="15" t="s">
        <v>598</v>
      </c>
      <c r="PBC143" s="15" t="s">
        <v>598</v>
      </c>
      <c r="PBD143" s="15" t="s">
        <v>598</v>
      </c>
      <c r="PBE143" s="15" t="s">
        <v>598</v>
      </c>
      <c r="PBF143" s="15" t="s">
        <v>598</v>
      </c>
      <c r="PBG143" s="15" t="s">
        <v>598</v>
      </c>
      <c r="PBH143" s="15" t="s">
        <v>598</v>
      </c>
      <c r="PBI143" s="15" t="s">
        <v>598</v>
      </c>
      <c r="PBJ143" s="15" t="s">
        <v>598</v>
      </c>
      <c r="PBK143" s="15" t="s">
        <v>598</v>
      </c>
      <c r="PBL143" s="15" t="s">
        <v>598</v>
      </c>
      <c r="PBM143" s="15" t="s">
        <v>598</v>
      </c>
      <c r="PBN143" s="15" t="s">
        <v>598</v>
      </c>
      <c r="PBO143" s="15" t="s">
        <v>598</v>
      </c>
      <c r="PBP143" s="15" t="s">
        <v>598</v>
      </c>
      <c r="PBQ143" s="15" t="s">
        <v>598</v>
      </c>
      <c r="PBR143" s="15" t="s">
        <v>598</v>
      </c>
      <c r="PBS143" s="15" t="s">
        <v>598</v>
      </c>
      <c r="PBT143" s="15" t="s">
        <v>598</v>
      </c>
      <c r="PBU143" s="15" t="s">
        <v>598</v>
      </c>
      <c r="PBV143" s="15" t="s">
        <v>598</v>
      </c>
      <c r="PBW143" s="15" t="s">
        <v>598</v>
      </c>
      <c r="PBX143" s="15" t="s">
        <v>598</v>
      </c>
      <c r="PBY143" s="15" t="s">
        <v>598</v>
      </c>
      <c r="PBZ143" s="15" t="s">
        <v>598</v>
      </c>
      <c r="PCA143" s="15" t="s">
        <v>598</v>
      </c>
      <c r="PCB143" s="15" t="s">
        <v>598</v>
      </c>
      <c r="PCC143" s="15" t="s">
        <v>598</v>
      </c>
      <c r="PCD143" s="15" t="s">
        <v>598</v>
      </c>
      <c r="PCE143" s="15" t="s">
        <v>598</v>
      </c>
      <c r="PCF143" s="15" t="s">
        <v>598</v>
      </c>
      <c r="PCG143" s="15" t="s">
        <v>598</v>
      </c>
      <c r="PCH143" s="15" t="s">
        <v>598</v>
      </c>
      <c r="PCI143" s="15" t="s">
        <v>598</v>
      </c>
      <c r="PCJ143" s="15" t="s">
        <v>598</v>
      </c>
      <c r="PCK143" s="15" t="s">
        <v>598</v>
      </c>
      <c r="PCL143" s="15" t="s">
        <v>598</v>
      </c>
      <c r="PCM143" s="15" t="s">
        <v>598</v>
      </c>
      <c r="PCN143" s="15" t="s">
        <v>598</v>
      </c>
      <c r="PCO143" s="15" t="s">
        <v>598</v>
      </c>
      <c r="PCP143" s="15" t="s">
        <v>598</v>
      </c>
      <c r="PCQ143" s="15" t="s">
        <v>598</v>
      </c>
      <c r="PCR143" s="15" t="s">
        <v>598</v>
      </c>
      <c r="PCS143" s="15" t="s">
        <v>598</v>
      </c>
      <c r="PCT143" s="15" t="s">
        <v>598</v>
      </c>
      <c r="PCU143" s="15" t="s">
        <v>598</v>
      </c>
      <c r="PCV143" s="15" t="s">
        <v>598</v>
      </c>
      <c r="PCW143" s="15" t="s">
        <v>598</v>
      </c>
      <c r="PCX143" s="15" t="s">
        <v>598</v>
      </c>
      <c r="PCY143" s="15" t="s">
        <v>598</v>
      </c>
      <c r="PCZ143" s="15" t="s">
        <v>598</v>
      </c>
      <c r="PDA143" s="15" t="s">
        <v>598</v>
      </c>
      <c r="PDB143" s="15" t="s">
        <v>598</v>
      </c>
      <c r="PDC143" s="15" t="s">
        <v>598</v>
      </c>
      <c r="PDD143" s="15" t="s">
        <v>598</v>
      </c>
      <c r="PDE143" s="15" t="s">
        <v>598</v>
      </c>
      <c r="PDF143" s="15" t="s">
        <v>598</v>
      </c>
      <c r="PDG143" s="15" t="s">
        <v>598</v>
      </c>
      <c r="PDH143" s="15" t="s">
        <v>598</v>
      </c>
      <c r="PDI143" s="15" t="s">
        <v>598</v>
      </c>
      <c r="PDJ143" s="15" t="s">
        <v>598</v>
      </c>
      <c r="PDK143" s="15" t="s">
        <v>598</v>
      </c>
      <c r="PDL143" s="15" t="s">
        <v>598</v>
      </c>
      <c r="PDM143" s="15" t="s">
        <v>598</v>
      </c>
      <c r="PDN143" s="15" t="s">
        <v>598</v>
      </c>
      <c r="PDO143" s="15" t="s">
        <v>598</v>
      </c>
      <c r="PDP143" s="15" t="s">
        <v>598</v>
      </c>
      <c r="PDQ143" s="15" t="s">
        <v>598</v>
      </c>
      <c r="PDR143" s="15" t="s">
        <v>598</v>
      </c>
      <c r="PDS143" s="15" t="s">
        <v>598</v>
      </c>
      <c r="PDT143" s="15" t="s">
        <v>598</v>
      </c>
      <c r="PDU143" s="15" t="s">
        <v>598</v>
      </c>
      <c r="PDV143" s="15" t="s">
        <v>598</v>
      </c>
      <c r="PDW143" s="15" t="s">
        <v>598</v>
      </c>
      <c r="PDX143" s="15" t="s">
        <v>598</v>
      </c>
      <c r="PDY143" s="15" t="s">
        <v>598</v>
      </c>
      <c r="PDZ143" s="15" t="s">
        <v>598</v>
      </c>
      <c r="PEA143" s="15" t="s">
        <v>598</v>
      </c>
      <c r="PEB143" s="15" t="s">
        <v>598</v>
      </c>
      <c r="PEC143" s="15" t="s">
        <v>598</v>
      </c>
      <c r="PED143" s="15" t="s">
        <v>598</v>
      </c>
      <c r="PEE143" s="15" t="s">
        <v>598</v>
      </c>
      <c r="PEF143" s="15" t="s">
        <v>598</v>
      </c>
      <c r="PEG143" s="15" t="s">
        <v>598</v>
      </c>
      <c r="PEH143" s="15" t="s">
        <v>598</v>
      </c>
      <c r="PEI143" s="15" t="s">
        <v>598</v>
      </c>
      <c r="PEJ143" s="15" t="s">
        <v>598</v>
      </c>
      <c r="PEK143" s="15" t="s">
        <v>598</v>
      </c>
      <c r="PEL143" s="15" t="s">
        <v>598</v>
      </c>
      <c r="PEM143" s="15" t="s">
        <v>598</v>
      </c>
      <c r="PEN143" s="15" t="s">
        <v>598</v>
      </c>
      <c r="PEO143" s="15" t="s">
        <v>598</v>
      </c>
      <c r="PEP143" s="15" t="s">
        <v>598</v>
      </c>
      <c r="PEQ143" s="15" t="s">
        <v>598</v>
      </c>
      <c r="PER143" s="15" t="s">
        <v>598</v>
      </c>
      <c r="PES143" s="15" t="s">
        <v>598</v>
      </c>
      <c r="PET143" s="15" t="s">
        <v>598</v>
      </c>
      <c r="PEU143" s="15" t="s">
        <v>598</v>
      </c>
      <c r="PEV143" s="15" t="s">
        <v>598</v>
      </c>
      <c r="PEW143" s="15" t="s">
        <v>598</v>
      </c>
      <c r="PEX143" s="15" t="s">
        <v>598</v>
      </c>
      <c r="PEY143" s="15" t="s">
        <v>598</v>
      </c>
      <c r="PEZ143" s="15" t="s">
        <v>598</v>
      </c>
      <c r="PFA143" s="15" t="s">
        <v>598</v>
      </c>
      <c r="PFB143" s="15" t="s">
        <v>598</v>
      </c>
      <c r="PFC143" s="15" t="s">
        <v>598</v>
      </c>
      <c r="PFD143" s="15" t="s">
        <v>598</v>
      </c>
      <c r="PFE143" s="15" t="s">
        <v>598</v>
      </c>
      <c r="PFF143" s="15" t="s">
        <v>598</v>
      </c>
      <c r="PFG143" s="15" t="s">
        <v>598</v>
      </c>
      <c r="PFH143" s="15" t="s">
        <v>598</v>
      </c>
      <c r="PFI143" s="15" t="s">
        <v>598</v>
      </c>
      <c r="PFJ143" s="15" t="s">
        <v>598</v>
      </c>
      <c r="PFK143" s="15" t="s">
        <v>598</v>
      </c>
      <c r="PFL143" s="15" t="s">
        <v>598</v>
      </c>
      <c r="PFM143" s="15" t="s">
        <v>598</v>
      </c>
      <c r="PFN143" s="15" t="s">
        <v>598</v>
      </c>
      <c r="PFO143" s="15" t="s">
        <v>598</v>
      </c>
      <c r="PFP143" s="15" t="s">
        <v>598</v>
      </c>
      <c r="PFQ143" s="15" t="s">
        <v>598</v>
      </c>
      <c r="PFR143" s="15" t="s">
        <v>598</v>
      </c>
      <c r="PFS143" s="15" t="s">
        <v>598</v>
      </c>
      <c r="PFT143" s="15" t="s">
        <v>598</v>
      </c>
      <c r="PFU143" s="15" t="s">
        <v>598</v>
      </c>
      <c r="PFV143" s="15" t="s">
        <v>598</v>
      </c>
      <c r="PFW143" s="15" t="s">
        <v>598</v>
      </c>
      <c r="PFX143" s="15" t="s">
        <v>598</v>
      </c>
      <c r="PFY143" s="15" t="s">
        <v>598</v>
      </c>
      <c r="PFZ143" s="15" t="s">
        <v>598</v>
      </c>
      <c r="PGA143" s="15" t="s">
        <v>598</v>
      </c>
      <c r="PGB143" s="15" t="s">
        <v>598</v>
      </c>
      <c r="PGC143" s="15" t="s">
        <v>598</v>
      </c>
      <c r="PGD143" s="15" t="s">
        <v>598</v>
      </c>
      <c r="PGE143" s="15" t="s">
        <v>598</v>
      </c>
      <c r="PGF143" s="15" t="s">
        <v>598</v>
      </c>
      <c r="PGG143" s="15" t="s">
        <v>598</v>
      </c>
      <c r="PGH143" s="15" t="s">
        <v>598</v>
      </c>
      <c r="PGI143" s="15" t="s">
        <v>598</v>
      </c>
      <c r="PGJ143" s="15" t="s">
        <v>598</v>
      </c>
      <c r="PGK143" s="15" t="s">
        <v>598</v>
      </c>
      <c r="PGL143" s="15" t="s">
        <v>598</v>
      </c>
      <c r="PGM143" s="15" t="s">
        <v>598</v>
      </c>
      <c r="PGN143" s="15" t="s">
        <v>598</v>
      </c>
      <c r="PGO143" s="15" t="s">
        <v>598</v>
      </c>
      <c r="PGP143" s="15" t="s">
        <v>598</v>
      </c>
      <c r="PGQ143" s="15" t="s">
        <v>598</v>
      </c>
      <c r="PGR143" s="15" t="s">
        <v>598</v>
      </c>
      <c r="PGS143" s="15" t="s">
        <v>598</v>
      </c>
      <c r="PGT143" s="15" t="s">
        <v>598</v>
      </c>
      <c r="PGU143" s="15" t="s">
        <v>598</v>
      </c>
      <c r="PGV143" s="15" t="s">
        <v>598</v>
      </c>
      <c r="PGW143" s="15" t="s">
        <v>598</v>
      </c>
      <c r="PGX143" s="15" t="s">
        <v>598</v>
      </c>
      <c r="PGY143" s="15" t="s">
        <v>598</v>
      </c>
      <c r="PGZ143" s="15" t="s">
        <v>598</v>
      </c>
      <c r="PHA143" s="15" t="s">
        <v>598</v>
      </c>
      <c r="PHB143" s="15" t="s">
        <v>598</v>
      </c>
      <c r="PHC143" s="15" t="s">
        <v>598</v>
      </c>
      <c r="PHD143" s="15" t="s">
        <v>598</v>
      </c>
      <c r="PHE143" s="15" t="s">
        <v>598</v>
      </c>
      <c r="PHF143" s="15" t="s">
        <v>598</v>
      </c>
      <c r="PHG143" s="15" t="s">
        <v>598</v>
      </c>
      <c r="PHH143" s="15" t="s">
        <v>598</v>
      </c>
      <c r="PHI143" s="15" t="s">
        <v>598</v>
      </c>
      <c r="PHJ143" s="15" t="s">
        <v>598</v>
      </c>
      <c r="PHK143" s="15" t="s">
        <v>598</v>
      </c>
      <c r="PHL143" s="15" t="s">
        <v>598</v>
      </c>
      <c r="PHM143" s="15" t="s">
        <v>598</v>
      </c>
      <c r="PHN143" s="15" t="s">
        <v>598</v>
      </c>
      <c r="PHO143" s="15" t="s">
        <v>598</v>
      </c>
      <c r="PHP143" s="15" t="s">
        <v>598</v>
      </c>
      <c r="PHQ143" s="15" t="s">
        <v>598</v>
      </c>
      <c r="PHR143" s="15" t="s">
        <v>598</v>
      </c>
      <c r="PHS143" s="15" t="s">
        <v>598</v>
      </c>
      <c r="PHT143" s="15" t="s">
        <v>598</v>
      </c>
      <c r="PHU143" s="15" t="s">
        <v>598</v>
      </c>
      <c r="PHV143" s="15" t="s">
        <v>598</v>
      </c>
      <c r="PHW143" s="15" t="s">
        <v>598</v>
      </c>
      <c r="PHX143" s="15" t="s">
        <v>598</v>
      </c>
      <c r="PHY143" s="15" t="s">
        <v>598</v>
      </c>
      <c r="PHZ143" s="15" t="s">
        <v>598</v>
      </c>
      <c r="PIA143" s="15" t="s">
        <v>598</v>
      </c>
      <c r="PIB143" s="15" t="s">
        <v>598</v>
      </c>
      <c r="PIC143" s="15" t="s">
        <v>598</v>
      </c>
      <c r="PID143" s="15" t="s">
        <v>598</v>
      </c>
      <c r="PIE143" s="15" t="s">
        <v>598</v>
      </c>
      <c r="PIF143" s="15" t="s">
        <v>598</v>
      </c>
      <c r="PIG143" s="15" t="s">
        <v>598</v>
      </c>
      <c r="PIH143" s="15" t="s">
        <v>598</v>
      </c>
      <c r="PII143" s="15" t="s">
        <v>598</v>
      </c>
      <c r="PIJ143" s="15" t="s">
        <v>598</v>
      </c>
      <c r="PIK143" s="15" t="s">
        <v>598</v>
      </c>
      <c r="PIL143" s="15" t="s">
        <v>598</v>
      </c>
      <c r="PIM143" s="15" t="s">
        <v>598</v>
      </c>
      <c r="PIN143" s="15" t="s">
        <v>598</v>
      </c>
      <c r="PIO143" s="15" t="s">
        <v>598</v>
      </c>
      <c r="PIP143" s="15" t="s">
        <v>598</v>
      </c>
      <c r="PIQ143" s="15" t="s">
        <v>598</v>
      </c>
      <c r="PIR143" s="15" t="s">
        <v>598</v>
      </c>
      <c r="PIS143" s="15" t="s">
        <v>598</v>
      </c>
      <c r="PIT143" s="15" t="s">
        <v>598</v>
      </c>
      <c r="PIU143" s="15" t="s">
        <v>598</v>
      </c>
      <c r="PIV143" s="15" t="s">
        <v>598</v>
      </c>
      <c r="PIW143" s="15" t="s">
        <v>598</v>
      </c>
      <c r="PIX143" s="15" t="s">
        <v>598</v>
      </c>
      <c r="PIY143" s="15" t="s">
        <v>598</v>
      </c>
      <c r="PIZ143" s="15" t="s">
        <v>598</v>
      </c>
      <c r="PJA143" s="15" t="s">
        <v>598</v>
      </c>
      <c r="PJB143" s="15" t="s">
        <v>598</v>
      </c>
      <c r="PJC143" s="15" t="s">
        <v>598</v>
      </c>
      <c r="PJD143" s="15" t="s">
        <v>598</v>
      </c>
      <c r="PJE143" s="15" t="s">
        <v>598</v>
      </c>
      <c r="PJF143" s="15" t="s">
        <v>598</v>
      </c>
      <c r="PJG143" s="15" t="s">
        <v>598</v>
      </c>
      <c r="PJH143" s="15" t="s">
        <v>598</v>
      </c>
      <c r="PJI143" s="15" t="s">
        <v>598</v>
      </c>
      <c r="PJJ143" s="15" t="s">
        <v>598</v>
      </c>
      <c r="PJK143" s="15" t="s">
        <v>598</v>
      </c>
      <c r="PJL143" s="15" t="s">
        <v>598</v>
      </c>
      <c r="PJM143" s="15" t="s">
        <v>598</v>
      </c>
      <c r="PJN143" s="15" t="s">
        <v>598</v>
      </c>
      <c r="PJO143" s="15" t="s">
        <v>598</v>
      </c>
      <c r="PJP143" s="15" t="s">
        <v>598</v>
      </c>
      <c r="PJQ143" s="15" t="s">
        <v>598</v>
      </c>
      <c r="PJR143" s="15" t="s">
        <v>598</v>
      </c>
      <c r="PJS143" s="15" t="s">
        <v>598</v>
      </c>
      <c r="PJT143" s="15" t="s">
        <v>598</v>
      </c>
      <c r="PJU143" s="15" t="s">
        <v>598</v>
      </c>
      <c r="PJV143" s="15" t="s">
        <v>598</v>
      </c>
      <c r="PJW143" s="15" t="s">
        <v>598</v>
      </c>
      <c r="PJX143" s="15" t="s">
        <v>598</v>
      </c>
      <c r="PJY143" s="15" t="s">
        <v>598</v>
      </c>
      <c r="PJZ143" s="15" t="s">
        <v>598</v>
      </c>
      <c r="PKA143" s="15" t="s">
        <v>598</v>
      </c>
      <c r="PKB143" s="15" t="s">
        <v>598</v>
      </c>
      <c r="PKC143" s="15" t="s">
        <v>598</v>
      </c>
      <c r="PKD143" s="15" t="s">
        <v>598</v>
      </c>
      <c r="PKE143" s="15" t="s">
        <v>598</v>
      </c>
      <c r="PKF143" s="15" t="s">
        <v>598</v>
      </c>
      <c r="PKG143" s="15" t="s">
        <v>598</v>
      </c>
      <c r="PKH143" s="15" t="s">
        <v>598</v>
      </c>
      <c r="PKI143" s="15" t="s">
        <v>598</v>
      </c>
      <c r="PKJ143" s="15" t="s">
        <v>598</v>
      </c>
      <c r="PKK143" s="15" t="s">
        <v>598</v>
      </c>
      <c r="PKL143" s="15" t="s">
        <v>598</v>
      </c>
      <c r="PKM143" s="15" t="s">
        <v>598</v>
      </c>
      <c r="PKN143" s="15" t="s">
        <v>598</v>
      </c>
      <c r="PKO143" s="15" t="s">
        <v>598</v>
      </c>
      <c r="PKP143" s="15" t="s">
        <v>598</v>
      </c>
      <c r="PKQ143" s="15" t="s">
        <v>598</v>
      </c>
      <c r="PKR143" s="15" t="s">
        <v>598</v>
      </c>
      <c r="PKS143" s="15" t="s">
        <v>598</v>
      </c>
      <c r="PKT143" s="15" t="s">
        <v>598</v>
      </c>
      <c r="PKU143" s="15" t="s">
        <v>598</v>
      </c>
      <c r="PKV143" s="15" t="s">
        <v>598</v>
      </c>
      <c r="PKW143" s="15" t="s">
        <v>598</v>
      </c>
      <c r="PKX143" s="15" t="s">
        <v>598</v>
      </c>
      <c r="PKY143" s="15" t="s">
        <v>598</v>
      </c>
      <c r="PKZ143" s="15" t="s">
        <v>598</v>
      </c>
      <c r="PLA143" s="15" t="s">
        <v>598</v>
      </c>
      <c r="PLB143" s="15" t="s">
        <v>598</v>
      </c>
      <c r="PLC143" s="15" t="s">
        <v>598</v>
      </c>
      <c r="PLD143" s="15" t="s">
        <v>598</v>
      </c>
      <c r="PLE143" s="15" t="s">
        <v>598</v>
      </c>
      <c r="PLF143" s="15" t="s">
        <v>598</v>
      </c>
      <c r="PLG143" s="15" t="s">
        <v>598</v>
      </c>
      <c r="PLH143" s="15" t="s">
        <v>598</v>
      </c>
      <c r="PLI143" s="15" t="s">
        <v>598</v>
      </c>
      <c r="PLJ143" s="15" t="s">
        <v>598</v>
      </c>
      <c r="PLK143" s="15" t="s">
        <v>598</v>
      </c>
      <c r="PLL143" s="15" t="s">
        <v>598</v>
      </c>
      <c r="PLM143" s="15" t="s">
        <v>598</v>
      </c>
      <c r="PLN143" s="15" t="s">
        <v>598</v>
      </c>
      <c r="PLO143" s="15" t="s">
        <v>598</v>
      </c>
      <c r="PLP143" s="15" t="s">
        <v>598</v>
      </c>
      <c r="PLQ143" s="15" t="s">
        <v>598</v>
      </c>
      <c r="PLR143" s="15" t="s">
        <v>598</v>
      </c>
      <c r="PLS143" s="15" t="s">
        <v>598</v>
      </c>
      <c r="PLT143" s="15" t="s">
        <v>598</v>
      </c>
      <c r="PLU143" s="15" t="s">
        <v>598</v>
      </c>
      <c r="PLV143" s="15" t="s">
        <v>598</v>
      </c>
      <c r="PLW143" s="15" t="s">
        <v>598</v>
      </c>
      <c r="PLX143" s="15" t="s">
        <v>598</v>
      </c>
      <c r="PLY143" s="15" t="s">
        <v>598</v>
      </c>
      <c r="PLZ143" s="15" t="s">
        <v>598</v>
      </c>
      <c r="PMA143" s="15" t="s">
        <v>598</v>
      </c>
      <c r="PMB143" s="15" t="s">
        <v>598</v>
      </c>
      <c r="PMC143" s="15" t="s">
        <v>598</v>
      </c>
      <c r="PMD143" s="15" t="s">
        <v>598</v>
      </c>
      <c r="PME143" s="15" t="s">
        <v>598</v>
      </c>
      <c r="PMF143" s="15" t="s">
        <v>598</v>
      </c>
      <c r="PMG143" s="15" t="s">
        <v>598</v>
      </c>
      <c r="PMH143" s="15" t="s">
        <v>598</v>
      </c>
      <c r="PMI143" s="15" t="s">
        <v>598</v>
      </c>
      <c r="PMJ143" s="15" t="s">
        <v>598</v>
      </c>
      <c r="PMK143" s="15" t="s">
        <v>598</v>
      </c>
      <c r="PML143" s="15" t="s">
        <v>598</v>
      </c>
      <c r="PMM143" s="15" t="s">
        <v>598</v>
      </c>
      <c r="PMN143" s="15" t="s">
        <v>598</v>
      </c>
      <c r="PMO143" s="15" t="s">
        <v>598</v>
      </c>
      <c r="PMP143" s="15" t="s">
        <v>598</v>
      </c>
      <c r="PMQ143" s="15" t="s">
        <v>598</v>
      </c>
      <c r="PMR143" s="15" t="s">
        <v>598</v>
      </c>
      <c r="PMS143" s="15" t="s">
        <v>598</v>
      </c>
      <c r="PMT143" s="15" t="s">
        <v>598</v>
      </c>
      <c r="PMU143" s="15" t="s">
        <v>598</v>
      </c>
      <c r="PMV143" s="15" t="s">
        <v>598</v>
      </c>
      <c r="PMW143" s="15" t="s">
        <v>598</v>
      </c>
      <c r="PMX143" s="15" t="s">
        <v>598</v>
      </c>
      <c r="PMY143" s="15" t="s">
        <v>598</v>
      </c>
      <c r="PMZ143" s="15" t="s">
        <v>598</v>
      </c>
      <c r="PNA143" s="15" t="s">
        <v>598</v>
      </c>
      <c r="PNB143" s="15" t="s">
        <v>598</v>
      </c>
      <c r="PNC143" s="15" t="s">
        <v>598</v>
      </c>
      <c r="PND143" s="15" t="s">
        <v>598</v>
      </c>
      <c r="PNE143" s="15" t="s">
        <v>598</v>
      </c>
      <c r="PNF143" s="15" t="s">
        <v>598</v>
      </c>
      <c r="PNG143" s="15" t="s">
        <v>598</v>
      </c>
      <c r="PNH143" s="15" t="s">
        <v>598</v>
      </c>
      <c r="PNI143" s="15" t="s">
        <v>598</v>
      </c>
      <c r="PNJ143" s="15" t="s">
        <v>598</v>
      </c>
      <c r="PNK143" s="15" t="s">
        <v>598</v>
      </c>
      <c r="PNL143" s="15" t="s">
        <v>598</v>
      </c>
      <c r="PNM143" s="15" t="s">
        <v>598</v>
      </c>
      <c r="PNN143" s="15" t="s">
        <v>598</v>
      </c>
      <c r="PNO143" s="15" t="s">
        <v>598</v>
      </c>
      <c r="PNP143" s="15" t="s">
        <v>598</v>
      </c>
      <c r="PNQ143" s="15" t="s">
        <v>598</v>
      </c>
      <c r="PNR143" s="15" t="s">
        <v>598</v>
      </c>
      <c r="PNS143" s="15" t="s">
        <v>598</v>
      </c>
      <c r="PNT143" s="15" t="s">
        <v>598</v>
      </c>
      <c r="PNU143" s="15" t="s">
        <v>598</v>
      </c>
      <c r="PNV143" s="15" t="s">
        <v>598</v>
      </c>
      <c r="PNW143" s="15" t="s">
        <v>598</v>
      </c>
      <c r="PNX143" s="15" t="s">
        <v>598</v>
      </c>
      <c r="PNY143" s="15" t="s">
        <v>598</v>
      </c>
      <c r="PNZ143" s="15" t="s">
        <v>598</v>
      </c>
      <c r="POA143" s="15" t="s">
        <v>598</v>
      </c>
      <c r="POB143" s="15" t="s">
        <v>598</v>
      </c>
      <c r="POC143" s="15" t="s">
        <v>598</v>
      </c>
      <c r="POD143" s="15" t="s">
        <v>598</v>
      </c>
      <c r="POE143" s="15" t="s">
        <v>598</v>
      </c>
      <c r="POF143" s="15" t="s">
        <v>598</v>
      </c>
      <c r="POG143" s="15" t="s">
        <v>598</v>
      </c>
      <c r="POH143" s="15" t="s">
        <v>598</v>
      </c>
      <c r="POI143" s="15" t="s">
        <v>598</v>
      </c>
      <c r="POJ143" s="15" t="s">
        <v>598</v>
      </c>
      <c r="POK143" s="15" t="s">
        <v>598</v>
      </c>
      <c r="POL143" s="15" t="s">
        <v>598</v>
      </c>
      <c r="POM143" s="15" t="s">
        <v>598</v>
      </c>
      <c r="PON143" s="15" t="s">
        <v>598</v>
      </c>
      <c r="POO143" s="15" t="s">
        <v>598</v>
      </c>
      <c r="POP143" s="15" t="s">
        <v>598</v>
      </c>
      <c r="POQ143" s="15" t="s">
        <v>598</v>
      </c>
      <c r="POR143" s="15" t="s">
        <v>598</v>
      </c>
      <c r="POS143" s="15" t="s">
        <v>598</v>
      </c>
      <c r="POT143" s="15" t="s">
        <v>598</v>
      </c>
      <c r="POU143" s="15" t="s">
        <v>598</v>
      </c>
      <c r="POV143" s="15" t="s">
        <v>598</v>
      </c>
      <c r="POW143" s="15" t="s">
        <v>598</v>
      </c>
      <c r="POX143" s="15" t="s">
        <v>598</v>
      </c>
      <c r="POY143" s="15" t="s">
        <v>598</v>
      </c>
      <c r="POZ143" s="15" t="s">
        <v>598</v>
      </c>
      <c r="PPA143" s="15" t="s">
        <v>598</v>
      </c>
      <c r="PPB143" s="15" t="s">
        <v>598</v>
      </c>
      <c r="PPC143" s="15" t="s">
        <v>598</v>
      </c>
      <c r="PPD143" s="15" t="s">
        <v>598</v>
      </c>
      <c r="PPE143" s="15" t="s">
        <v>598</v>
      </c>
      <c r="PPF143" s="15" t="s">
        <v>598</v>
      </c>
      <c r="PPG143" s="15" t="s">
        <v>598</v>
      </c>
      <c r="PPH143" s="15" t="s">
        <v>598</v>
      </c>
      <c r="PPI143" s="15" t="s">
        <v>598</v>
      </c>
      <c r="PPJ143" s="15" t="s">
        <v>598</v>
      </c>
      <c r="PPK143" s="15" t="s">
        <v>598</v>
      </c>
      <c r="PPL143" s="15" t="s">
        <v>598</v>
      </c>
      <c r="PPM143" s="15" t="s">
        <v>598</v>
      </c>
      <c r="PPN143" s="15" t="s">
        <v>598</v>
      </c>
      <c r="PPO143" s="15" t="s">
        <v>598</v>
      </c>
      <c r="PPP143" s="15" t="s">
        <v>598</v>
      </c>
      <c r="PPQ143" s="15" t="s">
        <v>598</v>
      </c>
      <c r="PPR143" s="15" t="s">
        <v>598</v>
      </c>
      <c r="PPS143" s="15" t="s">
        <v>598</v>
      </c>
      <c r="PPT143" s="15" t="s">
        <v>598</v>
      </c>
      <c r="PPU143" s="15" t="s">
        <v>598</v>
      </c>
      <c r="PPV143" s="15" t="s">
        <v>598</v>
      </c>
      <c r="PPW143" s="15" t="s">
        <v>598</v>
      </c>
      <c r="PPX143" s="15" t="s">
        <v>598</v>
      </c>
      <c r="PPY143" s="15" t="s">
        <v>598</v>
      </c>
      <c r="PPZ143" s="15" t="s">
        <v>598</v>
      </c>
      <c r="PQA143" s="15" t="s">
        <v>598</v>
      </c>
      <c r="PQB143" s="15" t="s">
        <v>598</v>
      </c>
      <c r="PQC143" s="15" t="s">
        <v>598</v>
      </c>
      <c r="PQD143" s="15" t="s">
        <v>598</v>
      </c>
      <c r="PQE143" s="15" t="s">
        <v>598</v>
      </c>
      <c r="PQF143" s="15" t="s">
        <v>598</v>
      </c>
      <c r="PQG143" s="15" t="s">
        <v>598</v>
      </c>
      <c r="PQH143" s="15" t="s">
        <v>598</v>
      </c>
      <c r="PQI143" s="15" t="s">
        <v>598</v>
      </c>
      <c r="PQJ143" s="15" t="s">
        <v>598</v>
      </c>
      <c r="PQK143" s="15" t="s">
        <v>598</v>
      </c>
      <c r="PQL143" s="15" t="s">
        <v>598</v>
      </c>
      <c r="PQM143" s="15" t="s">
        <v>598</v>
      </c>
      <c r="PQN143" s="15" t="s">
        <v>598</v>
      </c>
      <c r="PQO143" s="15" t="s">
        <v>598</v>
      </c>
      <c r="PQP143" s="15" t="s">
        <v>598</v>
      </c>
      <c r="PQQ143" s="15" t="s">
        <v>598</v>
      </c>
      <c r="PQR143" s="15" t="s">
        <v>598</v>
      </c>
      <c r="PQS143" s="15" t="s">
        <v>598</v>
      </c>
      <c r="PQT143" s="15" t="s">
        <v>598</v>
      </c>
      <c r="PQU143" s="15" t="s">
        <v>598</v>
      </c>
      <c r="PQV143" s="15" t="s">
        <v>598</v>
      </c>
      <c r="PQW143" s="15" t="s">
        <v>598</v>
      </c>
      <c r="PQX143" s="15" t="s">
        <v>598</v>
      </c>
      <c r="PQY143" s="15" t="s">
        <v>598</v>
      </c>
      <c r="PQZ143" s="15" t="s">
        <v>598</v>
      </c>
      <c r="PRA143" s="15" t="s">
        <v>598</v>
      </c>
      <c r="PRB143" s="15" t="s">
        <v>598</v>
      </c>
      <c r="PRC143" s="15" t="s">
        <v>598</v>
      </c>
      <c r="PRD143" s="15" t="s">
        <v>598</v>
      </c>
      <c r="PRE143" s="15" t="s">
        <v>598</v>
      </c>
      <c r="PRF143" s="15" t="s">
        <v>598</v>
      </c>
      <c r="PRG143" s="15" t="s">
        <v>598</v>
      </c>
      <c r="PRH143" s="15" t="s">
        <v>598</v>
      </c>
      <c r="PRI143" s="15" t="s">
        <v>598</v>
      </c>
      <c r="PRJ143" s="15" t="s">
        <v>598</v>
      </c>
      <c r="PRK143" s="15" t="s">
        <v>598</v>
      </c>
      <c r="PRL143" s="15" t="s">
        <v>598</v>
      </c>
      <c r="PRM143" s="15" t="s">
        <v>598</v>
      </c>
      <c r="PRN143" s="15" t="s">
        <v>598</v>
      </c>
      <c r="PRO143" s="15" t="s">
        <v>598</v>
      </c>
      <c r="PRP143" s="15" t="s">
        <v>598</v>
      </c>
      <c r="PRQ143" s="15" t="s">
        <v>598</v>
      </c>
      <c r="PRR143" s="15" t="s">
        <v>598</v>
      </c>
      <c r="PRS143" s="15" t="s">
        <v>598</v>
      </c>
      <c r="PRT143" s="15" t="s">
        <v>598</v>
      </c>
      <c r="PRU143" s="15" t="s">
        <v>598</v>
      </c>
      <c r="PRV143" s="15" t="s">
        <v>598</v>
      </c>
      <c r="PRW143" s="15" t="s">
        <v>598</v>
      </c>
      <c r="PRX143" s="15" t="s">
        <v>598</v>
      </c>
      <c r="PRY143" s="15" t="s">
        <v>598</v>
      </c>
      <c r="PRZ143" s="15" t="s">
        <v>598</v>
      </c>
      <c r="PSA143" s="15" t="s">
        <v>598</v>
      </c>
      <c r="PSB143" s="15" t="s">
        <v>598</v>
      </c>
      <c r="PSC143" s="15" t="s">
        <v>598</v>
      </c>
      <c r="PSD143" s="15" t="s">
        <v>598</v>
      </c>
      <c r="PSE143" s="15" t="s">
        <v>598</v>
      </c>
      <c r="PSF143" s="15" t="s">
        <v>598</v>
      </c>
      <c r="PSG143" s="15" t="s">
        <v>598</v>
      </c>
      <c r="PSH143" s="15" t="s">
        <v>598</v>
      </c>
      <c r="PSI143" s="15" t="s">
        <v>598</v>
      </c>
      <c r="PSJ143" s="15" t="s">
        <v>598</v>
      </c>
      <c r="PSK143" s="15" t="s">
        <v>598</v>
      </c>
      <c r="PSL143" s="15" t="s">
        <v>598</v>
      </c>
      <c r="PSM143" s="15" t="s">
        <v>598</v>
      </c>
      <c r="PSN143" s="15" t="s">
        <v>598</v>
      </c>
      <c r="PSO143" s="15" t="s">
        <v>598</v>
      </c>
      <c r="PSP143" s="15" t="s">
        <v>598</v>
      </c>
      <c r="PSQ143" s="15" t="s">
        <v>598</v>
      </c>
      <c r="PSR143" s="15" t="s">
        <v>598</v>
      </c>
      <c r="PSS143" s="15" t="s">
        <v>598</v>
      </c>
      <c r="PST143" s="15" t="s">
        <v>598</v>
      </c>
      <c r="PSU143" s="15" t="s">
        <v>598</v>
      </c>
      <c r="PSV143" s="15" t="s">
        <v>598</v>
      </c>
      <c r="PSW143" s="15" t="s">
        <v>598</v>
      </c>
      <c r="PSX143" s="15" t="s">
        <v>598</v>
      </c>
      <c r="PSY143" s="15" t="s">
        <v>598</v>
      </c>
      <c r="PSZ143" s="15" t="s">
        <v>598</v>
      </c>
      <c r="PTA143" s="15" t="s">
        <v>598</v>
      </c>
      <c r="PTB143" s="15" t="s">
        <v>598</v>
      </c>
      <c r="PTC143" s="15" t="s">
        <v>598</v>
      </c>
      <c r="PTD143" s="15" t="s">
        <v>598</v>
      </c>
      <c r="PTE143" s="15" t="s">
        <v>598</v>
      </c>
      <c r="PTF143" s="15" t="s">
        <v>598</v>
      </c>
      <c r="PTG143" s="15" t="s">
        <v>598</v>
      </c>
      <c r="PTH143" s="15" t="s">
        <v>598</v>
      </c>
      <c r="PTI143" s="15" t="s">
        <v>598</v>
      </c>
      <c r="PTJ143" s="15" t="s">
        <v>598</v>
      </c>
      <c r="PTK143" s="15" t="s">
        <v>598</v>
      </c>
      <c r="PTL143" s="15" t="s">
        <v>598</v>
      </c>
      <c r="PTM143" s="15" t="s">
        <v>598</v>
      </c>
      <c r="PTN143" s="15" t="s">
        <v>598</v>
      </c>
      <c r="PTO143" s="15" t="s">
        <v>598</v>
      </c>
      <c r="PTP143" s="15" t="s">
        <v>598</v>
      </c>
      <c r="PTQ143" s="15" t="s">
        <v>598</v>
      </c>
      <c r="PTR143" s="15" t="s">
        <v>598</v>
      </c>
      <c r="PTS143" s="15" t="s">
        <v>598</v>
      </c>
      <c r="PTT143" s="15" t="s">
        <v>598</v>
      </c>
      <c r="PTU143" s="15" t="s">
        <v>598</v>
      </c>
      <c r="PTV143" s="15" t="s">
        <v>598</v>
      </c>
      <c r="PTW143" s="15" t="s">
        <v>598</v>
      </c>
      <c r="PTX143" s="15" t="s">
        <v>598</v>
      </c>
      <c r="PTY143" s="15" t="s">
        <v>598</v>
      </c>
      <c r="PTZ143" s="15" t="s">
        <v>598</v>
      </c>
      <c r="PUA143" s="15" t="s">
        <v>598</v>
      </c>
      <c r="PUB143" s="15" t="s">
        <v>598</v>
      </c>
      <c r="PUC143" s="15" t="s">
        <v>598</v>
      </c>
      <c r="PUD143" s="15" t="s">
        <v>598</v>
      </c>
      <c r="PUE143" s="15" t="s">
        <v>598</v>
      </c>
      <c r="PUF143" s="15" t="s">
        <v>598</v>
      </c>
      <c r="PUG143" s="15" t="s">
        <v>598</v>
      </c>
      <c r="PUH143" s="15" t="s">
        <v>598</v>
      </c>
      <c r="PUI143" s="15" t="s">
        <v>598</v>
      </c>
      <c r="PUJ143" s="15" t="s">
        <v>598</v>
      </c>
      <c r="PUK143" s="15" t="s">
        <v>598</v>
      </c>
      <c r="PUL143" s="15" t="s">
        <v>598</v>
      </c>
      <c r="PUM143" s="15" t="s">
        <v>598</v>
      </c>
      <c r="PUN143" s="15" t="s">
        <v>598</v>
      </c>
      <c r="PUO143" s="15" t="s">
        <v>598</v>
      </c>
      <c r="PUP143" s="15" t="s">
        <v>598</v>
      </c>
      <c r="PUQ143" s="15" t="s">
        <v>598</v>
      </c>
      <c r="PUR143" s="15" t="s">
        <v>598</v>
      </c>
      <c r="PUS143" s="15" t="s">
        <v>598</v>
      </c>
      <c r="PUT143" s="15" t="s">
        <v>598</v>
      </c>
      <c r="PUU143" s="15" t="s">
        <v>598</v>
      </c>
      <c r="PUV143" s="15" t="s">
        <v>598</v>
      </c>
      <c r="PUW143" s="15" t="s">
        <v>598</v>
      </c>
      <c r="PUX143" s="15" t="s">
        <v>598</v>
      </c>
      <c r="PUY143" s="15" t="s">
        <v>598</v>
      </c>
      <c r="PUZ143" s="15" t="s">
        <v>598</v>
      </c>
      <c r="PVA143" s="15" t="s">
        <v>598</v>
      </c>
      <c r="PVB143" s="15" t="s">
        <v>598</v>
      </c>
      <c r="PVC143" s="15" t="s">
        <v>598</v>
      </c>
      <c r="PVD143" s="15" t="s">
        <v>598</v>
      </c>
      <c r="PVE143" s="15" t="s">
        <v>598</v>
      </c>
      <c r="PVF143" s="15" t="s">
        <v>598</v>
      </c>
      <c r="PVG143" s="15" t="s">
        <v>598</v>
      </c>
      <c r="PVH143" s="15" t="s">
        <v>598</v>
      </c>
      <c r="PVI143" s="15" t="s">
        <v>598</v>
      </c>
      <c r="PVJ143" s="15" t="s">
        <v>598</v>
      </c>
      <c r="PVK143" s="15" t="s">
        <v>598</v>
      </c>
      <c r="PVL143" s="15" t="s">
        <v>598</v>
      </c>
      <c r="PVM143" s="15" t="s">
        <v>598</v>
      </c>
      <c r="PVN143" s="15" t="s">
        <v>598</v>
      </c>
      <c r="PVO143" s="15" t="s">
        <v>598</v>
      </c>
      <c r="PVP143" s="15" t="s">
        <v>598</v>
      </c>
      <c r="PVQ143" s="15" t="s">
        <v>598</v>
      </c>
      <c r="PVR143" s="15" t="s">
        <v>598</v>
      </c>
      <c r="PVS143" s="15" t="s">
        <v>598</v>
      </c>
      <c r="PVT143" s="15" t="s">
        <v>598</v>
      </c>
      <c r="PVU143" s="15" t="s">
        <v>598</v>
      </c>
      <c r="PVV143" s="15" t="s">
        <v>598</v>
      </c>
      <c r="PVW143" s="15" t="s">
        <v>598</v>
      </c>
      <c r="PVX143" s="15" t="s">
        <v>598</v>
      </c>
      <c r="PVY143" s="15" t="s">
        <v>598</v>
      </c>
      <c r="PVZ143" s="15" t="s">
        <v>598</v>
      </c>
      <c r="PWA143" s="15" t="s">
        <v>598</v>
      </c>
      <c r="PWB143" s="15" t="s">
        <v>598</v>
      </c>
      <c r="PWC143" s="15" t="s">
        <v>598</v>
      </c>
      <c r="PWD143" s="15" t="s">
        <v>598</v>
      </c>
      <c r="PWE143" s="15" t="s">
        <v>598</v>
      </c>
      <c r="PWF143" s="15" t="s">
        <v>598</v>
      </c>
      <c r="PWG143" s="15" t="s">
        <v>598</v>
      </c>
      <c r="PWH143" s="15" t="s">
        <v>598</v>
      </c>
      <c r="PWI143" s="15" t="s">
        <v>598</v>
      </c>
      <c r="PWJ143" s="15" t="s">
        <v>598</v>
      </c>
      <c r="PWK143" s="15" t="s">
        <v>598</v>
      </c>
      <c r="PWL143" s="15" t="s">
        <v>598</v>
      </c>
      <c r="PWM143" s="15" t="s">
        <v>598</v>
      </c>
      <c r="PWN143" s="15" t="s">
        <v>598</v>
      </c>
      <c r="PWO143" s="15" t="s">
        <v>598</v>
      </c>
      <c r="PWP143" s="15" t="s">
        <v>598</v>
      </c>
      <c r="PWQ143" s="15" t="s">
        <v>598</v>
      </c>
      <c r="PWR143" s="15" t="s">
        <v>598</v>
      </c>
      <c r="PWS143" s="15" t="s">
        <v>598</v>
      </c>
      <c r="PWT143" s="15" t="s">
        <v>598</v>
      </c>
      <c r="PWU143" s="15" t="s">
        <v>598</v>
      </c>
      <c r="PWV143" s="15" t="s">
        <v>598</v>
      </c>
      <c r="PWW143" s="15" t="s">
        <v>598</v>
      </c>
      <c r="PWX143" s="15" t="s">
        <v>598</v>
      </c>
      <c r="PWY143" s="15" t="s">
        <v>598</v>
      </c>
      <c r="PWZ143" s="15" t="s">
        <v>598</v>
      </c>
      <c r="PXA143" s="15" t="s">
        <v>598</v>
      </c>
      <c r="PXB143" s="15" t="s">
        <v>598</v>
      </c>
      <c r="PXC143" s="15" t="s">
        <v>598</v>
      </c>
      <c r="PXD143" s="15" t="s">
        <v>598</v>
      </c>
      <c r="PXE143" s="15" t="s">
        <v>598</v>
      </c>
      <c r="PXF143" s="15" t="s">
        <v>598</v>
      </c>
      <c r="PXG143" s="15" t="s">
        <v>598</v>
      </c>
      <c r="PXH143" s="15" t="s">
        <v>598</v>
      </c>
      <c r="PXI143" s="15" t="s">
        <v>598</v>
      </c>
      <c r="PXJ143" s="15" t="s">
        <v>598</v>
      </c>
      <c r="PXK143" s="15" t="s">
        <v>598</v>
      </c>
      <c r="PXL143" s="15" t="s">
        <v>598</v>
      </c>
      <c r="PXM143" s="15" t="s">
        <v>598</v>
      </c>
      <c r="PXN143" s="15" t="s">
        <v>598</v>
      </c>
      <c r="PXO143" s="15" t="s">
        <v>598</v>
      </c>
      <c r="PXP143" s="15" t="s">
        <v>598</v>
      </c>
      <c r="PXQ143" s="15" t="s">
        <v>598</v>
      </c>
      <c r="PXR143" s="15" t="s">
        <v>598</v>
      </c>
      <c r="PXS143" s="15" t="s">
        <v>598</v>
      </c>
      <c r="PXT143" s="15" t="s">
        <v>598</v>
      </c>
      <c r="PXU143" s="15" t="s">
        <v>598</v>
      </c>
      <c r="PXV143" s="15" t="s">
        <v>598</v>
      </c>
      <c r="PXW143" s="15" t="s">
        <v>598</v>
      </c>
      <c r="PXX143" s="15" t="s">
        <v>598</v>
      </c>
      <c r="PXY143" s="15" t="s">
        <v>598</v>
      </c>
      <c r="PXZ143" s="15" t="s">
        <v>598</v>
      </c>
      <c r="PYA143" s="15" t="s">
        <v>598</v>
      </c>
      <c r="PYB143" s="15" t="s">
        <v>598</v>
      </c>
      <c r="PYC143" s="15" t="s">
        <v>598</v>
      </c>
      <c r="PYD143" s="15" t="s">
        <v>598</v>
      </c>
      <c r="PYE143" s="15" t="s">
        <v>598</v>
      </c>
      <c r="PYF143" s="15" t="s">
        <v>598</v>
      </c>
      <c r="PYG143" s="15" t="s">
        <v>598</v>
      </c>
      <c r="PYH143" s="15" t="s">
        <v>598</v>
      </c>
      <c r="PYI143" s="15" t="s">
        <v>598</v>
      </c>
      <c r="PYJ143" s="15" t="s">
        <v>598</v>
      </c>
      <c r="PYK143" s="15" t="s">
        <v>598</v>
      </c>
      <c r="PYL143" s="15" t="s">
        <v>598</v>
      </c>
      <c r="PYM143" s="15" t="s">
        <v>598</v>
      </c>
      <c r="PYN143" s="15" t="s">
        <v>598</v>
      </c>
      <c r="PYO143" s="15" t="s">
        <v>598</v>
      </c>
      <c r="PYP143" s="15" t="s">
        <v>598</v>
      </c>
      <c r="PYQ143" s="15" t="s">
        <v>598</v>
      </c>
      <c r="PYR143" s="15" t="s">
        <v>598</v>
      </c>
      <c r="PYS143" s="15" t="s">
        <v>598</v>
      </c>
      <c r="PYT143" s="15" t="s">
        <v>598</v>
      </c>
      <c r="PYU143" s="15" t="s">
        <v>598</v>
      </c>
      <c r="PYV143" s="15" t="s">
        <v>598</v>
      </c>
      <c r="PYW143" s="15" t="s">
        <v>598</v>
      </c>
      <c r="PYX143" s="15" t="s">
        <v>598</v>
      </c>
      <c r="PYY143" s="15" t="s">
        <v>598</v>
      </c>
      <c r="PYZ143" s="15" t="s">
        <v>598</v>
      </c>
      <c r="PZA143" s="15" t="s">
        <v>598</v>
      </c>
      <c r="PZB143" s="15" t="s">
        <v>598</v>
      </c>
      <c r="PZC143" s="15" t="s">
        <v>598</v>
      </c>
      <c r="PZD143" s="15" t="s">
        <v>598</v>
      </c>
      <c r="PZE143" s="15" t="s">
        <v>598</v>
      </c>
      <c r="PZF143" s="15" t="s">
        <v>598</v>
      </c>
      <c r="PZG143" s="15" t="s">
        <v>598</v>
      </c>
      <c r="PZH143" s="15" t="s">
        <v>598</v>
      </c>
      <c r="PZI143" s="15" t="s">
        <v>598</v>
      </c>
      <c r="PZJ143" s="15" t="s">
        <v>598</v>
      </c>
      <c r="PZK143" s="15" t="s">
        <v>598</v>
      </c>
      <c r="PZL143" s="15" t="s">
        <v>598</v>
      </c>
      <c r="PZM143" s="15" t="s">
        <v>598</v>
      </c>
      <c r="PZN143" s="15" t="s">
        <v>598</v>
      </c>
      <c r="PZO143" s="15" t="s">
        <v>598</v>
      </c>
      <c r="PZP143" s="15" t="s">
        <v>598</v>
      </c>
      <c r="PZQ143" s="15" t="s">
        <v>598</v>
      </c>
      <c r="PZR143" s="15" t="s">
        <v>598</v>
      </c>
      <c r="PZS143" s="15" t="s">
        <v>598</v>
      </c>
      <c r="PZT143" s="15" t="s">
        <v>598</v>
      </c>
      <c r="PZU143" s="15" t="s">
        <v>598</v>
      </c>
      <c r="PZV143" s="15" t="s">
        <v>598</v>
      </c>
      <c r="PZW143" s="15" t="s">
        <v>598</v>
      </c>
      <c r="PZX143" s="15" t="s">
        <v>598</v>
      </c>
      <c r="PZY143" s="15" t="s">
        <v>598</v>
      </c>
      <c r="PZZ143" s="15" t="s">
        <v>598</v>
      </c>
      <c r="QAA143" s="15" t="s">
        <v>598</v>
      </c>
      <c r="QAB143" s="15" t="s">
        <v>598</v>
      </c>
      <c r="QAC143" s="15" t="s">
        <v>598</v>
      </c>
      <c r="QAD143" s="15" t="s">
        <v>598</v>
      </c>
      <c r="QAE143" s="15" t="s">
        <v>598</v>
      </c>
      <c r="QAF143" s="15" t="s">
        <v>598</v>
      </c>
      <c r="QAG143" s="15" t="s">
        <v>598</v>
      </c>
      <c r="QAH143" s="15" t="s">
        <v>598</v>
      </c>
      <c r="QAI143" s="15" t="s">
        <v>598</v>
      </c>
      <c r="QAJ143" s="15" t="s">
        <v>598</v>
      </c>
      <c r="QAK143" s="15" t="s">
        <v>598</v>
      </c>
      <c r="QAL143" s="15" t="s">
        <v>598</v>
      </c>
      <c r="QAM143" s="15" t="s">
        <v>598</v>
      </c>
      <c r="QAN143" s="15" t="s">
        <v>598</v>
      </c>
      <c r="QAO143" s="15" t="s">
        <v>598</v>
      </c>
      <c r="QAP143" s="15" t="s">
        <v>598</v>
      </c>
      <c r="QAQ143" s="15" t="s">
        <v>598</v>
      </c>
      <c r="QAR143" s="15" t="s">
        <v>598</v>
      </c>
      <c r="QAS143" s="15" t="s">
        <v>598</v>
      </c>
      <c r="QAT143" s="15" t="s">
        <v>598</v>
      </c>
      <c r="QAU143" s="15" t="s">
        <v>598</v>
      </c>
      <c r="QAV143" s="15" t="s">
        <v>598</v>
      </c>
      <c r="QAW143" s="15" t="s">
        <v>598</v>
      </c>
      <c r="QAX143" s="15" t="s">
        <v>598</v>
      </c>
      <c r="QAY143" s="15" t="s">
        <v>598</v>
      </c>
      <c r="QAZ143" s="15" t="s">
        <v>598</v>
      </c>
      <c r="QBA143" s="15" t="s">
        <v>598</v>
      </c>
      <c r="QBB143" s="15" t="s">
        <v>598</v>
      </c>
      <c r="QBC143" s="15" t="s">
        <v>598</v>
      </c>
      <c r="QBD143" s="15" t="s">
        <v>598</v>
      </c>
      <c r="QBE143" s="15" t="s">
        <v>598</v>
      </c>
      <c r="QBF143" s="15" t="s">
        <v>598</v>
      </c>
      <c r="QBG143" s="15" t="s">
        <v>598</v>
      </c>
      <c r="QBH143" s="15" t="s">
        <v>598</v>
      </c>
      <c r="QBI143" s="15" t="s">
        <v>598</v>
      </c>
      <c r="QBJ143" s="15" t="s">
        <v>598</v>
      </c>
      <c r="QBK143" s="15" t="s">
        <v>598</v>
      </c>
      <c r="QBL143" s="15" t="s">
        <v>598</v>
      </c>
      <c r="QBM143" s="15" t="s">
        <v>598</v>
      </c>
      <c r="QBN143" s="15" t="s">
        <v>598</v>
      </c>
      <c r="QBO143" s="15" t="s">
        <v>598</v>
      </c>
      <c r="QBP143" s="15" t="s">
        <v>598</v>
      </c>
      <c r="QBQ143" s="15" t="s">
        <v>598</v>
      </c>
      <c r="QBR143" s="15" t="s">
        <v>598</v>
      </c>
      <c r="QBS143" s="15" t="s">
        <v>598</v>
      </c>
      <c r="QBT143" s="15" t="s">
        <v>598</v>
      </c>
      <c r="QBU143" s="15" t="s">
        <v>598</v>
      </c>
      <c r="QBV143" s="15" t="s">
        <v>598</v>
      </c>
      <c r="QBW143" s="15" t="s">
        <v>598</v>
      </c>
      <c r="QBX143" s="15" t="s">
        <v>598</v>
      </c>
      <c r="QBY143" s="15" t="s">
        <v>598</v>
      </c>
      <c r="QBZ143" s="15" t="s">
        <v>598</v>
      </c>
      <c r="QCA143" s="15" t="s">
        <v>598</v>
      </c>
      <c r="QCB143" s="15" t="s">
        <v>598</v>
      </c>
      <c r="QCC143" s="15" t="s">
        <v>598</v>
      </c>
      <c r="QCD143" s="15" t="s">
        <v>598</v>
      </c>
      <c r="QCE143" s="15" t="s">
        <v>598</v>
      </c>
      <c r="QCF143" s="15" t="s">
        <v>598</v>
      </c>
      <c r="QCG143" s="15" t="s">
        <v>598</v>
      </c>
      <c r="QCH143" s="15" t="s">
        <v>598</v>
      </c>
      <c r="QCI143" s="15" t="s">
        <v>598</v>
      </c>
      <c r="QCJ143" s="15" t="s">
        <v>598</v>
      </c>
      <c r="QCK143" s="15" t="s">
        <v>598</v>
      </c>
      <c r="QCL143" s="15" t="s">
        <v>598</v>
      </c>
      <c r="QCM143" s="15" t="s">
        <v>598</v>
      </c>
      <c r="QCN143" s="15" t="s">
        <v>598</v>
      </c>
      <c r="QCO143" s="15" t="s">
        <v>598</v>
      </c>
      <c r="QCP143" s="15" t="s">
        <v>598</v>
      </c>
      <c r="QCQ143" s="15" t="s">
        <v>598</v>
      </c>
      <c r="QCR143" s="15" t="s">
        <v>598</v>
      </c>
      <c r="QCS143" s="15" t="s">
        <v>598</v>
      </c>
      <c r="QCT143" s="15" t="s">
        <v>598</v>
      </c>
      <c r="QCU143" s="15" t="s">
        <v>598</v>
      </c>
      <c r="QCV143" s="15" t="s">
        <v>598</v>
      </c>
      <c r="QCW143" s="15" t="s">
        <v>598</v>
      </c>
      <c r="QCX143" s="15" t="s">
        <v>598</v>
      </c>
      <c r="QCY143" s="15" t="s">
        <v>598</v>
      </c>
      <c r="QCZ143" s="15" t="s">
        <v>598</v>
      </c>
      <c r="QDA143" s="15" t="s">
        <v>598</v>
      </c>
      <c r="QDB143" s="15" t="s">
        <v>598</v>
      </c>
      <c r="QDC143" s="15" t="s">
        <v>598</v>
      </c>
      <c r="QDD143" s="15" t="s">
        <v>598</v>
      </c>
      <c r="QDE143" s="15" t="s">
        <v>598</v>
      </c>
      <c r="QDF143" s="15" t="s">
        <v>598</v>
      </c>
      <c r="QDG143" s="15" t="s">
        <v>598</v>
      </c>
      <c r="QDH143" s="15" t="s">
        <v>598</v>
      </c>
      <c r="QDI143" s="15" t="s">
        <v>598</v>
      </c>
      <c r="QDJ143" s="15" t="s">
        <v>598</v>
      </c>
      <c r="QDK143" s="15" t="s">
        <v>598</v>
      </c>
      <c r="QDL143" s="15" t="s">
        <v>598</v>
      </c>
      <c r="QDM143" s="15" t="s">
        <v>598</v>
      </c>
      <c r="QDN143" s="15" t="s">
        <v>598</v>
      </c>
      <c r="QDO143" s="15" t="s">
        <v>598</v>
      </c>
      <c r="QDP143" s="15" t="s">
        <v>598</v>
      </c>
      <c r="QDQ143" s="15" t="s">
        <v>598</v>
      </c>
      <c r="QDR143" s="15" t="s">
        <v>598</v>
      </c>
      <c r="QDS143" s="15" t="s">
        <v>598</v>
      </c>
      <c r="QDT143" s="15" t="s">
        <v>598</v>
      </c>
      <c r="QDU143" s="15" t="s">
        <v>598</v>
      </c>
      <c r="QDV143" s="15" t="s">
        <v>598</v>
      </c>
      <c r="QDW143" s="15" t="s">
        <v>598</v>
      </c>
      <c r="QDX143" s="15" t="s">
        <v>598</v>
      </c>
      <c r="QDY143" s="15" t="s">
        <v>598</v>
      </c>
      <c r="QDZ143" s="15" t="s">
        <v>598</v>
      </c>
      <c r="QEA143" s="15" t="s">
        <v>598</v>
      </c>
      <c r="QEB143" s="15" t="s">
        <v>598</v>
      </c>
      <c r="QEC143" s="15" t="s">
        <v>598</v>
      </c>
      <c r="QED143" s="15" t="s">
        <v>598</v>
      </c>
      <c r="QEE143" s="15" t="s">
        <v>598</v>
      </c>
      <c r="QEF143" s="15" t="s">
        <v>598</v>
      </c>
      <c r="QEG143" s="15" t="s">
        <v>598</v>
      </c>
      <c r="QEH143" s="15" t="s">
        <v>598</v>
      </c>
      <c r="QEI143" s="15" t="s">
        <v>598</v>
      </c>
      <c r="QEJ143" s="15" t="s">
        <v>598</v>
      </c>
      <c r="QEK143" s="15" t="s">
        <v>598</v>
      </c>
      <c r="QEL143" s="15" t="s">
        <v>598</v>
      </c>
      <c r="QEM143" s="15" t="s">
        <v>598</v>
      </c>
      <c r="QEN143" s="15" t="s">
        <v>598</v>
      </c>
      <c r="QEO143" s="15" t="s">
        <v>598</v>
      </c>
      <c r="QEP143" s="15" t="s">
        <v>598</v>
      </c>
      <c r="QEQ143" s="15" t="s">
        <v>598</v>
      </c>
      <c r="QER143" s="15" t="s">
        <v>598</v>
      </c>
      <c r="QES143" s="15" t="s">
        <v>598</v>
      </c>
      <c r="QET143" s="15" t="s">
        <v>598</v>
      </c>
      <c r="QEU143" s="15" t="s">
        <v>598</v>
      </c>
      <c r="QEV143" s="15" t="s">
        <v>598</v>
      </c>
      <c r="QEW143" s="15" t="s">
        <v>598</v>
      </c>
      <c r="QEX143" s="15" t="s">
        <v>598</v>
      </c>
      <c r="QEY143" s="15" t="s">
        <v>598</v>
      </c>
      <c r="QEZ143" s="15" t="s">
        <v>598</v>
      </c>
      <c r="QFA143" s="15" t="s">
        <v>598</v>
      </c>
      <c r="QFB143" s="15" t="s">
        <v>598</v>
      </c>
      <c r="QFC143" s="15" t="s">
        <v>598</v>
      </c>
      <c r="QFD143" s="15" t="s">
        <v>598</v>
      </c>
      <c r="QFE143" s="15" t="s">
        <v>598</v>
      </c>
      <c r="QFF143" s="15" t="s">
        <v>598</v>
      </c>
      <c r="QFG143" s="15" t="s">
        <v>598</v>
      </c>
      <c r="QFH143" s="15" t="s">
        <v>598</v>
      </c>
      <c r="QFI143" s="15" t="s">
        <v>598</v>
      </c>
      <c r="QFJ143" s="15" t="s">
        <v>598</v>
      </c>
      <c r="QFK143" s="15" t="s">
        <v>598</v>
      </c>
      <c r="QFL143" s="15" t="s">
        <v>598</v>
      </c>
      <c r="QFM143" s="15" t="s">
        <v>598</v>
      </c>
      <c r="QFN143" s="15" t="s">
        <v>598</v>
      </c>
      <c r="QFO143" s="15" t="s">
        <v>598</v>
      </c>
      <c r="QFP143" s="15" t="s">
        <v>598</v>
      </c>
      <c r="QFQ143" s="15" t="s">
        <v>598</v>
      </c>
      <c r="QFR143" s="15" t="s">
        <v>598</v>
      </c>
      <c r="QFS143" s="15" t="s">
        <v>598</v>
      </c>
      <c r="QFT143" s="15" t="s">
        <v>598</v>
      </c>
      <c r="QFU143" s="15" t="s">
        <v>598</v>
      </c>
      <c r="QFV143" s="15" t="s">
        <v>598</v>
      </c>
      <c r="QFW143" s="15" t="s">
        <v>598</v>
      </c>
      <c r="QFX143" s="15" t="s">
        <v>598</v>
      </c>
      <c r="QFY143" s="15" t="s">
        <v>598</v>
      </c>
      <c r="QFZ143" s="15" t="s">
        <v>598</v>
      </c>
      <c r="QGA143" s="15" t="s">
        <v>598</v>
      </c>
      <c r="QGB143" s="15" t="s">
        <v>598</v>
      </c>
      <c r="QGC143" s="15" t="s">
        <v>598</v>
      </c>
      <c r="QGD143" s="15" t="s">
        <v>598</v>
      </c>
      <c r="QGE143" s="15" t="s">
        <v>598</v>
      </c>
      <c r="QGF143" s="15" t="s">
        <v>598</v>
      </c>
      <c r="QGG143" s="15" t="s">
        <v>598</v>
      </c>
      <c r="QGH143" s="15" t="s">
        <v>598</v>
      </c>
      <c r="QGI143" s="15" t="s">
        <v>598</v>
      </c>
      <c r="QGJ143" s="15" t="s">
        <v>598</v>
      </c>
      <c r="QGK143" s="15" t="s">
        <v>598</v>
      </c>
      <c r="QGL143" s="15" t="s">
        <v>598</v>
      </c>
      <c r="QGM143" s="15" t="s">
        <v>598</v>
      </c>
      <c r="QGN143" s="15" t="s">
        <v>598</v>
      </c>
      <c r="QGO143" s="15" t="s">
        <v>598</v>
      </c>
      <c r="QGP143" s="15" t="s">
        <v>598</v>
      </c>
      <c r="QGQ143" s="15" t="s">
        <v>598</v>
      </c>
      <c r="QGR143" s="15" t="s">
        <v>598</v>
      </c>
      <c r="QGS143" s="15" t="s">
        <v>598</v>
      </c>
      <c r="QGT143" s="15" t="s">
        <v>598</v>
      </c>
      <c r="QGU143" s="15" t="s">
        <v>598</v>
      </c>
      <c r="QGV143" s="15" t="s">
        <v>598</v>
      </c>
      <c r="QGW143" s="15" t="s">
        <v>598</v>
      </c>
      <c r="QGX143" s="15" t="s">
        <v>598</v>
      </c>
      <c r="QGY143" s="15" t="s">
        <v>598</v>
      </c>
      <c r="QGZ143" s="15" t="s">
        <v>598</v>
      </c>
      <c r="QHA143" s="15" t="s">
        <v>598</v>
      </c>
      <c r="QHB143" s="15" t="s">
        <v>598</v>
      </c>
      <c r="QHC143" s="15" t="s">
        <v>598</v>
      </c>
      <c r="QHD143" s="15" t="s">
        <v>598</v>
      </c>
      <c r="QHE143" s="15" t="s">
        <v>598</v>
      </c>
      <c r="QHF143" s="15" t="s">
        <v>598</v>
      </c>
      <c r="QHG143" s="15" t="s">
        <v>598</v>
      </c>
      <c r="QHH143" s="15" t="s">
        <v>598</v>
      </c>
      <c r="QHI143" s="15" t="s">
        <v>598</v>
      </c>
      <c r="QHJ143" s="15" t="s">
        <v>598</v>
      </c>
      <c r="QHK143" s="15" t="s">
        <v>598</v>
      </c>
      <c r="QHL143" s="15" t="s">
        <v>598</v>
      </c>
      <c r="QHM143" s="15" t="s">
        <v>598</v>
      </c>
      <c r="QHN143" s="15" t="s">
        <v>598</v>
      </c>
      <c r="QHO143" s="15" t="s">
        <v>598</v>
      </c>
      <c r="QHP143" s="15" t="s">
        <v>598</v>
      </c>
      <c r="QHQ143" s="15" t="s">
        <v>598</v>
      </c>
      <c r="QHR143" s="15" t="s">
        <v>598</v>
      </c>
      <c r="QHS143" s="15" t="s">
        <v>598</v>
      </c>
      <c r="QHT143" s="15" t="s">
        <v>598</v>
      </c>
      <c r="QHU143" s="15" t="s">
        <v>598</v>
      </c>
      <c r="QHV143" s="15" t="s">
        <v>598</v>
      </c>
      <c r="QHW143" s="15" t="s">
        <v>598</v>
      </c>
      <c r="QHX143" s="15" t="s">
        <v>598</v>
      </c>
      <c r="QHY143" s="15" t="s">
        <v>598</v>
      </c>
      <c r="QHZ143" s="15" t="s">
        <v>598</v>
      </c>
      <c r="QIA143" s="15" t="s">
        <v>598</v>
      </c>
      <c r="QIB143" s="15" t="s">
        <v>598</v>
      </c>
      <c r="QIC143" s="15" t="s">
        <v>598</v>
      </c>
      <c r="QID143" s="15" t="s">
        <v>598</v>
      </c>
      <c r="QIE143" s="15" t="s">
        <v>598</v>
      </c>
      <c r="QIF143" s="15" t="s">
        <v>598</v>
      </c>
      <c r="QIG143" s="15" t="s">
        <v>598</v>
      </c>
      <c r="QIH143" s="15" t="s">
        <v>598</v>
      </c>
      <c r="QII143" s="15" t="s">
        <v>598</v>
      </c>
      <c r="QIJ143" s="15" t="s">
        <v>598</v>
      </c>
      <c r="QIK143" s="15" t="s">
        <v>598</v>
      </c>
      <c r="QIL143" s="15" t="s">
        <v>598</v>
      </c>
      <c r="QIM143" s="15" t="s">
        <v>598</v>
      </c>
      <c r="QIN143" s="15" t="s">
        <v>598</v>
      </c>
      <c r="QIO143" s="15" t="s">
        <v>598</v>
      </c>
      <c r="QIP143" s="15" t="s">
        <v>598</v>
      </c>
      <c r="QIQ143" s="15" t="s">
        <v>598</v>
      </c>
      <c r="QIR143" s="15" t="s">
        <v>598</v>
      </c>
      <c r="QIS143" s="15" t="s">
        <v>598</v>
      </c>
      <c r="QIT143" s="15" t="s">
        <v>598</v>
      </c>
      <c r="QIU143" s="15" t="s">
        <v>598</v>
      </c>
      <c r="QIV143" s="15" t="s">
        <v>598</v>
      </c>
      <c r="QIW143" s="15" t="s">
        <v>598</v>
      </c>
      <c r="QIX143" s="15" t="s">
        <v>598</v>
      </c>
      <c r="QIY143" s="15" t="s">
        <v>598</v>
      </c>
      <c r="QIZ143" s="15" t="s">
        <v>598</v>
      </c>
      <c r="QJA143" s="15" t="s">
        <v>598</v>
      </c>
      <c r="QJB143" s="15" t="s">
        <v>598</v>
      </c>
      <c r="QJC143" s="15" t="s">
        <v>598</v>
      </c>
      <c r="QJD143" s="15" t="s">
        <v>598</v>
      </c>
      <c r="QJE143" s="15" t="s">
        <v>598</v>
      </c>
      <c r="QJF143" s="15" t="s">
        <v>598</v>
      </c>
      <c r="QJG143" s="15" t="s">
        <v>598</v>
      </c>
      <c r="QJH143" s="15" t="s">
        <v>598</v>
      </c>
      <c r="QJI143" s="15" t="s">
        <v>598</v>
      </c>
      <c r="QJJ143" s="15" t="s">
        <v>598</v>
      </c>
      <c r="QJK143" s="15" t="s">
        <v>598</v>
      </c>
      <c r="QJL143" s="15" t="s">
        <v>598</v>
      </c>
      <c r="QJM143" s="15" t="s">
        <v>598</v>
      </c>
      <c r="QJN143" s="15" t="s">
        <v>598</v>
      </c>
      <c r="QJO143" s="15" t="s">
        <v>598</v>
      </c>
      <c r="QJP143" s="15" t="s">
        <v>598</v>
      </c>
      <c r="QJQ143" s="15" t="s">
        <v>598</v>
      </c>
      <c r="QJR143" s="15" t="s">
        <v>598</v>
      </c>
      <c r="QJS143" s="15" t="s">
        <v>598</v>
      </c>
      <c r="QJT143" s="15" t="s">
        <v>598</v>
      </c>
      <c r="QJU143" s="15" t="s">
        <v>598</v>
      </c>
      <c r="QJV143" s="15" t="s">
        <v>598</v>
      </c>
      <c r="QJW143" s="15" t="s">
        <v>598</v>
      </c>
      <c r="QJX143" s="15" t="s">
        <v>598</v>
      </c>
      <c r="QJY143" s="15" t="s">
        <v>598</v>
      </c>
      <c r="QJZ143" s="15" t="s">
        <v>598</v>
      </c>
      <c r="QKA143" s="15" t="s">
        <v>598</v>
      </c>
      <c r="QKB143" s="15" t="s">
        <v>598</v>
      </c>
      <c r="QKC143" s="15" t="s">
        <v>598</v>
      </c>
      <c r="QKD143" s="15" t="s">
        <v>598</v>
      </c>
      <c r="QKE143" s="15" t="s">
        <v>598</v>
      </c>
      <c r="QKF143" s="15" t="s">
        <v>598</v>
      </c>
      <c r="QKG143" s="15" t="s">
        <v>598</v>
      </c>
      <c r="QKH143" s="15" t="s">
        <v>598</v>
      </c>
      <c r="QKI143" s="15" t="s">
        <v>598</v>
      </c>
      <c r="QKJ143" s="15" t="s">
        <v>598</v>
      </c>
      <c r="QKK143" s="15" t="s">
        <v>598</v>
      </c>
      <c r="QKL143" s="15" t="s">
        <v>598</v>
      </c>
      <c r="QKM143" s="15" t="s">
        <v>598</v>
      </c>
      <c r="QKN143" s="15" t="s">
        <v>598</v>
      </c>
      <c r="QKO143" s="15" t="s">
        <v>598</v>
      </c>
      <c r="QKP143" s="15" t="s">
        <v>598</v>
      </c>
      <c r="QKQ143" s="15" t="s">
        <v>598</v>
      </c>
      <c r="QKR143" s="15" t="s">
        <v>598</v>
      </c>
      <c r="QKS143" s="15" t="s">
        <v>598</v>
      </c>
      <c r="QKT143" s="15" t="s">
        <v>598</v>
      </c>
      <c r="QKU143" s="15" t="s">
        <v>598</v>
      </c>
      <c r="QKV143" s="15" t="s">
        <v>598</v>
      </c>
      <c r="QKW143" s="15" t="s">
        <v>598</v>
      </c>
      <c r="QKX143" s="15" t="s">
        <v>598</v>
      </c>
      <c r="QKY143" s="15" t="s">
        <v>598</v>
      </c>
      <c r="QKZ143" s="15" t="s">
        <v>598</v>
      </c>
      <c r="QLA143" s="15" t="s">
        <v>598</v>
      </c>
      <c r="QLB143" s="15" t="s">
        <v>598</v>
      </c>
      <c r="QLC143" s="15" t="s">
        <v>598</v>
      </c>
      <c r="QLD143" s="15" t="s">
        <v>598</v>
      </c>
      <c r="QLE143" s="15" t="s">
        <v>598</v>
      </c>
      <c r="QLF143" s="15" t="s">
        <v>598</v>
      </c>
      <c r="QLG143" s="15" t="s">
        <v>598</v>
      </c>
      <c r="QLH143" s="15" t="s">
        <v>598</v>
      </c>
      <c r="QLI143" s="15" t="s">
        <v>598</v>
      </c>
      <c r="QLJ143" s="15" t="s">
        <v>598</v>
      </c>
      <c r="QLK143" s="15" t="s">
        <v>598</v>
      </c>
      <c r="QLL143" s="15" t="s">
        <v>598</v>
      </c>
      <c r="QLM143" s="15" t="s">
        <v>598</v>
      </c>
      <c r="QLN143" s="15" t="s">
        <v>598</v>
      </c>
      <c r="QLO143" s="15" t="s">
        <v>598</v>
      </c>
      <c r="QLP143" s="15" t="s">
        <v>598</v>
      </c>
      <c r="QLQ143" s="15" t="s">
        <v>598</v>
      </c>
      <c r="QLR143" s="15" t="s">
        <v>598</v>
      </c>
      <c r="QLS143" s="15" t="s">
        <v>598</v>
      </c>
      <c r="QLT143" s="15" t="s">
        <v>598</v>
      </c>
      <c r="QLU143" s="15" t="s">
        <v>598</v>
      </c>
      <c r="QLV143" s="15" t="s">
        <v>598</v>
      </c>
      <c r="QLW143" s="15" t="s">
        <v>598</v>
      </c>
      <c r="QLX143" s="15" t="s">
        <v>598</v>
      </c>
      <c r="QLY143" s="15" t="s">
        <v>598</v>
      </c>
      <c r="QLZ143" s="15" t="s">
        <v>598</v>
      </c>
      <c r="QMA143" s="15" t="s">
        <v>598</v>
      </c>
      <c r="QMB143" s="15" t="s">
        <v>598</v>
      </c>
      <c r="QMC143" s="15" t="s">
        <v>598</v>
      </c>
      <c r="QMD143" s="15" t="s">
        <v>598</v>
      </c>
      <c r="QME143" s="15" t="s">
        <v>598</v>
      </c>
      <c r="QMF143" s="15" t="s">
        <v>598</v>
      </c>
      <c r="QMG143" s="15" t="s">
        <v>598</v>
      </c>
      <c r="QMH143" s="15" t="s">
        <v>598</v>
      </c>
      <c r="QMI143" s="15" t="s">
        <v>598</v>
      </c>
      <c r="QMJ143" s="15" t="s">
        <v>598</v>
      </c>
      <c r="QMK143" s="15" t="s">
        <v>598</v>
      </c>
      <c r="QML143" s="15" t="s">
        <v>598</v>
      </c>
      <c r="QMM143" s="15" t="s">
        <v>598</v>
      </c>
      <c r="QMN143" s="15" t="s">
        <v>598</v>
      </c>
      <c r="QMO143" s="15" t="s">
        <v>598</v>
      </c>
      <c r="QMP143" s="15" t="s">
        <v>598</v>
      </c>
      <c r="QMQ143" s="15" t="s">
        <v>598</v>
      </c>
      <c r="QMR143" s="15" t="s">
        <v>598</v>
      </c>
      <c r="QMS143" s="15" t="s">
        <v>598</v>
      </c>
      <c r="QMT143" s="15" t="s">
        <v>598</v>
      </c>
      <c r="QMU143" s="15" t="s">
        <v>598</v>
      </c>
      <c r="QMV143" s="15" t="s">
        <v>598</v>
      </c>
      <c r="QMW143" s="15" t="s">
        <v>598</v>
      </c>
      <c r="QMX143" s="15" t="s">
        <v>598</v>
      </c>
      <c r="QMY143" s="15" t="s">
        <v>598</v>
      </c>
      <c r="QMZ143" s="15" t="s">
        <v>598</v>
      </c>
      <c r="QNA143" s="15" t="s">
        <v>598</v>
      </c>
      <c r="QNB143" s="15" t="s">
        <v>598</v>
      </c>
      <c r="QNC143" s="15" t="s">
        <v>598</v>
      </c>
      <c r="QND143" s="15" t="s">
        <v>598</v>
      </c>
      <c r="QNE143" s="15" t="s">
        <v>598</v>
      </c>
      <c r="QNF143" s="15" t="s">
        <v>598</v>
      </c>
      <c r="QNG143" s="15" t="s">
        <v>598</v>
      </c>
      <c r="QNH143" s="15" t="s">
        <v>598</v>
      </c>
      <c r="QNI143" s="15" t="s">
        <v>598</v>
      </c>
      <c r="QNJ143" s="15" t="s">
        <v>598</v>
      </c>
      <c r="QNK143" s="15" t="s">
        <v>598</v>
      </c>
      <c r="QNL143" s="15" t="s">
        <v>598</v>
      </c>
      <c r="QNM143" s="15" t="s">
        <v>598</v>
      </c>
      <c r="QNN143" s="15" t="s">
        <v>598</v>
      </c>
      <c r="QNO143" s="15" t="s">
        <v>598</v>
      </c>
      <c r="QNP143" s="15" t="s">
        <v>598</v>
      </c>
      <c r="QNQ143" s="15" t="s">
        <v>598</v>
      </c>
      <c r="QNR143" s="15" t="s">
        <v>598</v>
      </c>
      <c r="QNS143" s="15" t="s">
        <v>598</v>
      </c>
      <c r="QNT143" s="15" t="s">
        <v>598</v>
      </c>
      <c r="QNU143" s="15" t="s">
        <v>598</v>
      </c>
      <c r="QNV143" s="15" t="s">
        <v>598</v>
      </c>
      <c r="QNW143" s="15" t="s">
        <v>598</v>
      </c>
      <c r="QNX143" s="15" t="s">
        <v>598</v>
      </c>
      <c r="QNY143" s="15" t="s">
        <v>598</v>
      </c>
      <c r="QNZ143" s="15" t="s">
        <v>598</v>
      </c>
      <c r="QOA143" s="15" t="s">
        <v>598</v>
      </c>
      <c r="QOB143" s="15" t="s">
        <v>598</v>
      </c>
      <c r="QOC143" s="15" t="s">
        <v>598</v>
      </c>
      <c r="QOD143" s="15" t="s">
        <v>598</v>
      </c>
      <c r="QOE143" s="15" t="s">
        <v>598</v>
      </c>
      <c r="QOF143" s="15" t="s">
        <v>598</v>
      </c>
      <c r="QOG143" s="15" t="s">
        <v>598</v>
      </c>
      <c r="QOH143" s="15" t="s">
        <v>598</v>
      </c>
      <c r="QOI143" s="15" t="s">
        <v>598</v>
      </c>
      <c r="QOJ143" s="15" t="s">
        <v>598</v>
      </c>
      <c r="QOK143" s="15" t="s">
        <v>598</v>
      </c>
      <c r="QOL143" s="15" t="s">
        <v>598</v>
      </c>
      <c r="QOM143" s="15" t="s">
        <v>598</v>
      </c>
      <c r="QON143" s="15" t="s">
        <v>598</v>
      </c>
      <c r="QOO143" s="15" t="s">
        <v>598</v>
      </c>
      <c r="QOP143" s="15" t="s">
        <v>598</v>
      </c>
      <c r="QOQ143" s="15" t="s">
        <v>598</v>
      </c>
      <c r="QOR143" s="15" t="s">
        <v>598</v>
      </c>
      <c r="QOS143" s="15" t="s">
        <v>598</v>
      </c>
      <c r="QOT143" s="15" t="s">
        <v>598</v>
      </c>
      <c r="QOU143" s="15" t="s">
        <v>598</v>
      </c>
      <c r="QOV143" s="15" t="s">
        <v>598</v>
      </c>
      <c r="QOW143" s="15" t="s">
        <v>598</v>
      </c>
      <c r="QOX143" s="15" t="s">
        <v>598</v>
      </c>
      <c r="QOY143" s="15" t="s">
        <v>598</v>
      </c>
      <c r="QOZ143" s="15" t="s">
        <v>598</v>
      </c>
      <c r="QPA143" s="15" t="s">
        <v>598</v>
      </c>
      <c r="QPB143" s="15" t="s">
        <v>598</v>
      </c>
      <c r="QPC143" s="15" t="s">
        <v>598</v>
      </c>
      <c r="QPD143" s="15" t="s">
        <v>598</v>
      </c>
      <c r="QPE143" s="15" t="s">
        <v>598</v>
      </c>
      <c r="QPF143" s="15" t="s">
        <v>598</v>
      </c>
      <c r="QPG143" s="15" t="s">
        <v>598</v>
      </c>
      <c r="QPH143" s="15" t="s">
        <v>598</v>
      </c>
      <c r="QPI143" s="15" t="s">
        <v>598</v>
      </c>
      <c r="QPJ143" s="15" t="s">
        <v>598</v>
      </c>
      <c r="QPK143" s="15" t="s">
        <v>598</v>
      </c>
      <c r="QPL143" s="15" t="s">
        <v>598</v>
      </c>
      <c r="QPM143" s="15" t="s">
        <v>598</v>
      </c>
      <c r="QPN143" s="15" t="s">
        <v>598</v>
      </c>
      <c r="QPO143" s="15" t="s">
        <v>598</v>
      </c>
      <c r="QPP143" s="15" t="s">
        <v>598</v>
      </c>
      <c r="QPQ143" s="15" t="s">
        <v>598</v>
      </c>
      <c r="QPR143" s="15" t="s">
        <v>598</v>
      </c>
      <c r="QPS143" s="15" t="s">
        <v>598</v>
      </c>
      <c r="QPT143" s="15" t="s">
        <v>598</v>
      </c>
      <c r="QPU143" s="15" t="s">
        <v>598</v>
      </c>
      <c r="QPV143" s="15" t="s">
        <v>598</v>
      </c>
      <c r="QPW143" s="15" t="s">
        <v>598</v>
      </c>
      <c r="QPX143" s="15" t="s">
        <v>598</v>
      </c>
      <c r="QPY143" s="15" t="s">
        <v>598</v>
      </c>
      <c r="QPZ143" s="15" t="s">
        <v>598</v>
      </c>
      <c r="QQA143" s="15" t="s">
        <v>598</v>
      </c>
      <c r="QQB143" s="15" t="s">
        <v>598</v>
      </c>
      <c r="QQC143" s="15" t="s">
        <v>598</v>
      </c>
      <c r="QQD143" s="15" t="s">
        <v>598</v>
      </c>
      <c r="QQE143" s="15" t="s">
        <v>598</v>
      </c>
      <c r="QQF143" s="15" t="s">
        <v>598</v>
      </c>
      <c r="QQG143" s="15" t="s">
        <v>598</v>
      </c>
      <c r="QQH143" s="15" t="s">
        <v>598</v>
      </c>
      <c r="QQI143" s="15" t="s">
        <v>598</v>
      </c>
      <c r="QQJ143" s="15" t="s">
        <v>598</v>
      </c>
      <c r="QQK143" s="15" t="s">
        <v>598</v>
      </c>
      <c r="QQL143" s="15" t="s">
        <v>598</v>
      </c>
      <c r="QQM143" s="15" t="s">
        <v>598</v>
      </c>
      <c r="QQN143" s="15" t="s">
        <v>598</v>
      </c>
      <c r="QQO143" s="15" t="s">
        <v>598</v>
      </c>
      <c r="QQP143" s="15" t="s">
        <v>598</v>
      </c>
      <c r="QQQ143" s="15" t="s">
        <v>598</v>
      </c>
      <c r="QQR143" s="15" t="s">
        <v>598</v>
      </c>
      <c r="QQS143" s="15" t="s">
        <v>598</v>
      </c>
      <c r="QQT143" s="15" t="s">
        <v>598</v>
      </c>
      <c r="QQU143" s="15" t="s">
        <v>598</v>
      </c>
      <c r="QQV143" s="15" t="s">
        <v>598</v>
      </c>
      <c r="QQW143" s="15" t="s">
        <v>598</v>
      </c>
      <c r="QQX143" s="15" t="s">
        <v>598</v>
      </c>
      <c r="QQY143" s="15" t="s">
        <v>598</v>
      </c>
      <c r="QQZ143" s="15" t="s">
        <v>598</v>
      </c>
      <c r="QRA143" s="15" t="s">
        <v>598</v>
      </c>
      <c r="QRB143" s="15" t="s">
        <v>598</v>
      </c>
      <c r="QRC143" s="15" t="s">
        <v>598</v>
      </c>
      <c r="QRD143" s="15" t="s">
        <v>598</v>
      </c>
      <c r="QRE143" s="15" t="s">
        <v>598</v>
      </c>
      <c r="QRF143" s="15" t="s">
        <v>598</v>
      </c>
      <c r="QRG143" s="15" t="s">
        <v>598</v>
      </c>
      <c r="QRH143" s="15" t="s">
        <v>598</v>
      </c>
      <c r="QRI143" s="15" t="s">
        <v>598</v>
      </c>
      <c r="QRJ143" s="15" t="s">
        <v>598</v>
      </c>
      <c r="QRK143" s="15" t="s">
        <v>598</v>
      </c>
      <c r="QRL143" s="15" t="s">
        <v>598</v>
      </c>
      <c r="QRM143" s="15" t="s">
        <v>598</v>
      </c>
      <c r="QRN143" s="15" t="s">
        <v>598</v>
      </c>
      <c r="QRO143" s="15" t="s">
        <v>598</v>
      </c>
      <c r="QRP143" s="15" t="s">
        <v>598</v>
      </c>
      <c r="QRQ143" s="15" t="s">
        <v>598</v>
      </c>
      <c r="QRR143" s="15" t="s">
        <v>598</v>
      </c>
      <c r="QRS143" s="15" t="s">
        <v>598</v>
      </c>
      <c r="QRT143" s="15" t="s">
        <v>598</v>
      </c>
      <c r="QRU143" s="15" t="s">
        <v>598</v>
      </c>
      <c r="QRV143" s="15" t="s">
        <v>598</v>
      </c>
      <c r="QRW143" s="15" t="s">
        <v>598</v>
      </c>
      <c r="QRX143" s="15" t="s">
        <v>598</v>
      </c>
      <c r="QRY143" s="15" t="s">
        <v>598</v>
      </c>
      <c r="QRZ143" s="15" t="s">
        <v>598</v>
      </c>
      <c r="QSA143" s="15" t="s">
        <v>598</v>
      </c>
      <c r="QSB143" s="15" t="s">
        <v>598</v>
      </c>
      <c r="QSC143" s="15" t="s">
        <v>598</v>
      </c>
      <c r="QSD143" s="15" t="s">
        <v>598</v>
      </c>
      <c r="QSE143" s="15" t="s">
        <v>598</v>
      </c>
      <c r="QSF143" s="15" t="s">
        <v>598</v>
      </c>
      <c r="QSG143" s="15" t="s">
        <v>598</v>
      </c>
      <c r="QSH143" s="15" t="s">
        <v>598</v>
      </c>
      <c r="QSI143" s="15" t="s">
        <v>598</v>
      </c>
      <c r="QSJ143" s="15" t="s">
        <v>598</v>
      </c>
      <c r="QSK143" s="15" t="s">
        <v>598</v>
      </c>
      <c r="QSL143" s="15" t="s">
        <v>598</v>
      </c>
      <c r="QSM143" s="15" t="s">
        <v>598</v>
      </c>
      <c r="QSN143" s="15" t="s">
        <v>598</v>
      </c>
      <c r="QSO143" s="15" t="s">
        <v>598</v>
      </c>
      <c r="QSP143" s="15" t="s">
        <v>598</v>
      </c>
      <c r="QSQ143" s="15" t="s">
        <v>598</v>
      </c>
      <c r="QSR143" s="15" t="s">
        <v>598</v>
      </c>
      <c r="QSS143" s="15" t="s">
        <v>598</v>
      </c>
      <c r="QST143" s="15" t="s">
        <v>598</v>
      </c>
      <c r="QSU143" s="15" t="s">
        <v>598</v>
      </c>
      <c r="QSV143" s="15" t="s">
        <v>598</v>
      </c>
      <c r="QSW143" s="15" t="s">
        <v>598</v>
      </c>
      <c r="QSX143" s="15" t="s">
        <v>598</v>
      </c>
      <c r="QSY143" s="15" t="s">
        <v>598</v>
      </c>
      <c r="QSZ143" s="15" t="s">
        <v>598</v>
      </c>
      <c r="QTA143" s="15" t="s">
        <v>598</v>
      </c>
      <c r="QTB143" s="15" t="s">
        <v>598</v>
      </c>
      <c r="QTC143" s="15" t="s">
        <v>598</v>
      </c>
      <c r="QTD143" s="15" t="s">
        <v>598</v>
      </c>
      <c r="QTE143" s="15" t="s">
        <v>598</v>
      </c>
      <c r="QTF143" s="15" t="s">
        <v>598</v>
      </c>
      <c r="QTG143" s="15" t="s">
        <v>598</v>
      </c>
      <c r="QTH143" s="15" t="s">
        <v>598</v>
      </c>
      <c r="QTI143" s="15" t="s">
        <v>598</v>
      </c>
      <c r="QTJ143" s="15" t="s">
        <v>598</v>
      </c>
      <c r="QTK143" s="15" t="s">
        <v>598</v>
      </c>
      <c r="QTL143" s="15" t="s">
        <v>598</v>
      </c>
      <c r="QTM143" s="15" t="s">
        <v>598</v>
      </c>
      <c r="QTN143" s="15" t="s">
        <v>598</v>
      </c>
      <c r="QTO143" s="15" t="s">
        <v>598</v>
      </c>
      <c r="QTP143" s="15" t="s">
        <v>598</v>
      </c>
      <c r="QTQ143" s="15" t="s">
        <v>598</v>
      </c>
      <c r="QTR143" s="15" t="s">
        <v>598</v>
      </c>
      <c r="QTS143" s="15" t="s">
        <v>598</v>
      </c>
      <c r="QTT143" s="15" t="s">
        <v>598</v>
      </c>
      <c r="QTU143" s="15" t="s">
        <v>598</v>
      </c>
      <c r="QTV143" s="15" t="s">
        <v>598</v>
      </c>
      <c r="QTW143" s="15" t="s">
        <v>598</v>
      </c>
      <c r="QTX143" s="15" t="s">
        <v>598</v>
      </c>
      <c r="QTY143" s="15" t="s">
        <v>598</v>
      </c>
      <c r="QTZ143" s="15" t="s">
        <v>598</v>
      </c>
      <c r="QUA143" s="15" t="s">
        <v>598</v>
      </c>
      <c r="QUB143" s="15" t="s">
        <v>598</v>
      </c>
      <c r="QUC143" s="15" t="s">
        <v>598</v>
      </c>
      <c r="QUD143" s="15" t="s">
        <v>598</v>
      </c>
      <c r="QUE143" s="15" t="s">
        <v>598</v>
      </c>
      <c r="QUF143" s="15" t="s">
        <v>598</v>
      </c>
      <c r="QUG143" s="15" t="s">
        <v>598</v>
      </c>
      <c r="QUH143" s="15" t="s">
        <v>598</v>
      </c>
      <c r="QUI143" s="15" t="s">
        <v>598</v>
      </c>
      <c r="QUJ143" s="15" t="s">
        <v>598</v>
      </c>
      <c r="QUK143" s="15" t="s">
        <v>598</v>
      </c>
      <c r="QUL143" s="15" t="s">
        <v>598</v>
      </c>
      <c r="QUM143" s="15" t="s">
        <v>598</v>
      </c>
      <c r="QUN143" s="15" t="s">
        <v>598</v>
      </c>
      <c r="QUO143" s="15" t="s">
        <v>598</v>
      </c>
      <c r="QUP143" s="15" t="s">
        <v>598</v>
      </c>
      <c r="QUQ143" s="15" t="s">
        <v>598</v>
      </c>
      <c r="QUR143" s="15" t="s">
        <v>598</v>
      </c>
      <c r="QUS143" s="15" t="s">
        <v>598</v>
      </c>
      <c r="QUT143" s="15" t="s">
        <v>598</v>
      </c>
      <c r="QUU143" s="15" t="s">
        <v>598</v>
      </c>
      <c r="QUV143" s="15" t="s">
        <v>598</v>
      </c>
      <c r="QUW143" s="15" t="s">
        <v>598</v>
      </c>
      <c r="QUX143" s="15" t="s">
        <v>598</v>
      </c>
      <c r="QUY143" s="15" t="s">
        <v>598</v>
      </c>
      <c r="QUZ143" s="15" t="s">
        <v>598</v>
      </c>
      <c r="QVA143" s="15" t="s">
        <v>598</v>
      </c>
      <c r="QVB143" s="15" t="s">
        <v>598</v>
      </c>
      <c r="QVC143" s="15" t="s">
        <v>598</v>
      </c>
      <c r="QVD143" s="15" t="s">
        <v>598</v>
      </c>
      <c r="QVE143" s="15" t="s">
        <v>598</v>
      </c>
      <c r="QVF143" s="15" t="s">
        <v>598</v>
      </c>
      <c r="QVG143" s="15" t="s">
        <v>598</v>
      </c>
      <c r="QVH143" s="15" t="s">
        <v>598</v>
      </c>
      <c r="QVI143" s="15" t="s">
        <v>598</v>
      </c>
      <c r="QVJ143" s="15" t="s">
        <v>598</v>
      </c>
      <c r="QVK143" s="15" t="s">
        <v>598</v>
      </c>
      <c r="QVL143" s="15" t="s">
        <v>598</v>
      </c>
      <c r="QVM143" s="15" t="s">
        <v>598</v>
      </c>
      <c r="QVN143" s="15" t="s">
        <v>598</v>
      </c>
      <c r="QVO143" s="15" t="s">
        <v>598</v>
      </c>
      <c r="QVP143" s="15" t="s">
        <v>598</v>
      </c>
      <c r="QVQ143" s="15" t="s">
        <v>598</v>
      </c>
      <c r="QVR143" s="15" t="s">
        <v>598</v>
      </c>
      <c r="QVS143" s="15" t="s">
        <v>598</v>
      </c>
      <c r="QVT143" s="15" t="s">
        <v>598</v>
      </c>
      <c r="QVU143" s="15" t="s">
        <v>598</v>
      </c>
      <c r="QVV143" s="15" t="s">
        <v>598</v>
      </c>
      <c r="QVW143" s="15" t="s">
        <v>598</v>
      </c>
      <c r="QVX143" s="15" t="s">
        <v>598</v>
      </c>
      <c r="QVY143" s="15" t="s">
        <v>598</v>
      </c>
      <c r="QVZ143" s="15" t="s">
        <v>598</v>
      </c>
      <c r="QWA143" s="15" t="s">
        <v>598</v>
      </c>
      <c r="QWB143" s="15" t="s">
        <v>598</v>
      </c>
      <c r="QWC143" s="15" t="s">
        <v>598</v>
      </c>
      <c r="QWD143" s="15" t="s">
        <v>598</v>
      </c>
      <c r="QWE143" s="15" t="s">
        <v>598</v>
      </c>
      <c r="QWF143" s="15" t="s">
        <v>598</v>
      </c>
      <c r="QWG143" s="15" t="s">
        <v>598</v>
      </c>
      <c r="QWH143" s="15" t="s">
        <v>598</v>
      </c>
      <c r="QWI143" s="15" t="s">
        <v>598</v>
      </c>
      <c r="QWJ143" s="15" t="s">
        <v>598</v>
      </c>
      <c r="QWK143" s="15" t="s">
        <v>598</v>
      </c>
      <c r="QWL143" s="15" t="s">
        <v>598</v>
      </c>
      <c r="QWM143" s="15" t="s">
        <v>598</v>
      </c>
      <c r="QWN143" s="15" t="s">
        <v>598</v>
      </c>
      <c r="QWO143" s="15" t="s">
        <v>598</v>
      </c>
      <c r="QWP143" s="15" t="s">
        <v>598</v>
      </c>
      <c r="QWQ143" s="15" t="s">
        <v>598</v>
      </c>
      <c r="QWR143" s="15" t="s">
        <v>598</v>
      </c>
      <c r="QWS143" s="15" t="s">
        <v>598</v>
      </c>
      <c r="QWT143" s="15" t="s">
        <v>598</v>
      </c>
      <c r="QWU143" s="15" t="s">
        <v>598</v>
      </c>
      <c r="QWV143" s="15" t="s">
        <v>598</v>
      </c>
      <c r="QWW143" s="15" t="s">
        <v>598</v>
      </c>
      <c r="QWX143" s="15" t="s">
        <v>598</v>
      </c>
      <c r="QWY143" s="15" t="s">
        <v>598</v>
      </c>
      <c r="QWZ143" s="15" t="s">
        <v>598</v>
      </c>
      <c r="QXA143" s="15" t="s">
        <v>598</v>
      </c>
      <c r="QXB143" s="15" t="s">
        <v>598</v>
      </c>
      <c r="QXC143" s="15" t="s">
        <v>598</v>
      </c>
      <c r="QXD143" s="15" t="s">
        <v>598</v>
      </c>
      <c r="QXE143" s="15" t="s">
        <v>598</v>
      </c>
      <c r="QXF143" s="15" t="s">
        <v>598</v>
      </c>
      <c r="QXG143" s="15" t="s">
        <v>598</v>
      </c>
      <c r="QXH143" s="15" t="s">
        <v>598</v>
      </c>
      <c r="QXI143" s="15" t="s">
        <v>598</v>
      </c>
      <c r="QXJ143" s="15" t="s">
        <v>598</v>
      </c>
      <c r="QXK143" s="15" t="s">
        <v>598</v>
      </c>
      <c r="QXL143" s="15" t="s">
        <v>598</v>
      </c>
      <c r="QXM143" s="15" t="s">
        <v>598</v>
      </c>
      <c r="QXN143" s="15" t="s">
        <v>598</v>
      </c>
      <c r="QXO143" s="15" t="s">
        <v>598</v>
      </c>
      <c r="QXP143" s="15" t="s">
        <v>598</v>
      </c>
      <c r="QXQ143" s="15" t="s">
        <v>598</v>
      </c>
      <c r="QXR143" s="15" t="s">
        <v>598</v>
      </c>
      <c r="QXS143" s="15" t="s">
        <v>598</v>
      </c>
      <c r="QXT143" s="15" t="s">
        <v>598</v>
      </c>
      <c r="QXU143" s="15" t="s">
        <v>598</v>
      </c>
      <c r="QXV143" s="15" t="s">
        <v>598</v>
      </c>
      <c r="QXW143" s="15" t="s">
        <v>598</v>
      </c>
      <c r="QXX143" s="15" t="s">
        <v>598</v>
      </c>
      <c r="QXY143" s="15" t="s">
        <v>598</v>
      </c>
      <c r="QXZ143" s="15" t="s">
        <v>598</v>
      </c>
      <c r="QYA143" s="15" t="s">
        <v>598</v>
      </c>
      <c r="QYB143" s="15" t="s">
        <v>598</v>
      </c>
      <c r="QYC143" s="15" t="s">
        <v>598</v>
      </c>
      <c r="QYD143" s="15" t="s">
        <v>598</v>
      </c>
      <c r="QYE143" s="15" t="s">
        <v>598</v>
      </c>
      <c r="QYF143" s="15" t="s">
        <v>598</v>
      </c>
      <c r="QYG143" s="15" t="s">
        <v>598</v>
      </c>
      <c r="QYH143" s="15" t="s">
        <v>598</v>
      </c>
      <c r="QYI143" s="15" t="s">
        <v>598</v>
      </c>
      <c r="QYJ143" s="15" t="s">
        <v>598</v>
      </c>
      <c r="QYK143" s="15" t="s">
        <v>598</v>
      </c>
      <c r="QYL143" s="15" t="s">
        <v>598</v>
      </c>
      <c r="QYM143" s="15" t="s">
        <v>598</v>
      </c>
      <c r="QYN143" s="15" t="s">
        <v>598</v>
      </c>
      <c r="QYO143" s="15" t="s">
        <v>598</v>
      </c>
      <c r="QYP143" s="15" t="s">
        <v>598</v>
      </c>
      <c r="QYQ143" s="15" t="s">
        <v>598</v>
      </c>
      <c r="QYR143" s="15" t="s">
        <v>598</v>
      </c>
      <c r="QYS143" s="15" t="s">
        <v>598</v>
      </c>
      <c r="QYT143" s="15" t="s">
        <v>598</v>
      </c>
      <c r="QYU143" s="15" t="s">
        <v>598</v>
      </c>
      <c r="QYV143" s="15" t="s">
        <v>598</v>
      </c>
      <c r="QYW143" s="15" t="s">
        <v>598</v>
      </c>
      <c r="QYX143" s="15" t="s">
        <v>598</v>
      </c>
      <c r="QYY143" s="15" t="s">
        <v>598</v>
      </c>
      <c r="QYZ143" s="15" t="s">
        <v>598</v>
      </c>
      <c r="QZA143" s="15" t="s">
        <v>598</v>
      </c>
      <c r="QZB143" s="15" t="s">
        <v>598</v>
      </c>
      <c r="QZC143" s="15" t="s">
        <v>598</v>
      </c>
      <c r="QZD143" s="15" t="s">
        <v>598</v>
      </c>
      <c r="QZE143" s="15" t="s">
        <v>598</v>
      </c>
      <c r="QZF143" s="15" t="s">
        <v>598</v>
      </c>
      <c r="QZG143" s="15" t="s">
        <v>598</v>
      </c>
      <c r="QZH143" s="15" t="s">
        <v>598</v>
      </c>
      <c r="QZI143" s="15" t="s">
        <v>598</v>
      </c>
      <c r="QZJ143" s="15" t="s">
        <v>598</v>
      </c>
      <c r="QZK143" s="15" t="s">
        <v>598</v>
      </c>
      <c r="QZL143" s="15" t="s">
        <v>598</v>
      </c>
      <c r="QZM143" s="15" t="s">
        <v>598</v>
      </c>
      <c r="QZN143" s="15" t="s">
        <v>598</v>
      </c>
      <c r="QZO143" s="15" t="s">
        <v>598</v>
      </c>
      <c r="QZP143" s="15" t="s">
        <v>598</v>
      </c>
      <c r="QZQ143" s="15" t="s">
        <v>598</v>
      </c>
      <c r="QZR143" s="15" t="s">
        <v>598</v>
      </c>
      <c r="QZS143" s="15" t="s">
        <v>598</v>
      </c>
      <c r="QZT143" s="15" t="s">
        <v>598</v>
      </c>
      <c r="QZU143" s="15" t="s">
        <v>598</v>
      </c>
      <c r="QZV143" s="15" t="s">
        <v>598</v>
      </c>
      <c r="QZW143" s="15" t="s">
        <v>598</v>
      </c>
      <c r="QZX143" s="15" t="s">
        <v>598</v>
      </c>
      <c r="QZY143" s="15" t="s">
        <v>598</v>
      </c>
      <c r="QZZ143" s="15" t="s">
        <v>598</v>
      </c>
      <c r="RAA143" s="15" t="s">
        <v>598</v>
      </c>
      <c r="RAB143" s="15" t="s">
        <v>598</v>
      </c>
      <c r="RAC143" s="15" t="s">
        <v>598</v>
      </c>
      <c r="RAD143" s="15" t="s">
        <v>598</v>
      </c>
      <c r="RAE143" s="15" t="s">
        <v>598</v>
      </c>
      <c r="RAF143" s="15" t="s">
        <v>598</v>
      </c>
      <c r="RAG143" s="15" t="s">
        <v>598</v>
      </c>
      <c r="RAH143" s="15" t="s">
        <v>598</v>
      </c>
      <c r="RAI143" s="15" t="s">
        <v>598</v>
      </c>
      <c r="RAJ143" s="15" t="s">
        <v>598</v>
      </c>
      <c r="RAK143" s="15" t="s">
        <v>598</v>
      </c>
      <c r="RAL143" s="15" t="s">
        <v>598</v>
      </c>
      <c r="RAM143" s="15" t="s">
        <v>598</v>
      </c>
      <c r="RAN143" s="15" t="s">
        <v>598</v>
      </c>
      <c r="RAO143" s="15" t="s">
        <v>598</v>
      </c>
      <c r="RAP143" s="15" t="s">
        <v>598</v>
      </c>
      <c r="RAQ143" s="15" t="s">
        <v>598</v>
      </c>
      <c r="RAR143" s="15" t="s">
        <v>598</v>
      </c>
      <c r="RAS143" s="15" t="s">
        <v>598</v>
      </c>
      <c r="RAT143" s="15" t="s">
        <v>598</v>
      </c>
      <c r="RAU143" s="15" t="s">
        <v>598</v>
      </c>
      <c r="RAV143" s="15" t="s">
        <v>598</v>
      </c>
      <c r="RAW143" s="15" t="s">
        <v>598</v>
      </c>
      <c r="RAX143" s="15" t="s">
        <v>598</v>
      </c>
      <c r="RAY143" s="15" t="s">
        <v>598</v>
      </c>
      <c r="RAZ143" s="15" t="s">
        <v>598</v>
      </c>
      <c r="RBA143" s="15" t="s">
        <v>598</v>
      </c>
      <c r="RBB143" s="15" t="s">
        <v>598</v>
      </c>
      <c r="RBC143" s="15" t="s">
        <v>598</v>
      </c>
      <c r="RBD143" s="15" t="s">
        <v>598</v>
      </c>
      <c r="RBE143" s="15" t="s">
        <v>598</v>
      </c>
      <c r="RBF143" s="15" t="s">
        <v>598</v>
      </c>
      <c r="RBG143" s="15" t="s">
        <v>598</v>
      </c>
      <c r="RBH143" s="15" t="s">
        <v>598</v>
      </c>
      <c r="RBI143" s="15" t="s">
        <v>598</v>
      </c>
      <c r="RBJ143" s="15" t="s">
        <v>598</v>
      </c>
      <c r="RBK143" s="15" t="s">
        <v>598</v>
      </c>
      <c r="RBL143" s="15" t="s">
        <v>598</v>
      </c>
      <c r="RBM143" s="15" t="s">
        <v>598</v>
      </c>
      <c r="RBN143" s="15" t="s">
        <v>598</v>
      </c>
      <c r="RBO143" s="15" t="s">
        <v>598</v>
      </c>
      <c r="RBP143" s="15" t="s">
        <v>598</v>
      </c>
      <c r="RBQ143" s="15" t="s">
        <v>598</v>
      </c>
      <c r="RBR143" s="15" t="s">
        <v>598</v>
      </c>
      <c r="RBS143" s="15" t="s">
        <v>598</v>
      </c>
      <c r="RBT143" s="15" t="s">
        <v>598</v>
      </c>
      <c r="RBU143" s="15" t="s">
        <v>598</v>
      </c>
      <c r="RBV143" s="15" t="s">
        <v>598</v>
      </c>
      <c r="RBW143" s="15" t="s">
        <v>598</v>
      </c>
      <c r="RBX143" s="15" t="s">
        <v>598</v>
      </c>
      <c r="RBY143" s="15" t="s">
        <v>598</v>
      </c>
      <c r="RBZ143" s="15" t="s">
        <v>598</v>
      </c>
      <c r="RCA143" s="15" t="s">
        <v>598</v>
      </c>
      <c r="RCB143" s="15" t="s">
        <v>598</v>
      </c>
      <c r="RCC143" s="15" t="s">
        <v>598</v>
      </c>
      <c r="RCD143" s="15" t="s">
        <v>598</v>
      </c>
      <c r="RCE143" s="15" t="s">
        <v>598</v>
      </c>
      <c r="RCF143" s="15" t="s">
        <v>598</v>
      </c>
      <c r="RCG143" s="15" t="s">
        <v>598</v>
      </c>
      <c r="RCH143" s="15" t="s">
        <v>598</v>
      </c>
      <c r="RCI143" s="15" t="s">
        <v>598</v>
      </c>
      <c r="RCJ143" s="15" t="s">
        <v>598</v>
      </c>
      <c r="RCK143" s="15" t="s">
        <v>598</v>
      </c>
      <c r="RCL143" s="15" t="s">
        <v>598</v>
      </c>
      <c r="RCM143" s="15" t="s">
        <v>598</v>
      </c>
      <c r="RCN143" s="15" t="s">
        <v>598</v>
      </c>
      <c r="RCO143" s="15" t="s">
        <v>598</v>
      </c>
      <c r="RCP143" s="15" t="s">
        <v>598</v>
      </c>
      <c r="RCQ143" s="15" t="s">
        <v>598</v>
      </c>
      <c r="RCR143" s="15" t="s">
        <v>598</v>
      </c>
      <c r="RCS143" s="15" t="s">
        <v>598</v>
      </c>
      <c r="RCT143" s="15" t="s">
        <v>598</v>
      </c>
      <c r="RCU143" s="15" t="s">
        <v>598</v>
      </c>
      <c r="RCV143" s="15" t="s">
        <v>598</v>
      </c>
      <c r="RCW143" s="15" t="s">
        <v>598</v>
      </c>
      <c r="RCX143" s="15" t="s">
        <v>598</v>
      </c>
      <c r="RCY143" s="15" t="s">
        <v>598</v>
      </c>
      <c r="RCZ143" s="15" t="s">
        <v>598</v>
      </c>
      <c r="RDA143" s="15" t="s">
        <v>598</v>
      </c>
      <c r="RDB143" s="15" t="s">
        <v>598</v>
      </c>
      <c r="RDC143" s="15" t="s">
        <v>598</v>
      </c>
      <c r="RDD143" s="15" t="s">
        <v>598</v>
      </c>
      <c r="RDE143" s="15" t="s">
        <v>598</v>
      </c>
      <c r="RDF143" s="15" t="s">
        <v>598</v>
      </c>
      <c r="RDG143" s="15" t="s">
        <v>598</v>
      </c>
      <c r="RDH143" s="15" t="s">
        <v>598</v>
      </c>
      <c r="RDI143" s="15" t="s">
        <v>598</v>
      </c>
      <c r="RDJ143" s="15" t="s">
        <v>598</v>
      </c>
      <c r="RDK143" s="15" t="s">
        <v>598</v>
      </c>
      <c r="RDL143" s="15" t="s">
        <v>598</v>
      </c>
      <c r="RDM143" s="15" t="s">
        <v>598</v>
      </c>
      <c r="RDN143" s="15" t="s">
        <v>598</v>
      </c>
      <c r="RDO143" s="15" t="s">
        <v>598</v>
      </c>
      <c r="RDP143" s="15" t="s">
        <v>598</v>
      </c>
      <c r="RDQ143" s="15" t="s">
        <v>598</v>
      </c>
      <c r="RDR143" s="15" t="s">
        <v>598</v>
      </c>
      <c r="RDS143" s="15" t="s">
        <v>598</v>
      </c>
      <c r="RDT143" s="15" t="s">
        <v>598</v>
      </c>
      <c r="RDU143" s="15" t="s">
        <v>598</v>
      </c>
      <c r="RDV143" s="15" t="s">
        <v>598</v>
      </c>
      <c r="RDW143" s="15" t="s">
        <v>598</v>
      </c>
      <c r="RDX143" s="15" t="s">
        <v>598</v>
      </c>
      <c r="RDY143" s="15" t="s">
        <v>598</v>
      </c>
      <c r="RDZ143" s="15" t="s">
        <v>598</v>
      </c>
      <c r="REA143" s="15" t="s">
        <v>598</v>
      </c>
      <c r="REB143" s="15" t="s">
        <v>598</v>
      </c>
      <c r="REC143" s="15" t="s">
        <v>598</v>
      </c>
      <c r="RED143" s="15" t="s">
        <v>598</v>
      </c>
      <c r="REE143" s="15" t="s">
        <v>598</v>
      </c>
      <c r="REF143" s="15" t="s">
        <v>598</v>
      </c>
      <c r="REG143" s="15" t="s">
        <v>598</v>
      </c>
      <c r="REH143" s="15" t="s">
        <v>598</v>
      </c>
      <c r="REI143" s="15" t="s">
        <v>598</v>
      </c>
      <c r="REJ143" s="15" t="s">
        <v>598</v>
      </c>
      <c r="REK143" s="15" t="s">
        <v>598</v>
      </c>
      <c r="REL143" s="15" t="s">
        <v>598</v>
      </c>
      <c r="REM143" s="15" t="s">
        <v>598</v>
      </c>
      <c r="REN143" s="15" t="s">
        <v>598</v>
      </c>
      <c r="REO143" s="15" t="s">
        <v>598</v>
      </c>
      <c r="REP143" s="15" t="s">
        <v>598</v>
      </c>
      <c r="REQ143" s="15" t="s">
        <v>598</v>
      </c>
      <c r="RER143" s="15" t="s">
        <v>598</v>
      </c>
      <c r="RES143" s="15" t="s">
        <v>598</v>
      </c>
      <c r="RET143" s="15" t="s">
        <v>598</v>
      </c>
      <c r="REU143" s="15" t="s">
        <v>598</v>
      </c>
      <c r="REV143" s="15" t="s">
        <v>598</v>
      </c>
      <c r="REW143" s="15" t="s">
        <v>598</v>
      </c>
      <c r="REX143" s="15" t="s">
        <v>598</v>
      </c>
      <c r="REY143" s="15" t="s">
        <v>598</v>
      </c>
      <c r="REZ143" s="15" t="s">
        <v>598</v>
      </c>
      <c r="RFA143" s="15" t="s">
        <v>598</v>
      </c>
      <c r="RFB143" s="15" t="s">
        <v>598</v>
      </c>
      <c r="RFC143" s="15" t="s">
        <v>598</v>
      </c>
      <c r="RFD143" s="15" t="s">
        <v>598</v>
      </c>
      <c r="RFE143" s="15" t="s">
        <v>598</v>
      </c>
      <c r="RFF143" s="15" t="s">
        <v>598</v>
      </c>
      <c r="RFG143" s="15" t="s">
        <v>598</v>
      </c>
      <c r="RFH143" s="15" t="s">
        <v>598</v>
      </c>
      <c r="RFI143" s="15" t="s">
        <v>598</v>
      </c>
      <c r="RFJ143" s="15" t="s">
        <v>598</v>
      </c>
      <c r="RFK143" s="15" t="s">
        <v>598</v>
      </c>
      <c r="RFL143" s="15" t="s">
        <v>598</v>
      </c>
      <c r="RFM143" s="15" t="s">
        <v>598</v>
      </c>
      <c r="RFN143" s="15" t="s">
        <v>598</v>
      </c>
      <c r="RFO143" s="15" t="s">
        <v>598</v>
      </c>
      <c r="RFP143" s="15" t="s">
        <v>598</v>
      </c>
      <c r="RFQ143" s="15" t="s">
        <v>598</v>
      </c>
      <c r="RFR143" s="15" t="s">
        <v>598</v>
      </c>
      <c r="RFS143" s="15" t="s">
        <v>598</v>
      </c>
      <c r="RFT143" s="15" t="s">
        <v>598</v>
      </c>
      <c r="RFU143" s="15" t="s">
        <v>598</v>
      </c>
      <c r="RFV143" s="15" t="s">
        <v>598</v>
      </c>
      <c r="RFW143" s="15" t="s">
        <v>598</v>
      </c>
      <c r="RFX143" s="15" t="s">
        <v>598</v>
      </c>
      <c r="RFY143" s="15" t="s">
        <v>598</v>
      </c>
      <c r="RFZ143" s="15" t="s">
        <v>598</v>
      </c>
      <c r="RGA143" s="15" t="s">
        <v>598</v>
      </c>
      <c r="RGB143" s="15" t="s">
        <v>598</v>
      </c>
      <c r="RGC143" s="15" t="s">
        <v>598</v>
      </c>
      <c r="RGD143" s="15" t="s">
        <v>598</v>
      </c>
      <c r="RGE143" s="15" t="s">
        <v>598</v>
      </c>
      <c r="RGF143" s="15" t="s">
        <v>598</v>
      </c>
      <c r="RGG143" s="15" t="s">
        <v>598</v>
      </c>
      <c r="RGH143" s="15" t="s">
        <v>598</v>
      </c>
      <c r="RGI143" s="15" t="s">
        <v>598</v>
      </c>
      <c r="RGJ143" s="15" t="s">
        <v>598</v>
      </c>
      <c r="RGK143" s="15" t="s">
        <v>598</v>
      </c>
      <c r="RGL143" s="15" t="s">
        <v>598</v>
      </c>
      <c r="RGM143" s="15" t="s">
        <v>598</v>
      </c>
      <c r="RGN143" s="15" t="s">
        <v>598</v>
      </c>
      <c r="RGO143" s="15" t="s">
        <v>598</v>
      </c>
      <c r="RGP143" s="15" t="s">
        <v>598</v>
      </c>
      <c r="RGQ143" s="15" t="s">
        <v>598</v>
      </c>
      <c r="RGR143" s="15" t="s">
        <v>598</v>
      </c>
      <c r="RGS143" s="15" t="s">
        <v>598</v>
      </c>
      <c r="RGT143" s="15" t="s">
        <v>598</v>
      </c>
      <c r="RGU143" s="15" t="s">
        <v>598</v>
      </c>
      <c r="RGV143" s="15" t="s">
        <v>598</v>
      </c>
      <c r="RGW143" s="15" t="s">
        <v>598</v>
      </c>
      <c r="RGX143" s="15" t="s">
        <v>598</v>
      </c>
      <c r="RGY143" s="15" t="s">
        <v>598</v>
      </c>
      <c r="RGZ143" s="15" t="s">
        <v>598</v>
      </c>
      <c r="RHA143" s="15" t="s">
        <v>598</v>
      </c>
      <c r="RHB143" s="15" t="s">
        <v>598</v>
      </c>
      <c r="RHC143" s="15" t="s">
        <v>598</v>
      </c>
      <c r="RHD143" s="15" t="s">
        <v>598</v>
      </c>
      <c r="RHE143" s="15" t="s">
        <v>598</v>
      </c>
      <c r="RHF143" s="15" t="s">
        <v>598</v>
      </c>
      <c r="RHG143" s="15" t="s">
        <v>598</v>
      </c>
      <c r="RHH143" s="15" t="s">
        <v>598</v>
      </c>
      <c r="RHI143" s="15" t="s">
        <v>598</v>
      </c>
      <c r="RHJ143" s="15" t="s">
        <v>598</v>
      </c>
      <c r="RHK143" s="15" t="s">
        <v>598</v>
      </c>
      <c r="RHL143" s="15" t="s">
        <v>598</v>
      </c>
      <c r="RHM143" s="15" t="s">
        <v>598</v>
      </c>
      <c r="RHN143" s="15" t="s">
        <v>598</v>
      </c>
      <c r="RHO143" s="15" t="s">
        <v>598</v>
      </c>
      <c r="RHP143" s="15" t="s">
        <v>598</v>
      </c>
      <c r="RHQ143" s="15" t="s">
        <v>598</v>
      </c>
      <c r="RHR143" s="15" t="s">
        <v>598</v>
      </c>
      <c r="RHS143" s="15" t="s">
        <v>598</v>
      </c>
      <c r="RHT143" s="15" t="s">
        <v>598</v>
      </c>
      <c r="RHU143" s="15" t="s">
        <v>598</v>
      </c>
      <c r="RHV143" s="15" t="s">
        <v>598</v>
      </c>
      <c r="RHW143" s="15" t="s">
        <v>598</v>
      </c>
      <c r="RHX143" s="15" t="s">
        <v>598</v>
      </c>
      <c r="RHY143" s="15" t="s">
        <v>598</v>
      </c>
      <c r="RHZ143" s="15" t="s">
        <v>598</v>
      </c>
      <c r="RIA143" s="15" t="s">
        <v>598</v>
      </c>
      <c r="RIB143" s="15" t="s">
        <v>598</v>
      </c>
      <c r="RIC143" s="15" t="s">
        <v>598</v>
      </c>
      <c r="RID143" s="15" t="s">
        <v>598</v>
      </c>
      <c r="RIE143" s="15" t="s">
        <v>598</v>
      </c>
      <c r="RIF143" s="15" t="s">
        <v>598</v>
      </c>
      <c r="RIG143" s="15" t="s">
        <v>598</v>
      </c>
      <c r="RIH143" s="15" t="s">
        <v>598</v>
      </c>
      <c r="RII143" s="15" t="s">
        <v>598</v>
      </c>
      <c r="RIJ143" s="15" t="s">
        <v>598</v>
      </c>
      <c r="RIK143" s="15" t="s">
        <v>598</v>
      </c>
      <c r="RIL143" s="15" t="s">
        <v>598</v>
      </c>
      <c r="RIM143" s="15" t="s">
        <v>598</v>
      </c>
      <c r="RIN143" s="15" t="s">
        <v>598</v>
      </c>
      <c r="RIO143" s="15" t="s">
        <v>598</v>
      </c>
      <c r="RIP143" s="15" t="s">
        <v>598</v>
      </c>
      <c r="RIQ143" s="15" t="s">
        <v>598</v>
      </c>
      <c r="RIR143" s="15" t="s">
        <v>598</v>
      </c>
      <c r="RIS143" s="15" t="s">
        <v>598</v>
      </c>
      <c r="RIT143" s="15" t="s">
        <v>598</v>
      </c>
      <c r="RIU143" s="15" t="s">
        <v>598</v>
      </c>
      <c r="RIV143" s="15" t="s">
        <v>598</v>
      </c>
      <c r="RIW143" s="15" t="s">
        <v>598</v>
      </c>
      <c r="RIX143" s="15" t="s">
        <v>598</v>
      </c>
      <c r="RIY143" s="15" t="s">
        <v>598</v>
      </c>
      <c r="RIZ143" s="15" t="s">
        <v>598</v>
      </c>
      <c r="RJA143" s="15" t="s">
        <v>598</v>
      </c>
      <c r="RJB143" s="15" t="s">
        <v>598</v>
      </c>
      <c r="RJC143" s="15" t="s">
        <v>598</v>
      </c>
      <c r="RJD143" s="15" t="s">
        <v>598</v>
      </c>
      <c r="RJE143" s="15" t="s">
        <v>598</v>
      </c>
      <c r="RJF143" s="15" t="s">
        <v>598</v>
      </c>
      <c r="RJG143" s="15" t="s">
        <v>598</v>
      </c>
      <c r="RJH143" s="15" t="s">
        <v>598</v>
      </c>
      <c r="RJI143" s="15" t="s">
        <v>598</v>
      </c>
      <c r="RJJ143" s="15" t="s">
        <v>598</v>
      </c>
      <c r="RJK143" s="15" t="s">
        <v>598</v>
      </c>
      <c r="RJL143" s="15" t="s">
        <v>598</v>
      </c>
      <c r="RJM143" s="15" t="s">
        <v>598</v>
      </c>
      <c r="RJN143" s="15" t="s">
        <v>598</v>
      </c>
      <c r="RJO143" s="15" t="s">
        <v>598</v>
      </c>
      <c r="RJP143" s="15" t="s">
        <v>598</v>
      </c>
      <c r="RJQ143" s="15" t="s">
        <v>598</v>
      </c>
      <c r="RJR143" s="15" t="s">
        <v>598</v>
      </c>
      <c r="RJS143" s="15" t="s">
        <v>598</v>
      </c>
      <c r="RJT143" s="15" t="s">
        <v>598</v>
      </c>
      <c r="RJU143" s="15" t="s">
        <v>598</v>
      </c>
      <c r="RJV143" s="15" t="s">
        <v>598</v>
      </c>
      <c r="RJW143" s="15" t="s">
        <v>598</v>
      </c>
      <c r="RJX143" s="15" t="s">
        <v>598</v>
      </c>
      <c r="RJY143" s="15" t="s">
        <v>598</v>
      </c>
      <c r="RJZ143" s="15" t="s">
        <v>598</v>
      </c>
      <c r="RKA143" s="15" t="s">
        <v>598</v>
      </c>
      <c r="RKB143" s="15" t="s">
        <v>598</v>
      </c>
      <c r="RKC143" s="15" t="s">
        <v>598</v>
      </c>
      <c r="RKD143" s="15" t="s">
        <v>598</v>
      </c>
      <c r="RKE143" s="15" t="s">
        <v>598</v>
      </c>
      <c r="RKF143" s="15" t="s">
        <v>598</v>
      </c>
      <c r="RKG143" s="15" t="s">
        <v>598</v>
      </c>
      <c r="RKH143" s="15" t="s">
        <v>598</v>
      </c>
      <c r="RKI143" s="15" t="s">
        <v>598</v>
      </c>
      <c r="RKJ143" s="15" t="s">
        <v>598</v>
      </c>
      <c r="RKK143" s="15" t="s">
        <v>598</v>
      </c>
      <c r="RKL143" s="15" t="s">
        <v>598</v>
      </c>
      <c r="RKM143" s="15" t="s">
        <v>598</v>
      </c>
      <c r="RKN143" s="15" t="s">
        <v>598</v>
      </c>
      <c r="RKO143" s="15" t="s">
        <v>598</v>
      </c>
      <c r="RKP143" s="15" t="s">
        <v>598</v>
      </c>
      <c r="RKQ143" s="15" t="s">
        <v>598</v>
      </c>
      <c r="RKR143" s="15" t="s">
        <v>598</v>
      </c>
      <c r="RKS143" s="15" t="s">
        <v>598</v>
      </c>
      <c r="RKT143" s="15" t="s">
        <v>598</v>
      </c>
      <c r="RKU143" s="15" t="s">
        <v>598</v>
      </c>
      <c r="RKV143" s="15" t="s">
        <v>598</v>
      </c>
      <c r="RKW143" s="15" t="s">
        <v>598</v>
      </c>
      <c r="RKX143" s="15" t="s">
        <v>598</v>
      </c>
      <c r="RKY143" s="15" t="s">
        <v>598</v>
      </c>
      <c r="RKZ143" s="15" t="s">
        <v>598</v>
      </c>
      <c r="RLA143" s="15" t="s">
        <v>598</v>
      </c>
      <c r="RLB143" s="15" t="s">
        <v>598</v>
      </c>
      <c r="RLC143" s="15" t="s">
        <v>598</v>
      </c>
      <c r="RLD143" s="15" t="s">
        <v>598</v>
      </c>
      <c r="RLE143" s="15" t="s">
        <v>598</v>
      </c>
      <c r="RLF143" s="15" t="s">
        <v>598</v>
      </c>
      <c r="RLG143" s="15" t="s">
        <v>598</v>
      </c>
      <c r="RLH143" s="15" t="s">
        <v>598</v>
      </c>
      <c r="RLI143" s="15" t="s">
        <v>598</v>
      </c>
      <c r="RLJ143" s="15" t="s">
        <v>598</v>
      </c>
      <c r="RLK143" s="15" t="s">
        <v>598</v>
      </c>
      <c r="RLL143" s="15" t="s">
        <v>598</v>
      </c>
      <c r="RLM143" s="15" t="s">
        <v>598</v>
      </c>
      <c r="RLN143" s="15" t="s">
        <v>598</v>
      </c>
      <c r="RLO143" s="15" t="s">
        <v>598</v>
      </c>
      <c r="RLP143" s="15" t="s">
        <v>598</v>
      </c>
      <c r="RLQ143" s="15" t="s">
        <v>598</v>
      </c>
      <c r="RLR143" s="15" t="s">
        <v>598</v>
      </c>
      <c r="RLS143" s="15" t="s">
        <v>598</v>
      </c>
      <c r="RLT143" s="15" t="s">
        <v>598</v>
      </c>
      <c r="RLU143" s="15" t="s">
        <v>598</v>
      </c>
      <c r="RLV143" s="15" t="s">
        <v>598</v>
      </c>
      <c r="RLW143" s="15" t="s">
        <v>598</v>
      </c>
      <c r="RLX143" s="15" t="s">
        <v>598</v>
      </c>
      <c r="RLY143" s="15" t="s">
        <v>598</v>
      </c>
      <c r="RLZ143" s="15" t="s">
        <v>598</v>
      </c>
      <c r="RMA143" s="15" t="s">
        <v>598</v>
      </c>
      <c r="RMB143" s="15" t="s">
        <v>598</v>
      </c>
      <c r="RMC143" s="15" t="s">
        <v>598</v>
      </c>
      <c r="RMD143" s="15" t="s">
        <v>598</v>
      </c>
      <c r="RME143" s="15" t="s">
        <v>598</v>
      </c>
      <c r="RMF143" s="15" t="s">
        <v>598</v>
      </c>
      <c r="RMG143" s="15" t="s">
        <v>598</v>
      </c>
      <c r="RMH143" s="15" t="s">
        <v>598</v>
      </c>
      <c r="RMI143" s="15" t="s">
        <v>598</v>
      </c>
      <c r="RMJ143" s="15" t="s">
        <v>598</v>
      </c>
      <c r="RMK143" s="15" t="s">
        <v>598</v>
      </c>
      <c r="RML143" s="15" t="s">
        <v>598</v>
      </c>
      <c r="RMM143" s="15" t="s">
        <v>598</v>
      </c>
      <c r="RMN143" s="15" t="s">
        <v>598</v>
      </c>
      <c r="RMO143" s="15" t="s">
        <v>598</v>
      </c>
      <c r="RMP143" s="15" t="s">
        <v>598</v>
      </c>
      <c r="RMQ143" s="15" t="s">
        <v>598</v>
      </c>
      <c r="RMR143" s="15" t="s">
        <v>598</v>
      </c>
      <c r="RMS143" s="15" t="s">
        <v>598</v>
      </c>
      <c r="RMT143" s="15" t="s">
        <v>598</v>
      </c>
      <c r="RMU143" s="15" t="s">
        <v>598</v>
      </c>
      <c r="RMV143" s="15" t="s">
        <v>598</v>
      </c>
      <c r="RMW143" s="15" t="s">
        <v>598</v>
      </c>
      <c r="RMX143" s="15" t="s">
        <v>598</v>
      </c>
      <c r="RMY143" s="15" t="s">
        <v>598</v>
      </c>
      <c r="RMZ143" s="15" t="s">
        <v>598</v>
      </c>
      <c r="RNA143" s="15" t="s">
        <v>598</v>
      </c>
      <c r="RNB143" s="15" t="s">
        <v>598</v>
      </c>
      <c r="RNC143" s="15" t="s">
        <v>598</v>
      </c>
      <c r="RND143" s="15" t="s">
        <v>598</v>
      </c>
      <c r="RNE143" s="15" t="s">
        <v>598</v>
      </c>
      <c r="RNF143" s="15" t="s">
        <v>598</v>
      </c>
      <c r="RNG143" s="15" t="s">
        <v>598</v>
      </c>
      <c r="RNH143" s="15" t="s">
        <v>598</v>
      </c>
      <c r="RNI143" s="15" t="s">
        <v>598</v>
      </c>
      <c r="RNJ143" s="15" t="s">
        <v>598</v>
      </c>
      <c r="RNK143" s="15" t="s">
        <v>598</v>
      </c>
      <c r="RNL143" s="15" t="s">
        <v>598</v>
      </c>
      <c r="RNM143" s="15" t="s">
        <v>598</v>
      </c>
      <c r="RNN143" s="15" t="s">
        <v>598</v>
      </c>
      <c r="RNO143" s="15" t="s">
        <v>598</v>
      </c>
      <c r="RNP143" s="15" t="s">
        <v>598</v>
      </c>
      <c r="RNQ143" s="15" t="s">
        <v>598</v>
      </c>
      <c r="RNR143" s="15" t="s">
        <v>598</v>
      </c>
      <c r="RNS143" s="15" t="s">
        <v>598</v>
      </c>
      <c r="RNT143" s="15" t="s">
        <v>598</v>
      </c>
      <c r="RNU143" s="15" t="s">
        <v>598</v>
      </c>
      <c r="RNV143" s="15" t="s">
        <v>598</v>
      </c>
      <c r="RNW143" s="15" t="s">
        <v>598</v>
      </c>
      <c r="RNX143" s="15" t="s">
        <v>598</v>
      </c>
      <c r="RNY143" s="15" t="s">
        <v>598</v>
      </c>
      <c r="RNZ143" s="15" t="s">
        <v>598</v>
      </c>
      <c r="ROA143" s="15" t="s">
        <v>598</v>
      </c>
      <c r="ROB143" s="15" t="s">
        <v>598</v>
      </c>
      <c r="ROC143" s="15" t="s">
        <v>598</v>
      </c>
      <c r="ROD143" s="15" t="s">
        <v>598</v>
      </c>
      <c r="ROE143" s="15" t="s">
        <v>598</v>
      </c>
      <c r="ROF143" s="15" t="s">
        <v>598</v>
      </c>
      <c r="ROG143" s="15" t="s">
        <v>598</v>
      </c>
      <c r="ROH143" s="15" t="s">
        <v>598</v>
      </c>
      <c r="ROI143" s="15" t="s">
        <v>598</v>
      </c>
      <c r="ROJ143" s="15" t="s">
        <v>598</v>
      </c>
      <c r="ROK143" s="15" t="s">
        <v>598</v>
      </c>
      <c r="ROL143" s="15" t="s">
        <v>598</v>
      </c>
      <c r="ROM143" s="15" t="s">
        <v>598</v>
      </c>
      <c r="RON143" s="15" t="s">
        <v>598</v>
      </c>
      <c r="ROO143" s="15" t="s">
        <v>598</v>
      </c>
      <c r="ROP143" s="15" t="s">
        <v>598</v>
      </c>
      <c r="ROQ143" s="15" t="s">
        <v>598</v>
      </c>
      <c r="ROR143" s="15" t="s">
        <v>598</v>
      </c>
      <c r="ROS143" s="15" t="s">
        <v>598</v>
      </c>
      <c r="ROT143" s="15" t="s">
        <v>598</v>
      </c>
      <c r="ROU143" s="15" t="s">
        <v>598</v>
      </c>
      <c r="ROV143" s="15" t="s">
        <v>598</v>
      </c>
      <c r="ROW143" s="15" t="s">
        <v>598</v>
      </c>
      <c r="ROX143" s="15" t="s">
        <v>598</v>
      </c>
      <c r="ROY143" s="15" t="s">
        <v>598</v>
      </c>
      <c r="ROZ143" s="15" t="s">
        <v>598</v>
      </c>
      <c r="RPA143" s="15" t="s">
        <v>598</v>
      </c>
      <c r="RPB143" s="15" t="s">
        <v>598</v>
      </c>
      <c r="RPC143" s="15" t="s">
        <v>598</v>
      </c>
      <c r="RPD143" s="15" t="s">
        <v>598</v>
      </c>
      <c r="RPE143" s="15" t="s">
        <v>598</v>
      </c>
      <c r="RPF143" s="15" t="s">
        <v>598</v>
      </c>
      <c r="RPG143" s="15" t="s">
        <v>598</v>
      </c>
      <c r="RPH143" s="15" t="s">
        <v>598</v>
      </c>
      <c r="RPI143" s="15" t="s">
        <v>598</v>
      </c>
      <c r="RPJ143" s="15" t="s">
        <v>598</v>
      </c>
      <c r="RPK143" s="15" t="s">
        <v>598</v>
      </c>
      <c r="RPL143" s="15" t="s">
        <v>598</v>
      </c>
      <c r="RPM143" s="15" t="s">
        <v>598</v>
      </c>
      <c r="RPN143" s="15" t="s">
        <v>598</v>
      </c>
      <c r="RPO143" s="15" t="s">
        <v>598</v>
      </c>
      <c r="RPP143" s="15" t="s">
        <v>598</v>
      </c>
      <c r="RPQ143" s="15" t="s">
        <v>598</v>
      </c>
      <c r="RPR143" s="15" t="s">
        <v>598</v>
      </c>
      <c r="RPS143" s="15" t="s">
        <v>598</v>
      </c>
      <c r="RPT143" s="15" t="s">
        <v>598</v>
      </c>
      <c r="RPU143" s="15" t="s">
        <v>598</v>
      </c>
      <c r="RPV143" s="15" t="s">
        <v>598</v>
      </c>
      <c r="RPW143" s="15" t="s">
        <v>598</v>
      </c>
      <c r="RPX143" s="15" t="s">
        <v>598</v>
      </c>
      <c r="RPY143" s="15" t="s">
        <v>598</v>
      </c>
      <c r="RPZ143" s="15" t="s">
        <v>598</v>
      </c>
      <c r="RQA143" s="15" t="s">
        <v>598</v>
      </c>
      <c r="RQB143" s="15" t="s">
        <v>598</v>
      </c>
      <c r="RQC143" s="15" t="s">
        <v>598</v>
      </c>
      <c r="RQD143" s="15" t="s">
        <v>598</v>
      </c>
      <c r="RQE143" s="15" t="s">
        <v>598</v>
      </c>
      <c r="RQF143" s="15" t="s">
        <v>598</v>
      </c>
      <c r="RQG143" s="15" t="s">
        <v>598</v>
      </c>
      <c r="RQH143" s="15" t="s">
        <v>598</v>
      </c>
      <c r="RQI143" s="15" t="s">
        <v>598</v>
      </c>
      <c r="RQJ143" s="15" t="s">
        <v>598</v>
      </c>
      <c r="RQK143" s="15" t="s">
        <v>598</v>
      </c>
      <c r="RQL143" s="15" t="s">
        <v>598</v>
      </c>
      <c r="RQM143" s="15" t="s">
        <v>598</v>
      </c>
      <c r="RQN143" s="15" t="s">
        <v>598</v>
      </c>
      <c r="RQO143" s="15" t="s">
        <v>598</v>
      </c>
      <c r="RQP143" s="15" t="s">
        <v>598</v>
      </c>
      <c r="RQQ143" s="15" t="s">
        <v>598</v>
      </c>
      <c r="RQR143" s="15" t="s">
        <v>598</v>
      </c>
      <c r="RQS143" s="15" t="s">
        <v>598</v>
      </c>
      <c r="RQT143" s="15" t="s">
        <v>598</v>
      </c>
      <c r="RQU143" s="15" t="s">
        <v>598</v>
      </c>
      <c r="RQV143" s="15" t="s">
        <v>598</v>
      </c>
      <c r="RQW143" s="15" t="s">
        <v>598</v>
      </c>
      <c r="RQX143" s="15" t="s">
        <v>598</v>
      </c>
      <c r="RQY143" s="15" t="s">
        <v>598</v>
      </c>
      <c r="RQZ143" s="15" t="s">
        <v>598</v>
      </c>
      <c r="RRA143" s="15" t="s">
        <v>598</v>
      </c>
      <c r="RRB143" s="15" t="s">
        <v>598</v>
      </c>
      <c r="RRC143" s="15" t="s">
        <v>598</v>
      </c>
      <c r="RRD143" s="15" t="s">
        <v>598</v>
      </c>
      <c r="RRE143" s="15" t="s">
        <v>598</v>
      </c>
      <c r="RRF143" s="15" t="s">
        <v>598</v>
      </c>
      <c r="RRG143" s="15" t="s">
        <v>598</v>
      </c>
      <c r="RRH143" s="15" t="s">
        <v>598</v>
      </c>
      <c r="RRI143" s="15" t="s">
        <v>598</v>
      </c>
      <c r="RRJ143" s="15" t="s">
        <v>598</v>
      </c>
      <c r="RRK143" s="15" t="s">
        <v>598</v>
      </c>
      <c r="RRL143" s="15" t="s">
        <v>598</v>
      </c>
      <c r="RRM143" s="15" t="s">
        <v>598</v>
      </c>
      <c r="RRN143" s="15" t="s">
        <v>598</v>
      </c>
      <c r="RRO143" s="15" t="s">
        <v>598</v>
      </c>
      <c r="RRP143" s="15" t="s">
        <v>598</v>
      </c>
      <c r="RRQ143" s="15" t="s">
        <v>598</v>
      </c>
      <c r="RRR143" s="15" t="s">
        <v>598</v>
      </c>
      <c r="RRS143" s="15" t="s">
        <v>598</v>
      </c>
      <c r="RRT143" s="15" t="s">
        <v>598</v>
      </c>
      <c r="RRU143" s="15" t="s">
        <v>598</v>
      </c>
      <c r="RRV143" s="15" t="s">
        <v>598</v>
      </c>
      <c r="RRW143" s="15" t="s">
        <v>598</v>
      </c>
      <c r="RRX143" s="15" t="s">
        <v>598</v>
      </c>
      <c r="RRY143" s="15" t="s">
        <v>598</v>
      </c>
      <c r="RRZ143" s="15" t="s">
        <v>598</v>
      </c>
      <c r="RSA143" s="15" t="s">
        <v>598</v>
      </c>
      <c r="RSB143" s="15" t="s">
        <v>598</v>
      </c>
      <c r="RSC143" s="15" t="s">
        <v>598</v>
      </c>
      <c r="RSD143" s="15" t="s">
        <v>598</v>
      </c>
      <c r="RSE143" s="15" t="s">
        <v>598</v>
      </c>
      <c r="RSF143" s="15" t="s">
        <v>598</v>
      </c>
      <c r="RSG143" s="15" t="s">
        <v>598</v>
      </c>
      <c r="RSH143" s="15" t="s">
        <v>598</v>
      </c>
      <c r="RSI143" s="15" t="s">
        <v>598</v>
      </c>
      <c r="RSJ143" s="15" t="s">
        <v>598</v>
      </c>
      <c r="RSK143" s="15" t="s">
        <v>598</v>
      </c>
      <c r="RSL143" s="15" t="s">
        <v>598</v>
      </c>
      <c r="RSM143" s="15" t="s">
        <v>598</v>
      </c>
      <c r="RSN143" s="15" t="s">
        <v>598</v>
      </c>
      <c r="RSO143" s="15" t="s">
        <v>598</v>
      </c>
      <c r="RSP143" s="15" t="s">
        <v>598</v>
      </c>
      <c r="RSQ143" s="15" t="s">
        <v>598</v>
      </c>
      <c r="RSR143" s="15" t="s">
        <v>598</v>
      </c>
      <c r="RSS143" s="15" t="s">
        <v>598</v>
      </c>
      <c r="RST143" s="15" t="s">
        <v>598</v>
      </c>
      <c r="RSU143" s="15" t="s">
        <v>598</v>
      </c>
      <c r="RSV143" s="15" t="s">
        <v>598</v>
      </c>
      <c r="RSW143" s="15" t="s">
        <v>598</v>
      </c>
      <c r="RSX143" s="15" t="s">
        <v>598</v>
      </c>
      <c r="RSY143" s="15" t="s">
        <v>598</v>
      </c>
      <c r="RSZ143" s="15" t="s">
        <v>598</v>
      </c>
      <c r="RTA143" s="15" t="s">
        <v>598</v>
      </c>
      <c r="RTB143" s="15" t="s">
        <v>598</v>
      </c>
      <c r="RTC143" s="15" t="s">
        <v>598</v>
      </c>
      <c r="RTD143" s="15" t="s">
        <v>598</v>
      </c>
      <c r="RTE143" s="15" t="s">
        <v>598</v>
      </c>
      <c r="RTF143" s="15" t="s">
        <v>598</v>
      </c>
      <c r="RTG143" s="15" t="s">
        <v>598</v>
      </c>
      <c r="RTH143" s="15" t="s">
        <v>598</v>
      </c>
      <c r="RTI143" s="15" t="s">
        <v>598</v>
      </c>
      <c r="RTJ143" s="15" t="s">
        <v>598</v>
      </c>
      <c r="RTK143" s="15" t="s">
        <v>598</v>
      </c>
      <c r="RTL143" s="15" t="s">
        <v>598</v>
      </c>
      <c r="RTM143" s="15" t="s">
        <v>598</v>
      </c>
      <c r="RTN143" s="15" t="s">
        <v>598</v>
      </c>
      <c r="RTO143" s="15" t="s">
        <v>598</v>
      </c>
      <c r="RTP143" s="15" t="s">
        <v>598</v>
      </c>
      <c r="RTQ143" s="15" t="s">
        <v>598</v>
      </c>
      <c r="RTR143" s="15" t="s">
        <v>598</v>
      </c>
      <c r="RTS143" s="15" t="s">
        <v>598</v>
      </c>
      <c r="RTT143" s="15" t="s">
        <v>598</v>
      </c>
      <c r="RTU143" s="15" t="s">
        <v>598</v>
      </c>
      <c r="RTV143" s="15" t="s">
        <v>598</v>
      </c>
      <c r="RTW143" s="15" t="s">
        <v>598</v>
      </c>
      <c r="RTX143" s="15" t="s">
        <v>598</v>
      </c>
      <c r="RTY143" s="15" t="s">
        <v>598</v>
      </c>
      <c r="RTZ143" s="15" t="s">
        <v>598</v>
      </c>
      <c r="RUA143" s="15" t="s">
        <v>598</v>
      </c>
      <c r="RUB143" s="15" t="s">
        <v>598</v>
      </c>
      <c r="RUC143" s="15" t="s">
        <v>598</v>
      </c>
      <c r="RUD143" s="15" t="s">
        <v>598</v>
      </c>
      <c r="RUE143" s="15" t="s">
        <v>598</v>
      </c>
      <c r="RUF143" s="15" t="s">
        <v>598</v>
      </c>
      <c r="RUG143" s="15" t="s">
        <v>598</v>
      </c>
      <c r="RUH143" s="15" t="s">
        <v>598</v>
      </c>
      <c r="RUI143" s="15" t="s">
        <v>598</v>
      </c>
      <c r="RUJ143" s="15" t="s">
        <v>598</v>
      </c>
      <c r="RUK143" s="15" t="s">
        <v>598</v>
      </c>
      <c r="RUL143" s="15" t="s">
        <v>598</v>
      </c>
      <c r="RUM143" s="15" t="s">
        <v>598</v>
      </c>
      <c r="RUN143" s="15" t="s">
        <v>598</v>
      </c>
      <c r="RUO143" s="15" t="s">
        <v>598</v>
      </c>
      <c r="RUP143" s="15" t="s">
        <v>598</v>
      </c>
      <c r="RUQ143" s="15" t="s">
        <v>598</v>
      </c>
      <c r="RUR143" s="15" t="s">
        <v>598</v>
      </c>
      <c r="RUS143" s="15" t="s">
        <v>598</v>
      </c>
      <c r="RUT143" s="15" t="s">
        <v>598</v>
      </c>
      <c r="RUU143" s="15" t="s">
        <v>598</v>
      </c>
      <c r="RUV143" s="15" t="s">
        <v>598</v>
      </c>
      <c r="RUW143" s="15" t="s">
        <v>598</v>
      </c>
      <c r="RUX143" s="15" t="s">
        <v>598</v>
      </c>
      <c r="RUY143" s="15" t="s">
        <v>598</v>
      </c>
      <c r="RUZ143" s="15" t="s">
        <v>598</v>
      </c>
      <c r="RVA143" s="15" t="s">
        <v>598</v>
      </c>
      <c r="RVB143" s="15" t="s">
        <v>598</v>
      </c>
      <c r="RVC143" s="15" t="s">
        <v>598</v>
      </c>
      <c r="RVD143" s="15" t="s">
        <v>598</v>
      </c>
      <c r="RVE143" s="15" t="s">
        <v>598</v>
      </c>
      <c r="RVF143" s="15" t="s">
        <v>598</v>
      </c>
      <c r="RVG143" s="15" t="s">
        <v>598</v>
      </c>
      <c r="RVH143" s="15" t="s">
        <v>598</v>
      </c>
      <c r="RVI143" s="15" t="s">
        <v>598</v>
      </c>
      <c r="RVJ143" s="15" t="s">
        <v>598</v>
      </c>
      <c r="RVK143" s="15" t="s">
        <v>598</v>
      </c>
      <c r="RVL143" s="15" t="s">
        <v>598</v>
      </c>
      <c r="RVM143" s="15" t="s">
        <v>598</v>
      </c>
      <c r="RVN143" s="15" t="s">
        <v>598</v>
      </c>
      <c r="RVO143" s="15" t="s">
        <v>598</v>
      </c>
      <c r="RVP143" s="15" t="s">
        <v>598</v>
      </c>
      <c r="RVQ143" s="15" t="s">
        <v>598</v>
      </c>
      <c r="RVR143" s="15" t="s">
        <v>598</v>
      </c>
      <c r="RVS143" s="15" t="s">
        <v>598</v>
      </c>
      <c r="RVT143" s="15" t="s">
        <v>598</v>
      </c>
      <c r="RVU143" s="15" t="s">
        <v>598</v>
      </c>
      <c r="RVV143" s="15" t="s">
        <v>598</v>
      </c>
      <c r="RVW143" s="15" t="s">
        <v>598</v>
      </c>
      <c r="RVX143" s="15" t="s">
        <v>598</v>
      </c>
      <c r="RVY143" s="15" t="s">
        <v>598</v>
      </c>
      <c r="RVZ143" s="15" t="s">
        <v>598</v>
      </c>
      <c r="RWA143" s="15" t="s">
        <v>598</v>
      </c>
      <c r="RWB143" s="15" t="s">
        <v>598</v>
      </c>
      <c r="RWC143" s="15" t="s">
        <v>598</v>
      </c>
      <c r="RWD143" s="15" t="s">
        <v>598</v>
      </c>
      <c r="RWE143" s="15" t="s">
        <v>598</v>
      </c>
      <c r="RWF143" s="15" t="s">
        <v>598</v>
      </c>
      <c r="RWG143" s="15" t="s">
        <v>598</v>
      </c>
      <c r="RWH143" s="15" t="s">
        <v>598</v>
      </c>
      <c r="RWI143" s="15" t="s">
        <v>598</v>
      </c>
      <c r="RWJ143" s="15" t="s">
        <v>598</v>
      </c>
      <c r="RWK143" s="15" t="s">
        <v>598</v>
      </c>
      <c r="RWL143" s="15" t="s">
        <v>598</v>
      </c>
      <c r="RWM143" s="15" t="s">
        <v>598</v>
      </c>
      <c r="RWN143" s="15" t="s">
        <v>598</v>
      </c>
      <c r="RWO143" s="15" t="s">
        <v>598</v>
      </c>
      <c r="RWP143" s="15" t="s">
        <v>598</v>
      </c>
      <c r="RWQ143" s="15" t="s">
        <v>598</v>
      </c>
      <c r="RWR143" s="15" t="s">
        <v>598</v>
      </c>
      <c r="RWS143" s="15" t="s">
        <v>598</v>
      </c>
      <c r="RWT143" s="15" t="s">
        <v>598</v>
      </c>
      <c r="RWU143" s="15" t="s">
        <v>598</v>
      </c>
      <c r="RWV143" s="15" t="s">
        <v>598</v>
      </c>
      <c r="RWW143" s="15" t="s">
        <v>598</v>
      </c>
      <c r="RWX143" s="15" t="s">
        <v>598</v>
      </c>
      <c r="RWY143" s="15" t="s">
        <v>598</v>
      </c>
      <c r="RWZ143" s="15" t="s">
        <v>598</v>
      </c>
      <c r="RXA143" s="15" t="s">
        <v>598</v>
      </c>
      <c r="RXB143" s="15" t="s">
        <v>598</v>
      </c>
      <c r="RXC143" s="15" t="s">
        <v>598</v>
      </c>
      <c r="RXD143" s="15" t="s">
        <v>598</v>
      </c>
      <c r="RXE143" s="15" t="s">
        <v>598</v>
      </c>
      <c r="RXF143" s="15" t="s">
        <v>598</v>
      </c>
      <c r="RXG143" s="15" t="s">
        <v>598</v>
      </c>
      <c r="RXH143" s="15" t="s">
        <v>598</v>
      </c>
      <c r="RXI143" s="15" t="s">
        <v>598</v>
      </c>
      <c r="RXJ143" s="15" t="s">
        <v>598</v>
      </c>
      <c r="RXK143" s="15" t="s">
        <v>598</v>
      </c>
      <c r="RXL143" s="15" t="s">
        <v>598</v>
      </c>
      <c r="RXM143" s="15" t="s">
        <v>598</v>
      </c>
      <c r="RXN143" s="15" t="s">
        <v>598</v>
      </c>
      <c r="RXO143" s="15" t="s">
        <v>598</v>
      </c>
      <c r="RXP143" s="15" t="s">
        <v>598</v>
      </c>
      <c r="RXQ143" s="15" t="s">
        <v>598</v>
      </c>
      <c r="RXR143" s="15" t="s">
        <v>598</v>
      </c>
      <c r="RXS143" s="15" t="s">
        <v>598</v>
      </c>
      <c r="RXT143" s="15" t="s">
        <v>598</v>
      </c>
      <c r="RXU143" s="15" t="s">
        <v>598</v>
      </c>
      <c r="RXV143" s="15" t="s">
        <v>598</v>
      </c>
      <c r="RXW143" s="15" t="s">
        <v>598</v>
      </c>
      <c r="RXX143" s="15" t="s">
        <v>598</v>
      </c>
      <c r="RXY143" s="15" t="s">
        <v>598</v>
      </c>
      <c r="RXZ143" s="15" t="s">
        <v>598</v>
      </c>
      <c r="RYA143" s="15" t="s">
        <v>598</v>
      </c>
      <c r="RYB143" s="15" t="s">
        <v>598</v>
      </c>
      <c r="RYC143" s="15" t="s">
        <v>598</v>
      </c>
      <c r="RYD143" s="15" t="s">
        <v>598</v>
      </c>
      <c r="RYE143" s="15" t="s">
        <v>598</v>
      </c>
      <c r="RYF143" s="15" t="s">
        <v>598</v>
      </c>
      <c r="RYG143" s="15" t="s">
        <v>598</v>
      </c>
      <c r="RYH143" s="15" t="s">
        <v>598</v>
      </c>
      <c r="RYI143" s="15" t="s">
        <v>598</v>
      </c>
      <c r="RYJ143" s="15" t="s">
        <v>598</v>
      </c>
      <c r="RYK143" s="15" t="s">
        <v>598</v>
      </c>
      <c r="RYL143" s="15" t="s">
        <v>598</v>
      </c>
      <c r="RYM143" s="15" t="s">
        <v>598</v>
      </c>
      <c r="RYN143" s="15" t="s">
        <v>598</v>
      </c>
      <c r="RYO143" s="15" t="s">
        <v>598</v>
      </c>
      <c r="RYP143" s="15" t="s">
        <v>598</v>
      </c>
      <c r="RYQ143" s="15" t="s">
        <v>598</v>
      </c>
      <c r="RYR143" s="15" t="s">
        <v>598</v>
      </c>
      <c r="RYS143" s="15" t="s">
        <v>598</v>
      </c>
      <c r="RYT143" s="15" t="s">
        <v>598</v>
      </c>
      <c r="RYU143" s="15" t="s">
        <v>598</v>
      </c>
      <c r="RYV143" s="15" t="s">
        <v>598</v>
      </c>
      <c r="RYW143" s="15" t="s">
        <v>598</v>
      </c>
      <c r="RYX143" s="15" t="s">
        <v>598</v>
      </c>
      <c r="RYY143" s="15" t="s">
        <v>598</v>
      </c>
      <c r="RYZ143" s="15" t="s">
        <v>598</v>
      </c>
      <c r="RZA143" s="15" t="s">
        <v>598</v>
      </c>
      <c r="RZB143" s="15" t="s">
        <v>598</v>
      </c>
      <c r="RZC143" s="15" t="s">
        <v>598</v>
      </c>
      <c r="RZD143" s="15" t="s">
        <v>598</v>
      </c>
      <c r="RZE143" s="15" t="s">
        <v>598</v>
      </c>
      <c r="RZF143" s="15" t="s">
        <v>598</v>
      </c>
      <c r="RZG143" s="15" t="s">
        <v>598</v>
      </c>
      <c r="RZH143" s="15" t="s">
        <v>598</v>
      </c>
      <c r="RZI143" s="15" t="s">
        <v>598</v>
      </c>
      <c r="RZJ143" s="15" t="s">
        <v>598</v>
      </c>
      <c r="RZK143" s="15" t="s">
        <v>598</v>
      </c>
      <c r="RZL143" s="15" t="s">
        <v>598</v>
      </c>
      <c r="RZM143" s="15" t="s">
        <v>598</v>
      </c>
      <c r="RZN143" s="15" t="s">
        <v>598</v>
      </c>
      <c r="RZO143" s="15" t="s">
        <v>598</v>
      </c>
      <c r="RZP143" s="15" t="s">
        <v>598</v>
      </c>
      <c r="RZQ143" s="15" t="s">
        <v>598</v>
      </c>
      <c r="RZR143" s="15" t="s">
        <v>598</v>
      </c>
      <c r="RZS143" s="15" t="s">
        <v>598</v>
      </c>
      <c r="RZT143" s="15" t="s">
        <v>598</v>
      </c>
      <c r="RZU143" s="15" t="s">
        <v>598</v>
      </c>
      <c r="RZV143" s="15" t="s">
        <v>598</v>
      </c>
      <c r="RZW143" s="15" t="s">
        <v>598</v>
      </c>
      <c r="RZX143" s="15" t="s">
        <v>598</v>
      </c>
      <c r="RZY143" s="15" t="s">
        <v>598</v>
      </c>
      <c r="RZZ143" s="15" t="s">
        <v>598</v>
      </c>
      <c r="SAA143" s="15" t="s">
        <v>598</v>
      </c>
      <c r="SAB143" s="15" t="s">
        <v>598</v>
      </c>
      <c r="SAC143" s="15" t="s">
        <v>598</v>
      </c>
      <c r="SAD143" s="15" t="s">
        <v>598</v>
      </c>
      <c r="SAE143" s="15" t="s">
        <v>598</v>
      </c>
      <c r="SAF143" s="15" t="s">
        <v>598</v>
      </c>
      <c r="SAG143" s="15" t="s">
        <v>598</v>
      </c>
      <c r="SAH143" s="15" t="s">
        <v>598</v>
      </c>
      <c r="SAI143" s="15" t="s">
        <v>598</v>
      </c>
      <c r="SAJ143" s="15" t="s">
        <v>598</v>
      </c>
      <c r="SAK143" s="15" t="s">
        <v>598</v>
      </c>
      <c r="SAL143" s="15" t="s">
        <v>598</v>
      </c>
      <c r="SAM143" s="15" t="s">
        <v>598</v>
      </c>
      <c r="SAN143" s="15" t="s">
        <v>598</v>
      </c>
      <c r="SAO143" s="15" t="s">
        <v>598</v>
      </c>
      <c r="SAP143" s="15" t="s">
        <v>598</v>
      </c>
      <c r="SAQ143" s="15" t="s">
        <v>598</v>
      </c>
      <c r="SAR143" s="15" t="s">
        <v>598</v>
      </c>
      <c r="SAS143" s="15" t="s">
        <v>598</v>
      </c>
      <c r="SAT143" s="15" t="s">
        <v>598</v>
      </c>
      <c r="SAU143" s="15" t="s">
        <v>598</v>
      </c>
      <c r="SAV143" s="15" t="s">
        <v>598</v>
      </c>
      <c r="SAW143" s="15" t="s">
        <v>598</v>
      </c>
      <c r="SAX143" s="15" t="s">
        <v>598</v>
      </c>
      <c r="SAY143" s="15" t="s">
        <v>598</v>
      </c>
      <c r="SAZ143" s="15" t="s">
        <v>598</v>
      </c>
      <c r="SBA143" s="15" t="s">
        <v>598</v>
      </c>
      <c r="SBB143" s="15" t="s">
        <v>598</v>
      </c>
      <c r="SBC143" s="15" t="s">
        <v>598</v>
      </c>
      <c r="SBD143" s="15" t="s">
        <v>598</v>
      </c>
      <c r="SBE143" s="15" t="s">
        <v>598</v>
      </c>
      <c r="SBF143" s="15" t="s">
        <v>598</v>
      </c>
      <c r="SBG143" s="15" t="s">
        <v>598</v>
      </c>
      <c r="SBH143" s="15" t="s">
        <v>598</v>
      </c>
      <c r="SBI143" s="15" t="s">
        <v>598</v>
      </c>
      <c r="SBJ143" s="15" t="s">
        <v>598</v>
      </c>
      <c r="SBK143" s="15" t="s">
        <v>598</v>
      </c>
      <c r="SBL143" s="15" t="s">
        <v>598</v>
      </c>
      <c r="SBM143" s="15" t="s">
        <v>598</v>
      </c>
      <c r="SBN143" s="15" t="s">
        <v>598</v>
      </c>
      <c r="SBO143" s="15" t="s">
        <v>598</v>
      </c>
      <c r="SBP143" s="15" t="s">
        <v>598</v>
      </c>
      <c r="SBQ143" s="15" t="s">
        <v>598</v>
      </c>
      <c r="SBR143" s="15" t="s">
        <v>598</v>
      </c>
      <c r="SBS143" s="15" t="s">
        <v>598</v>
      </c>
      <c r="SBT143" s="15" t="s">
        <v>598</v>
      </c>
      <c r="SBU143" s="15" t="s">
        <v>598</v>
      </c>
      <c r="SBV143" s="15" t="s">
        <v>598</v>
      </c>
      <c r="SBW143" s="15" t="s">
        <v>598</v>
      </c>
      <c r="SBX143" s="15" t="s">
        <v>598</v>
      </c>
      <c r="SBY143" s="15" t="s">
        <v>598</v>
      </c>
      <c r="SBZ143" s="15" t="s">
        <v>598</v>
      </c>
      <c r="SCA143" s="15" t="s">
        <v>598</v>
      </c>
      <c r="SCB143" s="15" t="s">
        <v>598</v>
      </c>
      <c r="SCC143" s="15" t="s">
        <v>598</v>
      </c>
      <c r="SCD143" s="15" t="s">
        <v>598</v>
      </c>
      <c r="SCE143" s="15" t="s">
        <v>598</v>
      </c>
      <c r="SCF143" s="15" t="s">
        <v>598</v>
      </c>
      <c r="SCG143" s="15" t="s">
        <v>598</v>
      </c>
      <c r="SCH143" s="15" t="s">
        <v>598</v>
      </c>
      <c r="SCI143" s="15" t="s">
        <v>598</v>
      </c>
      <c r="SCJ143" s="15" t="s">
        <v>598</v>
      </c>
      <c r="SCK143" s="15" t="s">
        <v>598</v>
      </c>
      <c r="SCL143" s="15" t="s">
        <v>598</v>
      </c>
      <c r="SCM143" s="15" t="s">
        <v>598</v>
      </c>
      <c r="SCN143" s="15" t="s">
        <v>598</v>
      </c>
      <c r="SCO143" s="15" t="s">
        <v>598</v>
      </c>
      <c r="SCP143" s="15" t="s">
        <v>598</v>
      </c>
      <c r="SCQ143" s="15" t="s">
        <v>598</v>
      </c>
      <c r="SCR143" s="15" t="s">
        <v>598</v>
      </c>
      <c r="SCS143" s="15" t="s">
        <v>598</v>
      </c>
      <c r="SCT143" s="15" t="s">
        <v>598</v>
      </c>
      <c r="SCU143" s="15" t="s">
        <v>598</v>
      </c>
      <c r="SCV143" s="15" t="s">
        <v>598</v>
      </c>
      <c r="SCW143" s="15" t="s">
        <v>598</v>
      </c>
      <c r="SCX143" s="15" t="s">
        <v>598</v>
      </c>
      <c r="SCY143" s="15" t="s">
        <v>598</v>
      </c>
      <c r="SCZ143" s="15" t="s">
        <v>598</v>
      </c>
      <c r="SDA143" s="15" t="s">
        <v>598</v>
      </c>
      <c r="SDB143" s="15" t="s">
        <v>598</v>
      </c>
      <c r="SDC143" s="15" t="s">
        <v>598</v>
      </c>
      <c r="SDD143" s="15" t="s">
        <v>598</v>
      </c>
      <c r="SDE143" s="15" t="s">
        <v>598</v>
      </c>
      <c r="SDF143" s="15" t="s">
        <v>598</v>
      </c>
      <c r="SDG143" s="15" t="s">
        <v>598</v>
      </c>
      <c r="SDH143" s="15" t="s">
        <v>598</v>
      </c>
      <c r="SDI143" s="15" t="s">
        <v>598</v>
      </c>
      <c r="SDJ143" s="15" t="s">
        <v>598</v>
      </c>
      <c r="SDK143" s="15" t="s">
        <v>598</v>
      </c>
      <c r="SDL143" s="15" t="s">
        <v>598</v>
      </c>
      <c r="SDM143" s="15" t="s">
        <v>598</v>
      </c>
      <c r="SDN143" s="15" t="s">
        <v>598</v>
      </c>
      <c r="SDO143" s="15" t="s">
        <v>598</v>
      </c>
      <c r="SDP143" s="15" t="s">
        <v>598</v>
      </c>
      <c r="SDQ143" s="15" t="s">
        <v>598</v>
      </c>
      <c r="SDR143" s="15" t="s">
        <v>598</v>
      </c>
      <c r="SDS143" s="15" t="s">
        <v>598</v>
      </c>
      <c r="SDT143" s="15" t="s">
        <v>598</v>
      </c>
      <c r="SDU143" s="15" t="s">
        <v>598</v>
      </c>
      <c r="SDV143" s="15" t="s">
        <v>598</v>
      </c>
      <c r="SDW143" s="15" t="s">
        <v>598</v>
      </c>
      <c r="SDX143" s="15" t="s">
        <v>598</v>
      </c>
      <c r="SDY143" s="15" t="s">
        <v>598</v>
      </c>
      <c r="SDZ143" s="15" t="s">
        <v>598</v>
      </c>
      <c r="SEA143" s="15" t="s">
        <v>598</v>
      </c>
      <c r="SEB143" s="15" t="s">
        <v>598</v>
      </c>
      <c r="SEC143" s="15" t="s">
        <v>598</v>
      </c>
      <c r="SED143" s="15" t="s">
        <v>598</v>
      </c>
      <c r="SEE143" s="15" t="s">
        <v>598</v>
      </c>
      <c r="SEF143" s="15" t="s">
        <v>598</v>
      </c>
      <c r="SEG143" s="15" t="s">
        <v>598</v>
      </c>
      <c r="SEH143" s="15" t="s">
        <v>598</v>
      </c>
      <c r="SEI143" s="15" t="s">
        <v>598</v>
      </c>
      <c r="SEJ143" s="15" t="s">
        <v>598</v>
      </c>
      <c r="SEK143" s="15" t="s">
        <v>598</v>
      </c>
      <c r="SEL143" s="15" t="s">
        <v>598</v>
      </c>
      <c r="SEM143" s="15" t="s">
        <v>598</v>
      </c>
      <c r="SEN143" s="15" t="s">
        <v>598</v>
      </c>
      <c r="SEO143" s="15" t="s">
        <v>598</v>
      </c>
      <c r="SEP143" s="15" t="s">
        <v>598</v>
      </c>
      <c r="SEQ143" s="15" t="s">
        <v>598</v>
      </c>
      <c r="SER143" s="15" t="s">
        <v>598</v>
      </c>
      <c r="SES143" s="15" t="s">
        <v>598</v>
      </c>
      <c r="SET143" s="15" t="s">
        <v>598</v>
      </c>
      <c r="SEU143" s="15" t="s">
        <v>598</v>
      </c>
      <c r="SEV143" s="15" t="s">
        <v>598</v>
      </c>
      <c r="SEW143" s="15" t="s">
        <v>598</v>
      </c>
      <c r="SEX143" s="15" t="s">
        <v>598</v>
      </c>
      <c r="SEY143" s="15" t="s">
        <v>598</v>
      </c>
      <c r="SEZ143" s="15" t="s">
        <v>598</v>
      </c>
      <c r="SFA143" s="15" t="s">
        <v>598</v>
      </c>
      <c r="SFB143" s="15" t="s">
        <v>598</v>
      </c>
      <c r="SFC143" s="15" t="s">
        <v>598</v>
      </c>
      <c r="SFD143" s="15" t="s">
        <v>598</v>
      </c>
      <c r="SFE143" s="15" t="s">
        <v>598</v>
      </c>
      <c r="SFF143" s="15" t="s">
        <v>598</v>
      </c>
      <c r="SFG143" s="15" t="s">
        <v>598</v>
      </c>
      <c r="SFH143" s="15" t="s">
        <v>598</v>
      </c>
      <c r="SFI143" s="15" t="s">
        <v>598</v>
      </c>
      <c r="SFJ143" s="15" t="s">
        <v>598</v>
      </c>
      <c r="SFK143" s="15" t="s">
        <v>598</v>
      </c>
      <c r="SFL143" s="15" t="s">
        <v>598</v>
      </c>
      <c r="SFM143" s="15" t="s">
        <v>598</v>
      </c>
      <c r="SFN143" s="15" t="s">
        <v>598</v>
      </c>
      <c r="SFO143" s="15" t="s">
        <v>598</v>
      </c>
      <c r="SFP143" s="15" t="s">
        <v>598</v>
      </c>
      <c r="SFQ143" s="15" t="s">
        <v>598</v>
      </c>
      <c r="SFR143" s="15" t="s">
        <v>598</v>
      </c>
      <c r="SFS143" s="15" t="s">
        <v>598</v>
      </c>
      <c r="SFT143" s="15" t="s">
        <v>598</v>
      </c>
      <c r="SFU143" s="15" t="s">
        <v>598</v>
      </c>
      <c r="SFV143" s="15" t="s">
        <v>598</v>
      </c>
      <c r="SFW143" s="15" t="s">
        <v>598</v>
      </c>
      <c r="SFX143" s="15" t="s">
        <v>598</v>
      </c>
      <c r="SFY143" s="15" t="s">
        <v>598</v>
      </c>
      <c r="SFZ143" s="15" t="s">
        <v>598</v>
      </c>
      <c r="SGA143" s="15" t="s">
        <v>598</v>
      </c>
      <c r="SGB143" s="15" t="s">
        <v>598</v>
      </c>
      <c r="SGC143" s="15" t="s">
        <v>598</v>
      </c>
      <c r="SGD143" s="15" t="s">
        <v>598</v>
      </c>
      <c r="SGE143" s="15" t="s">
        <v>598</v>
      </c>
      <c r="SGF143" s="15" t="s">
        <v>598</v>
      </c>
      <c r="SGG143" s="15" t="s">
        <v>598</v>
      </c>
      <c r="SGH143" s="15" t="s">
        <v>598</v>
      </c>
      <c r="SGI143" s="15" t="s">
        <v>598</v>
      </c>
      <c r="SGJ143" s="15" t="s">
        <v>598</v>
      </c>
      <c r="SGK143" s="15" t="s">
        <v>598</v>
      </c>
      <c r="SGL143" s="15" t="s">
        <v>598</v>
      </c>
      <c r="SGM143" s="15" t="s">
        <v>598</v>
      </c>
      <c r="SGN143" s="15" t="s">
        <v>598</v>
      </c>
      <c r="SGO143" s="15" t="s">
        <v>598</v>
      </c>
      <c r="SGP143" s="15" t="s">
        <v>598</v>
      </c>
      <c r="SGQ143" s="15" t="s">
        <v>598</v>
      </c>
      <c r="SGR143" s="15" t="s">
        <v>598</v>
      </c>
      <c r="SGS143" s="15" t="s">
        <v>598</v>
      </c>
      <c r="SGT143" s="15" t="s">
        <v>598</v>
      </c>
      <c r="SGU143" s="15" t="s">
        <v>598</v>
      </c>
      <c r="SGV143" s="15" t="s">
        <v>598</v>
      </c>
      <c r="SGW143" s="15" t="s">
        <v>598</v>
      </c>
      <c r="SGX143" s="15" t="s">
        <v>598</v>
      </c>
      <c r="SGY143" s="15" t="s">
        <v>598</v>
      </c>
      <c r="SGZ143" s="15" t="s">
        <v>598</v>
      </c>
      <c r="SHA143" s="15" t="s">
        <v>598</v>
      </c>
      <c r="SHB143" s="15" t="s">
        <v>598</v>
      </c>
      <c r="SHC143" s="15" t="s">
        <v>598</v>
      </c>
      <c r="SHD143" s="15" t="s">
        <v>598</v>
      </c>
      <c r="SHE143" s="15" t="s">
        <v>598</v>
      </c>
      <c r="SHF143" s="15" t="s">
        <v>598</v>
      </c>
      <c r="SHG143" s="15" t="s">
        <v>598</v>
      </c>
      <c r="SHH143" s="15" t="s">
        <v>598</v>
      </c>
      <c r="SHI143" s="15" t="s">
        <v>598</v>
      </c>
      <c r="SHJ143" s="15" t="s">
        <v>598</v>
      </c>
      <c r="SHK143" s="15" t="s">
        <v>598</v>
      </c>
      <c r="SHL143" s="15" t="s">
        <v>598</v>
      </c>
      <c r="SHM143" s="15" t="s">
        <v>598</v>
      </c>
      <c r="SHN143" s="15" t="s">
        <v>598</v>
      </c>
      <c r="SHO143" s="15" t="s">
        <v>598</v>
      </c>
      <c r="SHP143" s="15" t="s">
        <v>598</v>
      </c>
      <c r="SHQ143" s="15" t="s">
        <v>598</v>
      </c>
      <c r="SHR143" s="15" t="s">
        <v>598</v>
      </c>
      <c r="SHS143" s="15" t="s">
        <v>598</v>
      </c>
      <c r="SHT143" s="15" t="s">
        <v>598</v>
      </c>
      <c r="SHU143" s="15" t="s">
        <v>598</v>
      </c>
      <c r="SHV143" s="15" t="s">
        <v>598</v>
      </c>
      <c r="SHW143" s="15" t="s">
        <v>598</v>
      </c>
      <c r="SHX143" s="15" t="s">
        <v>598</v>
      </c>
      <c r="SHY143" s="15" t="s">
        <v>598</v>
      </c>
      <c r="SHZ143" s="15" t="s">
        <v>598</v>
      </c>
      <c r="SIA143" s="15" t="s">
        <v>598</v>
      </c>
      <c r="SIB143" s="15" t="s">
        <v>598</v>
      </c>
      <c r="SIC143" s="15" t="s">
        <v>598</v>
      </c>
      <c r="SID143" s="15" t="s">
        <v>598</v>
      </c>
      <c r="SIE143" s="15" t="s">
        <v>598</v>
      </c>
      <c r="SIF143" s="15" t="s">
        <v>598</v>
      </c>
      <c r="SIG143" s="15" t="s">
        <v>598</v>
      </c>
      <c r="SIH143" s="15" t="s">
        <v>598</v>
      </c>
      <c r="SII143" s="15" t="s">
        <v>598</v>
      </c>
      <c r="SIJ143" s="15" t="s">
        <v>598</v>
      </c>
      <c r="SIK143" s="15" t="s">
        <v>598</v>
      </c>
      <c r="SIL143" s="15" t="s">
        <v>598</v>
      </c>
      <c r="SIM143" s="15" t="s">
        <v>598</v>
      </c>
      <c r="SIN143" s="15" t="s">
        <v>598</v>
      </c>
      <c r="SIO143" s="15" t="s">
        <v>598</v>
      </c>
      <c r="SIP143" s="15" t="s">
        <v>598</v>
      </c>
      <c r="SIQ143" s="15" t="s">
        <v>598</v>
      </c>
      <c r="SIR143" s="15" t="s">
        <v>598</v>
      </c>
      <c r="SIS143" s="15" t="s">
        <v>598</v>
      </c>
      <c r="SIT143" s="15" t="s">
        <v>598</v>
      </c>
      <c r="SIU143" s="15" t="s">
        <v>598</v>
      </c>
      <c r="SIV143" s="15" t="s">
        <v>598</v>
      </c>
      <c r="SIW143" s="15" t="s">
        <v>598</v>
      </c>
      <c r="SIX143" s="15" t="s">
        <v>598</v>
      </c>
      <c r="SIY143" s="15" t="s">
        <v>598</v>
      </c>
      <c r="SIZ143" s="15" t="s">
        <v>598</v>
      </c>
      <c r="SJA143" s="15" t="s">
        <v>598</v>
      </c>
      <c r="SJB143" s="15" t="s">
        <v>598</v>
      </c>
      <c r="SJC143" s="15" t="s">
        <v>598</v>
      </c>
      <c r="SJD143" s="15" t="s">
        <v>598</v>
      </c>
      <c r="SJE143" s="15" t="s">
        <v>598</v>
      </c>
      <c r="SJF143" s="15" t="s">
        <v>598</v>
      </c>
      <c r="SJG143" s="15" t="s">
        <v>598</v>
      </c>
      <c r="SJH143" s="15" t="s">
        <v>598</v>
      </c>
      <c r="SJI143" s="15" t="s">
        <v>598</v>
      </c>
      <c r="SJJ143" s="15" t="s">
        <v>598</v>
      </c>
      <c r="SJK143" s="15" t="s">
        <v>598</v>
      </c>
      <c r="SJL143" s="15" t="s">
        <v>598</v>
      </c>
      <c r="SJM143" s="15" t="s">
        <v>598</v>
      </c>
      <c r="SJN143" s="15" t="s">
        <v>598</v>
      </c>
      <c r="SJO143" s="15" t="s">
        <v>598</v>
      </c>
      <c r="SJP143" s="15" t="s">
        <v>598</v>
      </c>
      <c r="SJQ143" s="15" t="s">
        <v>598</v>
      </c>
      <c r="SJR143" s="15" t="s">
        <v>598</v>
      </c>
      <c r="SJS143" s="15" t="s">
        <v>598</v>
      </c>
      <c r="SJT143" s="15" t="s">
        <v>598</v>
      </c>
      <c r="SJU143" s="15" t="s">
        <v>598</v>
      </c>
      <c r="SJV143" s="15" t="s">
        <v>598</v>
      </c>
      <c r="SJW143" s="15" t="s">
        <v>598</v>
      </c>
      <c r="SJX143" s="15" t="s">
        <v>598</v>
      </c>
      <c r="SJY143" s="15" t="s">
        <v>598</v>
      </c>
      <c r="SJZ143" s="15" t="s">
        <v>598</v>
      </c>
      <c r="SKA143" s="15" t="s">
        <v>598</v>
      </c>
      <c r="SKB143" s="15" t="s">
        <v>598</v>
      </c>
      <c r="SKC143" s="15" t="s">
        <v>598</v>
      </c>
      <c r="SKD143" s="15" t="s">
        <v>598</v>
      </c>
      <c r="SKE143" s="15" t="s">
        <v>598</v>
      </c>
      <c r="SKF143" s="15" t="s">
        <v>598</v>
      </c>
      <c r="SKG143" s="15" t="s">
        <v>598</v>
      </c>
      <c r="SKH143" s="15" t="s">
        <v>598</v>
      </c>
      <c r="SKI143" s="15" t="s">
        <v>598</v>
      </c>
      <c r="SKJ143" s="15" t="s">
        <v>598</v>
      </c>
      <c r="SKK143" s="15" t="s">
        <v>598</v>
      </c>
      <c r="SKL143" s="15" t="s">
        <v>598</v>
      </c>
      <c r="SKM143" s="15" t="s">
        <v>598</v>
      </c>
      <c r="SKN143" s="15" t="s">
        <v>598</v>
      </c>
      <c r="SKO143" s="15" t="s">
        <v>598</v>
      </c>
      <c r="SKP143" s="15" t="s">
        <v>598</v>
      </c>
      <c r="SKQ143" s="15" t="s">
        <v>598</v>
      </c>
      <c r="SKR143" s="15" t="s">
        <v>598</v>
      </c>
      <c r="SKS143" s="15" t="s">
        <v>598</v>
      </c>
      <c r="SKT143" s="15" t="s">
        <v>598</v>
      </c>
      <c r="SKU143" s="15" t="s">
        <v>598</v>
      </c>
      <c r="SKV143" s="15" t="s">
        <v>598</v>
      </c>
      <c r="SKW143" s="15" t="s">
        <v>598</v>
      </c>
      <c r="SKX143" s="15" t="s">
        <v>598</v>
      </c>
      <c r="SKY143" s="15" t="s">
        <v>598</v>
      </c>
      <c r="SKZ143" s="15" t="s">
        <v>598</v>
      </c>
      <c r="SLA143" s="15" t="s">
        <v>598</v>
      </c>
      <c r="SLB143" s="15" t="s">
        <v>598</v>
      </c>
      <c r="SLC143" s="15" t="s">
        <v>598</v>
      </c>
      <c r="SLD143" s="15" t="s">
        <v>598</v>
      </c>
      <c r="SLE143" s="15" t="s">
        <v>598</v>
      </c>
      <c r="SLF143" s="15" t="s">
        <v>598</v>
      </c>
      <c r="SLG143" s="15" t="s">
        <v>598</v>
      </c>
      <c r="SLH143" s="15" t="s">
        <v>598</v>
      </c>
      <c r="SLI143" s="15" t="s">
        <v>598</v>
      </c>
      <c r="SLJ143" s="15" t="s">
        <v>598</v>
      </c>
      <c r="SLK143" s="15" t="s">
        <v>598</v>
      </c>
      <c r="SLL143" s="15" t="s">
        <v>598</v>
      </c>
      <c r="SLM143" s="15" t="s">
        <v>598</v>
      </c>
      <c r="SLN143" s="15" t="s">
        <v>598</v>
      </c>
      <c r="SLO143" s="15" t="s">
        <v>598</v>
      </c>
      <c r="SLP143" s="15" t="s">
        <v>598</v>
      </c>
      <c r="SLQ143" s="15" t="s">
        <v>598</v>
      </c>
      <c r="SLR143" s="15" t="s">
        <v>598</v>
      </c>
      <c r="SLS143" s="15" t="s">
        <v>598</v>
      </c>
      <c r="SLT143" s="15" t="s">
        <v>598</v>
      </c>
      <c r="SLU143" s="15" t="s">
        <v>598</v>
      </c>
      <c r="SLV143" s="15" t="s">
        <v>598</v>
      </c>
      <c r="SLW143" s="15" t="s">
        <v>598</v>
      </c>
      <c r="SLX143" s="15" t="s">
        <v>598</v>
      </c>
      <c r="SLY143" s="15" t="s">
        <v>598</v>
      </c>
      <c r="SLZ143" s="15" t="s">
        <v>598</v>
      </c>
      <c r="SMA143" s="15" t="s">
        <v>598</v>
      </c>
      <c r="SMB143" s="15" t="s">
        <v>598</v>
      </c>
      <c r="SMC143" s="15" t="s">
        <v>598</v>
      </c>
      <c r="SMD143" s="15" t="s">
        <v>598</v>
      </c>
      <c r="SME143" s="15" t="s">
        <v>598</v>
      </c>
      <c r="SMF143" s="15" t="s">
        <v>598</v>
      </c>
      <c r="SMG143" s="15" t="s">
        <v>598</v>
      </c>
      <c r="SMH143" s="15" t="s">
        <v>598</v>
      </c>
      <c r="SMI143" s="15" t="s">
        <v>598</v>
      </c>
      <c r="SMJ143" s="15" t="s">
        <v>598</v>
      </c>
      <c r="SMK143" s="15" t="s">
        <v>598</v>
      </c>
      <c r="SML143" s="15" t="s">
        <v>598</v>
      </c>
      <c r="SMM143" s="15" t="s">
        <v>598</v>
      </c>
      <c r="SMN143" s="15" t="s">
        <v>598</v>
      </c>
      <c r="SMO143" s="15" t="s">
        <v>598</v>
      </c>
      <c r="SMP143" s="15" t="s">
        <v>598</v>
      </c>
      <c r="SMQ143" s="15" t="s">
        <v>598</v>
      </c>
      <c r="SMR143" s="15" t="s">
        <v>598</v>
      </c>
      <c r="SMS143" s="15" t="s">
        <v>598</v>
      </c>
      <c r="SMT143" s="15" t="s">
        <v>598</v>
      </c>
      <c r="SMU143" s="15" t="s">
        <v>598</v>
      </c>
      <c r="SMV143" s="15" t="s">
        <v>598</v>
      </c>
      <c r="SMW143" s="15" t="s">
        <v>598</v>
      </c>
      <c r="SMX143" s="15" t="s">
        <v>598</v>
      </c>
      <c r="SMY143" s="15" t="s">
        <v>598</v>
      </c>
      <c r="SMZ143" s="15" t="s">
        <v>598</v>
      </c>
      <c r="SNA143" s="15" t="s">
        <v>598</v>
      </c>
      <c r="SNB143" s="15" t="s">
        <v>598</v>
      </c>
      <c r="SNC143" s="15" t="s">
        <v>598</v>
      </c>
      <c r="SND143" s="15" t="s">
        <v>598</v>
      </c>
      <c r="SNE143" s="15" t="s">
        <v>598</v>
      </c>
      <c r="SNF143" s="15" t="s">
        <v>598</v>
      </c>
      <c r="SNG143" s="15" t="s">
        <v>598</v>
      </c>
      <c r="SNH143" s="15" t="s">
        <v>598</v>
      </c>
      <c r="SNI143" s="15" t="s">
        <v>598</v>
      </c>
      <c r="SNJ143" s="15" t="s">
        <v>598</v>
      </c>
      <c r="SNK143" s="15" t="s">
        <v>598</v>
      </c>
      <c r="SNL143" s="15" t="s">
        <v>598</v>
      </c>
      <c r="SNM143" s="15" t="s">
        <v>598</v>
      </c>
      <c r="SNN143" s="15" t="s">
        <v>598</v>
      </c>
      <c r="SNO143" s="15" t="s">
        <v>598</v>
      </c>
      <c r="SNP143" s="15" t="s">
        <v>598</v>
      </c>
      <c r="SNQ143" s="15" t="s">
        <v>598</v>
      </c>
      <c r="SNR143" s="15" t="s">
        <v>598</v>
      </c>
      <c r="SNS143" s="15" t="s">
        <v>598</v>
      </c>
      <c r="SNT143" s="15" t="s">
        <v>598</v>
      </c>
      <c r="SNU143" s="15" t="s">
        <v>598</v>
      </c>
      <c r="SNV143" s="15" t="s">
        <v>598</v>
      </c>
      <c r="SNW143" s="15" t="s">
        <v>598</v>
      </c>
      <c r="SNX143" s="15" t="s">
        <v>598</v>
      </c>
      <c r="SNY143" s="15" t="s">
        <v>598</v>
      </c>
      <c r="SNZ143" s="15" t="s">
        <v>598</v>
      </c>
      <c r="SOA143" s="15" t="s">
        <v>598</v>
      </c>
      <c r="SOB143" s="15" t="s">
        <v>598</v>
      </c>
      <c r="SOC143" s="15" t="s">
        <v>598</v>
      </c>
      <c r="SOD143" s="15" t="s">
        <v>598</v>
      </c>
      <c r="SOE143" s="15" t="s">
        <v>598</v>
      </c>
      <c r="SOF143" s="15" t="s">
        <v>598</v>
      </c>
      <c r="SOG143" s="15" t="s">
        <v>598</v>
      </c>
      <c r="SOH143" s="15" t="s">
        <v>598</v>
      </c>
      <c r="SOI143" s="15" t="s">
        <v>598</v>
      </c>
      <c r="SOJ143" s="15" t="s">
        <v>598</v>
      </c>
      <c r="SOK143" s="15" t="s">
        <v>598</v>
      </c>
      <c r="SOL143" s="15" t="s">
        <v>598</v>
      </c>
      <c r="SOM143" s="15" t="s">
        <v>598</v>
      </c>
      <c r="SON143" s="15" t="s">
        <v>598</v>
      </c>
      <c r="SOO143" s="15" t="s">
        <v>598</v>
      </c>
      <c r="SOP143" s="15" t="s">
        <v>598</v>
      </c>
      <c r="SOQ143" s="15" t="s">
        <v>598</v>
      </c>
      <c r="SOR143" s="15" t="s">
        <v>598</v>
      </c>
      <c r="SOS143" s="15" t="s">
        <v>598</v>
      </c>
      <c r="SOT143" s="15" t="s">
        <v>598</v>
      </c>
      <c r="SOU143" s="15" t="s">
        <v>598</v>
      </c>
      <c r="SOV143" s="15" t="s">
        <v>598</v>
      </c>
      <c r="SOW143" s="15" t="s">
        <v>598</v>
      </c>
      <c r="SOX143" s="15" t="s">
        <v>598</v>
      </c>
      <c r="SOY143" s="15" t="s">
        <v>598</v>
      </c>
      <c r="SOZ143" s="15" t="s">
        <v>598</v>
      </c>
      <c r="SPA143" s="15" t="s">
        <v>598</v>
      </c>
      <c r="SPB143" s="15" t="s">
        <v>598</v>
      </c>
      <c r="SPC143" s="15" t="s">
        <v>598</v>
      </c>
      <c r="SPD143" s="15" t="s">
        <v>598</v>
      </c>
      <c r="SPE143" s="15" t="s">
        <v>598</v>
      </c>
      <c r="SPF143" s="15" t="s">
        <v>598</v>
      </c>
      <c r="SPG143" s="15" t="s">
        <v>598</v>
      </c>
      <c r="SPH143" s="15" t="s">
        <v>598</v>
      </c>
      <c r="SPI143" s="15" t="s">
        <v>598</v>
      </c>
      <c r="SPJ143" s="15" t="s">
        <v>598</v>
      </c>
      <c r="SPK143" s="15" t="s">
        <v>598</v>
      </c>
      <c r="SPL143" s="15" t="s">
        <v>598</v>
      </c>
      <c r="SPM143" s="15" t="s">
        <v>598</v>
      </c>
      <c r="SPN143" s="15" t="s">
        <v>598</v>
      </c>
      <c r="SPO143" s="15" t="s">
        <v>598</v>
      </c>
      <c r="SPP143" s="15" t="s">
        <v>598</v>
      </c>
      <c r="SPQ143" s="15" t="s">
        <v>598</v>
      </c>
      <c r="SPR143" s="15" t="s">
        <v>598</v>
      </c>
      <c r="SPS143" s="15" t="s">
        <v>598</v>
      </c>
      <c r="SPT143" s="15" t="s">
        <v>598</v>
      </c>
      <c r="SPU143" s="15" t="s">
        <v>598</v>
      </c>
      <c r="SPV143" s="15" t="s">
        <v>598</v>
      </c>
      <c r="SPW143" s="15" t="s">
        <v>598</v>
      </c>
      <c r="SPX143" s="15" t="s">
        <v>598</v>
      </c>
      <c r="SPY143" s="15" t="s">
        <v>598</v>
      </c>
      <c r="SPZ143" s="15" t="s">
        <v>598</v>
      </c>
      <c r="SQA143" s="15" t="s">
        <v>598</v>
      </c>
      <c r="SQB143" s="15" t="s">
        <v>598</v>
      </c>
      <c r="SQC143" s="15" t="s">
        <v>598</v>
      </c>
      <c r="SQD143" s="15" t="s">
        <v>598</v>
      </c>
      <c r="SQE143" s="15" t="s">
        <v>598</v>
      </c>
      <c r="SQF143" s="15" t="s">
        <v>598</v>
      </c>
      <c r="SQG143" s="15" t="s">
        <v>598</v>
      </c>
      <c r="SQH143" s="15" t="s">
        <v>598</v>
      </c>
      <c r="SQI143" s="15" t="s">
        <v>598</v>
      </c>
      <c r="SQJ143" s="15" t="s">
        <v>598</v>
      </c>
      <c r="SQK143" s="15" t="s">
        <v>598</v>
      </c>
      <c r="SQL143" s="15" t="s">
        <v>598</v>
      </c>
      <c r="SQM143" s="15" t="s">
        <v>598</v>
      </c>
      <c r="SQN143" s="15" t="s">
        <v>598</v>
      </c>
      <c r="SQO143" s="15" t="s">
        <v>598</v>
      </c>
      <c r="SQP143" s="15" t="s">
        <v>598</v>
      </c>
      <c r="SQQ143" s="15" t="s">
        <v>598</v>
      </c>
      <c r="SQR143" s="15" t="s">
        <v>598</v>
      </c>
      <c r="SQS143" s="15" t="s">
        <v>598</v>
      </c>
      <c r="SQT143" s="15" t="s">
        <v>598</v>
      </c>
      <c r="SQU143" s="15" t="s">
        <v>598</v>
      </c>
      <c r="SQV143" s="15" t="s">
        <v>598</v>
      </c>
      <c r="SQW143" s="15" t="s">
        <v>598</v>
      </c>
      <c r="SQX143" s="15" t="s">
        <v>598</v>
      </c>
      <c r="SQY143" s="15" t="s">
        <v>598</v>
      </c>
      <c r="SQZ143" s="15" t="s">
        <v>598</v>
      </c>
      <c r="SRA143" s="15" t="s">
        <v>598</v>
      </c>
      <c r="SRB143" s="15" t="s">
        <v>598</v>
      </c>
      <c r="SRC143" s="15" t="s">
        <v>598</v>
      </c>
      <c r="SRD143" s="15" t="s">
        <v>598</v>
      </c>
      <c r="SRE143" s="15" t="s">
        <v>598</v>
      </c>
      <c r="SRF143" s="15" t="s">
        <v>598</v>
      </c>
      <c r="SRG143" s="15" t="s">
        <v>598</v>
      </c>
      <c r="SRH143" s="15" t="s">
        <v>598</v>
      </c>
      <c r="SRI143" s="15" t="s">
        <v>598</v>
      </c>
      <c r="SRJ143" s="15" t="s">
        <v>598</v>
      </c>
      <c r="SRK143" s="15" t="s">
        <v>598</v>
      </c>
      <c r="SRL143" s="15" t="s">
        <v>598</v>
      </c>
      <c r="SRM143" s="15" t="s">
        <v>598</v>
      </c>
      <c r="SRN143" s="15" t="s">
        <v>598</v>
      </c>
      <c r="SRO143" s="15" t="s">
        <v>598</v>
      </c>
      <c r="SRP143" s="15" t="s">
        <v>598</v>
      </c>
      <c r="SRQ143" s="15" t="s">
        <v>598</v>
      </c>
      <c r="SRR143" s="15" t="s">
        <v>598</v>
      </c>
      <c r="SRS143" s="15" t="s">
        <v>598</v>
      </c>
      <c r="SRT143" s="15" t="s">
        <v>598</v>
      </c>
      <c r="SRU143" s="15" t="s">
        <v>598</v>
      </c>
      <c r="SRV143" s="15" t="s">
        <v>598</v>
      </c>
      <c r="SRW143" s="15" t="s">
        <v>598</v>
      </c>
      <c r="SRX143" s="15" t="s">
        <v>598</v>
      </c>
      <c r="SRY143" s="15" t="s">
        <v>598</v>
      </c>
      <c r="SRZ143" s="15" t="s">
        <v>598</v>
      </c>
      <c r="SSA143" s="15" t="s">
        <v>598</v>
      </c>
      <c r="SSB143" s="15" t="s">
        <v>598</v>
      </c>
      <c r="SSC143" s="15" t="s">
        <v>598</v>
      </c>
      <c r="SSD143" s="15" t="s">
        <v>598</v>
      </c>
      <c r="SSE143" s="15" t="s">
        <v>598</v>
      </c>
      <c r="SSF143" s="15" t="s">
        <v>598</v>
      </c>
      <c r="SSG143" s="15" t="s">
        <v>598</v>
      </c>
      <c r="SSH143" s="15" t="s">
        <v>598</v>
      </c>
      <c r="SSI143" s="15" t="s">
        <v>598</v>
      </c>
      <c r="SSJ143" s="15" t="s">
        <v>598</v>
      </c>
      <c r="SSK143" s="15" t="s">
        <v>598</v>
      </c>
      <c r="SSL143" s="15" t="s">
        <v>598</v>
      </c>
      <c r="SSM143" s="15" t="s">
        <v>598</v>
      </c>
      <c r="SSN143" s="15" t="s">
        <v>598</v>
      </c>
      <c r="SSO143" s="15" t="s">
        <v>598</v>
      </c>
      <c r="SSP143" s="15" t="s">
        <v>598</v>
      </c>
      <c r="SSQ143" s="15" t="s">
        <v>598</v>
      </c>
      <c r="SSR143" s="15" t="s">
        <v>598</v>
      </c>
      <c r="SSS143" s="15" t="s">
        <v>598</v>
      </c>
      <c r="SST143" s="15" t="s">
        <v>598</v>
      </c>
      <c r="SSU143" s="15" t="s">
        <v>598</v>
      </c>
      <c r="SSV143" s="15" t="s">
        <v>598</v>
      </c>
      <c r="SSW143" s="15" t="s">
        <v>598</v>
      </c>
      <c r="SSX143" s="15" t="s">
        <v>598</v>
      </c>
      <c r="SSY143" s="15" t="s">
        <v>598</v>
      </c>
      <c r="SSZ143" s="15" t="s">
        <v>598</v>
      </c>
      <c r="STA143" s="15" t="s">
        <v>598</v>
      </c>
      <c r="STB143" s="15" t="s">
        <v>598</v>
      </c>
      <c r="STC143" s="15" t="s">
        <v>598</v>
      </c>
      <c r="STD143" s="15" t="s">
        <v>598</v>
      </c>
      <c r="STE143" s="15" t="s">
        <v>598</v>
      </c>
      <c r="STF143" s="15" t="s">
        <v>598</v>
      </c>
      <c r="STG143" s="15" t="s">
        <v>598</v>
      </c>
      <c r="STH143" s="15" t="s">
        <v>598</v>
      </c>
      <c r="STI143" s="15" t="s">
        <v>598</v>
      </c>
      <c r="STJ143" s="15" t="s">
        <v>598</v>
      </c>
      <c r="STK143" s="15" t="s">
        <v>598</v>
      </c>
      <c r="STL143" s="15" t="s">
        <v>598</v>
      </c>
      <c r="STM143" s="15" t="s">
        <v>598</v>
      </c>
      <c r="STN143" s="15" t="s">
        <v>598</v>
      </c>
      <c r="STO143" s="15" t="s">
        <v>598</v>
      </c>
      <c r="STP143" s="15" t="s">
        <v>598</v>
      </c>
      <c r="STQ143" s="15" t="s">
        <v>598</v>
      </c>
      <c r="STR143" s="15" t="s">
        <v>598</v>
      </c>
      <c r="STS143" s="15" t="s">
        <v>598</v>
      </c>
      <c r="STT143" s="15" t="s">
        <v>598</v>
      </c>
      <c r="STU143" s="15" t="s">
        <v>598</v>
      </c>
      <c r="STV143" s="15" t="s">
        <v>598</v>
      </c>
      <c r="STW143" s="15" t="s">
        <v>598</v>
      </c>
      <c r="STX143" s="15" t="s">
        <v>598</v>
      </c>
      <c r="STY143" s="15" t="s">
        <v>598</v>
      </c>
      <c r="STZ143" s="15" t="s">
        <v>598</v>
      </c>
      <c r="SUA143" s="15" t="s">
        <v>598</v>
      </c>
      <c r="SUB143" s="15" t="s">
        <v>598</v>
      </c>
      <c r="SUC143" s="15" t="s">
        <v>598</v>
      </c>
      <c r="SUD143" s="15" t="s">
        <v>598</v>
      </c>
      <c r="SUE143" s="15" t="s">
        <v>598</v>
      </c>
      <c r="SUF143" s="15" t="s">
        <v>598</v>
      </c>
      <c r="SUG143" s="15" t="s">
        <v>598</v>
      </c>
      <c r="SUH143" s="15" t="s">
        <v>598</v>
      </c>
      <c r="SUI143" s="15" t="s">
        <v>598</v>
      </c>
      <c r="SUJ143" s="15" t="s">
        <v>598</v>
      </c>
      <c r="SUK143" s="15" t="s">
        <v>598</v>
      </c>
      <c r="SUL143" s="15" t="s">
        <v>598</v>
      </c>
      <c r="SUM143" s="15" t="s">
        <v>598</v>
      </c>
      <c r="SUN143" s="15" t="s">
        <v>598</v>
      </c>
      <c r="SUO143" s="15" t="s">
        <v>598</v>
      </c>
      <c r="SUP143" s="15" t="s">
        <v>598</v>
      </c>
      <c r="SUQ143" s="15" t="s">
        <v>598</v>
      </c>
      <c r="SUR143" s="15" t="s">
        <v>598</v>
      </c>
      <c r="SUS143" s="15" t="s">
        <v>598</v>
      </c>
      <c r="SUT143" s="15" t="s">
        <v>598</v>
      </c>
      <c r="SUU143" s="15" t="s">
        <v>598</v>
      </c>
      <c r="SUV143" s="15" t="s">
        <v>598</v>
      </c>
      <c r="SUW143" s="15" t="s">
        <v>598</v>
      </c>
      <c r="SUX143" s="15" t="s">
        <v>598</v>
      </c>
      <c r="SUY143" s="15" t="s">
        <v>598</v>
      </c>
      <c r="SUZ143" s="15" t="s">
        <v>598</v>
      </c>
      <c r="SVA143" s="15" t="s">
        <v>598</v>
      </c>
      <c r="SVB143" s="15" t="s">
        <v>598</v>
      </c>
      <c r="SVC143" s="15" t="s">
        <v>598</v>
      </c>
      <c r="SVD143" s="15" t="s">
        <v>598</v>
      </c>
      <c r="SVE143" s="15" t="s">
        <v>598</v>
      </c>
      <c r="SVF143" s="15" t="s">
        <v>598</v>
      </c>
      <c r="SVG143" s="15" t="s">
        <v>598</v>
      </c>
      <c r="SVH143" s="15" t="s">
        <v>598</v>
      </c>
      <c r="SVI143" s="15" t="s">
        <v>598</v>
      </c>
      <c r="SVJ143" s="15" t="s">
        <v>598</v>
      </c>
      <c r="SVK143" s="15" t="s">
        <v>598</v>
      </c>
      <c r="SVL143" s="15" t="s">
        <v>598</v>
      </c>
      <c r="SVM143" s="15" t="s">
        <v>598</v>
      </c>
      <c r="SVN143" s="15" t="s">
        <v>598</v>
      </c>
      <c r="SVO143" s="15" t="s">
        <v>598</v>
      </c>
      <c r="SVP143" s="15" t="s">
        <v>598</v>
      </c>
      <c r="SVQ143" s="15" t="s">
        <v>598</v>
      </c>
      <c r="SVR143" s="15" t="s">
        <v>598</v>
      </c>
      <c r="SVS143" s="15" t="s">
        <v>598</v>
      </c>
      <c r="SVT143" s="15" t="s">
        <v>598</v>
      </c>
      <c r="SVU143" s="15" t="s">
        <v>598</v>
      </c>
      <c r="SVV143" s="15" t="s">
        <v>598</v>
      </c>
      <c r="SVW143" s="15" t="s">
        <v>598</v>
      </c>
      <c r="SVX143" s="15" t="s">
        <v>598</v>
      </c>
      <c r="SVY143" s="15" t="s">
        <v>598</v>
      </c>
      <c r="SVZ143" s="15" t="s">
        <v>598</v>
      </c>
      <c r="SWA143" s="15" t="s">
        <v>598</v>
      </c>
      <c r="SWB143" s="15" t="s">
        <v>598</v>
      </c>
      <c r="SWC143" s="15" t="s">
        <v>598</v>
      </c>
      <c r="SWD143" s="15" t="s">
        <v>598</v>
      </c>
      <c r="SWE143" s="15" t="s">
        <v>598</v>
      </c>
      <c r="SWF143" s="15" t="s">
        <v>598</v>
      </c>
      <c r="SWG143" s="15" t="s">
        <v>598</v>
      </c>
      <c r="SWH143" s="15" t="s">
        <v>598</v>
      </c>
      <c r="SWI143" s="15" t="s">
        <v>598</v>
      </c>
      <c r="SWJ143" s="15" t="s">
        <v>598</v>
      </c>
      <c r="SWK143" s="15" t="s">
        <v>598</v>
      </c>
      <c r="SWL143" s="15" t="s">
        <v>598</v>
      </c>
      <c r="SWM143" s="15" t="s">
        <v>598</v>
      </c>
      <c r="SWN143" s="15" t="s">
        <v>598</v>
      </c>
      <c r="SWO143" s="15" t="s">
        <v>598</v>
      </c>
      <c r="SWP143" s="15" t="s">
        <v>598</v>
      </c>
      <c r="SWQ143" s="15" t="s">
        <v>598</v>
      </c>
      <c r="SWR143" s="15" t="s">
        <v>598</v>
      </c>
      <c r="SWS143" s="15" t="s">
        <v>598</v>
      </c>
      <c r="SWT143" s="15" t="s">
        <v>598</v>
      </c>
      <c r="SWU143" s="15" t="s">
        <v>598</v>
      </c>
      <c r="SWV143" s="15" t="s">
        <v>598</v>
      </c>
      <c r="SWW143" s="15" t="s">
        <v>598</v>
      </c>
      <c r="SWX143" s="15" t="s">
        <v>598</v>
      </c>
      <c r="SWY143" s="15" t="s">
        <v>598</v>
      </c>
      <c r="SWZ143" s="15" t="s">
        <v>598</v>
      </c>
      <c r="SXA143" s="15" t="s">
        <v>598</v>
      </c>
      <c r="SXB143" s="15" t="s">
        <v>598</v>
      </c>
      <c r="SXC143" s="15" t="s">
        <v>598</v>
      </c>
      <c r="SXD143" s="15" t="s">
        <v>598</v>
      </c>
      <c r="SXE143" s="15" t="s">
        <v>598</v>
      </c>
      <c r="SXF143" s="15" t="s">
        <v>598</v>
      </c>
      <c r="SXG143" s="15" t="s">
        <v>598</v>
      </c>
      <c r="SXH143" s="15" t="s">
        <v>598</v>
      </c>
      <c r="SXI143" s="15" t="s">
        <v>598</v>
      </c>
      <c r="SXJ143" s="15" t="s">
        <v>598</v>
      </c>
      <c r="SXK143" s="15" t="s">
        <v>598</v>
      </c>
      <c r="SXL143" s="15" t="s">
        <v>598</v>
      </c>
      <c r="SXM143" s="15" t="s">
        <v>598</v>
      </c>
      <c r="SXN143" s="15" t="s">
        <v>598</v>
      </c>
      <c r="SXO143" s="15" t="s">
        <v>598</v>
      </c>
      <c r="SXP143" s="15" t="s">
        <v>598</v>
      </c>
      <c r="SXQ143" s="15" t="s">
        <v>598</v>
      </c>
      <c r="SXR143" s="15" t="s">
        <v>598</v>
      </c>
      <c r="SXS143" s="15" t="s">
        <v>598</v>
      </c>
      <c r="SXT143" s="15" t="s">
        <v>598</v>
      </c>
      <c r="SXU143" s="15" t="s">
        <v>598</v>
      </c>
      <c r="SXV143" s="15" t="s">
        <v>598</v>
      </c>
      <c r="SXW143" s="15" t="s">
        <v>598</v>
      </c>
      <c r="SXX143" s="15" t="s">
        <v>598</v>
      </c>
      <c r="SXY143" s="15" t="s">
        <v>598</v>
      </c>
      <c r="SXZ143" s="15" t="s">
        <v>598</v>
      </c>
      <c r="SYA143" s="15" t="s">
        <v>598</v>
      </c>
      <c r="SYB143" s="15" t="s">
        <v>598</v>
      </c>
      <c r="SYC143" s="15" t="s">
        <v>598</v>
      </c>
      <c r="SYD143" s="15" t="s">
        <v>598</v>
      </c>
      <c r="SYE143" s="15" t="s">
        <v>598</v>
      </c>
      <c r="SYF143" s="15" t="s">
        <v>598</v>
      </c>
      <c r="SYG143" s="15" t="s">
        <v>598</v>
      </c>
      <c r="SYH143" s="15" t="s">
        <v>598</v>
      </c>
      <c r="SYI143" s="15" t="s">
        <v>598</v>
      </c>
      <c r="SYJ143" s="15" t="s">
        <v>598</v>
      </c>
      <c r="SYK143" s="15" t="s">
        <v>598</v>
      </c>
      <c r="SYL143" s="15" t="s">
        <v>598</v>
      </c>
      <c r="SYM143" s="15" t="s">
        <v>598</v>
      </c>
      <c r="SYN143" s="15" t="s">
        <v>598</v>
      </c>
      <c r="SYO143" s="15" t="s">
        <v>598</v>
      </c>
      <c r="SYP143" s="15" t="s">
        <v>598</v>
      </c>
      <c r="SYQ143" s="15" t="s">
        <v>598</v>
      </c>
      <c r="SYR143" s="15" t="s">
        <v>598</v>
      </c>
      <c r="SYS143" s="15" t="s">
        <v>598</v>
      </c>
      <c r="SYT143" s="15" t="s">
        <v>598</v>
      </c>
      <c r="SYU143" s="15" t="s">
        <v>598</v>
      </c>
      <c r="SYV143" s="15" t="s">
        <v>598</v>
      </c>
      <c r="SYW143" s="15" t="s">
        <v>598</v>
      </c>
      <c r="SYX143" s="15" t="s">
        <v>598</v>
      </c>
      <c r="SYY143" s="15" t="s">
        <v>598</v>
      </c>
      <c r="SYZ143" s="15" t="s">
        <v>598</v>
      </c>
      <c r="SZA143" s="15" t="s">
        <v>598</v>
      </c>
      <c r="SZB143" s="15" t="s">
        <v>598</v>
      </c>
      <c r="SZC143" s="15" t="s">
        <v>598</v>
      </c>
      <c r="SZD143" s="15" t="s">
        <v>598</v>
      </c>
      <c r="SZE143" s="15" t="s">
        <v>598</v>
      </c>
      <c r="SZF143" s="15" t="s">
        <v>598</v>
      </c>
      <c r="SZG143" s="15" t="s">
        <v>598</v>
      </c>
      <c r="SZH143" s="15" t="s">
        <v>598</v>
      </c>
      <c r="SZI143" s="15" t="s">
        <v>598</v>
      </c>
      <c r="SZJ143" s="15" t="s">
        <v>598</v>
      </c>
      <c r="SZK143" s="15" t="s">
        <v>598</v>
      </c>
      <c r="SZL143" s="15" t="s">
        <v>598</v>
      </c>
      <c r="SZM143" s="15" t="s">
        <v>598</v>
      </c>
      <c r="SZN143" s="15" t="s">
        <v>598</v>
      </c>
      <c r="SZO143" s="15" t="s">
        <v>598</v>
      </c>
      <c r="SZP143" s="15" t="s">
        <v>598</v>
      </c>
      <c r="SZQ143" s="15" t="s">
        <v>598</v>
      </c>
      <c r="SZR143" s="15" t="s">
        <v>598</v>
      </c>
      <c r="SZS143" s="15" t="s">
        <v>598</v>
      </c>
      <c r="SZT143" s="15" t="s">
        <v>598</v>
      </c>
      <c r="SZU143" s="15" t="s">
        <v>598</v>
      </c>
      <c r="SZV143" s="15" t="s">
        <v>598</v>
      </c>
      <c r="SZW143" s="15" t="s">
        <v>598</v>
      </c>
      <c r="SZX143" s="15" t="s">
        <v>598</v>
      </c>
      <c r="SZY143" s="15" t="s">
        <v>598</v>
      </c>
      <c r="SZZ143" s="15" t="s">
        <v>598</v>
      </c>
      <c r="TAA143" s="15" t="s">
        <v>598</v>
      </c>
      <c r="TAB143" s="15" t="s">
        <v>598</v>
      </c>
      <c r="TAC143" s="15" t="s">
        <v>598</v>
      </c>
      <c r="TAD143" s="15" t="s">
        <v>598</v>
      </c>
      <c r="TAE143" s="15" t="s">
        <v>598</v>
      </c>
      <c r="TAF143" s="15" t="s">
        <v>598</v>
      </c>
      <c r="TAG143" s="15" t="s">
        <v>598</v>
      </c>
      <c r="TAH143" s="15" t="s">
        <v>598</v>
      </c>
      <c r="TAI143" s="15" t="s">
        <v>598</v>
      </c>
      <c r="TAJ143" s="15" t="s">
        <v>598</v>
      </c>
      <c r="TAK143" s="15" t="s">
        <v>598</v>
      </c>
      <c r="TAL143" s="15" t="s">
        <v>598</v>
      </c>
      <c r="TAM143" s="15" t="s">
        <v>598</v>
      </c>
      <c r="TAN143" s="15" t="s">
        <v>598</v>
      </c>
      <c r="TAO143" s="15" t="s">
        <v>598</v>
      </c>
      <c r="TAP143" s="15" t="s">
        <v>598</v>
      </c>
      <c r="TAQ143" s="15" t="s">
        <v>598</v>
      </c>
      <c r="TAR143" s="15" t="s">
        <v>598</v>
      </c>
      <c r="TAS143" s="15" t="s">
        <v>598</v>
      </c>
      <c r="TAT143" s="15" t="s">
        <v>598</v>
      </c>
      <c r="TAU143" s="15" t="s">
        <v>598</v>
      </c>
      <c r="TAV143" s="15" t="s">
        <v>598</v>
      </c>
      <c r="TAW143" s="15" t="s">
        <v>598</v>
      </c>
      <c r="TAX143" s="15" t="s">
        <v>598</v>
      </c>
      <c r="TAY143" s="15" t="s">
        <v>598</v>
      </c>
      <c r="TAZ143" s="15" t="s">
        <v>598</v>
      </c>
      <c r="TBA143" s="15" t="s">
        <v>598</v>
      </c>
      <c r="TBB143" s="15" t="s">
        <v>598</v>
      </c>
      <c r="TBC143" s="15" t="s">
        <v>598</v>
      </c>
      <c r="TBD143" s="15" t="s">
        <v>598</v>
      </c>
      <c r="TBE143" s="15" t="s">
        <v>598</v>
      </c>
      <c r="TBF143" s="15" t="s">
        <v>598</v>
      </c>
      <c r="TBG143" s="15" t="s">
        <v>598</v>
      </c>
      <c r="TBH143" s="15" t="s">
        <v>598</v>
      </c>
      <c r="TBI143" s="15" t="s">
        <v>598</v>
      </c>
      <c r="TBJ143" s="15" t="s">
        <v>598</v>
      </c>
      <c r="TBK143" s="15" t="s">
        <v>598</v>
      </c>
      <c r="TBL143" s="15" t="s">
        <v>598</v>
      </c>
      <c r="TBM143" s="15" t="s">
        <v>598</v>
      </c>
      <c r="TBN143" s="15" t="s">
        <v>598</v>
      </c>
      <c r="TBO143" s="15" t="s">
        <v>598</v>
      </c>
      <c r="TBP143" s="15" t="s">
        <v>598</v>
      </c>
      <c r="TBQ143" s="15" t="s">
        <v>598</v>
      </c>
      <c r="TBR143" s="15" t="s">
        <v>598</v>
      </c>
      <c r="TBS143" s="15" t="s">
        <v>598</v>
      </c>
      <c r="TBT143" s="15" t="s">
        <v>598</v>
      </c>
      <c r="TBU143" s="15" t="s">
        <v>598</v>
      </c>
      <c r="TBV143" s="15" t="s">
        <v>598</v>
      </c>
      <c r="TBW143" s="15" t="s">
        <v>598</v>
      </c>
      <c r="TBX143" s="15" t="s">
        <v>598</v>
      </c>
      <c r="TBY143" s="15" t="s">
        <v>598</v>
      </c>
      <c r="TBZ143" s="15" t="s">
        <v>598</v>
      </c>
      <c r="TCA143" s="15" t="s">
        <v>598</v>
      </c>
      <c r="TCB143" s="15" t="s">
        <v>598</v>
      </c>
      <c r="TCC143" s="15" t="s">
        <v>598</v>
      </c>
      <c r="TCD143" s="15" t="s">
        <v>598</v>
      </c>
      <c r="TCE143" s="15" t="s">
        <v>598</v>
      </c>
      <c r="TCF143" s="15" t="s">
        <v>598</v>
      </c>
      <c r="TCG143" s="15" t="s">
        <v>598</v>
      </c>
      <c r="TCH143" s="15" t="s">
        <v>598</v>
      </c>
      <c r="TCI143" s="15" t="s">
        <v>598</v>
      </c>
      <c r="TCJ143" s="15" t="s">
        <v>598</v>
      </c>
      <c r="TCK143" s="15" t="s">
        <v>598</v>
      </c>
      <c r="TCL143" s="15" t="s">
        <v>598</v>
      </c>
      <c r="TCM143" s="15" t="s">
        <v>598</v>
      </c>
      <c r="TCN143" s="15" t="s">
        <v>598</v>
      </c>
      <c r="TCO143" s="15" t="s">
        <v>598</v>
      </c>
      <c r="TCP143" s="15" t="s">
        <v>598</v>
      </c>
      <c r="TCQ143" s="15" t="s">
        <v>598</v>
      </c>
      <c r="TCR143" s="15" t="s">
        <v>598</v>
      </c>
      <c r="TCS143" s="15" t="s">
        <v>598</v>
      </c>
      <c r="TCT143" s="15" t="s">
        <v>598</v>
      </c>
      <c r="TCU143" s="15" t="s">
        <v>598</v>
      </c>
      <c r="TCV143" s="15" t="s">
        <v>598</v>
      </c>
      <c r="TCW143" s="15" t="s">
        <v>598</v>
      </c>
      <c r="TCX143" s="15" t="s">
        <v>598</v>
      </c>
      <c r="TCY143" s="15" t="s">
        <v>598</v>
      </c>
      <c r="TCZ143" s="15" t="s">
        <v>598</v>
      </c>
      <c r="TDA143" s="15" t="s">
        <v>598</v>
      </c>
      <c r="TDB143" s="15" t="s">
        <v>598</v>
      </c>
      <c r="TDC143" s="15" t="s">
        <v>598</v>
      </c>
      <c r="TDD143" s="15" t="s">
        <v>598</v>
      </c>
      <c r="TDE143" s="15" t="s">
        <v>598</v>
      </c>
      <c r="TDF143" s="15" t="s">
        <v>598</v>
      </c>
      <c r="TDG143" s="15" t="s">
        <v>598</v>
      </c>
      <c r="TDH143" s="15" t="s">
        <v>598</v>
      </c>
      <c r="TDI143" s="15" t="s">
        <v>598</v>
      </c>
      <c r="TDJ143" s="15" t="s">
        <v>598</v>
      </c>
      <c r="TDK143" s="15" t="s">
        <v>598</v>
      </c>
      <c r="TDL143" s="15" t="s">
        <v>598</v>
      </c>
      <c r="TDM143" s="15" t="s">
        <v>598</v>
      </c>
      <c r="TDN143" s="15" t="s">
        <v>598</v>
      </c>
      <c r="TDO143" s="15" t="s">
        <v>598</v>
      </c>
      <c r="TDP143" s="15" t="s">
        <v>598</v>
      </c>
      <c r="TDQ143" s="15" t="s">
        <v>598</v>
      </c>
      <c r="TDR143" s="15" t="s">
        <v>598</v>
      </c>
      <c r="TDS143" s="15" t="s">
        <v>598</v>
      </c>
      <c r="TDT143" s="15" t="s">
        <v>598</v>
      </c>
      <c r="TDU143" s="15" t="s">
        <v>598</v>
      </c>
      <c r="TDV143" s="15" t="s">
        <v>598</v>
      </c>
      <c r="TDW143" s="15" t="s">
        <v>598</v>
      </c>
      <c r="TDX143" s="15" t="s">
        <v>598</v>
      </c>
      <c r="TDY143" s="15" t="s">
        <v>598</v>
      </c>
      <c r="TDZ143" s="15" t="s">
        <v>598</v>
      </c>
      <c r="TEA143" s="15" t="s">
        <v>598</v>
      </c>
      <c r="TEB143" s="15" t="s">
        <v>598</v>
      </c>
      <c r="TEC143" s="15" t="s">
        <v>598</v>
      </c>
      <c r="TED143" s="15" t="s">
        <v>598</v>
      </c>
      <c r="TEE143" s="15" t="s">
        <v>598</v>
      </c>
      <c r="TEF143" s="15" t="s">
        <v>598</v>
      </c>
      <c r="TEG143" s="15" t="s">
        <v>598</v>
      </c>
      <c r="TEH143" s="15" t="s">
        <v>598</v>
      </c>
      <c r="TEI143" s="15" t="s">
        <v>598</v>
      </c>
      <c r="TEJ143" s="15" t="s">
        <v>598</v>
      </c>
      <c r="TEK143" s="15" t="s">
        <v>598</v>
      </c>
      <c r="TEL143" s="15" t="s">
        <v>598</v>
      </c>
      <c r="TEM143" s="15" t="s">
        <v>598</v>
      </c>
      <c r="TEN143" s="15" t="s">
        <v>598</v>
      </c>
      <c r="TEO143" s="15" t="s">
        <v>598</v>
      </c>
      <c r="TEP143" s="15" t="s">
        <v>598</v>
      </c>
      <c r="TEQ143" s="15" t="s">
        <v>598</v>
      </c>
      <c r="TER143" s="15" t="s">
        <v>598</v>
      </c>
      <c r="TES143" s="15" t="s">
        <v>598</v>
      </c>
      <c r="TET143" s="15" t="s">
        <v>598</v>
      </c>
      <c r="TEU143" s="15" t="s">
        <v>598</v>
      </c>
      <c r="TEV143" s="15" t="s">
        <v>598</v>
      </c>
      <c r="TEW143" s="15" t="s">
        <v>598</v>
      </c>
      <c r="TEX143" s="15" t="s">
        <v>598</v>
      </c>
      <c r="TEY143" s="15" t="s">
        <v>598</v>
      </c>
      <c r="TEZ143" s="15" t="s">
        <v>598</v>
      </c>
      <c r="TFA143" s="15" t="s">
        <v>598</v>
      </c>
      <c r="TFB143" s="15" t="s">
        <v>598</v>
      </c>
      <c r="TFC143" s="15" t="s">
        <v>598</v>
      </c>
      <c r="TFD143" s="15" t="s">
        <v>598</v>
      </c>
      <c r="TFE143" s="15" t="s">
        <v>598</v>
      </c>
      <c r="TFF143" s="15" t="s">
        <v>598</v>
      </c>
      <c r="TFG143" s="15" t="s">
        <v>598</v>
      </c>
      <c r="TFH143" s="15" t="s">
        <v>598</v>
      </c>
      <c r="TFI143" s="15" t="s">
        <v>598</v>
      </c>
      <c r="TFJ143" s="15" t="s">
        <v>598</v>
      </c>
      <c r="TFK143" s="15" t="s">
        <v>598</v>
      </c>
      <c r="TFL143" s="15" t="s">
        <v>598</v>
      </c>
      <c r="TFM143" s="15" t="s">
        <v>598</v>
      </c>
      <c r="TFN143" s="15" t="s">
        <v>598</v>
      </c>
      <c r="TFO143" s="15" t="s">
        <v>598</v>
      </c>
      <c r="TFP143" s="15" t="s">
        <v>598</v>
      </c>
      <c r="TFQ143" s="15" t="s">
        <v>598</v>
      </c>
      <c r="TFR143" s="15" t="s">
        <v>598</v>
      </c>
      <c r="TFS143" s="15" t="s">
        <v>598</v>
      </c>
      <c r="TFT143" s="15" t="s">
        <v>598</v>
      </c>
      <c r="TFU143" s="15" t="s">
        <v>598</v>
      </c>
      <c r="TFV143" s="15" t="s">
        <v>598</v>
      </c>
      <c r="TFW143" s="15" t="s">
        <v>598</v>
      </c>
      <c r="TFX143" s="15" t="s">
        <v>598</v>
      </c>
      <c r="TFY143" s="15" t="s">
        <v>598</v>
      </c>
      <c r="TFZ143" s="15" t="s">
        <v>598</v>
      </c>
      <c r="TGA143" s="15" t="s">
        <v>598</v>
      </c>
      <c r="TGB143" s="15" t="s">
        <v>598</v>
      </c>
      <c r="TGC143" s="15" t="s">
        <v>598</v>
      </c>
      <c r="TGD143" s="15" t="s">
        <v>598</v>
      </c>
      <c r="TGE143" s="15" t="s">
        <v>598</v>
      </c>
      <c r="TGF143" s="15" t="s">
        <v>598</v>
      </c>
      <c r="TGG143" s="15" t="s">
        <v>598</v>
      </c>
      <c r="TGH143" s="15" t="s">
        <v>598</v>
      </c>
      <c r="TGI143" s="15" t="s">
        <v>598</v>
      </c>
      <c r="TGJ143" s="15" t="s">
        <v>598</v>
      </c>
      <c r="TGK143" s="15" t="s">
        <v>598</v>
      </c>
      <c r="TGL143" s="15" t="s">
        <v>598</v>
      </c>
      <c r="TGM143" s="15" t="s">
        <v>598</v>
      </c>
      <c r="TGN143" s="15" t="s">
        <v>598</v>
      </c>
      <c r="TGO143" s="15" t="s">
        <v>598</v>
      </c>
      <c r="TGP143" s="15" t="s">
        <v>598</v>
      </c>
      <c r="TGQ143" s="15" t="s">
        <v>598</v>
      </c>
      <c r="TGR143" s="15" t="s">
        <v>598</v>
      </c>
      <c r="TGS143" s="15" t="s">
        <v>598</v>
      </c>
      <c r="TGT143" s="15" t="s">
        <v>598</v>
      </c>
      <c r="TGU143" s="15" t="s">
        <v>598</v>
      </c>
      <c r="TGV143" s="15" t="s">
        <v>598</v>
      </c>
      <c r="TGW143" s="15" t="s">
        <v>598</v>
      </c>
      <c r="TGX143" s="15" t="s">
        <v>598</v>
      </c>
      <c r="TGY143" s="15" t="s">
        <v>598</v>
      </c>
      <c r="TGZ143" s="15" t="s">
        <v>598</v>
      </c>
      <c r="THA143" s="15" t="s">
        <v>598</v>
      </c>
      <c r="THB143" s="15" t="s">
        <v>598</v>
      </c>
      <c r="THC143" s="15" t="s">
        <v>598</v>
      </c>
      <c r="THD143" s="15" t="s">
        <v>598</v>
      </c>
      <c r="THE143" s="15" t="s">
        <v>598</v>
      </c>
      <c r="THF143" s="15" t="s">
        <v>598</v>
      </c>
      <c r="THG143" s="15" t="s">
        <v>598</v>
      </c>
      <c r="THH143" s="15" t="s">
        <v>598</v>
      </c>
      <c r="THI143" s="15" t="s">
        <v>598</v>
      </c>
      <c r="THJ143" s="15" t="s">
        <v>598</v>
      </c>
      <c r="THK143" s="15" t="s">
        <v>598</v>
      </c>
      <c r="THL143" s="15" t="s">
        <v>598</v>
      </c>
      <c r="THM143" s="15" t="s">
        <v>598</v>
      </c>
      <c r="THN143" s="15" t="s">
        <v>598</v>
      </c>
      <c r="THO143" s="15" t="s">
        <v>598</v>
      </c>
      <c r="THP143" s="15" t="s">
        <v>598</v>
      </c>
      <c r="THQ143" s="15" t="s">
        <v>598</v>
      </c>
      <c r="THR143" s="15" t="s">
        <v>598</v>
      </c>
      <c r="THS143" s="15" t="s">
        <v>598</v>
      </c>
      <c r="THT143" s="15" t="s">
        <v>598</v>
      </c>
      <c r="THU143" s="15" t="s">
        <v>598</v>
      </c>
      <c r="THV143" s="15" t="s">
        <v>598</v>
      </c>
      <c r="THW143" s="15" t="s">
        <v>598</v>
      </c>
      <c r="THX143" s="15" t="s">
        <v>598</v>
      </c>
      <c r="THY143" s="15" t="s">
        <v>598</v>
      </c>
      <c r="THZ143" s="15" t="s">
        <v>598</v>
      </c>
      <c r="TIA143" s="15" t="s">
        <v>598</v>
      </c>
      <c r="TIB143" s="15" t="s">
        <v>598</v>
      </c>
      <c r="TIC143" s="15" t="s">
        <v>598</v>
      </c>
      <c r="TID143" s="15" t="s">
        <v>598</v>
      </c>
      <c r="TIE143" s="15" t="s">
        <v>598</v>
      </c>
      <c r="TIF143" s="15" t="s">
        <v>598</v>
      </c>
      <c r="TIG143" s="15" t="s">
        <v>598</v>
      </c>
      <c r="TIH143" s="15" t="s">
        <v>598</v>
      </c>
      <c r="TII143" s="15" t="s">
        <v>598</v>
      </c>
      <c r="TIJ143" s="15" t="s">
        <v>598</v>
      </c>
      <c r="TIK143" s="15" t="s">
        <v>598</v>
      </c>
      <c r="TIL143" s="15" t="s">
        <v>598</v>
      </c>
      <c r="TIM143" s="15" t="s">
        <v>598</v>
      </c>
      <c r="TIN143" s="15" t="s">
        <v>598</v>
      </c>
      <c r="TIO143" s="15" t="s">
        <v>598</v>
      </c>
      <c r="TIP143" s="15" t="s">
        <v>598</v>
      </c>
      <c r="TIQ143" s="15" t="s">
        <v>598</v>
      </c>
      <c r="TIR143" s="15" t="s">
        <v>598</v>
      </c>
      <c r="TIS143" s="15" t="s">
        <v>598</v>
      </c>
      <c r="TIT143" s="15" t="s">
        <v>598</v>
      </c>
      <c r="TIU143" s="15" t="s">
        <v>598</v>
      </c>
      <c r="TIV143" s="15" t="s">
        <v>598</v>
      </c>
      <c r="TIW143" s="15" t="s">
        <v>598</v>
      </c>
      <c r="TIX143" s="15" t="s">
        <v>598</v>
      </c>
      <c r="TIY143" s="15" t="s">
        <v>598</v>
      </c>
      <c r="TIZ143" s="15" t="s">
        <v>598</v>
      </c>
      <c r="TJA143" s="15" t="s">
        <v>598</v>
      </c>
      <c r="TJB143" s="15" t="s">
        <v>598</v>
      </c>
      <c r="TJC143" s="15" t="s">
        <v>598</v>
      </c>
      <c r="TJD143" s="15" t="s">
        <v>598</v>
      </c>
      <c r="TJE143" s="15" t="s">
        <v>598</v>
      </c>
      <c r="TJF143" s="15" t="s">
        <v>598</v>
      </c>
      <c r="TJG143" s="15" t="s">
        <v>598</v>
      </c>
      <c r="TJH143" s="15" t="s">
        <v>598</v>
      </c>
      <c r="TJI143" s="15" t="s">
        <v>598</v>
      </c>
      <c r="TJJ143" s="15" t="s">
        <v>598</v>
      </c>
      <c r="TJK143" s="15" t="s">
        <v>598</v>
      </c>
      <c r="TJL143" s="15" t="s">
        <v>598</v>
      </c>
      <c r="TJM143" s="15" t="s">
        <v>598</v>
      </c>
      <c r="TJN143" s="15" t="s">
        <v>598</v>
      </c>
      <c r="TJO143" s="15" t="s">
        <v>598</v>
      </c>
      <c r="TJP143" s="15" t="s">
        <v>598</v>
      </c>
      <c r="TJQ143" s="15" t="s">
        <v>598</v>
      </c>
      <c r="TJR143" s="15" t="s">
        <v>598</v>
      </c>
      <c r="TJS143" s="15" t="s">
        <v>598</v>
      </c>
      <c r="TJT143" s="15" t="s">
        <v>598</v>
      </c>
      <c r="TJU143" s="15" t="s">
        <v>598</v>
      </c>
      <c r="TJV143" s="15" t="s">
        <v>598</v>
      </c>
      <c r="TJW143" s="15" t="s">
        <v>598</v>
      </c>
      <c r="TJX143" s="15" t="s">
        <v>598</v>
      </c>
      <c r="TJY143" s="15" t="s">
        <v>598</v>
      </c>
      <c r="TJZ143" s="15" t="s">
        <v>598</v>
      </c>
      <c r="TKA143" s="15" t="s">
        <v>598</v>
      </c>
      <c r="TKB143" s="15" t="s">
        <v>598</v>
      </c>
      <c r="TKC143" s="15" t="s">
        <v>598</v>
      </c>
      <c r="TKD143" s="15" t="s">
        <v>598</v>
      </c>
      <c r="TKE143" s="15" t="s">
        <v>598</v>
      </c>
      <c r="TKF143" s="15" t="s">
        <v>598</v>
      </c>
      <c r="TKG143" s="15" t="s">
        <v>598</v>
      </c>
      <c r="TKH143" s="15" t="s">
        <v>598</v>
      </c>
      <c r="TKI143" s="15" t="s">
        <v>598</v>
      </c>
      <c r="TKJ143" s="15" t="s">
        <v>598</v>
      </c>
      <c r="TKK143" s="15" t="s">
        <v>598</v>
      </c>
      <c r="TKL143" s="15" t="s">
        <v>598</v>
      </c>
      <c r="TKM143" s="15" t="s">
        <v>598</v>
      </c>
      <c r="TKN143" s="15" t="s">
        <v>598</v>
      </c>
      <c r="TKO143" s="15" t="s">
        <v>598</v>
      </c>
      <c r="TKP143" s="15" t="s">
        <v>598</v>
      </c>
      <c r="TKQ143" s="15" t="s">
        <v>598</v>
      </c>
      <c r="TKR143" s="15" t="s">
        <v>598</v>
      </c>
      <c r="TKS143" s="15" t="s">
        <v>598</v>
      </c>
      <c r="TKT143" s="15" t="s">
        <v>598</v>
      </c>
      <c r="TKU143" s="15" t="s">
        <v>598</v>
      </c>
      <c r="TKV143" s="15" t="s">
        <v>598</v>
      </c>
      <c r="TKW143" s="15" t="s">
        <v>598</v>
      </c>
      <c r="TKX143" s="15" t="s">
        <v>598</v>
      </c>
      <c r="TKY143" s="15" t="s">
        <v>598</v>
      </c>
      <c r="TKZ143" s="15" t="s">
        <v>598</v>
      </c>
      <c r="TLA143" s="15" t="s">
        <v>598</v>
      </c>
      <c r="TLB143" s="15" t="s">
        <v>598</v>
      </c>
      <c r="TLC143" s="15" t="s">
        <v>598</v>
      </c>
      <c r="TLD143" s="15" t="s">
        <v>598</v>
      </c>
      <c r="TLE143" s="15" t="s">
        <v>598</v>
      </c>
      <c r="TLF143" s="15" t="s">
        <v>598</v>
      </c>
      <c r="TLG143" s="15" t="s">
        <v>598</v>
      </c>
      <c r="TLH143" s="15" t="s">
        <v>598</v>
      </c>
      <c r="TLI143" s="15" t="s">
        <v>598</v>
      </c>
      <c r="TLJ143" s="15" t="s">
        <v>598</v>
      </c>
      <c r="TLK143" s="15" t="s">
        <v>598</v>
      </c>
      <c r="TLL143" s="15" t="s">
        <v>598</v>
      </c>
      <c r="TLM143" s="15" t="s">
        <v>598</v>
      </c>
      <c r="TLN143" s="15" t="s">
        <v>598</v>
      </c>
      <c r="TLO143" s="15" t="s">
        <v>598</v>
      </c>
      <c r="TLP143" s="15" t="s">
        <v>598</v>
      </c>
      <c r="TLQ143" s="15" t="s">
        <v>598</v>
      </c>
      <c r="TLR143" s="15" t="s">
        <v>598</v>
      </c>
      <c r="TLS143" s="15" t="s">
        <v>598</v>
      </c>
      <c r="TLT143" s="15" t="s">
        <v>598</v>
      </c>
      <c r="TLU143" s="15" t="s">
        <v>598</v>
      </c>
      <c r="TLV143" s="15" t="s">
        <v>598</v>
      </c>
      <c r="TLW143" s="15" t="s">
        <v>598</v>
      </c>
      <c r="TLX143" s="15" t="s">
        <v>598</v>
      </c>
      <c r="TLY143" s="15" t="s">
        <v>598</v>
      </c>
      <c r="TLZ143" s="15" t="s">
        <v>598</v>
      </c>
      <c r="TMA143" s="15" t="s">
        <v>598</v>
      </c>
      <c r="TMB143" s="15" t="s">
        <v>598</v>
      </c>
      <c r="TMC143" s="15" t="s">
        <v>598</v>
      </c>
      <c r="TMD143" s="15" t="s">
        <v>598</v>
      </c>
      <c r="TME143" s="15" t="s">
        <v>598</v>
      </c>
      <c r="TMF143" s="15" t="s">
        <v>598</v>
      </c>
      <c r="TMG143" s="15" t="s">
        <v>598</v>
      </c>
      <c r="TMH143" s="15" t="s">
        <v>598</v>
      </c>
      <c r="TMI143" s="15" t="s">
        <v>598</v>
      </c>
      <c r="TMJ143" s="15" t="s">
        <v>598</v>
      </c>
      <c r="TMK143" s="15" t="s">
        <v>598</v>
      </c>
      <c r="TML143" s="15" t="s">
        <v>598</v>
      </c>
      <c r="TMM143" s="15" t="s">
        <v>598</v>
      </c>
      <c r="TMN143" s="15" t="s">
        <v>598</v>
      </c>
      <c r="TMO143" s="15" t="s">
        <v>598</v>
      </c>
      <c r="TMP143" s="15" t="s">
        <v>598</v>
      </c>
      <c r="TMQ143" s="15" t="s">
        <v>598</v>
      </c>
      <c r="TMR143" s="15" t="s">
        <v>598</v>
      </c>
      <c r="TMS143" s="15" t="s">
        <v>598</v>
      </c>
      <c r="TMT143" s="15" t="s">
        <v>598</v>
      </c>
      <c r="TMU143" s="15" t="s">
        <v>598</v>
      </c>
      <c r="TMV143" s="15" t="s">
        <v>598</v>
      </c>
      <c r="TMW143" s="15" t="s">
        <v>598</v>
      </c>
      <c r="TMX143" s="15" t="s">
        <v>598</v>
      </c>
      <c r="TMY143" s="15" t="s">
        <v>598</v>
      </c>
      <c r="TMZ143" s="15" t="s">
        <v>598</v>
      </c>
      <c r="TNA143" s="15" t="s">
        <v>598</v>
      </c>
      <c r="TNB143" s="15" t="s">
        <v>598</v>
      </c>
      <c r="TNC143" s="15" t="s">
        <v>598</v>
      </c>
      <c r="TND143" s="15" t="s">
        <v>598</v>
      </c>
      <c r="TNE143" s="15" t="s">
        <v>598</v>
      </c>
      <c r="TNF143" s="15" t="s">
        <v>598</v>
      </c>
      <c r="TNG143" s="15" t="s">
        <v>598</v>
      </c>
      <c r="TNH143" s="15" t="s">
        <v>598</v>
      </c>
      <c r="TNI143" s="15" t="s">
        <v>598</v>
      </c>
      <c r="TNJ143" s="15" t="s">
        <v>598</v>
      </c>
      <c r="TNK143" s="15" t="s">
        <v>598</v>
      </c>
      <c r="TNL143" s="15" t="s">
        <v>598</v>
      </c>
      <c r="TNM143" s="15" t="s">
        <v>598</v>
      </c>
      <c r="TNN143" s="15" t="s">
        <v>598</v>
      </c>
      <c r="TNO143" s="15" t="s">
        <v>598</v>
      </c>
      <c r="TNP143" s="15" t="s">
        <v>598</v>
      </c>
      <c r="TNQ143" s="15" t="s">
        <v>598</v>
      </c>
      <c r="TNR143" s="15" t="s">
        <v>598</v>
      </c>
      <c r="TNS143" s="15" t="s">
        <v>598</v>
      </c>
      <c r="TNT143" s="15" t="s">
        <v>598</v>
      </c>
      <c r="TNU143" s="15" t="s">
        <v>598</v>
      </c>
      <c r="TNV143" s="15" t="s">
        <v>598</v>
      </c>
      <c r="TNW143" s="15" t="s">
        <v>598</v>
      </c>
      <c r="TNX143" s="15" t="s">
        <v>598</v>
      </c>
      <c r="TNY143" s="15" t="s">
        <v>598</v>
      </c>
      <c r="TNZ143" s="15" t="s">
        <v>598</v>
      </c>
      <c r="TOA143" s="15" t="s">
        <v>598</v>
      </c>
      <c r="TOB143" s="15" t="s">
        <v>598</v>
      </c>
      <c r="TOC143" s="15" t="s">
        <v>598</v>
      </c>
      <c r="TOD143" s="15" t="s">
        <v>598</v>
      </c>
      <c r="TOE143" s="15" t="s">
        <v>598</v>
      </c>
      <c r="TOF143" s="15" t="s">
        <v>598</v>
      </c>
      <c r="TOG143" s="15" t="s">
        <v>598</v>
      </c>
      <c r="TOH143" s="15" t="s">
        <v>598</v>
      </c>
      <c r="TOI143" s="15" t="s">
        <v>598</v>
      </c>
      <c r="TOJ143" s="15" t="s">
        <v>598</v>
      </c>
      <c r="TOK143" s="15" t="s">
        <v>598</v>
      </c>
      <c r="TOL143" s="15" t="s">
        <v>598</v>
      </c>
      <c r="TOM143" s="15" t="s">
        <v>598</v>
      </c>
      <c r="TON143" s="15" t="s">
        <v>598</v>
      </c>
      <c r="TOO143" s="15" t="s">
        <v>598</v>
      </c>
      <c r="TOP143" s="15" t="s">
        <v>598</v>
      </c>
      <c r="TOQ143" s="15" t="s">
        <v>598</v>
      </c>
      <c r="TOR143" s="15" t="s">
        <v>598</v>
      </c>
      <c r="TOS143" s="15" t="s">
        <v>598</v>
      </c>
      <c r="TOT143" s="15" t="s">
        <v>598</v>
      </c>
      <c r="TOU143" s="15" t="s">
        <v>598</v>
      </c>
      <c r="TOV143" s="15" t="s">
        <v>598</v>
      </c>
      <c r="TOW143" s="15" t="s">
        <v>598</v>
      </c>
      <c r="TOX143" s="15" t="s">
        <v>598</v>
      </c>
      <c r="TOY143" s="15" t="s">
        <v>598</v>
      </c>
      <c r="TOZ143" s="15" t="s">
        <v>598</v>
      </c>
      <c r="TPA143" s="15" t="s">
        <v>598</v>
      </c>
      <c r="TPB143" s="15" t="s">
        <v>598</v>
      </c>
      <c r="TPC143" s="15" t="s">
        <v>598</v>
      </c>
      <c r="TPD143" s="15" t="s">
        <v>598</v>
      </c>
      <c r="TPE143" s="15" t="s">
        <v>598</v>
      </c>
      <c r="TPF143" s="15" t="s">
        <v>598</v>
      </c>
      <c r="TPG143" s="15" t="s">
        <v>598</v>
      </c>
      <c r="TPH143" s="15" t="s">
        <v>598</v>
      </c>
      <c r="TPI143" s="15" t="s">
        <v>598</v>
      </c>
      <c r="TPJ143" s="15" t="s">
        <v>598</v>
      </c>
      <c r="TPK143" s="15" t="s">
        <v>598</v>
      </c>
      <c r="TPL143" s="15" t="s">
        <v>598</v>
      </c>
      <c r="TPM143" s="15" t="s">
        <v>598</v>
      </c>
      <c r="TPN143" s="15" t="s">
        <v>598</v>
      </c>
      <c r="TPO143" s="15" t="s">
        <v>598</v>
      </c>
      <c r="TPP143" s="15" t="s">
        <v>598</v>
      </c>
      <c r="TPQ143" s="15" t="s">
        <v>598</v>
      </c>
      <c r="TPR143" s="15" t="s">
        <v>598</v>
      </c>
      <c r="TPS143" s="15" t="s">
        <v>598</v>
      </c>
      <c r="TPT143" s="15" t="s">
        <v>598</v>
      </c>
      <c r="TPU143" s="15" t="s">
        <v>598</v>
      </c>
      <c r="TPV143" s="15" t="s">
        <v>598</v>
      </c>
      <c r="TPW143" s="15" t="s">
        <v>598</v>
      </c>
      <c r="TPX143" s="15" t="s">
        <v>598</v>
      </c>
      <c r="TPY143" s="15" t="s">
        <v>598</v>
      </c>
      <c r="TPZ143" s="15" t="s">
        <v>598</v>
      </c>
      <c r="TQA143" s="15" t="s">
        <v>598</v>
      </c>
      <c r="TQB143" s="15" t="s">
        <v>598</v>
      </c>
      <c r="TQC143" s="15" t="s">
        <v>598</v>
      </c>
      <c r="TQD143" s="15" t="s">
        <v>598</v>
      </c>
      <c r="TQE143" s="15" t="s">
        <v>598</v>
      </c>
      <c r="TQF143" s="15" t="s">
        <v>598</v>
      </c>
      <c r="TQG143" s="15" t="s">
        <v>598</v>
      </c>
      <c r="TQH143" s="15" t="s">
        <v>598</v>
      </c>
      <c r="TQI143" s="15" t="s">
        <v>598</v>
      </c>
      <c r="TQJ143" s="15" t="s">
        <v>598</v>
      </c>
      <c r="TQK143" s="15" t="s">
        <v>598</v>
      </c>
      <c r="TQL143" s="15" t="s">
        <v>598</v>
      </c>
      <c r="TQM143" s="15" t="s">
        <v>598</v>
      </c>
      <c r="TQN143" s="15" t="s">
        <v>598</v>
      </c>
      <c r="TQO143" s="15" t="s">
        <v>598</v>
      </c>
      <c r="TQP143" s="15" t="s">
        <v>598</v>
      </c>
      <c r="TQQ143" s="15" t="s">
        <v>598</v>
      </c>
      <c r="TQR143" s="15" t="s">
        <v>598</v>
      </c>
      <c r="TQS143" s="15" t="s">
        <v>598</v>
      </c>
      <c r="TQT143" s="15" t="s">
        <v>598</v>
      </c>
      <c r="TQU143" s="15" t="s">
        <v>598</v>
      </c>
      <c r="TQV143" s="15" t="s">
        <v>598</v>
      </c>
      <c r="TQW143" s="15" t="s">
        <v>598</v>
      </c>
      <c r="TQX143" s="15" t="s">
        <v>598</v>
      </c>
      <c r="TQY143" s="15" t="s">
        <v>598</v>
      </c>
      <c r="TQZ143" s="15" t="s">
        <v>598</v>
      </c>
      <c r="TRA143" s="15" t="s">
        <v>598</v>
      </c>
      <c r="TRB143" s="15" t="s">
        <v>598</v>
      </c>
      <c r="TRC143" s="15" t="s">
        <v>598</v>
      </c>
      <c r="TRD143" s="15" t="s">
        <v>598</v>
      </c>
      <c r="TRE143" s="15" t="s">
        <v>598</v>
      </c>
      <c r="TRF143" s="15" t="s">
        <v>598</v>
      </c>
      <c r="TRG143" s="15" t="s">
        <v>598</v>
      </c>
      <c r="TRH143" s="15" t="s">
        <v>598</v>
      </c>
      <c r="TRI143" s="15" t="s">
        <v>598</v>
      </c>
      <c r="TRJ143" s="15" t="s">
        <v>598</v>
      </c>
      <c r="TRK143" s="15" t="s">
        <v>598</v>
      </c>
      <c r="TRL143" s="15" t="s">
        <v>598</v>
      </c>
      <c r="TRM143" s="15" t="s">
        <v>598</v>
      </c>
      <c r="TRN143" s="15" t="s">
        <v>598</v>
      </c>
      <c r="TRO143" s="15" t="s">
        <v>598</v>
      </c>
      <c r="TRP143" s="15" t="s">
        <v>598</v>
      </c>
      <c r="TRQ143" s="15" t="s">
        <v>598</v>
      </c>
      <c r="TRR143" s="15" t="s">
        <v>598</v>
      </c>
      <c r="TRS143" s="15" t="s">
        <v>598</v>
      </c>
      <c r="TRT143" s="15" t="s">
        <v>598</v>
      </c>
      <c r="TRU143" s="15" t="s">
        <v>598</v>
      </c>
      <c r="TRV143" s="15" t="s">
        <v>598</v>
      </c>
      <c r="TRW143" s="15" t="s">
        <v>598</v>
      </c>
      <c r="TRX143" s="15" t="s">
        <v>598</v>
      </c>
      <c r="TRY143" s="15" t="s">
        <v>598</v>
      </c>
      <c r="TRZ143" s="15" t="s">
        <v>598</v>
      </c>
      <c r="TSA143" s="15" t="s">
        <v>598</v>
      </c>
      <c r="TSB143" s="15" t="s">
        <v>598</v>
      </c>
      <c r="TSC143" s="15" t="s">
        <v>598</v>
      </c>
      <c r="TSD143" s="15" t="s">
        <v>598</v>
      </c>
      <c r="TSE143" s="15" t="s">
        <v>598</v>
      </c>
      <c r="TSF143" s="15" t="s">
        <v>598</v>
      </c>
      <c r="TSG143" s="15" t="s">
        <v>598</v>
      </c>
      <c r="TSH143" s="15" t="s">
        <v>598</v>
      </c>
      <c r="TSI143" s="15" t="s">
        <v>598</v>
      </c>
      <c r="TSJ143" s="15" t="s">
        <v>598</v>
      </c>
      <c r="TSK143" s="15" t="s">
        <v>598</v>
      </c>
      <c r="TSL143" s="15" t="s">
        <v>598</v>
      </c>
      <c r="TSM143" s="15" t="s">
        <v>598</v>
      </c>
      <c r="TSN143" s="15" t="s">
        <v>598</v>
      </c>
      <c r="TSO143" s="15" t="s">
        <v>598</v>
      </c>
      <c r="TSP143" s="15" t="s">
        <v>598</v>
      </c>
      <c r="TSQ143" s="15" t="s">
        <v>598</v>
      </c>
      <c r="TSR143" s="15" t="s">
        <v>598</v>
      </c>
      <c r="TSS143" s="15" t="s">
        <v>598</v>
      </c>
      <c r="TST143" s="15" t="s">
        <v>598</v>
      </c>
      <c r="TSU143" s="15" t="s">
        <v>598</v>
      </c>
      <c r="TSV143" s="15" t="s">
        <v>598</v>
      </c>
      <c r="TSW143" s="15" t="s">
        <v>598</v>
      </c>
      <c r="TSX143" s="15" t="s">
        <v>598</v>
      </c>
      <c r="TSY143" s="15" t="s">
        <v>598</v>
      </c>
      <c r="TSZ143" s="15" t="s">
        <v>598</v>
      </c>
      <c r="TTA143" s="15" t="s">
        <v>598</v>
      </c>
      <c r="TTB143" s="15" t="s">
        <v>598</v>
      </c>
      <c r="TTC143" s="15" t="s">
        <v>598</v>
      </c>
      <c r="TTD143" s="15" t="s">
        <v>598</v>
      </c>
      <c r="TTE143" s="15" t="s">
        <v>598</v>
      </c>
      <c r="TTF143" s="15" t="s">
        <v>598</v>
      </c>
      <c r="TTG143" s="15" t="s">
        <v>598</v>
      </c>
      <c r="TTH143" s="15" t="s">
        <v>598</v>
      </c>
      <c r="TTI143" s="15" t="s">
        <v>598</v>
      </c>
      <c r="TTJ143" s="15" t="s">
        <v>598</v>
      </c>
      <c r="TTK143" s="15" t="s">
        <v>598</v>
      </c>
      <c r="TTL143" s="15" t="s">
        <v>598</v>
      </c>
      <c r="TTM143" s="15" t="s">
        <v>598</v>
      </c>
      <c r="TTN143" s="15" t="s">
        <v>598</v>
      </c>
      <c r="TTO143" s="15" t="s">
        <v>598</v>
      </c>
      <c r="TTP143" s="15" t="s">
        <v>598</v>
      </c>
      <c r="TTQ143" s="15" t="s">
        <v>598</v>
      </c>
      <c r="TTR143" s="15" t="s">
        <v>598</v>
      </c>
      <c r="TTS143" s="15" t="s">
        <v>598</v>
      </c>
      <c r="TTT143" s="15" t="s">
        <v>598</v>
      </c>
      <c r="TTU143" s="15" t="s">
        <v>598</v>
      </c>
      <c r="TTV143" s="15" t="s">
        <v>598</v>
      </c>
      <c r="TTW143" s="15" t="s">
        <v>598</v>
      </c>
      <c r="TTX143" s="15" t="s">
        <v>598</v>
      </c>
      <c r="TTY143" s="15" t="s">
        <v>598</v>
      </c>
      <c r="TTZ143" s="15" t="s">
        <v>598</v>
      </c>
      <c r="TUA143" s="15" t="s">
        <v>598</v>
      </c>
      <c r="TUB143" s="15" t="s">
        <v>598</v>
      </c>
      <c r="TUC143" s="15" t="s">
        <v>598</v>
      </c>
      <c r="TUD143" s="15" t="s">
        <v>598</v>
      </c>
      <c r="TUE143" s="15" t="s">
        <v>598</v>
      </c>
      <c r="TUF143" s="15" t="s">
        <v>598</v>
      </c>
      <c r="TUG143" s="15" t="s">
        <v>598</v>
      </c>
      <c r="TUH143" s="15" t="s">
        <v>598</v>
      </c>
      <c r="TUI143" s="15" t="s">
        <v>598</v>
      </c>
      <c r="TUJ143" s="15" t="s">
        <v>598</v>
      </c>
      <c r="TUK143" s="15" t="s">
        <v>598</v>
      </c>
      <c r="TUL143" s="15" t="s">
        <v>598</v>
      </c>
      <c r="TUM143" s="15" t="s">
        <v>598</v>
      </c>
      <c r="TUN143" s="15" t="s">
        <v>598</v>
      </c>
      <c r="TUO143" s="15" t="s">
        <v>598</v>
      </c>
      <c r="TUP143" s="15" t="s">
        <v>598</v>
      </c>
      <c r="TUQ143" s="15" t="s">
        <v>598</v>
      </c>
      <c r="TUR143" s="15" t="s">
        <v>598</v>
      </c>
      <c r="TUS143" s="15" t="s">
        <v>598</v>
      </c>
      <c r="TUT143" s="15" t="s">
        <v>598</v>
      </c>
      <c r="TUU143" s="15" t="s">
        <v>598</v>
      </c>
      <c r="TUV143" s="15" t="s">
        <v>598</v>
      </c>
      <c r="TUW143" s="15" t="s">
        <v>598</v>
      </c>
      <c r="TUX143" s="15" t="s">
        <v>598</v>
      </c>
      <c r="TUY143" s="15" t="s">
        <v>598</v>
      </c>
      <c r="TUZ143" s="15" t="s">
        <v>598</v>
      </c>
      <c r="TVA143" s="15" t="s">
        <v>598</v>
      </c>
      <c r="TVB143" s="15" t="s">
        <v>598</v>
      </c>
      <c r="TVC143" s="15" t="s">
        <v>598</v>
      </c>
      <c r="TVD143" s="15" t="s">
        <v>598</v>
      </c>
      <c r="TVE143" s="15" t="s">
        <v>598</v>
      </c>
      <c r="TVF143" s="15" t="s">
        <v>598</v>
      </c>
      <c r="TVG143" s="15" t="s">
        <v>598</v>
      </c>
      <c r="TVH143" s="15" t="s">
        <v>598</v>
      </c>
      <c r="TVI143" s="15" t="s">
        <v>598</v>
      </c>
      <c r="TVJ143" s="15" t="s">
        <v>598</v>
      </c>
      <c r="TVK143" s="15" t="s">
        <v>598</v>
      </c>
      <c r="TVL143" s="15" t="s">
        <v>598</v>
      </c>
      <c r="TVM143" s="15" t="s">
        <v>598</v>
      </c>
      <c r="TVN143" s="15" t="s">
        <v>598</v>
      </c>
      <c r="TVO143" s="15" t="s">
        <v>598</v>
      </c>
      <c r="TVP143" s="15" t="s">
        <v>598</v>
      </c>
      <c r="TVQ143" s="15" t="s">
        <v>598</v>
      </c>
      <c r="TVR143" s="15" t="s">
        <v>598</v>
      </c>
      <c r="TVS143" s="15" t="s">
        <v>598</v>
      </c>
      <c r="TVT143" s="15" t="s">
        <v>598</v>
      </c>
      <c r="TVU143" s="15" t="s">
        <v>598</v>
      </c>
      <c r="TVV143" s="15" t="s">
        <v>598</v>
      </c>
      <c r="TVW143" s="15" t="s">
        <v>598</v>
      </c>
      <c r="TVX143" s="15" t="s">
        <v>598</v>
      </c>
      <c r="TVY143" s="15" t="s">
        <v>598</v>
      </c>
      <c r="TVZ143" s="15" t="s">
        <v>598</v>
      </c>
      <c r="TWA143" s="15" t="s">
        <v>598</v>
      </c>
      <c r="TWB143" s="15" t="s">
        <v>598</v>
      </c>
      <c r="TWC143" s="15" t="s">
        <v>598</v>
      </c>
      <c r="TWD143" s="15" t="s">
        <v>598</v>
      </c>
      <c r="TWE143" s="15" t="s">
        <v>598</v>
      </c>
      <c r="TWF143" s="15" t="s">
        <v>598</v>
      </c>
      <c r="TWG143" s="15" t="s">
        <v>598</v>
      </c>
      <c r="TWH143" s="15" t="s">
        <v>598</v>
      </c>
      <c r="TWI143" s="15" t="s">
        <v>598</v>
      </c>
      <c r="TWJ143" s="15" t="s">
        <v>598</v>
      </c>
      <c r="TWK143" s="15" t="s">
        <v>598</v>
      </c>
      <c r="TWL143" s="15" t="s">
        <v>598</v>
      </c>
      <c r="TWM143" s="15" t="s">
        <v>598</v>
      </c>
      <c r="TWN143" s="15" t="s">
        <v>598</v>
      </c>
      <c r="TWO143" s="15" t="s">
        <v>598</v>
      </c>
      <c r="TWP143" s="15" t="s">
        <v>598</v>
      </c>
      <c r="TWQ143" s="15" t="s">
        <v>598</v>
      </c>
      <c r="TWR143" s="15" t="s">
        <v>598</v>
      </c>
      <c r="TWS143" s="15" t="s">
        <v>598</v>
      </c>
      <c r="TWT143" s="15" t="s">
        <v>598</v>
      </c>
      <c r="TWU143" s="15" t="s">
        <v>598</v>
      </c>
      <c r="TWV143" s="15" t="s">
        <v>598</v>
      </c>
      <c r="TWW143" s="15" t="s">
        <v>598</v>
      </c>
      <c r="TWX143" s="15" t="s">
        <v>598</v>
      </c>
      <c r="TWY143" s="15" t="s">
        <v>598</v>
      </c>
      <c r="TWZ143" s="15" t="s">
        <v>598</v>
      </c>
      <c r="TXA143" s="15" t="s">
        <v>598</v>
      </c>
      <c r="TXB143" s="15" t="s">
        <v>598</v>
      </c>
      <c r="TXC143" s="15" t="s">
        <v>598</v>
      </c>
      <c r="TXD143" s="15" t="s">
        <v>598</v>
      </c>
      <c r="TXE143" s="15" t="s">
        <v>598</v>
      </c>
      <c r="TXF143" s="15" t="s">
        <v>598</v>
      </c>
      <c r="TXG143" s="15" t="s">
        <v>598</v>
      </c>
      <c r="TXH143" s="15" t="s">
        <v>598</v>
      </c>
      <c r="TXI143" s="15" t="s">
        <v>598</v>
      </c>
      <c r="TXJ143" s="15" t="s">
        <v>598</v>
      </c>
      <c r="TXK143" s="15" t="s">
        <v>598</v>
      </c>
      <c r="TXL143" s="15" t="s">
        <v>598</v>
      </c>
      <c r="TXM143" s="15" t="s">
        <v>598</v>
      </c>
      <c r="TXN143" s="15" t="s">
        <v>598</v>
      </c>
      <c r="TXO143" s="15" t="s">
        <v>598</v>
      </c>
      <c r="TXP143" s="15" t="s">
        <v>598</v>
      </c>
      <c r="TXQ143" s="15" t="s">
        <v>598</v>
      </c>
      <c r="TXR143" s="15" t="s">
        <v>598</v>
      </c>
      <c r="TXS143" s="15" t="s">
        <v>598</v>
      </c>
      <c r="TXT143" s="15" t="s">
        <v>598</v>
      </c>
      <c r="TXU143" s="15" t="s">
        <v>598</v>
      </c>
      <c r="TXV143" s="15" t="s">
        <v>598</v>
      </c>
      <c r="TXW143" s="15" t="s">
        <v>598</v>
      </c>
      <c r="TXX143" s="15" t="s">
        <v>598</v>
      </c>
      <c r="TXY143" s="15" t="s">
        <v>598</v>
      </c>
      <c r="TXZ143" s="15" t="s">
        <v>598</v>
      </c>
      <c r="TYA143" s="15" t="s">
        <v>598</v>
      </c>
      <c r="TYB143" s="15" t="s">
        <v>598</v>
      </c>
      <c r="TYC143" s="15" t="s">
        <v>598</v>
      </c>
      <c r="TYD143" s="15" t="s">
        <v>598</v>
      </c>
      <c r="TYE143" s="15" t="s">
        <v>598</v>
      </c>
      <c r="TYF143" s="15" t="s">
        <v>598</v>
      </c>
      <c r="TYG143" s="15" t="s">
        <v>598</v>
      </c>
      <c r="TYH143" s="15" t="s">
        <v>598</v>
      </c>
      <c r="TYI143" s="15" t="s">
        <v>598</v>
      </c>
      <c r="TYJ143" s="15" t="s">
        <v>598</v>
      </c>
      <c r="TYK143" s="15" t="s">
        <v>598</v>
      </c>
      <c r="TYL143" s="15" t="s">
        <v>598</v>
      </c>
      <c r="TYM143" s="15" t="s">
        <v>598</v>
      </c>
      <c r="TYN143" s="15" t="s">
        <v>598</v>
      </c>
      <c r="TYO143" s="15" t="s">
        <v>598</v>
      </c>
      <c r="TYP143" s="15" t="s">
        <v>598</v>
      </c>
      <c r="TYQ143" s="15" t="s">
        <v>598</v>
      </c>
      <c r="TYR143" s="15" t="s">
        <v>598</v>
      </c>
      <c r="TYS143" s="15" t="s">
        <v>598</v>
      </c>
      <c r="TYT143" s="15" t="s">
        <v>598</v>
      </c>
      <c r="TYU143" s="15" t="s">
        <v>598</v>
      </c>
      <c r="TYV143" s="15" t="s">
        <v>598</v>
      </c>
      <c r="TYW143" s="15" t="s">
        <v>598</v>
      </c>
      <c r="TYX143" s="15" t="s">
        <v>598</v>
      </c>
      <c r="TYY143" s="15" t="s">
        <v>598</v>
      </c>
      <c r="TYZ143" s="15" t="s">
        <v>598</v>
      </c>
      <c r="TZA143" s="15" t="s">
        <v>598</v>
      </c>
      <c r="TZB143" s="15" t="s">
        <v>598</v>
      </c>
      <c r="TZC143" s="15" t="s">
        <v>598</v>
      </c>
      <c r="TZD143" s="15" t="s">
        <v>598</v>
      </c>
      <c r="TZE143" s="15" t="s">
        <v>598</v>
      </c>
      <c r="TZF143" s="15" t="s">
        <v>598</v>
      </c>
      <c r="TZG143" s="15" t="s">
        <v>598</v>
      </c>
      <c r="TZH143" s="15" t="s">
        <v>598</v>
      </c>
      <c r="TZI143" s="15" t="s">
        <v>598</v>
      </c>
      <c r="TZJ143" s="15" t="s">
        <v>598</v>
      </c>
      <c r="TZK143" s="15" t="s">
        <v>598</v>
      </c>
      <c r="TZL143" s="15" t="s">
        <v>598</v>
      </c>
      <c r="TZM143" s="15" t="s">
        <v>598</v>
      </c>
      <c r="TZN143" s="15" t="s">
        <v>598</v>
      </c>
      <c r="TZO143" s="15" t="s">
        <v>598</v>
      </c>
      <c r="TZP143" s="15" t="s">
        <v>598</v>
      </c>
      <c r="TZQ143" s="15" t="s">
        <v>598</v>
      </c>
      <c r="TZR143" s="15" t="s">
        <v>598</v>
      </c>
      <c r="TZS143" s="15" t="s">
        <v>598</v>
      </c>
      <c r="TZT143" s="15" t="s">
        <v>598</v>
      </c>
      <c r="TZU143" s="15" t="s">
        <v>598</v>
      </c>
      <c r="TZV143" s="15" t="s">
        <v>598</v>
      </c>
      <c r="TZW143" s="15" t="s">
        <v>598</v>
      </c>
      <c r="TZX143" s="15" t="s">
        <v>598</v>
      </c>
      <c r="TZY143" s="15" t="s">
        <v>598</v>
      </c>
      <c r="TZZ143" s="15" t="s">
        <v>598</v>
      </c>
      <c r="UAA143" s="15" t="s">
        <v>598</v>
      </c>
      <c r="UAB143" s="15" t="s">
        <v>598</v>
      </c>
      <c r="UAC143" s="15" t="s">
        <v>598</v>
      </c>
      <c r="UAD143" s="15" t="s">
        <v>598</v>
      </c>
      <c r="UAE143" s="15" t="s">
        <v>598</v>
      </c>
      <c r="UAF143" s="15" t="s">
        <v>598</v>
      </c>
      <c r="UAG143" s="15" t="s">
        <v>598</v>
      </c>
      <c r="UAH143" s="15" t="s">
        <v>598</v>
      </c>
      <c r="UAI143" s="15" t="s">
        <v>598</v>
      </c>
      <c r="UAJ143" s="15" t="s">
        <v>598</v>
      </c>
      <c r="UAK143" s="15" t="s">
        <v>598</v>
      </c>
      <c r="UAL143" s="15" t="s">
        <v>598</v>
      </c>
      <c r="UAM143" s="15" t="s">
        <v>598</v>
      </c>
      <c r="UAN143" s="15" t="s">
        <v>598</v>
      </c>
      <c r="UAO143" s="15" t="s">
        <v>598</v>
      </c>
      <c r="UAP143" s="15" t="s">
        <v>598</v>
      </c>
      <c r="UAQ143" s="15" t="s">
        <v>598</v>
      </c>
      <c r="UAR143" s="15" t="s">
        <v>598</v>
      </c>
      <c r="UAS143" s="15" t="s">
        <v>598</v>
      </c>
      <c r="UAT143" s="15" t="s">
        <v>598</v>
      </c>
      <c r="UAU143" s="15" t="s">
        <v>598</v>
      </c>
      <c r="UAV143" s="15" t="s">
        <v>598</v>
      </c>
      <c r="UAW143" s="15" t="s">
        <v>598</v>
      </c>
      <c r="UAX143" s="15" t="s">
        <v>598</v>
      </c>
      <c r="UAY143" s="15" t="s">
        <v>598</v>
      </c>
      <c r="UAZ143" s="15" t="s">
        <v>598</v>
      </c>
      <c r="UBA143" s="15" t="s">
        <v>598</v>
      </c>
      <c r="UBB143" s="15" t="s">
        <v>598</v>
      </c>
      <c r="UBC143" s="15" t="s">
        <v>598</v>
      </c>
      <c r="UBD143" s="15" t="s">
        <v>598</v>
      </c>
      <c r="UBE143" s="15" t="s">
        <v>598</v>
      </c>
      <c r="UBF143" s="15" t="s">
        <v>598</v>
      </c>
      <c r="UBG143" s="15" t="s">
        <v>598</v>
      </c>
      <c r="UBH143" s="15" t="s">
        <v>598</v>
      </c>
      <c r="UBI143" s="15" t="s">
        <v>598</v>
      </c>
      <c r="UBJ143" s="15" t="s">
        <v>598</v>
      </c>
      <c r="UBK143" s="15" t="s">
        <v>598</v>
      </c>
      <c r="UBL143" s="15" t="s">
        <v>598</v>
      </c>
      <c r="UBM143" s="15" t="s">
        <v>598</v>
      </c>
      <c r="UBN143" s="15" t="s">
        <v>598</v>
      </c>
      <c r="UBO143" s="15" t="s">
        <v>598</v>
      </c>
      <c r="UBP143" s="15" t="s">
        <v>598</v>
      </c>
      <c r="UBQ143" s="15" t="s">
        <v>598</v>
      </c>
      <c r="UBR143" s="15" t="s">
        <v>598</v>
      </c>
      <c r="UBS143" s="15" t="s">
        <v>598</v>
      </c>
      <c r="UBT143" s="15" t="s">
        <v>598</v>
      </c>
      <c r="UBU143" s="15" t="s">
        <v>598</v>
      </c>
      <c r="UBV143" s="15" t="s">
        <v>598</v>
      </c>
      <c r="UBW143" s="15" t="s">
        <v>598</v>
      </c>
      <c r="UBX143" s="15" t="s">
        <v>598</v>
      </c>
      <c r="UBY143" s="15" t="s">
        <v>598</v>
      </c>
      <c r="UBZ143" s="15" t="s">
        <v>598</v>
      </c>
      <c r="UCA143" s="15" t="s">
        <v>598</v>
      </c>
      <c r="UCB143" s="15" t="s">
        <v>598</v>
      </c>
      <c r="UCC143" s="15" t="s">
        <v>598</v>
      </c>
      <c r="UCD143" s="15" t="s">
        <v>598</v>
      </c>
      <c r="UCE143" s="15" t="s">
        <v>598</v>
      </c>
      <c r="UCF143" s="15" t="s">
        <v>598</v>
      </c>
      <c r="UCG143" s="15" t="s">
        <v>598</v>
      </c>
      <c r="UCH143" s="15" t="s">
        <v>598</v>
      </c>
      <c r="UCI143" s="15" t="s">
        <v>598</v>
      </c>
      <c r="UCJ143" s="15" t="s">
        <v>598</v>
      </c>
      <c r="UCK143" s="15" t="s">
        <v>598</v>
      </c>
      <c r="UCL143" s="15" t="s">
        <v>598</v>
      </c>
      <c r="UCM143" s="15" t="s">
        <v>598</v>
      </c>
      <c r="UCN143" s="15" t="s">
        <v>598</v>
      </c>
      <c r="UCO143" s="15" t="s">
        <v>598</v>
      </c>
      <c r="UCP143" s="15" t="s">
        <v>598</v>
      </c>
      <c r="UCQ143" s="15" t="s">
        <v>598</v>
      </c>
      <c r="UCR143" s="15" t="s">
        <v>598</v>
      </c>
      <c r="UCS143" s="15" t="s">
        <v>598</v>
      </c>
      <c r="UCT143" s="15" t="s">
        <v>598</v>
      </c>
      <c r="UCU143" s="15" t="s">
        <v>598</v>
      </c>
      <c r="UCV143" s="15" t="s">
        <v>598</v>
      </c>
      <c r="UCW143" s="15" t="s">
        <v>598</v>
      </c>
      <c r="UCX143" s="15" t="s">
        <v>598</v>
      </c>
      <c r="UCY143" s="15" t="s">
        <v>598</v>
      </c>
      <c r="UCZ143" s="15" t="s">
        <v>598</v>
      </c>
      <c r="UDA143" s="15" t="s">
        <v>598</v>
      </c>
      <c r="UDB143" s="15" t="s">
        <v>598</v>
      </c>
      <c r="UDC143" s="15" t="s">
        <v>598</v>
      </c>
      <c r="UDD143" s="15" t="s">
        <v>598</v>
      </c>
      <c r="UDE143" s="15" t="s">
        <v>598</v>
      </c>
      <c r="UDF143" s="15" t="s">
        <v>598</v>
      </c>
      <c r="UDG143" s="15" t="s">
        <v>598</v>
      </c>
      <c r="UDH143" s="15" t="s">
        <v>598</v>
      </c>
      <c r="UDI143" s="15" t="s">
        <v>598</v>
      </c>
      <c r="UDJ143" s="15" t="s">
        <v>598</v>
      </c>
      <c r="UDK143" s="15" t="s">
        <v>598</v>
      </c>
      <c r="UDL143" s="15" t="s">
        <v>598</v>
      </c>
      <c r="UDM143" s="15" t="s">
        <v>598</v>
      </c>
      <c r="UDN143" s="15" t="s">
        <v>598</v>
      </c>
      <c r="UDO143" s="15" t="s">
        <v>598</v>
      </c>
      <c r="UDP143" s="15" t="s">
        <v>598</v>
      </c>
      <c r="UDQ143" s="15" t="s">
        <v>598</v>
      </c>
      <c r="UDR143" s="15" t="s">
        <v>598</v>
      </c>
      <c r="UDS143" s="15" t="s">
        <v>598</v>
      </c>
      <c r="UDT143" s="15" t="s">
        <v>598</v>
      </c>
      <c r="UDU143" s="15" t="s">
        <v>598</v>
      </c>
      <c r="UDV143" s="15" t="s">
        <v>598</v>
      </c>
      <c r="UDW143" s="15" t="s">
        <v>598</v>
      </c>
      <c r="UDX143" s="15" t="s">
        <v>598</v>
      </c>
      <c r="UDY143" s="15" t="s">
        <v>598</v>
      </c>
      <c r="UDZ143" s="15" t="s">
        <v>598</v>
      </c>
      <c r="UEA143" s="15" t="s">
        <v>598</v>
      </c>
      <c r="UEB143" s="15" t="s">
        <v>598</v>
      </c>
      <c r="UEC143" s="15" t="s">
        <v>598</v>
      </c>
      <c r="UED143" s="15" t="s">
        <v>598</v>
      </c>
      <c r="UEE143" s="15" t="s">
        <v>598</v>
      </c>
      <c r="UEF143" s="15" t="s">
        <v>598</v>
      </c>
      <c r="UEG143" s="15" t="s">
        <v>598</v>
      </c>
      <c r="UEH143" s="15" t="s">
        <v>598</v>
      </c>
      <c r="UEI143" s="15" t="s">
        <v>598</v>
      </c>
      <c r="UEJ143" s="15" t="s">
        <v>598</v>
      </c>
      <c r="UEK143" s="15" t="s">
        <v>598</v>
      </c>
      <c r="UEL143" s="15" t="s">
        <v>598</v>
      </c>
      <c r="UEM143" s="15" t="s">
        <v>598</v>
      </c>
      <c r="UEN143" s="15" t="s">
        <v>598</v>
      </c>
      <c r="UEO143" s="15" t="s">
        <v>598</v>
      </c>
      <c r="UEP143" s="15" t="s">
        <v>598</v>
      </c>
      <c r="UEQ143" s="15" t="s">
        <v>598</v>
      </c>
      <c r="UER143" s="15" t="s">
        <v>598</v>
      </c>
      <c r="UES143" s="15" t="s">
        <v>598</v>
      </c>
      <c r="UET143" s="15" t="s">
        <v>598</v>
      </c>
      <c r="UEU143" s="15" t="s">
        <v>598</v>
      </c>
      <c r="UEV143" s="15" t="s">
        <v>598</v>
      </c>
      <c r="UEW143" s="15" t="s">
        <v>598</v>
      </c>
      <c r="UEX143" s="15" t="s">
        <v>598</v>
      </c>
      <c r="UEY143" s="15" t="s">
        <v>598</v>
      </c>
      <c r="UEZ143" s="15" t="s">
        <v>598</v>
      </c>
      <c r="UFA143" s="15" t="s">
        <v>598</v>
      </c>
      <c r="UFB143" s="15" t="s">
        <v>598</v>
      </c>
      <c r="UFC143" s="15" t="s">
        <v>598</v>
      </c>
      <c r="UFD143" s="15" t="s">
        <v>598</v>
      </c>
      <c r="UFE143" s="15" t="s">
        <v>598</v>
      </c>
      <c r="UFF143" s="15" t="s">
        <v>598</v>
      </c>
      <c r="UFG143" s="15" t="s">
        <v>598</v>
      </c>
      <c r="UFH143" s="15" t="s">
        <v>598</v>
      </c>
      <c r="UFI143" s="15" t="s">
        <v>598</v>
      </c>
      <c r="UFJ143" s="15" t="s">
        <v>598</v>
      </c>
      <c r="UFK143" s="15" t="s">
        <v>598</v>
      </c>
      <c r="UFL143" s="15" t="s">
        <v>598</v>
      </c>
      <c r="UFM143" s="15" t="s">
        <v>598</v>
      </c>
      <c r="UFN143" s="15" t="s">
        <v>598</v>
      </c>
      <c r="UFO143" s="15" t="s">
        <v>598</v>
      </c>
      <c r="UFP143" s="15" t="s">
        <v>598</v>
      </c>
      <c r="UFQ143" s="15" t="s">
        <v>598</v>
      </c>
      <c r="UFR143" s="15" t="s">
        <v>598</v>
      </c>
      <c r="UFS143" s="15" t="s">
        <v>598</v>
      </c>
      <c r="UFT143" s="15" t="s">
        <v>598</v>
      </c>
      <c r="UFU143" s="15" t="s">
        <v>598</v>
      </c>
      <c r="UFV143" s="15" t="s">
        <v>598</v>
      </c>
      <c r="UFW143" s="15" t="s">
        <v>598</v>
      </c>
      <c r="UFX143" s="15" t="s">
        <v>598</v>
      </c>
      <c r="UFY143" s="15" t="s">
        <v>598</v>
      </c>
      <c r="UFZ143" s="15" t="s">
        <v>598</v>
      </c>
      <c r="UGA143" s="15" t="s">
        <v>598</v>
      </c>
      <c r="UGB143" s="15" t="s">
        <v>598</v>
      </c>
      <c r="UGC143" s="15" t="s">
        <v>598</v>
      </c>
      <c r="UGD143" s="15" t="s">
        <v>598</v>
      </c>
      <c r="UGE143" s="15" t="s">
        <v>598</v>
      </c>
      <c r="UGF143" s="15" t="s">
        <v>598</v>
      </c>
      <c r="UGG143" s="15" t="s">
        <v>598</v>
      </c>
      <c r="UGH143" s="15" t="s">
        <v>598</v>
      </c>
      <c r="UGI143" s="15" t="s">
        <v>598</v>
      </c>
      <c r="UGJ143" s="15" t="s">
        <v>598</v>
      </c>
      <c r="UGK143" s="15" t="s">
        <v>598</v>
      </c>
      <c r="UGL143" s="15" t="s">
        <v>598</v>
      </c>
      <c r="UGM143" s="15" t="s">
        <v>598</v>
      </c>
      <c r="UGN143" s="15" t="s">
        <v>598</v>
      </c>
      <c r="UGO143" s="15" t="s">
        <v>598</v>
      </c>
      <c r="UGP143" s="15" t="s">
        <v>598</v>
      </c>
      <c r="UGQ143" s="15" t="s">
        <v>598</v>
      </c>
      <c r="UGR143" s="15" t="s">
        <v>598</v>
      </c>
      <c r="UGS143" s="15" t="s">
        <v>598</v>
      </c>
      <c r="UGT143" s="15" t="s">
        <v>598</v>
      </c>
      <c r="UGU143" s="15" t="s">
        <v>598</v>
      </c>
      <c r="UGV143" s="15" t="s">
        <v>598</v>
      </c>
      <c r="UGW143" s="15" t="s">
        <v>598</v>
      </c>
      <c r="UGX143" s="15" t="s">
        <v>598</v>
      </c>
      <c r="UGY143" s="15" t="s">
        <v>598</v>
      </c>
      <c r="UGZ143" s="15" t="s">
        <v>598</v>
      </c>
      <c r="UHA143" s="15" t="s">
        <v>598</v>
      </c>
      <c r="UHB143" s="15" t="s">
        <v>598</v>
      </c>
      <c r="UHC143" s="15" t="s">
        <v>598</v>
      </c>
      <c r="UHD143" s="15" t="s">
        <v>598</v>
      </c>
      <c r="UHE143" s="15" t="s">
        <v>598</v>
      </c>
      <c r="UHF143" s="15" t="s">
        <v>598</v>
      </c>
      <c r="UHG143" s="15" t="s">
        <v>598</v>
      </c>
      <c r="UHH143" s="15" t="s">
        <v>598</v>
      </c>
      <c r="UHI143" s="15" t="s">
        <v>598</v>
      </c>
      <c r="UHJ143" s="15" t="s">
        <v>598</v>
      </c>
      <c r="UHK143" s="15" t="s">
        <v>598</v>
      </c>
      <c r="UHL143" s="15" t="s">
        <v>598</v>
      </c>
      <c r="UHM143" s="15" t="s">
        <v>598</v>
      </c>
      <c r="UHN143" s="15" t="s">
        <v>598</v>
      </c>
      <c r="UHO143" s="15" t="s">
        <v>598</v>
      </c>
      <c r="UHP143" s="15" t="s">
        <v>598</v>
      </c>
      <c r="UHQ143" s="15" t="s">
        <v>598</v>
      </c>
      <c r="UHR143" s="15" t="s">
        <v>598</v>
      </c>
      <c r="UHS143" s="15" t="s">
        <v>598</v>
      </c>
      <c r="UHT143" s="15" t="s">
        <v>598</v>
      </c>
      <c r="UHU143" s="15" t="s">
        <v>598</v>
      </c>
      <c r="UHV143" s="15" t="s">
        <v>598</v>
      </c>
      <c r="UHW143" s="15" t="s">
        <v>598</v>
      </c>
      <c r="UHX143" s="15" t="s">
        <v>598</v>
      </c>
      <c r="UHY143" s="15" t="s">
        <v>598</v>
      </c>
      <c r="UHZ143" s="15" t="s">
        <v>598</v>
      </c>
      <c r="UIA143" s="15" t="s">
        <v>598</v>
      </c>
      <c r="UIB143" s="15" t="s">
        <v>598</v>
      </c>
      <c r="UIC143" s="15" t="s">
        <v>598</v>
      </c>
      <c r="UID143" s="15" t="s">
        <v>598</v>
      </c>
      <c r="UIE143" s="15" t="s">
        <v>598</v>
      </c>
      <c r="UIF143" s="15" t="s">
        <v>598</v>
      </c>
      <c r="UIG143" s="15" t="s">
        <v>598</v>
      </c>
      <c r="UIH143" s="15" t="s">
        <v>598</v>
      </c>
      <c r="UII143" s="15" t="s">
        <v>598</v>
      </c>
      <c r="UIJ143" s="15" t="s">
        <v>598</v>
      </c>
      <c r="UIK143" s="15" t="s">
        <v>598</v>
      </c>
      <c r="UIL143" s="15" t="s">
        <v>598</v>
      </c>
      <c r="UIM143" s="15" t="s">
        <v>598</v>
      </c>
      <c r="UIN143" s="15" t="s">
        <v>598</v>
      </c>
      <c r="UIO143" s="15" t="s">
        <v>598</v>
      </c>
      <c r="UIP143" s="15" t="s">
        <v>598</v>
      </c>
      <c r="UIQ143" s="15" t="s">
        <v>598</v>
      </c>
      <c r="UIR143" s="15" t="s">
        <v>598</v>
      </c>
      <c r="UIS143" s="15" t="s">
        <v>598</v>
      </c>
      <c r="UIT143" s="15" t="s">
        <v>598</v>
      </c>
      <c r="UIU143" s="15" t="s">
        <v>598</v>
      </c>
      <c r="UIV143" s="15" t="s">
        <v>598</v>
      </c>
      <c r="UIW143" s="15" t="s">
        <v>598</v>
      </c>
      <c r="UIX143" s="15" t="s">
        <v>598</v>
      </c>
      <c r="UIY143" s="15" t="s">
        <v>598</v>
      </c>
      <c r="UIZ143" s="15" t="s">
        <v>598</v>
      </c>
      <c r="UJA143" s="15" t="s">
        <v>598</v>
      </c>
      <c r="UJB143" s="15" t="s">
        <v>598</v>
      </c>
      <c r="UJC143" s="15" t="s">
        <v>598</v>
      </c>
      <c r="UJD143" s="15" t="s">
        <v>598</v>
      </c>
      <c r="UJE143" s="15" t="s">
        <v>598</v>
      </c>
      <c r="UJF143" s="15" t="s">
        <v>598</v>
      </c>
      <c r="UJG143" s="15" t="s">
        <v>598</v>
      </c>
      <c r="UJH143" s="15" t="s">
        <v>598</v>
      </c>
      <c r="UJI143" s="15" t="s">
        <v>598</v>
      </c>
      <c r="UJJ143" s="15" t="s">
        <v>598</v>
      </c>
      <c r="UJK143" s="15" t="s">
        <v>598</v>
      </c>
      <c r="UJL143" s="15" t="s">
        <v>598</v>
      </c>
      <c r="UJM143" s="15" t="s">
        <v>598</v>
      </c>
      <c r="UJN143" s="15" t="s">
        <v>598</v>
      </c>
      <c r="UJO143" s="15" t="s">
        <v>598</v>
      </c>
      <c r="UJP143" s="15" t="s">
        <v>598</v>
      </c>
      <c r="UJQ143" s="15" t="s">
        <v>598</v>
      </c>
      <c r="UJR143" s="15" t="s">
        <v>598</v>
      </c>
      <c r="UJS143" s="15" t="s">
        <v>598</v>
      </c>
      <c r="UJT143" s="15" t="s">
        <v>598</v>
      </c>
      <c r="UJU143" s="15" t="s">
        <v>598</v>
      </c>
      <c r="UJV143" s="15" t="s">
        <v>598</v>
      </c>
      <c r="UJW143" s="15" t="s">
        <v>598</v>
      </c>
      <c r="UJX143" s="15" t="s">
        <v>598</v>
      </c>
      <c r="UJY143" s="15" t="s">
        <v>598</v>
      </c>
      <c r="UJZ143" s="15" t="s">
        <v>598</v>
      </c>
      <c r="UKA143" s="15" t="s">
        <v>598</v>
      </c>
      <c r="UKB143" s="15" t="s">
        <v>598</v>
      </c>
      <c r="UKC143" s="15" t="s">
        <v>598</v>
      </c>
      <c r="UKD143" s="15" t="s">
        <v>598</v>
      </c>
      <c r="UKE143" s="15" t="s">
        <v>598</v>
      </c>
      <c r="UKF143" s="15" t="s">
        <v>598</v>
      </c>
      <c r="UKG143" s="15" t="s">
        <v>598</v>
      </c>
      <c r="UKH143" s="15" t="s">
        <v>598</v>
      </c>
      <c r="UKI143" s="15" t="s">
        <v>598</v>
      </c>
      <c r="UKJ143" s="15" t="s">
        <v>598</v>
      </c>
      <c r="UKK143" s="15" t="s">
        <v>598</v>
      </c>
      <c r="UKL143" s="15" t="s">
        <v>598</v>
      </c>
      <c r="UKM143" s="15" t="s">
        <v>598</v>
      </c>
      <c r="UKN143" s="15" t="s">
        <v>598</v>
      </c>
      <c r="UKO143" s="15" t="s">
        <v>598</v>
      </c>
      <c r="UKP143" s="15" t="s">
        <v>598</v>
      </c>
      <c r="UKQ143" s="15" t="s">
        <v>598</v>
      </c>
      <c r="UKR143" s="15" t="s">
        <v>598</v>
      </c>
      <c r="UKS143" s="15" t="s">
        <v>598</v>
      </c>
      <c r="UKT143" s="15" t="s">
        <v>598</v>
      </c>
      <c r="UKU143" s="15" t="s">
        <v>598</v>
      </c>
      <c r="UKV143" s="15" t="s">
        <v>598</v>
      </c>
      <c r="UKW143" s="15" t="s">
        <v>598</v>
      </c>
      <c r="UKX143" s="15" t="s">
        <v>598</v>
      </c>
      <c r="UKY143" s="15" t="s">
        <v>598</v>
      </c>
      <c r="UKZ143" s="15" t="s">
        <v>598</v>
      </c>
      <c r="ULA143" s="15" t="s">
        <v>598</v>
      </c>
      <c r="ULB143" s="15" t="s">
        <v>598</v>
      </c>
      <c r="ULC143" s="15" t="s">
        <v>598</v>
      </c>
      <c r="ULD143" s="15" t="s">
        <v>598</v>
      </c>
      <c r="ULE143" s="15" t="s">
        <v>598</v>
      </c>
      <c r="ULF143" s="15" t="s">
        <v>598</v>
      </c>
      <c r="ULG143" s="15" t="s">
        <v>598</v>
      </c>
      <c r="ULH143" s="15" t="s">
        <v>598</v>
      </c>
      <c r="ULI143" s="15" t="s">
        <v>598</v>
      </c>
      <c r="ULJ143" s="15" t="s">
        <v>598</v>
      </c>
      <c r="ULK143" s="15" t="s">
        <v>598</v>
      </c>
      <c r="ULL143" s="15" t="s">
        <v>598</v>
      </c>
      <c r="ULM143" s="15" t="s">
        <v>598</v>
      </c>
      <c r="ULN143" s="15" t="s">
        <v>598</v>
      </c>
      <c r="ULO143" s="15" t="s">
        <v>598</v>
      </c>
      <c r="ULP143" s="15" t="s">
        <v>598</v>
      </c>
      <c r="ULQ143" s="15" t="s">
        <v>598</v>
      </c>
      <c r="ULR143" s="15" t="s">
        <v>598</v>
      </c>
      <c r="ULS143" s="15" t="s">
        <v>598</v>
      </c>
      <c r="ULT143" s="15" t="s">
        <v>598</v>
      </c>
      <c r="ULU143" s="15" t="s">
        <v>598</v>
      </c>
      <c r="ULV143" s="15" t="s">
        <v>598</v>
      </c>
      <c r="ULW143" s="15" t="s">
        <v>598</v>
      </c>
      <c r="ULX143" s="15" t="s">
        <v>598</v>
      </c>
      <c r="ULY143" s="15" t="s">
        <v>598</v>
      </c>
      <c r="ULZ143" s="15" t="s">
        <v>598</v>
      </c>
      <c r="UMA143" s="15" t="s">
        <v>598</v>
      </c>
      <c r="UMB143" s="15" t="s">
        <v>598</v>
      </c>
      <c r="UMC143" s="15" t="s">
        <v>598</v>
      </c>
      <c r="UMD143" s="15" t="s">
        <v>598</v>
      </c>
      <c r="UME143" s="15" t="s">
        <v>598</v>
      </c>
      <c r="UMF143" s="15" t="s">
        <v>598</v>
      </c>
      <c r="UMG143" s="15" t="s">
        <v>598</v>
      </c>
      <c r="UMH143" s="15" t="s">
        <v>598</v>
      </c>
      <c r="UMI143" s="15" t="s">
        <v>598</v>
      </c>
      <c r="UMJ143" s="15" t="s">
        <v>598</v>
      </c>
      <c r="UMK143" s="15" t="s">
        <v>598</v>
      </c>
      <c r="UML143" s="15" t="s">
        <v>598</v>
      </c>
      <c r="UMM143" s="15" t="s">
        <v>598</v>
      </c>
      <c r="UMN143" s="15" t="s">
        <v>598</v>
      </c>
      <c r="UMO143" s="15" t="s">
        <v>598</v>
      </c>
      <c r="UMP143" s="15" t="s">
        <v>598</v>
      </c>
      <c r="UMQ143" s="15" t="s">
        <v>598</v>
      </c>
      <c r="UMR143" s="15" t="s">
        <v>598</v>
      </c>
      <c r="UMS143" s="15" t="s">
        <v>598</v>
      </c>
      <c r="UMT143" s="15" t="s">
        <v>598</v>
      </c>
      <c r="UMU143" s="15" t="s">
        <v>598</v>
      </c>
      <c r="UMV143" s="15" t="s">
        <v>598</v>
      </c>
      <c r="UMW143" s="15" t="s">
        <v>598</v>
      </c>
      <c r="UMX143" s="15" t="s">
        <v>598</v>
      </c>
      <c r="UMY143" s="15" t="s">
        <v>598</v>
      </c>
      <c r="UMZ143" s="15" t="s">
        <v>598</v>
      </c>
      <c r="UNA143" s="15" t="s">
        <v>598</v>
      </c>
      <c r="UNB143" s="15" t="s">
        <v>598</v>
      </c>
      <c r="UNC143" s="15" t="s">
        <v>598</v>
      </c>
      <c r="UND143" s="15" t="s">
        <v>598</v>
      </c>
      <c r="UNE143" s="15" t="s">
        <v>598</v>
      </c>
      <c r="UNF143" s="15" t="s">
        <v>598</v>
      </c>
      <c r="UNG143" s="15" t="s">
        <v>598</v>
      </c>
      <c r="UNH143" s="15" t="s">
        <v>598</v>
      </c>
      <c r="UNI143" s="15" t="s">
        <v>598</v>
      </c>
      <c r="UNJ143" s="15" t="s">
        <v>598</v>
      </c>
      <c r="UNK143" s="15" t="s">
        <v>598</v>
      </c>
      <c r="UNL143" s="15" t="s">
        <v>598</v>
      </c>
      <c r="UNM143" s="15" t="s">
        <v>598</v>
      </c>
      <c r="UNN143" s="15" t="s">
        <v>598</v>
      </c>
      <c r="UNO143" s="15" t="s">
        <v>598</v>
      </c>
      <c r="UNP143" s="15" t="s">
        <v>598</v>
      </c>
      <c r="UNQ143" s="15" t="s">
        <v>598</v>
      </c>
      <c r="UNR143" s="15" t="s">
        <v>598</v>
      </c>
      <c r="UNS143" s="15" t="s">
        <v>598</v>
      </c>
      <c r="UNT143" s="15" t="s">
        <v>598</v>
      </c>
      <c r="UNU143" s="15" t="s">
        <v>598</v>
      </c>
      <c r="UNV143" s="15" t="s">
        <v>598</v>
      </c>
      <c r="UNW143" s="15" t="s">
        <v>598</v>
      </c>
      <c r="UNX143" s="15" t="s">
        <v>598</v>
      </c>
      <c r="UNY143" s="15" t="s">
        <v>598</v>
      </c>
      <c r="UNZ143" s="15" t="s">
        <v>598</v>
      </c>
      <c r="UOA143" s="15" t="s">
        <v>598</v>
      </c>
      <c r="UOB143" s="15" t="s">
        <v>598</v>
      </c>
      <c r="UOC143" s="15" t="s">
        <v>598</v>
      </c>
      <c r="UOD143" s="15" t="s">
        <v>598</v>
      </c>
      <c r="UOE143" s="15" t="s">
        <v>598</v>
      </c>
      <c r="UOF143" s="15" t="s">
        <v>598</v>
      </c>
      <c r="UOG143" s="15" t="s">
        <v>598</v>
      </c>
      <c r="UOH143" s="15" t="s">
        <v>598</v>
      </c>
      <c r="UOI143" s="15" t="s">
        <v>598</v>
      </c>
      <c r="UOJ143" s="15" t="s">
        <v>598</v>
      </c>
      <c r="UOK143" s="15" t="s">
        <v>598</v>
      </c>
      <c r="UOL143" s="15" t="s">
        <v>598</v>
      </c>
      <c r="UOM143" s="15" t="s">
        <v>598</v>
      </c>
      <c r="UON143" s="15" t="s">
        <v>598</v>
      </c>
      <c r="UOO143" s="15" t="s">
        <v>598</v>
      </c>
      <c r="UOP143" s="15" t="s">
        <v>598</v>
      </c>
      <c r="UOQ143" s="15" t="s">
        <v>598</v>
      </c>
      <c r="UOR143" s="15" t="s">
        <v>598</v>
      </c>
      <c r="UOS143" s="15" t="s">
        <v>598</v>
      </c>
      <c r="UOT143" s="15" t="s">
        <v>598</v>
      </c>
      <c r="UOU143" s="15" t="s">
        <v>598</v>
      </c>
      <c r="UOV143" s="15" t="s">
        <v>598</v>
      </c>
      <c r="UOW143" s="15" t="s">
        <v>598</v>
      </c>
      <c r="UOX143" s="15" t="s">
        <v>598</v>
      </c>
      <c r="UOY143" s="15" t="s">
        <v>598</v>
      </c>
      <c r="UOZ143" s="15" t="s">
        <v>598</v>
      </c>
      <c r="UPA143" s="15" t="s">
        <v>598</v>
      </c>
      <c r="UPB143" s="15" t="s">
        <v>598</v>
      </c>
      <c r="UPC143" s="15" t="s">
        <v>598</v>
      </c>
      <c r="UPD143" s="15" t="s">
        <v>598</v>
      </c>
      <c r="UPE143" s="15" t="s">
        <v>598</v>
      </c>
      <c r="UPF143" s="15" t="s">
        <v>598</v>
      </c>
      <c r="UPG143" s="15" t="s">
        <v>598</v>
      </c>
      <c r="UPH143" s="15" t="s">
        <v>598</v>
      </c>
      <c r="UPI143" s="15" t="s">
        <v>598</v>
      </c>
      <c r="UPJ143" s="15" t="s">
        <v>598</v>
      </c>
      <c r="UPK143" s="15" t="s">
        <v>598</v>
      </c>
      <c r="UPL143" s="15" t="s">
        <v>598</v>
      </c>
      <c r="UPM143" s="15" t="s">
        <v>598</v>
      </c>
      <c r="UPN143" s="15" t="s">
        <v>598</v>
      </c>
      <c r="UPO143" s="15" t="s">
        <v>598</v>
      </c>
      <c r="UPP143" s="15" t="s">
        <v>598</v>
      </c>
      <c r="UPQ143" s="15" t="s">
        <v>598</v>
      </c>
      <c r="UPR143" s="15" t="s">
        <v>598</v>
      </c>
      <c r="UPS143" s="15" t="s">
        <v>598</v>
      </c>
      <c r="UPT143" s="15" t="s">
        <v>598</v>
      </c>
      <c r="UPU143" s="15" t="s">
        <v>598</v>
      </c>
      <c r="UPV143" s="15" t="s">
        <v>598</v>
      </c>
      <c r="UPW143" s="15" t="s">
        <v>598</v>
      </c>
      <c r="UPX143" s="15" t="s">
        <v>598</v>
      </c>
      <c r="UPY143" s="15" t="s">
        <v>598</v>
      </c>
      <c r="UPZ143" s="15" t="s">
        <v>598</v>
      </c>
      <c r="UQA143" s="15" t="s">
        <v>598</v>
      </c>
      <c r="UQB143" s="15" t="s">
        <v>598</v>
      </c>
      <c r="UQC143" s="15" t="s">
        <v>598</v>
      </c>
      <c r="UQD143" s="15" t="s">
        <v>598</v>
      </c>
      <c r="UQE143" s="15" t="s">
        <v>598</v>
      </c>
      <c r="UQF143" s="15" t="s">
        <v>598</v>
      </c>
      <c r="UQG143" s="15" t="s">
        <v>598</v>
      </c>
      <c r="UQH143" s="15" t="s">
        <v>598</v>
      </c>
      <c r="UQI143" s="15" t="s">
        <v>598</v>
      </c>
      <c r="UQJ143" s="15" t="s">
        <v>598</v>
      </c>
      <c r="UQK143" s="15" t="s">
        <v>598</v>
      </c>
      <c r="UQL143" s="15" t="s">
        <v>598</v>
      </c>
      <c r="UQM143" s="15" t="s">
        <v>598</v>
      </c>
      <c r="UQN143" s="15" t="s">
        <v>598</v>
      </c>
      <c r="UQO143" s="15" t="s">
        <v>598</v>
      </c>
      <c r="UQP143" s="15" t="s">
        <v>598</v>
      </c>
      <c r="UQQ143" s="15" t="s">
        <v>598</v>
      </c>
      <c r="UQR143" s="15" t="s">
        <v>598</v>
      </c>
      <c r="UQS143" s="15" t="s">
        <v>598</v>
      </c>
      <c r="UQT143" s="15" t="s">
        <v>598</v>
      </c>
      <c r="UQU143" s="15" t="s">
        <v>598</v>
      </c>
      <c r="UQV143" s="15" t="s">
        <v>598</v>
      </c>
      <c r="UQW143" s="15" t="s">
        <v>598</v>
      </c>
      <c r="UQX143" s="15" t="s">
        <v>598</v>
      </c>
      <c r="UQY143" s="15" t="s">
        <v>598</v>
      </c>
      <c r="UQZ143" s="15" t="s">
        <v>598</v>
      </c>
      <c r="URA143" s="15" t="s">
        <v>598</v>
      </c>
      <c r="URB143" s="15" t="s">
        <v>598</v>
      </c>
      <c r="URC143" s="15" t="s">
        <v>598</v>
      </c>
      <c r="URD143" s="15" t="s">
        <v>598</v>
      </c>
      <c r="URE143" s="15" t="s">
        <v>598</v>
      </c>
      <c r="URF143" s="15" t="s">
        <v>598</v>
      </c>
      <c r="URG143" s="15" t="s">
        <v>598</v>
      </c>
      <c r="URH143" s="15" t="s">
        <v>598</v>
      </c>
      <c r="URI143" s="15" t="s">
        <v>598</v>
      </c>
      <c r="URJ143" s="15" t="s">
        <v>598</v>
      </c>
      <c r="URK143" s="15" t="s">
        <v>598</v>
      </c>
      <c r="URL143" s="15" t="s">
        <v>598</v>
      </c>
      <c r="URM143" s="15" t="s">
        <v>598</v>
      </c>
      <c r="URN143" s="15" t="s">
        <v>598</v>
      </c>
      <c r="URO143" s="15" t="s">
        <v>598</v>
      </c>
      <c r="URP143" s="15" t="s">
        <v>598</v>
      </c>
      <c r="URQ143" s="15" t="s">
        <v>598</v>
      </c>
      <c r="URR143" s="15" t="s">
        <v>598</v>
      </c>
      <c r="URS143" s="15" t="s">
        <v>598</v>
      </c>
      <c r="URT143" s="15" t="s">
        <v>598</v>
      </c>
      <c r="URU143" s="15" t="s">
        <v>598</v>
      </c>
      <c r="URV143" s="15" t="s">
        <v>598</v>
      </c>
      <c r="URW143" s="15" t="s">
        <v>598</v>
      </c>
      <c r="URX143" s="15" t="s">
        <v>598</v>
      </c>
      <c r="URY143" s="15" t="s">
        <v>598</v>
      </c>
      <c r="URZ143" s="15" t="s">
        <v>598</v>
      </c>
      <c r="USA143" s="15" t="s">
        <v>598</v>
      </c>
      <c r="USB143" s="15" t="s">
        <v>598</v>
      </c>
      <c r="USC143" s="15" t="s">
        <v>598</v>
      </c>
      <c r="USD143" s="15" t="s">
        <v>598</v>
      </c>
      <c r="USE143" s="15" t="s">
        <v>598</v>
      </c>
      <c r="USF143" s="15" t="s">
        <v>598</v>
      </c>
      <c r="USG143" s="15" t="s">
        <v>598</v>
      </c>
      <c r="USH143" s="15" t="s">
        <v>598</v>
      </c>
      <c r="USI143" s="15" t="s">
        <v>598</v>
      </c>
      <c r="USJ143" s="15" t="s">
        <v>598</v>
      </c>
      <c r="USK143" s="15" t="s">
        <v>598</v>
      </c>
      <c r="USL143" s="15" t="s">
        <v>598</v>
      </c>
      <c r="USM143" s="15" t="s">
        <v>598</v>
      </c>
      <c r="USN143" s="15" t="s">
        <v>598</v>
      </c>
      <c r="USO143" s="15" t="s">
        <v>598</v>
      </c>
      <c r="USP143" s="15" t="s">
        <v>598</v>
      </c>
      <c r="USQ143" s="15" t="s">
        <v>598</v>
      </c>
      <c r="USR143" s="15" t="s">
        <v>598</v>
      </c>
      <c r="USS143" s="15" t="s">
        <v>598</v>
      </c>
      <c r="UST143" s="15" t="s">
        <v>598</v>
      </c>
      <c r="USU143" s="15" t="s">
        <v>598</v>
      </c>
      <c r="USV143" s="15" t="s">
        <v>598</v>
      </c>
      <c r="USW143" s="15" t="s">
        <v>598</v>
      </c>
      <c r="USX143" s="15" t="s">
        <v>598</v>
      </c>
      <c r="USY143" s="15" t="s">
        <v>598</v>
      </c>
      <c r="USZ143" s="15" t="s">
        <v>598</v>
      </c>
      <c r="UTA143" s="15" t="s">
        <v>598</v>
      </c>
      <c r="UTB143" s="15" t="s">
        <v>598</v>
      </c>
      <c r="UTC143" s="15" t="s">
        <v>598</v>
      </c>
      <c r="UTD143" s="15" t="s">
        <v>598</v>
      </c>
      <c r="UTE143" s="15" t="s">
        <v>598</v>
      </c>
      <c r="UTF143" s="15" t="s">
        <v>598</v>
      </c>
      <c r="UTG143" s="15" t="s">
        <v>598</v>
      </c>
      <c r="UTH143" s="15" t="s">
        <v>598</v>
      </c>
      <c r="UTI143" s="15" t="s">
        <v>598</v>
      </c>
      <c r="UTJ143" s="15" t="s">
        <v>598</v>
      </c>
      <c r="UTK143" s="15" t="s">
        <v>598</v>
      </c>
      <c r="UTL143" s="15" t="s">
        <v>598</v>
      </c>
      <c r="UTM143" s="15" t="s">
        <v>598</v>
      </c>
      <c r="UTN143" s="15" t="s">
        <v>598</v>
      </c>
      <c r="UTO143" s="15" t="s">
        <v>598</v>
      </c>
      <c r="UTP143" s="15" t="s">
        <v>598</v>
      </c>
      <c r="UTQ143" s="15" t="s">
        <v>598</v>
      </c>
      <c r="UTR143" s="15" t="s">
        <v>598</v>
      </c>
      <c r="UTS143" s="15" t="s">
        <v>598</v>
      </c>
      <c r="UTT143" s="15" t="s">
        <v>598</v>
      </c>
      <c r="UTU143" s="15" t="s">
        <v>598</v>
      </c>
      <c r="UTV143" s="15" t="s">
        <v>598</v>
      </c>
      <c r="UTW143" s="15" t="s">
        <v>598</v>
      </c>
      <c r="UTX143" s="15" t="s">
        <v>598</v>
      </c>
      <c r="UTY143" s="15" t="s">
        <v>598</v>
      </c>
      <c r="UTZ143" s="15" t="s">
        <v>598</v>
      </c>
      <c r="UUA143" s="15" t="s">
        <v>598</v>
      </c>
      <c r="UUB143" s="15" t="s">
        <v>598</v>
      </c>
      <c r="UUC143" s="15" t="s">
        <v>598</v>
      </c>
      <c r="UUD143" s="15" t="s">
        <v>598</v>
      </c>
      <c r="UUE143" s="15" t="s">
        <v>598</v>
      </c>
      <c r="UUF143" s="15" t="s">
        <v>598</v>
      </c>
      <c r="UUG143" s="15" t="s">
        <v>598</v>
      </c>
      <c r="UUH143" s="15" t="s">
        <v>598</v>
      </c>
      <c r="UUI143" s="15" t="s">
        <v>598</v>
      </c>
      <c r="UUJ143" s="15" t="s">
        <v>598</v>
      </c>
      <c r="UUK143" s="15" t="s">
        <v>598</v>
      </c>
      <c r="UUL143" s="15" t="s">
        <v>598</v>
      </c>
      <c r="UUM143" s="15" t="s">
        <v>598</v>
      </c>
      <c r="UUN143" s="15" t="s">
        <v>598</v>
      </c>
      <c r="UUO143" s="15" t="s">
        <v>598</v>
      </c>
      <c r="UUP143" s="15" t="s">
        <v>598</v>
      </c>
      <c r="UUQ143" s="15" t="s">
        <v>598</v>
      </c>
      <c r="UUR143" s="15" t="s">
        <v>598</v>
      </c>
      <c r="UUS143" s="15" t="s">
        <v>598</v>
      </c>
      <c r="UUT143" s="15" t="s">
        <v>598</v>
      </c>
      <c r="UUU143" s="15" t="s">
        <v>598</v>
      </c>
      <c r="UUV143" s="15" t="s">
        <v>598</v>
      </c>
      <c r="UUW143" s="15" t="s">
        <v>598</v>
      </c>
      <c r="UUX143" s="15" t="s">
        <v>598</v>
      </c>
      <c r="UUY143" s="15" t="s">
        <v>598</v>
      </c>
      <c r="UUZ143" s="15" t="s">
        <v>598</v>
      </c>
      <c r="UVA143" s="15" t="s">
        <v>598</v>
      </c>
      <c r="UVB143" s="15" t="s">
        <v>598</v>
      </c>
      <c r="UVC143" s="15" t="s">
        <v>598</v>
      </c>
      <c r="UVD143" s="15" t="s">
        <v>598</v>
      </c>
      <c r="UVE143" s="15" t="s">
        <v>598</v>
      </c>
      <c r="UVF143" s="15" t="s">
        <v>598</v>
      </c>
      <c r="UVG143" s="15" t="s">
        <v>598</v>
      </c>
      <c r="UVH143" s="15" t="s">
        <v>598</v>
      </c>
      <c r="UVI143" s="15" t="s">
        <v>598</v>
      </c>
      <c r="UVJ143" s="15" t="s">
        <v>598</v>
      </c>
      <c r="UVK143" s="15" t="s">
        <v>598</v>
      </c>
      <c r="UVL143" s="15" t="s">
        <v>598</v>
      </c>
      <c r="UVM143" s="15" t="s">
        <v>598</v>
      </c>
      <c r="UVN143" s="15" t="s">
        <v>598</v>
      </c>
      <c r="UVO143" s="15" t="s">
        <v>598</v>
      </c>
      <c r="UVP143" s="15" t="s">
        <v>598</v>
      </c>
      <c r="UVQ143" s="15" t="s">
        <v>598</v>
      </c>
      <c r="UVR143" s="15" t="s">
        <v>598</v>
      </c>
      <c r="UVS143" s="15" t="s">
        <v>598</v>
      </c>
      <c r="UVT143" s="15" t="s">
        <v>598</v>
      </c>
      <c r="UVU143" s="15" t="s">
        <v>598</v>
      </c>
      <c r="UVV143" s="15" t="s">
        <v>598</v>
      </c>
      <c r="UVW143" s="15" t="s">
        <v>598</v>
      </c>
      <c r="UVX143" s="15" t="s">
        <v>598</v>
      </c>
      <c r="UVY143" s="15" t="s">
        <v>598</v>
      </c>
      <c r="UVZ143" s="15" t="s">
        <v>598</v>
      </c>
      <c r="UWA143" s="15" t="s">
        <v>598</v>
      </c>
      <c r="UWB143" s="15" t="s">
        <v>598</v>
      </c>
      <c r="UWC143" s="15" t="s">
        <v>598</v>
      </c>
      <c r="UWD143" s="15" t="s">
        <v>598</v>
      </c>
      <c r="UWE143" s="15" t="s">
        <v>598</v>
      </c>
      <c r="UWF143" s="15" t="s">
        <v>598</v>
      </c>
      <c r="UWG143" s="15" t="s">
        <v>598</v>
      </c>
      <c r="UWH143" s="15" t="s">
        <v>598</v>
      </c>
      <c r="UWI143" s="15" t="s">
        <v>598</v>
      </c>
      <c r="UWJ143" s="15" t="s">
        <v>598</v>
      </c>
      <c r="UWK143" s="15" t="s">
        <v>598</v>
      </c>
      <c r="UWL143" s="15" t="s">
        <v>598</v>
      </c>
      <c r="UWM143" s="15" t="s">
        <v>598</v>
      </c>
      <c r="UWN143" s="15" t="s">
        <v>598</v>
      </c>
      <c r="UWO143" s="15" t="s">
        <v>598</v>
      </c>
      <c r="UWP143" s="15" t="s">
        <v>598</v>
      </c>
      <c r="UWQ143" s="15" t="s">
        <v>598</v>
      </c>
      <c r="UWR143" s="15" t="s">
        <v>598</v>
      </c>
      <c r="UWS143" s="15" t="s">
        <v>598</v>
      </c>
      <c r="UWT143" s="15" t="s">
        <v>598</v>
      </c>
      <c r="UWU143" s="15" t="s">
        <v>598</v>
      </c>
      <c r="UWV143" s="15" t="s">
        <v>598</v>
      </c>
      <c r="UWW143" s="15" t="s">
        <v>598</v>
      </c>
      <c r="UWX143" s="15" t="s">
        <v>598</v>
      </c>
      <c r="UWY143" s="15" t="s">
        <v>598</v>
      </c>
      <c r="UWZ143" s="15" t="s">
        <v>598</v>
      </c>
      <c r="UXA143" s="15" t="s">
        <v>598</v>
      </c>
      <c r="UXB143" s="15" t="s">
        <v>598</v>
      </c>
      <c r="UXC143" s="15" t="s">
        <v>598</v>
      </c>
      <c r="UXD143" s="15" t="s">
        <v>598</v>
      </c>
      <c r="UXE143" s="15" t="s">
        <v>598</v>
      </c>
      <c r="UXF143" s="15" t="s">
        <v>598</v>
      </c>
      <c r="UXG143" s="15" t="s">
        <v>598</v>
      </c>
      <c r="UXH143" s="15" t="s">
        <v>598</v>
      </c>
      <c r="UXI143" s="15" t="s">
        <v>598</v>
      </c>
      <c r="UXJ143" s="15" t="s">
        <v>598</v>
      </c>
      <c r="UXK143" s="15" t="s">
        <v>598</v>
      </c>
      <c r="UXL143" s="15" t="s">
        <v>598</v>
      </c>
      <c r="UXM143" s="15" t="s">
        <v>598</v>
      </c>
      <c r="UXN143" s="15" t="s">
        <v>598</v>
      </c>
      <c r="UXO143" s="15" t="s">
        <v>598</v>
      </c>
      <c r="UXP143" s="15" t="s">
        <v>598</v>
      </c>
      <c r="UXQ143" s="15" t="s">
        <v>598</v>
      </c>
      <c r="UXR143" s="15" t="s">
        <v>598</v>
      </c>
      <c r="UXS143" s="15" t="s">
        <v>598</v>
      </c>
      <c r="UXT143" s="15" t="s">
        <v>598</v>
      </c>
      <c r="UXU143" s="15" t="s">
        <v>598</v>
      </c>
      <c r="UXV143" s="15" t="s">
        <v>598</v>
      </c>
      <c r="UXW143" s="15" t="s">
        <v>598</v>
      </c>
      <c r="UXX143" s="15" t="s">
        <v>598</v>
      </c>
      <c r="UXY143" s="15" t="s">
        <v>598</v>
      </c>
      <c r="UXZ143" s="15" t="s">
        <v>598</v>
      </c>
      <c r="UYA143" s="15" t="s">
        <v>598</v>
      </c>
      <c r="UYB143" s="15" t="s">
        <v>598</v>
      </c>
      <c r="UYC143" s="15" t="s">
        <v>598</v>
      </c>
      <c r="UYD143" s="15" t="s">
        <v>598</v>
      </c>
      <c r="UYE143" s="15" t="s">
        <v>598</v>
      </c>
      <c r="UYF143" s="15" t="s">
        <v>598</v>
      </c>
      <c r="UYG143" s="15" t="s">
        <v>598</v>
      </c>
      <c r="UYH143" s="15" t="s">
        <v>598</v>
      </c>
      <c r="UYI143" s="15" t="s">
        <v>598</v>
      </c>
      <c r="UYJ143" s="15" t="s">
        <v>598</v>
      </c>
      <c r="UYK143" s="15" t="s">
        <v>598</v>
      </c>
      <c r="UYL143" s="15" t="s">
        <v>598</v>
      </c>
      <c r="UYM143" s="15" t="s">
        <v>598</v>
      </c>
      <c r="UYN143" s="15" t="s">
        <v>598</v>
      </c>
      <c r="UYO143" s="15" t="s">
        <v>598</v>
      </c>
      <c r="UYP143" s="15" t="s">
        <v>598</v>
      </c>
      <c r="UYQ143" s="15" t="s">
        <v>598</v>
      </c>
      <c r="UYR143" s="15" t="s">
        <v>598</v>
      </c>
      <c r="UYS143" s="15" t="s">
        <v>598</v>
      </c>
      <c r="UYT143" s="15" t="s">
        <v>598</v>
      </c>
      <c r="UYU143" s="15" t="s">
        <v>598</v>
      </c>
      <c r="UYV143" s="15" t="s">
        <v>598</v>
      </c>
      <c r="UYW143" s="15" t="s">
        <v>598</v>
      </c>
      <c r="UYX143" s="15" t="s">
        <v>598</v>
      </c>
      <c r="UYY143" s="15" t="s">
        <v>598</v>
      </c>
      <c r="UYZ143" s="15" t="s">
        <v>598</v>
      </c>
      <c r="UZA143" s="15" t="s">
        <v>598</v>
      </c>
      <c r="UZB143" s="15" t="s">
        <v>598</v>
      </c>
      <c r="UZC143" s="15" t="s">
        <v>598</v>
      </c>
      <c r="UZD143" s="15" t="s">
        <v>598</v>
      </c>
      <c r="UZE143" s="15" t="s">
        <v>598</v>
      </c>
      <c r="UZF143" s="15" t="s">
        <v>598</v>
      </c>
      <c r="UZG143" s="15" t="s">
        <v>598</v>
      </c>
      <c r="UZH143" s="15" t="s">
        <v>598</v>
      </c>
      <c r="UZI143" s="15" t="s">
        <v>598</v>
      </c>
      <c r="UZJ143" s="15" t="s">
        <v>598</v>
      </c>
      <c r="UZK143" s="15" t="s">
        <v>598</v>
      </c>
      <c r="UZL143" s="15" t="s">
        <v>598</v>
      </c>
      <c r="UZM143" s="15" t="s">
        <v>598</v>
      </c>
      <c r="UZN143" s="15" t="s">
        <v>598</v>
      </c>
      <c r="UZO143" s="15" t="s">
        <v>598</v>
      </c>
      <c r="UZP143" s="15" t="s">
        <v>598</v>
      </c>
      <c r="UZQ143" s="15" t="s">
        <v>598</v>
      </c>
      <c r="UZR143" s="15" t="s">
        <v>598</v>
      </c>
      <c r="UZS143" s="15" t="s">
        <v>598</v>
      </c>
      <c r="UZT143" s="15" t="s">
        <v>598</v>
      </c>
      <c r="UZU143" s="15" t="s">
        <v>598</v>
      </c>
      <c r="UZV143" s="15" t="s">
        <v>598</v>
      </c>
      <c r="UZW143" s="15" t="s">
        <v>598</v>
      </c>
      <c r="UZX143" s="15" t="s">
        <v>598</v>
      </c>
      <c r="UZY143" s="15" t="s">
        <v>598</v>
      </c>
      <c r="UZZ143" s="15" t="s">
        <v>598</v>
      </c>
      <c r="VAA143" s="15" t="s">
        <v>598</v>
      </c>
      <c r="VAB143" s="15" t="s">
        <v>598</v>
      </c>
      <c r="VAC143" s="15" t="s">
        <v>598</v>
      </c>
      <c r="VAD143" s="15" t="s">
        <v>598</v>
      </c>
      <c r="VAE143" s="15" t="s">
        <v>598</v>
      </c>
      <c r="VAF143" s="15" t="s">
        <v>598</v>
      </c>
      <c r="VAG143" s="15" t="s">
        <v>598</v>
      </c>
      <c r="VAH143" s="15" t="s">
        <v>598</v>
      </c>
      <c r="VAI143" s="15" t="s">
        <v>598</v>
      </c>
      <c r="VAJ143" s="15" t="s">
        <v>598</v>
      </c>
      <c r="VAK143" s="15" t="s">
        <v>598</v>
      </c>
      <c r="VAL143" s="15" t="s">
        <v>598</v>
      </c>
      <c r="VAM143" s="15" t="s">
        <v>598</v>
      </c>
      <c r="VAN143" s="15" t="s">
        <v>598</v>
      </c>
      <c r="VAO143" s="15" t="s">
        <v>598</v>
      </c>
      <c r="VAP143" s="15" t="s">
        <v>598</v>
      </c>
      <c r="VAQ143" s="15" t="s">
        <v>598</v>
      </c>
      <c r="VAR143" s="15" t="s">
        <v>598</v>
      </c>
      <c r="VAS143" s="15" t="s">
        <v>598</v>
      </c>
      <c r="VAT143" s="15" t="s">
        <v>598</v>
      </c>
      <c r="VAU143" s="15" t="s">
        <v>598</v>
      </c>
      <c r="VAV143" s="15" t="s">
        <v>598</v>
      </c>
      <c r="VAW143" s="15" t="s">
        <v>598</v>
      </c>
      <c r="VAX143" s="15" t="s">
        <v>598</v>
      </c>
      <c r="VAY143" s="15" t="s">
        <v>598</v>
      </c>
      <c r="VAZ143" s="15" t="s">
        <v>598</v>
      </c>
      <c r="VBA143" s="15" t="s">
        <v>598</v>
      </c>
      <c r="VBB143" s="15" t="s">
        <v>598</v>
      </c>
      <c r="VBC143" s="15" t="s">
        <v>598</v>
      </c>
      <c r="VBD143" s="15" t="s">
        <v>598</v>
      </c>
      <c r="VBE143" s="15" t="s">
        <v>598</v>
      </c>
      <c r="VBF143" s="15" t="s">
        <v>598</v>
      </c>
      <c r="VBG143" s="15" t="s">
        <v>598</v>
      </c>
      <c r="VBH143" s="15" t="s">
        <v>598</v>
      </c>
      <c r="VBI143" s="15" t="s">
        <v>598</v>
      </c>
      <c r="VBJ143" s="15" t="s">
        <v>598</v>
      </c>
      <c r="VBK143" s="15" t="s">
        <v>598</v>
      </c>
      <c r="VBL143" s="15" t="s">
        <v>598</v>
      </c>
      <c r="VBM143" s="15" t="s">
        <v>598</v>
      </c>
      <c r="VBN143" s="15" t="s">
        <v>598</v>
      </c>
      <c r="VBO143" s="15" t="s">
        <v>598</v>
      </c>
      <c r="VBP143" s="15" t="s">
        <v>598</v>
      </c>
      <c r="VBQ143" s="15" t="s">
        <v>598</v>
      </c>
      <c r="VBR143" s="15" t="s">
        <v>598</v>
      </c>
      <c r="VBS143" s="15" t="s">
        <v>598</v>
      </c>
      <c r="VBT143" s="15" t="s">
        <v>598</v>
      </c>
      <c r="VBU143" s="15" t="s">
        <v>598</v>
      </c>
      <c r="VBV143" s="15" t="s">
        <v>598</v>
      </c>
      <c r="VBW143" s="15" t="s">
        <v>598</v>
      </c>
      <c r="VBX143" s="15" t="s">
        <v>598</v>
      </c>
      <c r="VBY143" s="15" t="s">
        <v>598</v>
      </c>
      <c r="VBZ143" s="15" t="s">
        <v>598</v>
      </c>
      <c r="VCA143" s="15" t="s">
        <v>598</v>
      </c>
      <c r="VCB143" s="15" t="s">
        <v>598</v>
      </c>
      <c r="VCC143" s="15" t="s">
        <v>598</v>
      </c>
      <c r="VCD143" s="15" t="s">
        <v>598</v>
      </c>
      <c r="VCE143" s="15" t="s">
        <v>598</v>
      </c>
      <c r="VCF143" s="15" t="s">
        <v>598</v>
      </c>
      <c r="VCG143" s="15" t="s">
        <v>598</v>
      </c>
      <c r="VCH143" s="15" t="s">
        <v>598</v>
      </c>
      <c r="VCI143" s="15" t="s">
        <v>598</v>
      </c>
      <c r="VCJ143" s="15" t="s">
        <v>598</v>
      </c>
      <c r="VCK143" s="15" t="s">
        <v>598</v>
      </c>
      <c r="VCL143" s="15" t="s">
        <v>598</v>
      </c>
      <c r="VCM143" s="15" t="s">
        <v>598</v>
      </c>
      <c r="VCN143" s="15" t="s">
        <v>598</v>
      </c>
      <c r="VCO143" s="15" t="s">
        <v>598</v>
      </c>
      <c r="VCP143" s="15" t="s">
        <v>598</v>
      </c>
      <c r="VCQ143" s="15" t="s">
        <v>598</v>
      </c>
      <c r="VCR143" s="15" t="s">
        <v>598</v>
      </c>
      <c r="VCS143" s="15" t="s">
        <v>598</v>
      </c>
      <c r="VCT143" s="15" t="s">
        <v>598</v>
      </c>
      <c r="VCU143" s="15" t="s">
        <v>598</v>
      </c>
      <c r="VCV143" s="15" t="s">
        <v>598</v>
      </c>
      <c r="VCW143" s="15" t="s">
        <v>598</v>
      </c>
      <c r="VCX143" s="15" t="s">
        <v>598</v>
      </c>
      <c r="VCY143" s="15" t="s">
        <v>598</v>
      </c>
      <c r="VCZ143" s="15" t="s">
        <v>598</v>
      </c>
      <c r="VDA143" s="15" t="s">
        <v>598</v>
      </c>
      <c r="VDB143" s="15" t="s">
        <v>598</v>
      </c>
      <c r="VDC143" s="15" t="s">
        <v>598</v>
      </c>
      <c r="VDD143" s="15" t="s">
        <v>598</v>
      </c>
      <c r="VDE143" s="15" t="s">
        <v>598</v>
      </c>
      <c r="VDF143" s="15" t="s">
        <v>598</v>
      </c>
      <c r="VDG143" s="15" t="s">
        <v>598</v>
      </c>
      <c r="VDH143" s="15" t="s">
        <v>598</v>
      </c>
      <c r="VDI143" s="15" t="s">
        <v>598</v>
      </c>
      <c r="VDJ143" s="15" t="s">
        <v>598</v>
      </c>
      <c r="VDK143" s="15" t="s">
        <v>598</v>
      </c>
      <c r="VDL143" s="15" t="s">
        <v>598</v>
      </c>
      <c r="VDM143" s="15" t="s">
        <v>598</v>
      </c>
      <c r="VDN143" s="15" t="s">
        <v>598</v>
      </c>
      <c r="VDO143" s="15" t="s">
        <v>598</v>
      </c>
      <c r="VDP143" s="15" t="s">
        <v>598</v>
      </c>
      <c r="VDQ143" s="15" t="s">
        <v>598</v>
      </c>
      <c r="VDR143" s="15" t="s">
        <v>598</v>
      </c>
      <c r="VDS143" s="15" t="s">
        <v>598</v>
      </c>
      <c r="VDT143" s="15" t="s">
        <v>598</v>
      </c>
      <c r="VDU143" s="15" t="s">
        <v>598</v>
      </c>
      <c r="VDV143" s="15" t="s">
        <v>598</v>
      </c>
      <c r="VDW143" s="15" t="s">
        <v>598</v>
      </c>
      <c r="VDX143" s="15" t="s">
        <v>598</v>
      </c>
      <c r="VDY143" s="15" t="s">
        <v>598</v>
      </c>
      <c r="VDZ143" s="15" t="s">
        <v>598</v>
      </c>
      <c r="VEA143" s="15" t="s">
        <v>598</v>
      </c>
      <c r="VEB143" s="15" t="s">
        <v>598</v>
      </c>
      <c r="VEC143" s="15" t="s">
        <v>598</v>
      </c>
      <c r="VED143" s="15" t="s">
        <v>598</v>
      </c>
      <c r="VEE143" s="15" t="s">
        <v>598</v>
      </c>
      <c r="VEF143" s="15" t="s">
        <v>598</v>
      </c>
      <c r="VEG143" s="15" t="s">
        <v>598</v>
      </c>
      <c r="VEH143" s="15" t="s">
        <v>598</v>
      </c>
      <c r="VEI143" s="15" t="s">
        <v>598</v>
      </c>
      <c r="VEJ143" s="15" t="s">
        <v>598</v>
      </c>
      <c r="VEK143" s="15" t="s">
        <v>598</v>
      </c>
      <c r="VEL143" s="15" t="s">
        <v>598</v>
      </c>
      <c r="VEM143" s="15" t="s">
        <v>598</v>
      </c>
      <c r="VEN143" s="15" t="s">
        <v>598</v>
      </c>
      <c r="VEO143" s="15" t="s">
        <v>598</v>
      </c>
      <c r="VEP143" s="15" t="s">
        <v>598</v>
      </c>
      <c r="VEQ143" s="15" t="s">
        <v>598</v>
      </c>
      <c r="VER143" s="15" t="s">
        <v>598</v>
      </c>
      <c r="VES143" s="15" t="s">
        <v>598</v>
      </c>
      <c r="VET143" s="15" t="s">
        <v>598</v>
      </c>
      <c r="VEU143" s="15" t="s">
        <v>598</v>
      </c>
      <c r="VEV143" s="15" t="s">
        <v>598</v>
      </c>
      <c r="VEW143" s="15" t="s">
        <v>598</v>
      </c>
      <c r="VEX143" s="15" t="s">
        <v>598</v>
      </c>
      <c r="VEY143" s="15" t="s">
        <v>598</v>
      </c>
      <c r="VEZ143" s="15" t="s">
        <v>598</v>
      </c>
      <c r="VFA143" s="15" t="s">
        <v>598</v>
      </c>
      <c r="VFB143" s="15" t="s">
        <v>598</v>
      </c>
      <c r="VFC143" s="15" t="s">
        <v>598</v>
      </c>
      <c r="VFD143" s="15" t="s">
        <v>598</v>
      </c>
      <c r="VFE143" s="15" t="s">
        <v>598</v>
      </c>
      <c r="VFF143" s="15" t="s">
        <v>598</v>
      </c>
      <c r="VFG143" s="15" t="s">
        <v>598</v>
      </c>
      <c r="VFH143" s="15" t="s">
        <v>598</v>
      </c>
      <c r="VFI143" s="15" t="s">
        <v>598</v>
      </c>
      <c r="VFJ143" s="15" t="s">
        <v>598</v>
      </c>
      <c r="VFK143" s="15" t="s">
        <v>598</v>
      </c>
      <c r="VFL143" s="15" t="s">
        <v>598</v>
      </c>
      <c r="VFM143" s="15" t="s">
        <v>598</v>
      </c>
      <c r="VFN143" s="15" t="s">
        <v>598</v>
      </c>
      <c r="VFO143" s="15" t="s">
        <v>598</v>
      </c>
      <c r="VFP143" s="15" t="s">
        <v>598</v>
      </c>
      <c r="VFQ143" s="15" t="s">
        <v>598</v>
      </c>
      <c r="VFR143" s="15" t="s">
        <v>598</v>
      </c>
      <c r="VFS143" s="15" t="s">
        <v>598</v>
      </c>
      <c r="VFT143" s="15" t="s">
        <v>598</v>
      </c>
      <c r="VFU143" s="15" t="s">
        <v>598</v>
      </c>
      <c r="VFV143" s="15" t="s">
        <v>598</v>
      </c>
      <c r="VFW143" s="15" t="s">
        <v>598</v>
      </c>
      <c r="VFX143" s="15" t="s">
        <v>598</v>
      </c>
      <c r="VFY143" s="15" t="s">
        <v>598</v>
      </c>
      <c r="VFZ143" s="15" t="s">
        <v>598</v>
      </c>
      <c r="VGA143" s="15" t="s">
        <v>598</v>
      </c>
      <c r="VGB143" s="15" t="s">
        <v>598</v>
      </c>
      <c r="VGC143" s="15" t="s">
        <v>598</v>
      </c>
      <c r="VGD143" s="15" t="s">
        <v>598</v>
      </c>
      <c r="VGE143" s="15" t="s">
        <v>598</v>
      </c>
      <c r="VGF143" s="15" t="s">
        <v>598</v>
      </c>
      <c r="VGG143" s="15" t="s">
        <v>598</v>
      </c>
      <c r="VGH143" s="15" t="s">
        <v>598</v>
      </c>
      <c r="VGI143" s="15" t="s">
        <v>598</v>
      </c>
      <c r="VGJ143" s="15" t="s">
        <v>598</v>
      </c>
      <c r="VGK143" s="15" t="s">
        <v>598</v>
      </c>
      <c r="VGL143" s="15" t="s">
        <v>598</v>
      </c>
      <c r="VGM143" s="15" t="s">
        <v>598</v>
      </c>
      <c r="VGN143" s="15" t="s">
        <v>598</v>
      </c>
      <c r="VGO143" s="15" t="s">
        <v>598</v>
      </c>
      <c r="VGP143" s="15" t="s">
        <v>598</v>
      </c>
      <c r="VGQ143" s="15" t="s">
        <v>598</v>
      </c>
      <c r="VGR143" s="15" t="s">
        <v>598</v>
      </c>
      <c r="VGS143" s="15" t="s">
        <v>598</v>
      </c>
      <c r="VGT143" s="15" t="s">
        <v>598</v>
      </c>
      <c r="VGU143" s="15" t="s">
        <v>598</v>
      </c>
      <c r="VGV143" s="15" t="s">
        <v>598</v>
      </c>
      <c r="VGW143" s="15" t="s">
        <v>598</v>
      </c>
      <c r="VGX143" s="15" t="s">
        <v>598</v>
      </c>
      <c r="VGY143" s="15" t="s">
        <v>598</v>
      </c>
      <c r="VGZ143" s="15" t="s">
        <v>598</v>
      </c>
      <c r="VHA143" s="15" t="s">
        <v>598</v>
      </c>
      <c r="VHB143" s="15" t="s">
        <v>598</v>
      </c>
      <c r="VHC143" s="15" t="s">
        <v>598</v>
      </c>
      <c r="VHD143" s="15" t="s">
        <v>598</v>
      </c>
      <c r="VHE143" s="15" t="s">
        <v>598</v>
      </c>
      <c r="VHF143" s="15" t="s">
        <v>598</v>
      </c>
      <c r="VHG143" s="15" t="s">
        <v>598</v>
      </c>
      <c r="VHH143" s="15" t="s">
        <v>598</v>
      </c>
      <c r="VHI143" s="15" t="s">
        <v>598</v>
      </c>
      <c r="VHJ143" s="15" t="s">
        <v>598</v>
      </c>
      <c r="VHK143" s="15" t="s">
        <v>598</v>
      </c>
      <c r="VHL143" s="15" t="s">
        <v>598</v>
      </c>
      <c r="VHM143" s="15" t="s">
        <v>598</v>
      </c>
      <c r="VHN143" s="15" t="s">
        <v>598</v>
      </c>
      <c r="VHO143" s="15" t="s">
        <v>598</v>
      </c>
      <c r="VHP143" s="15" t="s">
        <v>598</v>
      </c>
      <c r="VHQ143" s="15" t="s">
        <v>598</v>
      </c>
      <c r="VHR143" s="15" t="s">
        <v>598</v>
      </c>
      <c r="VHS143" s="15" t="s">
        <v>598</v>
      </c>
      <c r="VHT143" s="15" t="s">
        <v>598</v>
      </c>
      <c r="VHU143" s="15" t="s">
        <v>598</v>
      </c>
      <c r="VHV143" s="15" t="s">
        <v>598</v>
      </c>
      <c r="VHW143" s="15" t="s">
        <v>598</v>
      </c>
      <c r="VHX143" s="15" t="s">
        <v>598</v>
      </c>
      <c r="VHY143" s="15" t="s">
        <v>598</v>
      </c>
      <c r="VHZ143" s="15" t="s">
        <v>598</v>
      </c>
      <c r="VIA143" s="15" t="s">
        <v>598</v>
      </c>
      <c r="VIB143" s="15" t="s">
        <v>598</v>
      </c>
      <c r="VIC143" s="15" t="s">
        <v>598</v>
      </c>
      <c r="VID143" s="15" t="s">
        <v>598</v>
      </c>
      <c r="VIE143" s="15" t="s">
        <v>598</v>
      </c>
      <c r="VIF143" s="15" t="s">
        <v>598</v>
      </c>
      <c r="VIG143" s="15" t="s">
        <v>598</v>
      </c>
      <c r="VIH143" s="15" t="s">
        <v>598</v>
      </c>
      <c r="VII143" s="15" t="s">
        <v>598</v>
      </c>
      <c r="VIJ143" s="15" t="s">
        <v>598</v>
      </c>
      <c r="VIK143" s="15" t="s">
        <v>598</v>
      </c>
      <c r="VIL143" s="15" t="s">
        <v>598</v>
      </c>
      <c r="VIM143" s="15" t="s">
        <v>598</v>
      </c>
      <c r="VIN143" s="15" t="s">
        <v>598</v>
      </c>
      <c r="VIO143" s="15" t="s">
        <v>598</v>
      </c>
      <c r="VIP143" s="15" t="s">
        <v>598</v>
      </c>
      <c r="VIQ143" s="15" t="s">
        <v>598</v>
      </c>
      <c r="VIR143" s="15" t="s">
        <v>598</v>
      </c>
      <c r="VIS143" s="15" t="s">
        <v>598</v>
      </c>
      <c r="VIT143" s="15" t="s">
        <v>598</v>
      </c>
      <c r="VIU143" s="15" t="s">
        <v>598</v>
      </c>
      <c r="VIV143" s="15" t="s">
        <v>598</v>
      </c>
      <c r="VIW143" s="15" t="s">
        <v>598</v>
      </c>
      <c r="VIX143" s="15" t="s">
        <v>598</v>
      </c>
      <c r="VIY143" s="15" t="s">
        <v>598</v>
      </c>
      <c r="VIZ143" s="15" t="s">
        <v>598</v>
      </c>
      <c r="VJA143" s="15" t="s">
        <v>598</v>
      </c>
      <c r="VJB143" s="15" t="s">
        <v>598</v>
      </c>
      <c r="VJC143" s="15" t="s">
        <v>598</v>
      </c>
      <c r="VJD143" s="15" t="s">
        <v>598</v>
      </c>
      <c r="VJE143" s="15" t="s">
        <v>598</v>
      </c>
      <c r="VJF143" s="15" t="s">
        <v>598</v>
      </c>
      <c r="VJG143" s="15" t="s">
        <v>598</v>
      </c>
      <c r="VJH143" s="15" t="s">
        <v>598</v>
      </c>
      <c r="VJI143" s="15" t="s">
        <v>598</v>
      </c>
      <c r="VJJ143" s="15" t="s">
        <v>598</v>
      </c>
      <c r="VJK143" s="15" t="s">
        <v>598</v>
      </c>
      <c r="VJL143" s="15" t="s">
        <v>598</v>
      </c>
      <c r="VJM143" s="15" t="s">
        <v>598</v>
      </c>
      <c r="VJN143" s="15" t="s">
        <v>598</v>
      </c>
      <c r="VJO143" s="15" t="s">
        <v>598</v>
      </c>
      <c r="VJP143" s="15" t="s">
        <v>598</v>
      </c>
      <c r="VJQ143" s="15" t="s">
        <v>598</v>
      </c>
      <c r="VJR143" s="15" t="s">
        <v>598</v>
      </c>
      <c r="VJS143" s="15" t="s">
        <v>598</v>
      </c>
      <c r="VJT143" s="15" t="s">
        <v>598</v>
      </c>
      <c r="VJU143" s="15" t="s">
        <v>598</v>
      </c>
      <c r="VJV143" s="15" t="s">
        <v>598</v>
      </c>
      <c r="VJW143" s="15" t="s">
        <v>598</v>
      </c>
      <c r="VJX143" s="15" t="s">
        <v>598</v>
      </c>
      <c r="VJY143" s="15" t="s">
        <v>598</v>
      </c>
      <c r="VJZ143" s="15" t="s">
        <v>598</v>
      </c>
      <c r="VKA143" s="15" t="s">
        <v>598</v>
      </c>
      <c r="VKB143" s="15" t="s">
        <v>598</v>
      </c>
      <c r="VKC143" s="15" t="s">
        <v>598</v>
      </c>
      <c r="VKD143" s="15" t="s">
        <v>598</v>
      </c>
      <c r="VKE143" s="15" t="s">
        <v>598</v>
      </c>
      <c r="VKF143" s="15" t="s">
        <v>598</v>
      </c>
      <c r="VKG143" s="15" t="s">
        <v>598</v>
      </c>
      <c r="VKH143" s="15" t="s">
        <v>598</v>
      </c>
      <c r="VKI143" s="15" t="s">
        <v>598</v>
      </c>
      <c r="VKJ143" s="15" t="s">
        <v>598</v>
      </c>
      <c r="VKK143" s="15" t="s">
        <v>598</v>
      </c>
      <c r="VKL143" s="15" t="s">
        <v>598</v>
      </c>
      <c r="VKM143" s="15" t="s">
        <v>598</v>
      </c>
      <c r="VKN143" s="15" t="s">
        <v>598</v>
      </c>
      <c r="VKO143" s="15" t="s">
        <v>598</v>
      </c>
      <c r="VKP143" s="15" t="s">
        <v>598</v>
      </c>
      <c r="VKQ143" s="15" t="s">
        <v>598</v>
      </c>
      <c r="VKR143" s="15" t="s">
        <v>598</v>
      </c>
      <c r="VKS143" s="15" t="s">
        <v>598</v>
      </c>
      <c r="VKT143" s="15" t="s">
        <v>598</v>
      </c>
      <c r="VKU143" s="15" t="s">
        <v>598</v>
      </c>
      <c r="VKV143" s="15" t="s">
        <v>598</v>
      </c>
      <c r="VKW143" s="15" t="s">
        <v>598</v>
      </c>
      <c r="VKX143" s="15" t="s">
        <v>598</v>
      </c>
      <c r="VKY143" s="15" t="s">
        <v>598</v>
      </c>
      <c r="VKZ143" s="15" t="s">
        <v>598</v>
      </c>
      <c r="VLA143" s="15" t="s">
        <v>598</v>
      </c>
      <c r="VLB143" s="15" t="s">
        <v>598</v>
      </c>
      <c r="VLC143" s="15" t="s">
        <v>598</v>
      </c>
      <c r="VLD143" s="15" t="s">
        <v>598</v>
      </c>
      <c r="VLE143" s="15" t="s">
        <v>598</v>
      </c>
      <c r="VLF143" s="15" t="s">
        <v>598</v>
      </c>
      <c r="VLG143" s="15" t="s">
        <v>598</v>
      </c>
      <c r="VLH143" s="15" t="s">
        <v>598</v>
      </c>
      <c r="VLI143" s="15" t="s">
        <v>598</v>
      </c>
      <c r="VLJ143" s="15" t="s">
        <v>598</v>
      </c>
      <c r="VLK143" s="15" t="s">
        <v>598</v>
      </c>
      <c r="VLL143" s="15" t="s">
        <v>598</v>
      </c>
      <c r="VLM143" s="15" t="s">
        <v>598</v>
      </c>
      <c r="VLN143" s="15" t="s">
        <v>598</v>
      </c>
      <c r="VLO143" s="15" t="s">
        <v>598</v>
      </c>
      <c r="VLP143" s="15" t="s">
        <v>598</v>
      </c>
      <c r="VLQ143" s="15" t="s">
        <v>598</v>
      </c>
      <c r="VLR143" s="15" t="s">
        <v>598</v>
      </c>
      <c r="VLS143" s="15" t="s">
        <v>598</v>
      </c>
      <c r="VLT143" s="15" t="s">
        <v>598</v>
      </c>
      <c r="VLU143" s="15" t="s">
        <v>598</v>
      </c>
      <c r="VLV143" s="15" t="s">
        <v>598</v>
      </c>
      <c r="VLW143" s="15" t="s">
        <v>598</v>
      </c>
      <c r="VLX143" s="15" t="s">
        <v>598</v>
      </c>
      <c r="VLY143" s="15" t="s">
        <v>598</v>
      </c>
      <c r="VLZ143" s="15" t="s">
        <v>598</v>
      </c>
      <c r="VMA143" s="15" t="s">
        <v>598</v>
      </c>
      <c r="VMB143" s="15" t="s">
        <v>598</v>
      </c>
      <c r="VMC143" s="15" t="s">
        <v>598</v>
      </c>
      <c r="VMD143" s="15" t="s">
        <v>598</v>
      </c>
      <c r="VME143" s="15" t="s">
        <v>598</v>
      </c>
      <c r="VMF143" s="15" t="s">
        <v>598</v>
      </c>
      <c r="VMG143" s="15" t="s">
        <v>598</v>
      </c>
      <c r="VMH143" s="15" t="s">
        <v>598</v>
      </c>
      <c r="VMI143" s="15" t="s">
        <v>598</v>
      </c>
      <c r="VMJ143" s="15" t="s">
        <v>598</v>
      </c>
      <c r="VMK143" s="15" t="s">
        <v>598</v>
      </c>
      <c r="VML143" s="15" t="s">
        <v>598</v>
      </c>
      <c r="VMM143" s="15" t="s">
        <v>598</v>
      </c>
      <c r="VMN143" s="15" t="s">
        <v>598</v>
      </c>
      <c r="VMO143" s="15" t="s">
        <v>598</v>
      </c>
      <c r="VMP143" s="15" t="s">
        <v>598</v>
      </c>
      <c r="VMQ143" s="15" t="s">
        <v>598</v>
      </c>
      <c r="VMR143" s="15" t="s">
        <v>598</v>
      </c>
      <c r="VMS143" s="15" t="s">
        <v>598</v>
      </c>
      <c r="VMT143" s="15" t="s">
        <v>598</v>
      </c>
      <c r="VMU143" s="15" t="s">
        <v>598</v>
      </c>
      <c r="VMV143" s="15" t="s">
        <v>598</v>
      </c>
      <c r="VMW143" s="15" t="s">
        <v>598</v>
      </c>
      <c r="VMX143" s="15" t="s">
        <v>598</v>
      </c>
      <c r="VMY143" s="15" t="s">
        <v>598</v>
      </c>
      <c r="VMZ143" s="15" t="s">
        <v>598</v>
      </c>
      <c r="VNA143" s="15" t="s">
        <v>598</v>
      </c>
      <c r="VNB143" s="15" t="s">
        <v>598</v>
      </c>
      <c r="VNC143" s="15" t="s">
        <v>598</v>
      </c>
      <c r="VND143" s="15" t="s">
        <v>598</v>
      </c>
      <c r="VNE143" s="15" t="s">
        <v>598</v>
      </c>
      <c r="VNF143" s="15" t="s">
        <v>598</v>
      </c>
      <c r="VNG143" s="15" t="s">
        <v>598</v>
      </c>
      <c r="VNH143" s="15" t="s">
        <v>598</v>
      </c>
      <c r="VNI143" s="15" t="s">
        <v>598</v>
      </c>
      <c r="VNJ143" s="15" t="s">
        <v>598</v>
      </c>
      <c r="VNK143" s="15" t="s">
        <v>598</v>
      </c>
      <c r="VNL143" s="15" t="s">
        <v>598</v>
      </c>
      <c r="VNM143" s="15" t="s">
        <v>598</v>
      </c>
      <c r="VNN143" s="15" t="s">
        <v>598</v>
      </c>
      <c r="VNO143" s="15" t="s">
        <v>598</v>
      </c>
      <c r="VNP143" s="15" t="s">
        <v>598</v>
      </c>
      <c r="VNQ143" s="15" t="s">
        <v>598</v>
      </c>
      <c r="VNR143" s="15" t="s">
        <v>598</v>
      </c>
      <c r="VNS143" s="15" t="s">
        <v>598</v>
      </c>
      <c r="VNT143" s="15" t="s">
        <v>598</v>
      </c>
      <c r="VNU143" s="15" t="s">
        <v>598</v>
      </c>
      <c r="VNV143" s="15" t="s">
        <v>598</v>
      </c>
      <c r="VNW143" s="15" t="s">
        <v>598</v>
      </c>
      <c r="VNX143" s="15" t="s">
        <v>598</v>
      </c>
      <c r="VNY143" s="15" t="s">
        <v>598</v>
      </c>
      <c r="VNZ143" s="15" t="s">
        <v>598</v>
      </c>
      <c r="VOA143" s="15" t="s">
        <v>598</v>
      </c>
      <c r="VOB143" s="15" t="s">
        <v>598</v>
      </c>
      <c r="VOC143" s="15" t="s">
        <v>598</v>
      </c>
      <c r="VOD143" s="15" t="s">
        <v>598</v>
      </c>
      <c r="VOE143" s="15" t="s">
        <v>598</v>
      </c>
      <c r="VOF143" s="15" t="s">
        <v>598</v>
      </c>
      <c r="VOG143" s="15" t="s">
        <v>598</v>
      </c>
      <c r="VOH143" s="15" t="s">
        <v>598</v>
      </c>
      <c r="VOI143" s="15" t="s">
        <v>598</v>
      </c>
      <c r="VOJ143" s="15" t="s">
        <v>598</v>
      </c>
      <c r="VOK143" s="15" t="s">
        <v>598</v>
      </c>
      <c r="VOL143" s="15" t="s">
        <v>598</v>
      </c>
      <c r="VOM143" s="15" t="s">
        <v>598</v>
      </c>
      <c r="VON143" s="15" t="s">
        <v>598</v>
      </c>
      <c r="VOO143" s="15" t="s">
        <v>598</v>
      </c>
      <c r="VOP143" s="15" t="s">
        <v>598</v>
      </c>
      <c r="VOQ143" s="15" t="s">
        <v>598</v>
      </c>
      <c r="VOR143" s="15" t="s">
        <v>598</v>
      </c>
      <c r="VOS143" s="15" t="s">
        <v>598</v>
      </c>
      <c r="VOT143" s="15" t="s">
        <v>598</v>
      </c>
      <c r="VOU143" s="15" t="s">
        <v>598</v>
      </c>
      <c r="VOV143" s="15" t="s">
        <v>598</v>
      </c>
      <c r="VOW143" s="15" t="s">
        <v>598</v>
      </c>
      <c r="VOX143" s="15" t="s">
        <v>598</v>
      </c>
      <c r="VOY143" s="15" t="s">
        <v>598</v>
      </c>
      <c r="VOZ143" s="15" t="s">
        <v>598</v>
      </c>
      <c r="VPA143" s="15" t="s">
        <v>598</v>
      </c>
      <c r="VPB143" s="15" t="s">
        <v>598</v>
      </c>
      <c r="VPC143" s="15" t="s">
        <v>598</v>
      </c>
      <c r="VPD143" s="15" t="s">
        <v>598</v>
      </c>
      <c r="VPE143" s="15" t="s">
        <v>598</v>
      </c>
      <c r="VPF143" s="15" t="s">
        <v>598</v>
      </c>
      <c r="VPG143" s="15" t="s">
        <v>598</v>
      </c>
      <c r="VPH143" s="15" t="s">
        <v>598</v>
      </c>
      <c r="VPI143" s="15" t="s">
        <v>598</v>
      </c>
      <c r="VPJ143" s="15" t="s">
        <v>598</v>
      </c>
      <c r="VPK143" s="15" t="s">
        <v>598</v>
      </c>
      <c r="VPL143" s="15" t="s">
        <v>598</v>
      </c>
      <c r="VPM143" s="15" t="s">
        <v>598</v>
      </c>
      <c r="VPN143" s="15" t="s">
        <v>598</v>
      </c>
      <c r="VPO143" s="15" t="s">
        <v>598</v>
      </c>
      <c r="VPP143" s="15" t="s">
        <v>598</v>
      </c>
      <c r="VPQ143" s="15" t="s">
        <v>598</v>
      </c>
      <c r="VPR143" s="15" t="s">
        <v>598</v>
      </c>
      <c r="VPS143" s="15" t="s">
        <v>598</v>
      </c>
      <c r="VPT143" s="15" t="s">
        <v>598</v>
      </c>
      <c r="VPU143" s="15" t="s">
        <v>598</v>
      </c>
      <c r="VPV143" s="15" t="s">
        <v>598</v>
      </c>
      <c r="VPW143" s="15" t="s">
        <v>598</v>
      </c>
      <c r="VPX143" s="15" t="s">
        <v>598</v>
      </c>
      <c r="VPY143" s="15" t="s">
        <v>598</v>
      </c>
      <c r="VPZ143" s="15" t="s">
        <v>598</v>
      </c>
      <c r="VQA143" s="15" t="s">
        <v>598</v>
      </c>
      <c r="VQB143" s="15" t="s">
        <v>598</v>
      </c>
      <c r="VQC143" s="15" t="s">
        <v>598</v>
      </c>
      <c r="VQD143" s="15" t="s">
        <v>598</v>
      </c>
      <c r="VQE143" s="15" t="s">
        <v>598</v>
      </c>
      <c r="VQF143" s="15" t="s">
        <v>598</v>
      </c>
      <c r="VQG143" s="15" t="s">
        <v>598</v>
      </c>
      <c r="VQH143" s="15" t="s">
        <v>598</v>
      </c>
      <c r="VQI143" s="15" t="s">
        <v>598</v>
      </c>
      <c r="VQJ143" s="15" t="s">
        <v>598</v>
      </c>
      <c r="VQK143" s="15" t="s">
        <v>598</v>
      </c>
      <c r="VQL143" s="15" t="s">
        <v>598</v>
      </c>
      <c r="VQM143" s="15" t="s">
        <v>598</v>
      </c>
      <c r="VQN143" s="15" t="s">
        <v>598</v>
      </c>
      <c r="VQO143" s="15" t="s">
        <v>598</v>
      </c>
      <c r="VQP143" s="15" t="s">
        <v>598</v>
      </c>
      <c r="VQQ143" s="15" t="s">
        <v>598</v>
      </c>
      <c r="VQR143" s="15" t="s">
        <v>598</v>
      </c>
      <c r="VQS143" s="15" t="s">
        <v>598</v>
      </c>
      <c r="VQT143" s="15" t="s">
        <v>598</v>
      </c>
      <c r="VQU143" s="15" t="s">
        <v>598</v>
      </c>
      <c r="VQV143" s="15" t="s">
        <v>598</v>
      </c>
      <c r="VQW143" s="15" t="s">
        <v>598</v>
      </c>
      <c r="VQX143" s="15" t="s">
        <v>598</v>
      </c>
      <c r="VQY143" s="15" t="s">
        <v>598</v>
      </c>
      <c r="VQZ143" s="15" t="s">
        <v>598</v>
      </c>
      <c r="VRA143" s="15" t="s">
        <v>598</v>
      </c>
      <c r="VRB143" s="15" t="s">
        <v>598</v>
      </c>
      <c r="VRC143" s="15" t="s">
        <v>598</v>
      </c>
      <c r="VRD143" s="15" t="s">
        <v>598</v>
      </c>
      <c r="VRE143" s="15" t="s">
        <v>598</v>
      </c>
      <c r="VRF143" s="15" t="s">
        <v>598</v>
      </c>
      <c r="VRG143" s="15" t="s">
        <v>598</v>
      </c>
      <c r="VRH143" s="15" t="s">
        <v>598</v>
      </c>
      <c r="VRI143" s="15" t="s">
        <v>598</v>
      </c>
      <c r="VRJ143" s="15" t="s">
        <v>598</v>
      </c>
      <c r="VRK143" s="15" t="s">
        <v>598</v>
      </c>
      <c r="VRL143" s="15" t="s">
        <v>598</v>
      </c>
      <c r="VRM143" s="15" t="s">
        <v>598</v>
      </c>
      <c r="VRN143" s="15" t="s">
        <v>598</v>
      </c>
      <c r="VRO143" s="15" t="s">
        <v>598</v>
      </c>
      <c r="VRP143" s="15" t="s">
        <v>598</v>
      </c>
      <c r="VRQ143" s="15" t="s">
        <v>598</v>
      </c>
      <c r="VRR143" s="15" t="s">
        <v>598</v>
      </c>
      <c r="VRS143" s="15" t="s">
        <v>598</v>
      </c>
      <c r="VRT143" s="15" t="s">
        <v>598</v>
      </c>
      <c r="VRU143" s="15" t="s">
        <v>598</v>
      </c>
      <c r="VRV143" s="15" t="s">
        <v>598</v>
      </c>
      <c r="VRW143" s="15" t="s">
        <v>598</v>
      </c>
      <c r="VRX143" s="15" t="s">
        <v>598</v>
      </c>
      <c r="VRY143" s="15" t="s">
        <v>598</v>
      </c>
      <c r="VRZ143" s="15" t="s">
        <v>598</v>
      </c>
      <c r="VSA143" s="15" t="s">
        <v>598</v>
      </c>
      <c r="VSB143" s="15" t="s">
        <v>598</v>
      </c>
      <c r="VSC143" s="15" t="s">
        <v>598</v>
      </c>
      <c r="VSD143" s="15" t="s">
        <v>598</v>
      </c>
      <c r="VSE143" s="15" t="s">
        <v>598</v>
      </c>
      <c r="VSF143" s="15" t="s">
        <v>598</v>
      </c>
      <c r="VSG143" s="15" t="s">
        <v>598</v>
      </c>
      <c r="VSH143" s="15" t="s">
        <v>598</v>
      </c>
      <c r="VSI143" s="15" t="s">
        <v>598</v>
      </c>
      <c r="VSJ143" s="15" t="s">
        <v>598</v>
      </c>
      <c r="VSK143" s="15" t="s">
        <v>598</v>
      </c>
      <c r="VSL143" s="15" t="s">
        <v>598</v>
      </c>
      <c r="VSM143" s="15" t="s">
        <v>598</v>
      </c>
      <c r="VSN143" s="15" t="s">
        <v>598</v>
      </c>
      <c r="VSO143" s="15" t="s">
        <v>598</v>
      </c>
      <c r="VSP143" s="15" t="s">
        <v>598</v>
      </c>
      <c r="VSQ143" s="15" t="s">
        <v>598</v>
      </c>
      <c r="VSR143" s="15" t="s">
        <v>598</v>
      </c>
      <c r="VSS143" s="15" t="s">
        <v>598</v>
      </c>
      <c r="VST143" s="15" t="s">
        <v>598</v>
      </c>
      <c r="VSU143" s="15" t="s">
        <v>598</v>
      </c>
      <c r="VSV143" s="15" t="s">
        <v>598</v>
      </c>
      <c r="VSW143" s="15" t="s">
        <v>598</v>
      </c>
      <c r="VSX143" s="15" t="s">
        <v>598</v>
      </c>
      <c r="VSY143" s="15" t="s">
        <v>598</v>
      </c>
      <c r="VSZ143" s="15" t="s">
        <v>598</v>
      </c>
      <c r="VTA143" s="15" t="s">
        <v>598</v>
      </c>
      <c r="VTB143" s="15" t="s">
        <v>598</v>
      </c>
      <c r="VTC143" s="15" t="s">
        <v>598</v>
      </c>
      <c r="VTD143" s="15" t="s">
        <v>598</v>
      </c>
      <c r="VTE143" s="15" t="s">
        <v>598</v>
      </c>
      <c r="VTF143" s="15" t="s">
        <v>598</v>
      </c>
      <c r="VTG143" s="15" t="s">
        <v>598</v>
      </c>
      <c r="VTH143" s="15" t="s">
        <v>598</v>
      </c>
      <c r="VTI143" s="15" t="s">
        <v>598</v>
      </c>
      <c r="VTJ143" s="15" t="s">
        <v>598</v>
      </c>
      <c r="VTK143" s="15" t="s">
        <v>598</v>
      </c>
      <c r="VTL143" s="15" t="s">
        <v>598</v>
      </c>
      <c r="VTM143" s="15" t="s">
        <v>598</v>
      </c>
      <c r="VTN143" s="15" t="s">
        <v>598</v>
      </c>
      <c r="VTO143" s="15" t="s">
        <v>598</v>
      </c>
      <c r="VTP143" s="15" t="s">
        <v>598</v>
      </c>
      <c r="VTQ143" s="15" t="s">
        <v>598</v>
      </c>
      <c r="VTR143" s="15" t="s">
        <v>598</v>
      </c>
      <c r="VTS143" s="15" t="s">
        <v>598</v>
      </c>
      <c r="VTT143" s="15" t="s">
        <v>598</v>
      </c>
      <c r="VTU143" s="15" t="s">
        <v>598</v>
      </c>
      <c r="VTV143" s="15" t="s">
        <v>598</v>
      </c>
      <c r="VTW143" s="15" t="s">
        <v>598</v>
      </c>
      <c r="VTX143" s="15" t="s">
        <v>598</v>
      </c>
      <c r="VTY143" s="15" t="s">
        <v>598</v>
      </c>
      <c r="VTZ143" s="15" t="s">
        <v>598</v>
      </c>
      <c r="VUA143" s="15" t="s">
        <v>598</v>
      </c>
      <c r="VUB143" s="15" t="s">
        <v>598</v>
      </c>
      <c r="VUC143" s="15" t="s">
        <v>598</v>
      </c>
      <c r="VUD143" s="15" t="s">
        <v>598</v>
      </c>
      <c r="VUE143" s="15" t="s">
        <v>598</v>
      </c>
      <c r="VUF143" s="15" t="s">
        <v>598</v>
      </c>
      <c r="VUG143" s="15" t="s">
        <v>598</v>
      </c>
      <c r="VUH143" s="15" t="s">
        <v>598</v>
      </c>
      <c r="VUI143" s="15" t="s">
        <v>598</v>
      </c>
      <c r="VUJ143" s="15" t="s">
        <v>598</v>
      </c>
      <c r="VUK143" s="15" t="s">
        <v>598</v>
      </c>
      <c r="VUL143" s="15" t="s">
        <v>598</v>
      </c>
      <c r="VUM143" s="15" t="s">
        <v>598</v>
      </c>
      <c r="VUN143" s="15" t="s">
        <v>598</v>
      </c>
      <c r="VUO143" s="15" t="s">
        <v>598</v>
      </c>
      <c r="VUP143" s="15" t="s">
        <v>598</v>
      </c>
      <c r="VUQ143" s="15" t="s">
        <v>598</v>
      </c>
      <c r="VUR143" s="15" t="s">
        <v>598</v>
      </c>
      <c r="VUS143" s="15" t="s">
        <v>598</v>
      </c>
      <c r="VUT143" s="15" t="s">
        <v>598</v>
      </c>
      <c r="VUU143" s="15" t="s">
        <v>598</v>
      </c>
      <c r="VUV143" s="15" t="s">
        <v>598</v>
      </c>
      <c r="VUW143" s="15" t="s">
        <v>598</v>
      </c>
      <c r="VUX143" s="15" t="s">
        <v>598</v>
      </c>
      <c r="VUY143" s="15" t="s">
        <v>598</v>
      </c>
      <c r="VUZ143" s="15" t="s">
        <v>598</v>
      </c>
      <c r="VVA143" s="15" t="s">
        <v>598</v>
      </c>
      <c r="VVB143" s="15" t="s">
        <v>598</v>
      </c>
      <c r="VVC143" s="15" t="s">
        <v>598</v>
      </c>
      <c r="VVD143" s="15" t="s">
        <v>598</v>
      </c>
      <c r="VVE143" s="15" t="s">
        <v>598</v>
      </c>
      <c r="VVF143" s="15" t="s">
        <v>598</v>
      </c>
      <c r="VVG143" s="15" t="s">
        <v>598</v>
      </c>
      <c r="VVH143" s="15" t="s">
        <v>598</v>
      </c>
      <c r="VVI143" s="15" t="s">
        <v>598</v>
      </c>
      <c r="VVJ143" s="15" t="s">
        <v>598</v>
      </c>
      <c r="VVK143" s="15" t="s">
        <v>598</v>
      </c>
      <c r="VVL143" s="15" t="s">
        <v>598</v>
      </c>
      <c r="VVM143" s="15" t="s">
        <v>598</v>
      </c>
      <c r="VVN143" s="15" t="s">
        <v>598</v>
      </c>
      <c r="VVO143" s="15" t="s">
        <v>598</v>
      </c>
      <c r="VVP143" s="15" t="s">
        <v>598</v>
      </c>
      <c r="VVQ143" s="15" t="s">
        <v>598</v>
      </c>
      <c r="VVR143" s="15" t="s">
        <v>598</v>
      </c>
      <c r="VVS143" s="15" t="s">
        <v>598</v>
      </c>
      <c r="VVT143" s="15" t="s">
        <v>598</v>
      </c>
      <c r="VVU143" s="15" t="s">
        <v>598</v>
      </c>
      <c r="VVV143" s="15" t="s">
        <v>598</v>
      </c>
      <c r="VVW143" s="15" t="s">
        <v>598</v>
      </c>
      <c r="VVX143" s="15" t="s">
        <v>598</v>
      </c>
      <c r="VVY143" s="15" t="s">
        <v>598</v>
      </c>
      <c r="VVZ143" s="15" t="s">
        <v>598</v>
      </c>
      <c r="VWA143" s="15" t="s">
        <v>598</v>
      </c>
      <c r="VWB143" s="15" t="s">
        <v>598</v>
      </c>
      <c r="VWC143" s="15" t="s">
        <v>598</v>
      </c>
      <c r="VWD143" s="15" t="s">
        <v>598</v>
      </c>
      <c r="VWE143" s="15" t="s">
        <v>598</v>
      </c>
      <c r="VWF143" s="15" t="s">
        <v>598</v>
      </c>
      <c r="VWG143" s="15" t="s">
        <v>598</v>
      </c>
      <c r="VWH143" s="15" t="s">
        <v>598</v>
      </c>
      <c r="VWI143" s="15" t="s">
        <v>598</v>
      </c>
      <c r="VWJ143" s="15" t="s">
        <v>598</v>
      </c>
      <c r="VWK143" s="15" t="s">
        <v>598</v>
      </c>
      <c r="VWL143" s="15" t="s">
        <v>598</v>
      </c>
      <c r="VWM143" s="15" t="s">
        <v>598</v>
      </c>
      <c r="VWN143" s="15" t="s">
        <v>598</v>
      </c>
      <c r="VWO143" s="15" t="s">
        <v>598</v>
      </c>
      <c r="VWP143" s="15" t="s">
        <v>598</v>
      </c>
      <c r="VWQ143" s="15" t="s">
        <v>598</v>
      </c>
      <c r="VWR143" s="15" t="s">
        <v>598</v>
      </c>
      <c r="VWS143" s="15" t="s">
        <v>598</v>
      </c>
      <c r="VWT143" s="15" t="s">
        <v>598</v>
      </c>
      <c r="VWU143" s="15" t="s">
        <v>598</v>
      </c>
      <c r="VWV143" s="15" t="s">
        <v>598</v>
      </c>
      <c r="VWW143" s="15" t="s">
        <v>598</v>
      </c>
      <c r="VWX143" s="15" t="s">
        <v>598</v>
      </c>
      <c r="VWY143" s="15" t="s">
        <v>598</v>
      </c>
      <c r="VWZ143" s="15" t="s">
        <v>598</v>
      </c>
      <c r="VXA143" s="15" t="s">
        <v>598</v>
      </c>
      <c r="VXB143" s="15" t="s">
        <v>598</v>
      </c>
      <c r="VXC143" s="15" t="s">
        <v>598</v>
      </c>
      <c r="VXD143" s="15" t="s">
        <v>598</v>
      </c>
      <c r="VXE143" s="15" t="s">
        <v>598</v>
      </c>
      <c r="VXF143" s="15" t="s">
        <v>598</v>
      </c>
      <c r="VXG143" s="15" t="s">
        <v>598</v>
      </c>
      <c r="VXH143" s="15" t="s">
        <v>598</v>
      </c>
      <c r="VXI143" s="15" t="s">
        <v>598</v>
      </c>
      <c r="VXJ143" s="15" t="s">
        <v>598</v>
      </c>
      <c r="VXK143" s="15" t="s">
        <v>598</v>
      </c>
      <c r="VXL143" s="15" t="s">
        <v>598</v>
      </c>
      <c r="VXM143" s="15" t="s">
        <v>598</v>
      </c>
      <c r="VXN143" s="15" t="s">
        <v>598</v>
      </c>
      <c r="VXO143" s="15" t="s">
        <v>598</v>
      </c>
      <c r="VXP143" s="15" t="s">
        <v>598</v>
      </c>
      <c r="VXQ143" s="15" t="s">
        <v>598</v>
      </c>
      <c r="VXR143" s="15" t="s">
        <v>598</v>
      </c>
      <c r="VXS143" s="15" t="s">
        <v>598</v>
      </c>
      <c r="VXT143" s="15" t="s">
        <v>598</v>
      </c>
      <c r="VXU143" s="15" t="s">
        <v>598</v>
      </c>
      <c r="VXV143" s="15" t="s">
        <v>598</v>
      </c>
      <c r="VXW143" s="15" t="s">
        <v>598</v>
      </c>
      <c r="VXX143" s="15" t="s">
        <v>598</v>
      </c>
      <c r="VXY143" s="15" t="s">
        <v>598</v>
      </c>
      <c r="VXZ143" s="15" t="s">
        <v>598</v>
      </c>
      <c r="VYA143" s="15" t="s">
        <v>598</v>
      </c>
      <c r="VYB143" s="15" t="s">
        <v>598</v>
      </c>
      <c r="VYC143" s="15" t="s">
        <v>598</v>
      </c>
      <c r="VYD143" s="15" t="s">
        <v>598</v>
      </c>
      <c r="VYE143" s="15" t="s">
        <v>598</v>
      </c>
      <c r="VYF143" s="15" t="s">
        <v>598</v>
      </c>
      <c r="VYG143" s="15" t="s">
        <v>598</v>
      </c>
      <c r="VYH143" s="15" t="s">
        <v>598</v>
      </c>
      <c r="VYI143" s="15" t="s">
        <v>598</v>
      </c>
      <c r="VYJ143" s="15" t="s">
        <v>598</v>
      </c>
      <c r="VYK143" s="15" t="s">
        <v>598</v>
      </c>
      <c r="VYL143" s="15" t="s">
        <v>598</v>
      </c>
      <c r="VYM143" s="15" t="s">
        <v>598</v>
      </c>
      <c r="VYN143" s="15" t="s">
        <v>598</v>
      </c>
      <c r="VYO143" s="15" t="s">
        <v>598</v>
      </c>
      <c r="VYP143" s="15" t="s">
        <v>598</v>
      </c>
      <c r="VYQ143" s="15" t="s">
        <v>598</v>
      </c>
      <c r="VYR143" s="15" t="s">
        <v>598</v>
      </c>
      <c r="VYS143" s="15" t="s">
        <v>598</v>
      </c>
      <c r="VYT143" s="15" t="s">
        <v>598</v>
      </c>
      <c r="VYU143" s="15" t="s">
        <v>598</v>
      </c>
      <c r="VYV143" s="15" t="s">
        <v>598</v>
      </c>
      <c r="VYW143" s="15" t="s">
        <v>598</v>
      </c>
      <c r="VYX143" s="15" t="s">
        <v>598</v>
      </c>
      <c r="VYY143" s="15" t="s">
        <v>598</v>
      </c>
      <c r="VYZ143" s="15" t="s">
        <v>598</v>
      </c>
      <c r="VZA143" s="15" t="s">
        <v>598</v>
      </c>
      <c r="VZB143" s="15" t="s">
        <v>598</v>
      </c>
      <c r="VZC143" s="15" t="s">
        <v>598</v>
      </c>
      <c r="VZD143" s="15" t="s">
        <v>598</v>
      </c>
      <c r="VZE143" s="15" t="s">
        <v>598</v>
      </c>
      <c r="VZF143" s="15" t="s">
        <v>598</v>
      </c>
      <c r="VZG143" s="15" t="s">
        <v>598</v>
      </c>
      <c r="VZH143" s="15" t="s">
        <v>598</v>
      </c>
      <c r="VZI143" s="15" t="s">
        <v>598</v>
      </c>
      <c r="VZJ143" s="15" t="s">
        <v>598</v>
      </c>
      <c r="VZK143" s="15" t="s">
        <v>598</v>
      </c>
      <c r="VZL143" s="15" t="s">
        <v>598</v>
      </c>
      <c r="VZM143" s="15" t="s">
        <v>598</v>
      </c>
      <c r="VZN143" s="15" t="s">
        <v>598</v>
      </c>
      <c r="VZO143" s="15" t="s">
        <v>598</v>
      </c>
      <c r="VZP143" s="15" t="s">
        <v>598</v>
      </c>
      <c r="VZQ143" s="15" t="s">
        <v>598</v>
      </c>
      <c r="VZR143" s="15" t="s">
        <v>598</v>
      </c>
      <c r="VZS143" s="15" t="s">
        <v>598</v>
      </c>
      <c r="VZT143" s="15" t="s">
        <v>598</v>
      </c>
      <c r="VZU143" s="15" t="s">
        <v>598</v>
      </c>
      <c r="VZV143" s="15" t="s">
        <v>598</v>
      </c>
      <c r="VZW143" s="15" t="s">
        <v>598</v>
      </c>
      <c r="VZX143" s="15" t="s">
        <v>598</v>
      </c>
      <c r="VZY143" s="15" t="s">
        <v>598</v>
      </c>
      <c r="VZZ143" s="15" t="s">
        <v>598</v>
      </c>
      <c r="WAA143" s="15" t="s">
        <v>598</v>
      </c>
      <c r="WAB143" s="15" t="s">
        <v>598</v>
      </c>
      <c r="WAC143" s="15" t="s">
        <v>598</v>
      </c>
      <c r="WAD143" s="15" t="s">
        <v>598</v>
      </c>
      <c r="WAE143" s="15" t="s">
        <v>598</v>
      </c>
      <c r="WAF143" s="15" t="s">
        <v>598</v>
      </c>
      <c r="WAG143" s="15" t="s">
        <v>598</v>
      </c>
      <c r="WAH143" s="15" t="s">
        <v>598</v>
      </c>
      <c r="WAI143" s="15" t="s">
        <v>598</v>
      </c>
      <c r="WAJ143" s="15" t="s">
        <v>598</v>
      </c>
      <c r="WAK143" s="15" t="s">
        <v>598</v>
      </c>
      <c r="WAL143" s="15" t="s">
        <v>598</v>
      </c>
      <c r="WAM143" s="15" t="s">
        <v>598</v>
      </c>
      <c r="WAN143" s="15" t="s">
        <v>598</v>
      </c>
      <c r="WAO143" s="15" t="s">
        <v>598</v>
      </c>
      <c r="WAP143" s="15" t="s">
        <v>598</v>
      </c>
      <c r="WAQ143" s="15" t="s">
        <v>598</v>
      </c>
      <c r="WAR143" s="15" t="s">
        <v>598</v>
      </c>
      <c r="WAS143" s="15" t="s">
        <v>598</v>
      </c>
      <c r="WAT143" s="15" t="s">
        <v>598</v>
      </c>
      <c r="WAU143" s="15" t="s">
        <v>598</v>
      </c>
      <c r="WAV143" s="15" t="s">
        <v>598</v>
      </c>
      <c r="WAW143" s="15" t="s">
        <v>598</v>
      </c>
      <c r="WAX143" s="15" t="s">
        <v>598</v>
      </c>
      <c r="WAY143" s="15" t="s">
        <v>598</v>
      </c>
      <c r="WAZ143" s="15" t="s">
        <v>598</v>
      </c>
      <c r="WBA143" s="15" t="s">
        <v>598</v>
      </c>
      <c r="WBB143" s="15" t="s">
        <v>598</v>
      </c>
      <c r="WBC143" s="15" t="s">
        <v>598</v>
      </c>
      <c r="WBD143" s="15" t="s">
        <v>598</v>
      </c>
      <c r="WBE143" s="15" t="s">
        <v>598</v>
      </c>
      <c r="WBF143" s="15" t="s">
        <v>598</v>
      </c>
      <c r="WBG143" s="15" t="s">
        <v>598</v>
      </c>
      <c r="WBH143" s="15" t="s">
        <v>598</v>
      </c>
      <c r="WBI143" s="15" t="s">
        <v>598</v>
      </c>
      <c r="WBJ143" s="15" t="s">
        <v>598</v>
      </c>
      <c r="WBK143" s="15" t="s">
        <v>598</v>
      </c>
      <c r="WBL143" s="15" t="s">
        <v>598</v>
      </c>
      <c r="WBM143" s="15" t="s">
        <v>598</v>
      </c>
      <c r="WBN143" s="15" t="s">
        <v>598</v>
      </c>
      <c r="WBO143" s="15" t="s">
        <v>598</v>
      </c>
      <c r="WBP143" s="15" t="s">
        <v>598</v>
      </c>
      <c r="WBQ143" s="15" t="s">
        <v>598</v>
      </c>
      <c r="WBR143" s="15" t="s">
        <v>598</v>
      </c>
      <c r="WBS143" s="15" t="s">
        <v>598</v>
      </c>
      <c r="WBT143" s="15" t="s">
        <v>598</v>
      </c>
      <c r="WBU143" s="15" t="s">
        <v>598</v>
      </c>
      <c r="WBV143" s="15" t="s">
        <v>598</v>
      </c>
      <c r="WBW143" s="15" t="s">
        <v>598</v>
      </c>
      <c r="WBX143" s="15" t="s">
        <v>598</v>
      </c>
      <c r="WBY143" s="15" t="s">
        <v>598</v>
      </c>
      <c r="WBZ143" s="15" t="s">
        <v>598</v>
      </c>
      <c r="WCA143" s="15" t="s">
        <v>598</v>
      </c>
      <c r="WCB143" s="15" t="s">
        <v>598</v>
      </c>
      <c r="WCC143" s="15" t="s">
        <v>598</v>
      </c>
      <c r="WCD143" s="15" t="s">
        <v>598</v>
      </c>
      <c r="WCE143" s="15" t="s">
        <v>598</v>
      </c>
      <c r="WCF143" s="15" t="s">
        <v>598</v>
      </c>
      <c r="WCG143" s="15" t="s">
        <v>598</v>
      </c>
      <c r="WCH143" s="15" t="s">
        <v>598</v>
      </c>
      <c r="WCI143" s="15" t="s">
        <v>598</v>
      </c>
      <c r="WCJ143" s="15" t="s">
        <v>598</v>
      </c>
      <c r="WCK143" s="15" t="s">
        <v>598</v>
      </c>
      <c r="WCL143" s="15" t="s">
        <v>598</v>
      </c>
      <c r="WCM143" s="15" t="s">
        <v>598</v>
      </c>
      <c r="WCN143" s="15" t="s">
        <v>598</v>
      </c>
      <c r="WCO143" s="15" t="s">
        <v>598</v>
      </c>
      <c r="WCP143" s="15" t="s">
        <v>598</v>
      </c>
      <c r="WCQ143" s="15" t="s">
        <v>598</v>
      </c>
      <c r="WCR143" s="15" t="s">
        <v>598</v>
      </c>
      <c r="WCS143" s="15" t="s">
        <v>598</v>
      </c>
      <c r="WCT143" s="15" t="s">
        <v>598</v>
      </c>
      <c r="WCU143" s="15" t="s">
        <v>598</v>
      </c>
      <c r="WCV143" s="15" t="s">
        <v>598</v>
      </c>
      <c r="WCW143" s="15" t="s">
        <v>598</v>
      </c>
      <c r="WCX143" s="15" t="s">
        <v>598</v>
      </c>
      <c r="WCY143" s="15" t="s">
        <v>598</v>
      </c>
      <c r="WCZ143" s="15" t="s">
        <v>598</v>
      </c>
      <c r="WDA143" s="15" t="s">
        <v>598</v>
      </c>
      <c r="WDB143" s="15" t="s">
        <v>598</v>
      </c>
      <c r="WDC143" s="15" t="s">
        <v>598</v>
      </c>
      <c r="WDD143" s="15" t="s">
        <v>598</v>
      </c>
      <c r="WDE143" s="15" t="s">
        <v>598</v>
      </c>
      <c r="WDF143" s="15" t="s">
        <v>598</v>
      </c>
      <c r="WDG143" s="15" t="s">
        <v>598</v>
      </c>
      <c r="WDH143" s="15" t="s">
        <v>598</v>
      </c>
      <c r="WDI143" s="15" t="s">
        <v>598</v>
      </c>
      <c r="WDJ143" s="15" t="s">
        <v>598</v>
      </c>
      <c r="WDK143" s="15" t="s">
        <v>598</v>
      </c>
      <c r="WDL143" s="15" t="s">
        <v>598</v>
      </c>
      <c r="WDM143" s="15" t="s">
        <v>598</v>
      </c>
      <c r="WDN143" s="15" t="s">
        <v>598</v>
      </c>
      <c r="WDO143" s="15" t="s">
        <v>598</v>
      </c>
      <c r="WDP143" s="15" t="s">
        <v>598</v>
      </c>
      <c r="WDQ143" s="15" t="s">
        <v>598</v>
      </c>
      <c r="WDR143" s="15" t="s">
        <v>598</v>
      </c>
      <c r="WDS143" s="15" t="s">
        <v>598</v>
      </c>
      <c r="WDT143" s="15" t="s">
        <v>598</v>
      </c>
      <c r="WDU143" s="15" t="s">
        <v>598</v>
      </c>
      <c r="WDV143" s="15" t="s">
        <v>598</v>
      </c>
      <c r="WDW143" s="15" t="s">
        <v>598</v>
      </c>
      <c r="WDX143" s="15" t="s">
        <v>598</v>
      </c>
      <c r="WDY143" s="15" t="s">
        <v>598</v>
      </c>
      <c r="WDZ143" s="15" t="s">
        <v>598</v>
      </c>
      <c r="WEA143" s="15" t="s">
        <v>598</v>
      </c>
      <c r="WEB143" s="15" t="s">
        <v>598</v>
      </c>
      <c r="WEC143" s="15" t="s">
        <v>598</v>
      </c>
      <c r="WED143" s="15" t="s">
        <v>598</v>
      </c>
      <c r="WEE143" s="15" t="s">
        <v>598</v>
      </c>
      <c r="WEF143" s="15" t="s">
        <v>598</v>
      </c>
      <c r="WEG143" s="15" t="s">
        <v>598</v>
      </c>
      <c r="WEH143" s="15" t="s">
        <v>598</v>
      </c>
      <c r="WEI143" s="15" t="s">
        <v>598</v>
      </c>
      <c r="WEJ143" s="15" t="s">
        <v>598</v>
      </c>
      <c r="WEK143" s="15" t="s">
        <v>598</v>
      </c>
      <c r="WEL143" s="15" t="s">
        <v>598</v>
      </c>
      <c r="WEM143" s="15" t="s">
        <v>598</v>
      </c>
      <c r="WEN143" s="15" t="s">
        <v>598</v>
      </c>
      <c r="WEO143" s="15" t="s">
        <v>598</v>
      </c>
      <c r="WEP143" s="15" t="s">
        <v>598</v>
      </c>
      <c r="WEQ143" s="15" t="s">
        <v>598</v>
      </c>
      <c r="WER143" s="15" t="s">
        <v>598</v>
      </c>
      <c r="WES143" s="15" t="s">
        <v>598</v>
      </c>
      <c r="WET143" s="15" t="s">
        <v>598</v>
      </c>
      <c r="WEU143" s="15" t="s">
        <v>598</v>
      </c>
      <c r="WEV143" s="15" t="s">
        <v>598</v>
      </c>
      <c r="WEW143" s="15" t="s">
        <v>598</v>
      </c>
      <c r="WEX143" s="15" t="s">
        <v>598</v>
      </c>
      <c r="WEY143" s="15" t="s">
        <v>598</v>
      </c>
      <c r="WEZ143" s="15" t="s">
        <v>598</v>
      </c>
      <c r="WFA143" s="15" t="s">
        <v>598</v>
      </c>
      <c r="WFB143" s="15" t="s">
        <v>598</v>
      </c>
      <c r="WFC143" s="15" t="s">
        <v>598</v>
      </c>
      <c r="WFD143" s="15" t="s">
        <v>598</v>
      </c>
      <c r="WFE143" s="15" t="s">
        <v>598</v>
      </c>
      <c r="WFF143" s="15" t="s">
        <v>598</v>
      </c>
      <c r="WFG143" s="15" t="s">
        <v>598</v>
      </c>
      <c r="WFH143" s="15" t="s">
        <v>598</v>
      </c>
      <c r="WFI143" s="15" t="s">
        <v>598</v>
      </c>
      <c r="WFJ143" s="15" t="s">
        <v>598</v>
      </c>
      <c r="WFK143" s="15" t="s">
        <v>598</v>
      </c>
      <c r="WFL143" s="15" t="s">
        <v>598</v>
      </c>
      <c r="WFM143" s="15" t="s">
        <v>598</v>
      </c>
      <c r="WFN143" s="15" t="s">
        <v>598</v>
      </c>
      <c r="WFO143" s="15" t="s">
        <v>598</v>
      </c>
      <c r="WFP143" s="15" t="s">
        <v>598</v>
      </c>
      <c r="WFQ143" s="15" t="s">
        <v>598</v>
      </c>
      <c r="WFR143" s="15" t="s">
        <v>598</v>
      </c>
      <c r="WFS143" s="15" t="s">
        <v>598</v>
      </c>
      <c r="WFT143" s="15" t="s">
        <v>598</v>
      </c>
      <c r="WFU143" s="15" t="s">
        <v>598</v>
      </c>
      <c r="WFV143" s="15" t="s">
        <v>598</v>
      </c>
      <c r="WFW143" s="15" t="s">
        <v>598</v>
      </c>
      <c r="WFX143" s="15" t="s">
        <v>598</v>
      </c>
      <c r="WFY143" s="15" t="s">
        <v>598</v>
      </c>
      <c r="WFZ143" s="15" t="s">
        <v>598</v>
      </c>
      <c r="WGA143" s="15" t="s">
        <v>598</v>
      </c>
      <c r="WGB143" s="15" t="s">
        <v>598</v>
      </c>
      <c r="WGC143" s="15" t="s">
        <v>598</v>
      </c>
      <c r="WGD143" s="15" t="s">
        <v>598</v>
      </c>
      <c r="WGE143" s="15" t="s">
        <v>598</v>
      </c>
      <c r="WGF143" s="15" t="s">
        <v>598</v>
      </c>
      <c r="WGG143" s="15" t="s">
        <v>598</v>
      </c>
      <c r="WGH143" s="15" t="s">
        <v>598</v>
      </c>
      <c r="WGI143" s="15" t="s">
        <v>598</v>
      </c>
      <c r="WGJ143" s="15" t="s">
        <v>598</v>
      </c>
      <c r="WGK143" s="15" t="s">
        <v>598</v>
      </c>
      <c r="WGL143" s="15" t="s">
        <v>598</v>
      </c>
      <c r="WGM143" s="15" t="s">
        <v>598</v>
      </c>
      <c r="WGN143" s="15" t="s">
        <v>598</v>
      </c>
      <c r="WGO143" s="15" t="s">
        <v>598</v>
      </c>
      <c r="WGP143" s="15" t="s">
        <v>598</v>
      </c>
      <c r="WGQ143" s="15" t="s">
        <v>598</v>
      </c>
      <c r="WGR143" s="15" t="s">
        <v>598</v>
      </c>
      <c r="WGS143" s="15" t="s">
        <v>598</v>
      </c>
      <c r="WGT143" s="15" t="s">
        <v>598</v>
      </c>
      <c r="WGU143" s="15" t="s">
        <v>598</v>
      </c>
      <c r="WGV143" s="15" t="s">
        <v>598</v>
      </c>
      <c r="WGW143" s="15" t="s">
        <v>598</v>
      </c>
      <c r="WGX143" s="15" t="s">
        <v>598</v>
      </c>
      <c r="WGY143" s="15" t="s">
        <v>598</v>
      </c>
      <c r="WGZ143" s="15" t="s">
        <v>598</v>
      </c>
      <c r="WHA143" s="15" t="s">
        <v>598</v>
      </c>
      <c r="WHB143" s="15" t="s">
        <v>598</v>
      </c>
      <c r="WHC143" s="15" t="s">
        <v>598</v>
      </c>
      <c r="WHD143" s="15" t="s">
        <v>598</v>
      </c>
      <c r="WHE143" s="15" t="s">
        <v>598</v>
      </c>
      <c r="WHF143" s="15" t="s">
        <v>598</v>
      </c>
      <c r="WHG143" s="15" t="s">
        <v>598</v>
      </c>
      <c r="WHH143" s="15" t="s">
        <v>598</v>
      </c>
      <c r="WHI143" s="15" t="s">
        <v>598</v>
      </c>
      <c r="WHJ143" s="15" t="s">
        <v>598</v>
      </c>
      <c r="WHK143" s="15" t="s">
        <v>598</v>
      </c>
      <c r="WHL143" s="15" t="s">
        <v>598</v>
      </c>
      <c r="WHM143" s="15" t="s">
        <v>598</v>
      </c>
      <c r="WHN143" s="15" t="s">
        <v>598</v>
      </c>
      <c r="WHO143" s="15" t="s">
        <v>598</v>
      </c>
      <c r="WHP143" s="15" t="s">
        <v>598</v>
      </c>
      <c r="WHQ143" s="15" t="s">
        <v>598</v>
      </c>
      <c r="WHR143" s="15" t="s">
        <v>598</v>
      </c>
      <c r="WHS143" s="15" t="s">
        <v>598</v>
      </c>
      <c r="WHT143" s="15" t="s">
        <v>598</v>
      </c>
      <c r="WHU143" s="15" t="s">
        <v>598</v>
      </c>
      <c r="WHV143" s="15" t="s">
        <v>598</v>
      </c>
      <c r="WHW143" s="15" t="s">
        <v>598</v>
      </c>
      <c r="WHX143" s="15" t="s">
        <v>598</v>
      </c>
      <c r="WHY143" s="15" t="s">
        <v>598</v>
      </c>
      <c r="WHZ143" s="15" t="s">
        <v>598</v>
      </c>
      <c r="WIA143" s="15" t="s">
        <v>598</v>
      </c>
      <c r="WIB143" s="15" t="s">
        <v>598</v>
      </c>
      <c r="WIC143" s="15" t="s">
        <v>598</v>
      </c>
      <c r="WID143" s="15" t="s">
        <v>598</v>
      </c>
      <c r="WIE143" s="15" t="s">
        <v>598</v>
      </c>
      <c r="WIF143" s="15" t="s">
        <v>598</v>
      </c>
      <c r="WIG143" s="15" t="s">
        <v>598</v>
      </c>
      <c r="WIH143" s="15" t="s">
        <v>598</v>
      </c>
      <c r="WII143" s="15" t="s">
        <v>598</v>
      </c>
      <c r="WIJ143" s="15" t="s">
        <v>598</v>
      </c>
      <c r="WIK143" s="15" t="s">
        <v>598</v>
      </c>
      <c r="WIL143" s="15" t="s">
        <v>598</v>
      </c>
      <c r="WIM143" s="15" t="s">
        <v>598</v>
      </c>
      <c r="WIN143" s="15" t="s">
        <v>598</v>
      </c>
      <c r="WIO143" s="15" t="s">
        <v>598</v>
      </c>
      <c r="WIP143" s="15" t="s">
        <v>598</v>
      </c>
      <c r="WIQ143" s="15" t="s">
        <v>598</v>
      </c>
      <c r="WIR143" s="15" t="s">
        <v>598</v>
      </c>
      <c r="WIS143" s="15" t="s">
        <v>598</v>
      </c>
      <c r="WIT143" s="15" t="s">
        <v>598</v>
      </c>
      <c r="WIU143" s="15" t="s">
        <v>598</v>
      </c>
      <c r="WIV143" s="15" t="s">
        <v>598</v>
      </c>
      <c r="WIW143" s="15" t="s">
        <v>598</v>
      </c>
      <c r="WIX143" s="15" t="s">
        <v>598</v>
      </c>
      <c r="WIY143" s="15" t="s">
        <v>598</v>
      </c>
      <c r="WIZ143" s="15" t="s">
        <v>598</v>
      </c>
      <c r="WJA143" s="15" t="s">
        <v>598</v>
      </c>
      <c r="WJB143" s="15" t="s">
        <v>598</v>
      </c>
      <c r="WJC143" s="15" t="s">
        <v>598</v>
      </c>
      <c r="WJD143" s="15" t="s">
        <v>598</v>
      </c>
      <c r="WJE143" s="15" t="s">
        <v>598</v>
      </c>
      <c r="WJF143" s="15" t="s">
        <v>598</v>
      </c>
      <c r="WJG143" s="15" t="s">
        <v>598</v>
      </c>
      <c r="WJH143" s="15" t="s">
        <v>598</v>
      </c>
      <c r="WJI143" s="15" t="s">
        <v>598</v>
      </c>
      <c r="WJJ143" s="15" t="s">
        <v>598</v>
      </c>
      <c r="WJK143" s="15" t="s">
        <v>598</v>
      </c>
      <c r="WJL143" s="15" t="s">
        <v>598</v>
      </c>
      <c r="WJM143" s="15" t="s">
        <v>598</v>
      </c>
      <c r="WJN143" s="15" t="s">
        <v>598</v>
      </c>
      <c r="WJO143" s="15" t="s">
        <v>598</v>
      </c>
      <c r="WJP143" s="15" t="s">
        <v>598</v>
      </c>
      <c r="WJQ143" s="15" t="s">
        <v>598</v>
      </c>
      <c r="WJR143" s="15" t="s">
        <v>598</v>
      </c>
      <c r="WJS143" s="15" t="s">
        <v>598</v>
      </c>
      <c r="WJT143" s="15" t="s">
        <v>598</v>
      </c>
      <c r="WJU143" s="15" t="s">
        <v>598</v>
      </c>
      <c r="WJV143" s="15" t="s">
        <v>598</v>
      </c>
      <c r="WJW143" s="15" t="s">
        <v>598</v>
      </c>
      <c r="WJX143" s="15" t="s">
        <v>598</v>
      </c>
      <c r="WJY143" s="15" t="s">
        <v>598</v>
      </c>
      <c r="WJZ143" s="15" t="s">
        <v>598</v>
      </c>
      <c r="WKA143" s="15" t="s">
        <v>598</v>
      </c>
      <c r="WKB143" s="15" t="s">
        <v>598</v>
      </c>
      <c r="WKC143" s="15" t="s">
        <v>598</v>
      </c>
      <c r="WKD143" s="15" t="s">
        <v>598</v>
      </c>
      <c r="WKE143" s="15" t="s">
        <v>598</v>
      </c>
      <c r="WKF143" s="15" t="s">
        <v>598</v>
      </c>
      <c r="WKG143" s="15" t="s">
        <v>598</v>
      </c>
      <c r="WKH143" s="15" t="s">
        <v>598</v>
      </c>
      <c r="WKI143" s="15" t="s">
        <v>598</v>
      </c>
      <c r="WKJ143" s="15" t="s">
        <v>598</v>
      </c>
      <c r="WKK143" s="15" t="s">
        <v>598</v>
      </c>
      <c r="WKL143" s="15" t="s">
        <v>598</v>
      </c>
      <c r="WKM143" s="15" t="s">
        <v>598</v>
      </c>
      <c r="WKN143" s="15" t="s">
        <v>598</v>
      </c>
      <c r="WKO143" s="15" t="s">
        <v>598</v>
      </c>
      <c r="WKP143" s="15" t="s">
        <v>598</v>
      </c>
      <c r="WKQ143" s="15" t="s">
        <v>598</v>
      </c>
      <c r="WKR143" s="15" t="s">
        <v>598</v>
      </c>
      <c r="WKS143" s="15" t="s">
        <v>598</v>
      </c>
      <c r="WKT143" s="15" t="s">
        <v>598</v>
      </c>
      <c r="WKU143" s="15" t="s">
        <v>598</v>
      </c>
      <c r="WKV143" s="15" t="s">
        <v>598</v>
      </c>
      <c r="WKW143" s="15" t="s">
        <v>598</v>
      </c>
      <c r="WKX143" s="15" t="s">
        <v>598</v>
      </c>
      <c r="WKY143" s="15" t="s">
        <v>598</v>
      </c>
      <c r="WKZ143" s="15" t="s">
        <v>598</v>
      </c>
      <c r="WLA143" s="15" t="s">
        <v>598</v>
      </c>
      <c r="WLB143" s="15" t="s">
        <v>598</v>
      </c>
      <c r="WLC143" s="15" t="s">
        <v>598</v>
      </c>
      <c r="WLD143" s="15" t="s">
        <v>598</v>
      </c>
      <c r="WLE143" s="15" t="s">
        <v>598</v>
      </c>
      <c r="WLF143" s="15" t="s">
        <v>598</v>
      </c>
      <c r="WLG143" s="15" t="s">
        <v>598</v>
      </c>
      <c r="WLH143" s="15" t="s">
        <v>598</v>
      </c>
      <c r="WLI143" s="15" t="s">
        <v>598</v>
      </c>
      <c r="WLJ143" s="15" t="s">
        <v>598</v>
      </c>
      <c r="WLK143" s="15" t="s">
        <v>598</v>
      </c>
      <c r="WLL143" s="15" t="s">
        <v>598</v>
      </c>
      <c r="WLM143" s="15" t="s">
        <v>598</v>
      </c>
      <c r="WLN143" s="15" t="s">
        <v>598</v>
      </c>
      <c r="WLO143" s="15" t="s">
        <v>598</v>
      </c>
      <c r="WLP143" s="15" t="s">
        <v>598</v>
      </c>
      <c r="WLQ143" s="15" t="s">
        <v>598</v>
      </c>
      <c r="WLR143" s="15" t="s">
        <v>598</v>
      </c>
      <c r="WLS143" s="15" t="s">
        <v>598</v>
      </c>
      <c r="WLT143" s="15" t="s">
        <v>598</v>
      </c>
      <c r="WLU143" s="15" t="s">
        <v>598</v>
      </c>
      <c r="WLV143" s="15" t="s">
        <v>598</v>
      </c>
      <c r="WLW143" s="15" t="s">
        <v>598</v>
      </c>
      <c r="WLX143" s="15" t="s">
        <v>598</v>
      </c>
      <c r="WLY143" s="15" t="s">
        <v>598</v>
      </c>
      <c r="WLZ143" s="15" t="s">
        <v>598</v>
      </c>
      <c r="WMA143" s="15" t="s">
        <v>598</v>
      </c>
      <c r="WMB143" s="15" t="s">
        <v>598</v>
      </c>
      <c r="WMC143" s="15" t="s">
        <v>598</v>
      </c>
      <c r="WMD143" s="15" t="s">
        <v>598</v>
      </c>
      <c r="WME143" s="15" t="s">
        <v>598</v>
      </c>
      <c r="WMF143" s="15" t="s">
        <v>598</v>
      </c>
      <c r="WMG143" s="15" t="s">
        <v>598</v>
      </c>
      <c r="WMH143" s="15" t="s">
        <v>598</v>
      </c>
      <c r="WMI143" s="15" t="s">
        <v>598</v>
      </c>
      <c r="WMJ143" s="15" t="s">
        <v>598</v>
      </c>
      <c r="WMK143" s="15" t="s">
        <v>598</v>
      </c>
      <c r="WML143" s="15" t="s">
        <v>598</v>
      </c>
      <c r="WMM143" s="15" t="s">
        <v>598</v>
      </c>
      <c r="WMN143" s="15" t="s">
        <v>598</v>
      </c>
      <c r="WMO143" s="15" t="s">
        <v>598</v>
      </c>
      <c r="WMP143" s="15" t="s">
        <v>598</v>
      </c>
      <c r="WMQ143" s="15" t="s">
        <v>598</v>
      </c>
      <c r="WMR143" s="15" t="s">
        <v>598</v>
      </c>
      <c r="WMS143" s="15" t="s">
        <v>598</v>
      </c>
      <c r="WMT143" s="15" t="s">
        <v>598</v>
      </c>
      <c r="WMU143" s="15" t="s">
        <v>598</v>
      </c>
      <c r="WMV143" s="15" t="s">
        <v>598</v>
      </c>
      <c r="WMW143" s="15" t="s">
        <v>598</v>
      </c>
      <c r="WMX143" s="15" t="s">
        <v>598</v>
      </c>
      <c r="WMY143" s="15" t="s">
        <v>598</v>
      </c>
      <c r="WMZ143" s="15" t="s">
        <v>598</v>
      </c>
      <c r="WNA143" s="15" t="s">
        <v>598</v>
      </c>
      <c r="WNB143" s="15" t="s">
        <v>598</v>
      </c>
      <c r="WNC143" s="15" t="s">
        <v>598</v>
      </c>
      <c r="WND143" s="15" t="s">
        <v>598</v>
      </c>
      <c r="WNE143" s="15" t="s">
        <v>598</v>
      </c>
      <c r="WNF143" s="15" t="s">
        <v>598</v>
      </c>
      <c r="WNG143" s="15" t="s">
        <v>598</v>
      </c>
      <c r="WNH143" s="15" t="s">
        <v>598</v>
      </c>
      <c r="WNI143" s="15" t="s">
        <v>598</v>
      </c>
      <c r="WNJ143" s="15" t="s">
        <v>598</v>
      </c>
      <c r="WNK143" s="15" t="s">
        <v>598</v>
      </c>
      <c r="WNL143" s="15" t="s">
        <v>598</v>
      </c>
      <c r="WNM143" s="15" t="s">
        <v>598</v>
      </c>
      <c r="WNN143" s="15" t="s">
        <v>598</v>
      </c>
      <c r="WNO143" s="15" t="s">
        <v>598</v>
      </c>
      <c r="WNP143" s="15" t="s">
        <v>598</v>
      </c>
      <c r="WNQ143" s="15" t="s">
        <v>598</v>
      </c>
      <c r="WNR143" s="15" t="s">
        <v>598</v>
      </c>
      <c r="WNS143" s="15" t="s">
        <v>598</v>
      </c>
      <c r="WNT143" s="15" t="s">
        <v>598</v>
      </c>
      <c r="WNU143" s="15" t="s">
        <v>598</v>
      </c>
      <c r="WNV143" s="15" t="s">
        <v>598</v>
      </c>
      <c r="WNW143" s="15" t="s">
        <v>598</v>
      </c>
      <c r="WNX143" s="15" t="s">
        <v>598</v>
      </c>
      <c r="WNY143" s="15" t="s">
        <v>598</v>
      </c>
      <c r="WNZ143" s="15" t="s">
        <v>598</v>
      </c>
      <c r="WOA143" s="15" t="s">
        <v>598</v>
      </c>
      <c r="WOB143" s="15" t="s">
        <v>598</v>
      </c>
      <c r="WOC143" s="15" t="s">
        <v>598</v>
      </c>
      <c r="WOD143" s="15" t="s">
        <v>598</v>
      </c>
      <c r="WOE143" s="15" t="s">
        <v>598</v>
      </c>
      <c r="WOF143" s="15" t="s">
        <v>598</v>
      </c>
      <c r="WOG143" s="15" t="s">
        <v>598</v>
      </c>
      <c r="WOH143" s="15" t="s">
        <v>598</v>
      </c>
      <c r="WOI143" s="15" t="s">
        <v>598</v>
      </c>
      <c r="WOJ143" s="15" t="s">
        <v>598</v>
      </c>
      <c r="WOK143" s="15" t="s">
        <v>598</v>
      </c>
      <c r="WOL143" s="15" t="s">
        <v>598</v>
      </c>
      <c r="WOM143" s="15" t="s">
        <v>598</v>
      </c>
      <c r="WON143" s="15" t="s">
        <v>598</v>
      </c>
      <c r="WOO143" s="15" t="s">
        <v>598</v>
      </c>
      <c r="WOP143" s="15" t="s">
        <v>598</v>
      </c>
      <c r="WOQ143" s="15" t="s">
        <v>598</v>
      </c>
      <c r="WOR143" s="15" t="s">
        <v>598</v>
      </c>
      <c r="WOS143" s="15" t="s">
        <v>598</v>
      </c>
      <c r="WOT143" s="15" t="s">
        <v>598</v>
      </c>
      <c r="WOU143" s="15" t="s">
        <v>598</v>
      </c>
      <c r="WOV143" s="15" t="s">
        <v>598</v>
      </c>
      <c r="WOW143" s="15" t="s">
        <v>598</v>
      </c>
      <c r="WOX143" s="15" t="s">
        <v>598</v>
      </c>
      <c r="WOY143" s="15" t="s">
        <v>598</v>
      </c>
      <c r="WOZ143" s="15" t="s">
        <v>598</v>
      </c>
      <c r="WPA143" s="15" t="s">
        <v>598</v>
      </c>
      <c r="WPB143" s="15" t="s">
        <v>598</v>
      </c>
      <c r="WPC143" s="15" t="s">
        <v>598</v>
      </c>
      <c r="WPD143" s="15" t="s">
        <v>598</v>
      </c>
      <c r="WPE143" s="15" t="s">
        <v>598</v>
      </c>
      <c r="WPF143" s="15" t="s">
        <v>598</v>
      </c>
      <c r="WPG143" s="15" t="s">
        <v>598</v>
      </c>
      <c r="WPH143" s="15" t="s">
        <v>598</v>
      </c>
      <c r="WPI143" s="15" t="s">
        <v>598</v>
      </c>
      <c r="WPJ143" s="15" t="s">
        <v>598</v>
      </c>
      <c r="WPK143" s="15" t="s">
        <v>598</v>
      </c>
      <c r="WPL143" s="15" t="s">
        <v>598</v>
      </c>
      <c r="WPM143" s="15" t="s">
        <v>598</v>
      </c>
      <c r="WPN143" s="15" t="s">
        <v>598</v>
      </c>
      <c r="WPO143" s="15" t="s">
        <v>598</v>
      </c>
      <c r="WPP143" s="15" t="s">
        <v>598</v>
      </c>
      <c r="WPQ143" s="15" t="s">
        <v>598</v>
      </c>
      <c r="WPR143" s="15" t="s">
        <v>598</v>
      </c>
      <c r="WPS143" s="15" t="s">
        <v>598</v>
      </c>
      <c r="WPT143" s="15" t="s">
        <v>598</v>
      </c>
      <c r="WPU143" s="15" t="s">
        <v>598</v>
      </c>
      <c r="WPV143" s="15" t="s">
        <v>598</v>
      </c>
      <c r="WPW143" s="15" t="s">
        <v>598</v>
      </c>
      <c r="WPX143" s="15" t="s">
        <v>598</v>
      </c>
      <c r="WPY143" s="15" t="s">
        <v>598</v>
      </c>
      <c r="WPZ143" s="15" t="s">
        <v>598</v>
      </c>
      <c r="WQA143" s="15" t="s">
        <v>598</v>
      </c>
      <c r="WQB143" s="15" t="s">
        <v>598</v>
      </c>
      <c r="WQC143" s="15" t="s">
        <v>598</v>
      </c>
      <c r="WQD143" s="15" t="s">
        <v>598</v>
      </c>
      <c r="WQE143" s="15" t="s">
        <v>598</v>
      </c>
      <c r="WQF143" s="15" t="s">
        <v>598</v>
      </c>
      <c r="WQG143" s="15" t="s">
        <v>598</v>
      </c>
      <c r="WQH143" s="15" t="s">
        <v>598</v>
      </c>
      <c r="WQI143" s="15" t="s">
        <v>598</v>
      </c>
      <c r="WQJ143" s="15" t="s">
        <v>598</v>
      </c>
      <c r="WQK143" s="15" t="s">
        <v>598</v>
      </c>
      <c r="WQL143" s="15" t="s">
        <v>598</v>
      </c>
      <c r="WQM143" s="15" t="s">
        <v>598</v>
      </c>
      <c r="WQN143" s="15" t="s">
        <v>598</v>
      </c>
      <c r="WQO143" s="15" t="s">
        <v>598</v>
      </c>
      <c r="WQP143" s="15" t="s">
        <v>598</v>
      </c>
      <c r="WQQ143" s="15" t="s">
        <v>598</v>
      </c>
      <c r="WQR143" s="15" t="s">
        <v>598</v>
      </c>
      <c r="WQS143" s="15" t="s">
        <v>598</v>
      </c>
      <c r="WQT143" s="15" t="s">
        <v>598</v>
      </c>
      <c r="WQU143" s="15" t="s">
        <v>598</v>
      </c>
      <c r="WQV143" s="15" t="s">
        <v>598</v>
      </c>
      <c r="WQW143" s="15" t="s">
        <v>598</v>
      </c>
      <c r="WQX143" s="15" t="s">
        <v>598</v>
      </c>
      <c r="WQY143" s="15" t="s">
        <v>598</v>
      </c>
      <c r="WQZ143" s="15" t="s">
        <v>598</v>
      </c>
      <c r="WRA143" s="15" t="s">
        <v>598</v>
      </c>
      <c r="WRB143" s="15" t="s">
        <v>598</v>
      </c>
      <c r="WRC143" s="15" t="s">
        <v>598</v>
      </c>
      <c r="WRD143" s="15" t="s">
        <v>598</v>
      </c>
      <c r="WRE143" s="15" t="s">
        <v>598</v>
      </c>
      <c r="WRF143" s="15" t="s">
        <v>598</v>
      </c>
      <c r="WRG143" s="15" t="s">
        <v>598</v>
      </c>
      <c r="WRH143" s="15" t="s">
        <v>598</v>
      </c>
      <c r="WRI143" s="15" t="s">
        <v>598</v>
      </c>
      <c r="WRJ143" s="15" t="s">
        <v>598</v>
      </c>
      <c r="WRK143" s="15" t="s">
        <v>598</v>
      </c>
      <c r="WRL143" s="15" t="s">
        <v>598</v>
      </c>
      <c r="WRM143" s="15" t="s">
        <v>598</v>
      </c>
      <c r="WRN143" s="15" t="s">
        <v>598</v>
      </c>
      <c r="WRO143" s="15" t="s">
        <v>598</v>
      </c>
      <c r="WRP143" s="15" t="s">
        <v>598</v>
      </c>
      <c r="WRQ143" s="15" t="s">
        <v>598</v>
      </c>
      <c r="WRR143" s="15" t="s">
        <v>598</v>
      </c>
      <c r="WRS143" s="15" t="s">
        <v>598</v>
      </c>
      <c r="WRT143" s="15" t="s">
        <v>598</v>
      </c>
      <c r="WRU143" s="15" t="s">
        <v>598</v>
      </c>
      <c r="WRV143" s="15" t="s">
        <v>598</v>
      </c>
      <c r="WRW143" s="15" t="s">
        <v>598</v>
      </c>
      <c r="WRX143" s="15" t="s">
        <v>598</v>
      </c>
      <c r="WRY143" s="15" t="s">
        <v>598</v>
      </c>
      <c r="WRZ143" s="15" t="s">
        <v>598</v>
      </c>
      <c r="WSA143" s="15" t="s">
        <v>598</v>
      </c>
      <c r="WSB143" s="15" t="s">
        <v>598</v>
      </c>
      <c r="WSC143" s="15" t="s">
        <v>598</v>
      </c>
      <c r="WSD143" s="15" t="s">
        <v>598</v>
      </c>
      <c r="WSE143" s="15" t="s">
        <v>598</v>
      </c>
      <c r="WSF143" s="15" t="s">
        <v>598</v>
      </c>
      <c r="WSG143" s="15" t="s">
        <v>598</v>
      </c>
      <c r="WSH143" s="15" t="s">
        <v>598</v>
      </c>
      <c r="WSI143" s="15" t="s">
        <v>598</v>
      </c>
      <c r="WSJ143" s="15" t="s">
        <v>598</v>
      </c>
      <c r="WSK143" s="15" t="s">
        <v>598</v>
      </c>
      <c r="WSL143" s="15" t="s">
        <v>598</v>
      </c>
      <c r="WSM143" s="15" t="s">
        <v>598</v>
      </c>
      <c r="WSN143" s="15" t="s">
        <v>598</v>
      </c>
      <c r="WSO143" s="15" t="s">
        <v>598</v>
      </c>
      <c r="WSP143" s="15" t="s">
        <v>598</v>
      </c>
      <c r="WSQ143" s="15" t="s">
        <v>598</v>
      </c>
      <c r="WSR143" s="15" t="s">
        <v>598</v>
      </c>
      <c r="WSS143" s="15" t="s">
        <v>598</v>
      </c>
      <c r="WST143" s="15" t="s">
        <v>598</v>
      </c>
      <c r="WSU143" s="15" t="s">
        <v>598</v>
      </c>
      <c r="WSV143" s="15" t="s">
        <v>598</v>
      </c>
      <c r="WSW143" s="15" t="s">
        <v>598</v>
      </c>
      <c r="WSX143" s="15" t="s">
        <v>598</v>
      </c>
      <c r="WSY143" s="15" t="s">
        <v>598</v>
      </c>
      <c r="WSZ143" s="15" t="s">
        <v>598</v>
      </c>
      <c r="WTA143" s="15" t="s">
        <v>598</v>
      </c>
      <c r="WTB143" s="15" t="s">
        <v>598</v>
      </c>
      <c r="WTC143" s="15" t="s">
        <v>598</v>
      </c>
      <c r="WTD143" s="15" t="s">
        <v>598</v>
      </c>
      <c r="WTE143" s="15" t="s">
        <v>598</v>
      </c>
      <c r="WTF143" s="15" t="s">
        <v>598</v>
      </c>
      <c r="WTG143" s="15" t="s">
        <v>598</v>
      </c>
      <c r="WTH143" s="15" t="s">
        <v>598</v>
      </c>
      <c r="WTI143" s="15" t="s">
        <v>598</v>
      </c>
      <c r="WTJ143" s="15" t="s">
        <v>598</v>
      </c>
      <c r="WTK143" s="15" t="s">
        <v>598</v>
      </c>
      <c r="WTL143" s="15" t="s">
        <v>598</v>
      </c>
      <c r="WTM143" s="15" t="s">
        <v>598</v>
      </c>
      <c r="WTN143" s="15" t="s">
        <v>598</v>
      </c>
      <c r="WTO143" s="15" t="s">
        <v>598</v>
      </c>
      <c r="WTP143" s="15" t="s">
        <v>598</v>
      </c>
      <c r="WTQ143" s="15" t="s">
        <v>598</v>
      </c>
      <c r="WTR143" s="15" t="s">
        <v>598</v>
      </c>
      <c r="WTS143" s="15" t="s">
        <v>598</v>
      </c>
      <c r="WTT143" s="15" t="s">
        <v>598</v>
      </c>
      <c r="WTU143" s="15" t="s">
        <v>598</v>
      </c>
      <c r="WTV143" s="15" t="s">
        <v>598</v>
      </c>
      <c r="WTW143" s="15" t="s">
        <v>598</v>
      </c>
      <c r="WTX143" s="15" t="s">
        <v>598</v>
      </c>
      <c r="WTY143" s="15" t="s">
        <v>598</v>
      </c>
      <c r="WTZ143" s="15" t="s">
        <v>598</v>
      </c>
      <c r="WUA143" s="15" t="s">
        <v>598</v>
      </c>
      <c r="WUB143" s="15" t="s">
        <v>598</v>
      </c>
      <c r="WUC143" s="15" t="s">
        <v>598</v>
      </c>
      <c r="WUD143" s="15" t="s">
        <v>598</v>
      </c>
      <c r="WUE143" s="15" t="s">
        <v>598</v>
      </c>
      <c r="WUF143" s="15" t="s">
        <v>598</v>
      </c>
      <c r="WUG143" s="15" t="s">
        <v>598</v>
      </c>
      <c r="WUH143" s="15" t="s">
        <v>598</v>
      </c>
      <c r="WUI143" s="15" t="s">
        <v>598</v>
      </c>
      <c r="WUJ143" s="15" t="s">
        <v>598</v>
      </c>
      <c r="WUK143" s="15" t="s">
        <v>598</v>
      </c>
      <c r="WUL143" s="15" t="s">
        <v>598</v>
      </c>
      <c r="WUM143" s="15" t="s">
        <v>598</v>
      </c>
      <c r="WUN143" s="15" t="s">
        <v>598</v>
      </c>
      <c r="WUO143" s="15" t="s">
        <v>598</v>
      </c>
      <c r="WUP143" s="15" t="s">
        <v>598</v>
      </c>
      <c r="WUQ143" s="15" t="s">
        <v>598</v>
      </c>
      <c r="WUR143" s="15" t="s">
        <v>598</v>
      </c>
      <c r="WUS143" s="15" t="s">
        <v>598</v>
      </c>
      <c r="WUT143" s="15" t="s">
        <v>598</v>
      </c>
      <c r="WUU143" s="15" t="s">
        <v>598</v>
      </c>
      <c r="WUV143" s="15" t="s">
        <v>598</v>
      </c>
      <c r="WUW143" s="15" t="s">
        <v>598</v>
      </c>
      <c r="WUX143" s="15" t="s">
        <v>598</v>
      </c>
      <c r="WUY143" s="15" t="s">
        <v>598</v>
      </c>
      <c r="WUZ143" s="15" t="s">
        <v>598</v>
      </c>
      <c r="WVA143" s="15" t="s">
        <v>598</v>
      </c>
      <c r="WVB143" s="15" t="s">
        <v>598</v>
      </c>
      <c r="WVC143" s="15" t="s">
        <v>598</v>
      </c>
      <c r="WVD143" s="15" t="s">
        <v>598</v>
      </c>
      <c r="WVE143" s="15" t="s">
        <v>598</v>
      </c>
      <c r="WVF143" s="15" t="s">
        <v>598</v>
      </c>
      <c r="WVG143" s="15" t="s">
        <v>598</v>
      </c>
      <c r="WVH143" s="15" t="s">
        <v>598</v>
      </c>
      <c r="WVI143" s="15" t="s">
        <v>598</v>
      </c>
      <c r="WVJ143" s="15" t="s">
        <v>598</v>
      </c>
      <c r="WVK143" s="15" t="s">
        <v>598</v>
      </c>
      <c r="WVL143" s="15" t="s">
        <v>598</v>
      </c>
      <c r="WVM143" s="15" t="s">
        <v>598</v>
      </c>
      <c r="WVN143" s="15" t="s">
        <v>598</v>
      </c>
      <c r="WVO143" s="15" t="s">
        <v>598</v>
      </c>
      <c r="WVP143" s="15" t="s">
        <v>598</v>
      </c>
      <c r="WVQ143" s="15" t="s">
        <v>598</v>
      </c>
      <c r="WVR143" s="15" t="s">
        <v>598</v>
      </c>
      <c r="WVS143" s="15" t="s">
        <v>598</v>
      </c>
      <c r="WVT143" s="15" t="s">
        <v>598</v>
      </c>
      <c r="WVU143" s="15" t="s">
        <v>598</v>
      </c>
      <c r="WVV143" s="15" t="s">
        <v>598</v>
      </c>
      <c r="WVW143" s="15" t="s">
        <v>598</v>
      </c>
      <c r="WVX143" s="15" t="s">
        <v>598</v>
      </c>
      <c r="WVY143" s="15" t="s">
        <v>598</v>
      </c>
      <c r="WVZ143" s="15" t="s">
        <v>598</v>
      </c>
      <c r="WWA143" s="15" t="s">
        <v>598</v>
      </c>
      <c r="WWB143" s="15" t="s">
        <v>598</v>
      </c>
      <c r="WWC143" s="15" t="s">
        <v>598</v>
      </c>
      <c r="WWD143" s="15" t="s">
        <v>598</v>
      </c>
      <c r="WWE143" s="15" t="s">
        <v>598</v>
      </c>
      <c r="WWF143" s="15" t="s">
        <v>598</v>
      </c>
      <c r="WWG143" s="15" t="s">
        <v>598</v>
      </c>
      <c r="WWH143" s="15" t="s">
        <v>598</v>
      </c>
      <c r="WWI143" s="15" t="s">
        <v>598</v>
      </c>
      <c r="WWJ143" s="15" t="s">
        <v>598</v>
      </c>
      <c r="WWK143" s="15" t="s">
        <v>598</v>
      </c>
      <c r="WWL143" s="15" t="s">
        <v>598</v>
      </c>
      <c r="WWM143" s="15" t="s">
        <v>598</v>
      </c>
      <c r="WWN143" s="15" t="s">
        <v>598</v>
      </c>
      <c r="WWO143" s="15" t="s">
        <v>598</v>
      </c>
      <c r="WWP143" s="15" t="s">
        <v>598</v>
      </c>
      <c r="WWQ143" s="15" t="s">
        <v>598</v>
      </c>
      <c r="WWR143" s="15" t="s">
        <v>598</v>
      </c>
      <c r="WWS143" s="15" t="s">
        <v>598</v>
      </c>
      <c r="WWT143" s="15" t="s">
        <v>598</v>
      </c>
      <c r="WWU143" s="15" t="s">
        <v>598</v>
      </c>
      <c r="WWV143" s="15" t="s">
        <v>598</v>
      </c>
      <c r="WWW143" s="15" t="s">
        <v>598</v>
      </c>
      <c r="WWX143" s="15" t="s">
        <v>598</v>
      </c>
      <c r="WWY143" s="15" t="s">
        <v>598</v>
      </c>
      <c r="WWZ143" s="15" t="s">
        <v>598</v>
      </c>
      <c r="WXA143" s="15" t="s">
        <v>598</v>
      </c>
      <c r="WXB143" s="15" t="s">
        <v>598</v>
      </c>
      <c r="WXC143" s="15" t="s">
        <v>598</v>
      </c>
      <c r="WXD143" s="15" t="s">
        <v>598</v>
      </c>
      <c r="WXE143" s="15" t="s">
        <v>598</v>
      </c>
      <c r="WXF143" s="15" t="s">
        <v>598</v>
      </c>
      <c r="WXG143" s="15" t="s">
        <v>598</v>
      </c>
      <c r="WXH143" s="15" t="s">
        <v>598</v>
      </c>
      <c r="WXI143" s="15" t="s">
        <v>598</v>
      </c>
      <c r="WXJ143" s="15" t="s">
        <v>598</v>
      </c>
      <c r="WXK143" s="15" t="s">
        <v>598</v>
      </c>
      <c r="WXL143" s="15" t="s">
        <v>598</v>
      </c>
      <c r="WXM143" s="15" t="s">
        <v>598</v>
      </c>
      <c r="WXN143" s="15" t="s">
        <v>598</v>
      </c>
      <c r="WXO143" s="15" t="s">
        <v>598</v>
      </c>
      <c r="WXP143" s="15" t="s">
        <v>598</v>
      </c>
      <c r="WXQ143" s="15" t="s">
        <v>598</v>
      </c>
      <c r="WXR143" s="15" t="s">
        <v>598</v>
      </c>
      <c r="WXS143" s="15" t="s">
        <v>598</v>
      </c>
      <c r="WXT143" s="15" t="s">
        <v>598</v>
      </c>
      <c r="WXU143" s="15" t="s">
        <v>598</v>
      </c>
      <c r="WXV143" s="15" t="s">
        <v>598</v>
      </c>
      <c r="WXW143" s="15" t="s">
        <v>598</v>
      </c>
      <c r="WXX143" s="15" t="s">
        <v>598</v>
      </c>
      <c r="WXY143" s="15" t="s">
        <v>598</v>
      </c>
      <c r="WXZ143" s="15" t="s">
        <v>598</v>
      </c>
      <c r="WYA143" s="15" t="s">
        <v>598</v>
      </c>
      <c r="WYB143" s="15" t="s">
        <v>598</v>
      </c>
      <c r="WYC143" s="15" t="s">
        <v>598</v>
      </c>
      <c r="WYD143" s="15" t="s">
        <v>598</v>
      </c>
      <c r="WYE143" s="15" t="s">
        <v>598</v>
      </c>
      <c r="WYF143" s="15" t="s">
        <v>598</v>
      </c>
      <c r="WYG143" s="15" t="s">
        <v>598</v>
      </c>
      <c r="WYH143" s="15" t="s">
        <v>598</v>
      </c>
      <c r="WYI143" s="15" t="s">
        <v>598</v>
      </c>
      <c r="WYJ143" s="15" t="s">
        <v>598</v>
      </c>
      <c r="WYK143" s="15" t="s">
        <v>598</v>
      </c>
      <c r="WYL143" s="15" t="s">
        <v>598</v>
      </c>
      <c r="WYM143" s="15" t="s">
        <v>598</v>
      </c>
      <c r="WYN143" s="15" t="s">
        <v>598</v>
      </c>
      <c r="WYO143" s="15" t="s">
        <v>598</v>
      </c>
      <c r="WYP143" s="15" t="s">
        <v>598</v>
      </c>
      <c r="WYQ143" s="15" t="s">
        <v>598</v>
      </c>
      <c r="WYR143" s="15" t="s">
        <v>598</v>
      </c>
      <c r="WYS143" s="15" t="s">
        <v>598</v>
      </c>
      <c r="WYT143" s="15" t="s">
        <v>598</v>
      </c>
      <c r="WYU143" s="15" t="s">
        <v>598</v>
      </c>
      <c r="WYV143" s="15" t="s">
        <v>598</v>
      </c>
      <c r="WYW143" s="15" t="s">
        <v>598</v>
      </c>
      <c r="WYX143" s="15" t="s">
        <v>598</v>
      </c>
      <c r="WYY143" s="15" t="s">
        <v>598</v>
      </c>
      <c r="WYZ143" s="15" t="s">
        <v>598</v>
      </c>
      <c r="WZA143" s="15" t="s">
        <v>598</v>
      </c>
      <c r="WZB143" s="15" t="s">
        <v>598</v>
      </c>
      <c r="WZC143" s="15" t="s">
        <v>598</v>
      </c>
      <c r="WZD143" s="15" t="s">
        <v>598</v>
      </c>
      <c r="WZE143" s="15" t="s">
        <v>598</v>
      </c>
      <c r="WZF143" s="15" t="s">
        <v>598</v>
      </c>
      <c r="WZG143" s="15" t="s">
        <v>598</v>
      </c>
      <c r="WZH143" s="15" t="s">
        <v>598</v>
      </c>
      <c r="WZI143" s="15" t="s">
        <v>598</v>
      </c>
      <c r="WZJ143" s="15" t="s">
        <v>598</v>
      </c>
      <c r="WZK143" s="15" t="s">
        <v>598</v>
      </c>
      <c r="WZL143" s="15" t="s">
        <v>598</v>
      </c>
      <c r="WZM143" s="15" t="s">
        <v>598</v>
      </c>
      <c r="WZN143" s="15" t="s">
        <v>598</v>
      </c>
      <c r="WZO143" s="15" t="s">
        <v>598</v>
      </c>
      <c r="WZP143" s="15" t="s">
        <v>598</v>
      </c>
      <c r="WZQ143" s="15" t="s">
        <v>598</v>
      </c>
      <c r="WZR143" s="15" t="s">
        <v>598</v>
      </c>
      <c r="WZS143" s="15" t="s">
        <v>598</v>
      </c>
      <c r="WZT143" s="15" t="s">
        <v>598</v>
      </c>
      <c r="WZU143" s="15" t="s">
        <v>598</v>
      </c>
      <c r="WZV143" s="15" t="s">
        <v>598</v>
      </c>
      <c r="WZW143" s="15" t="s">
        <v>598</v>
      </c>
      <c r="WZX143" s="15" t="s">
        <v>598</v>
      </c>
      <c r="WZY143" s="15" t="s">
        <v>598</v>
      </c>
      <c r="WZZ143" s="15" t="s">
        <v>598</v>
      </c>
      <c r="XAA143" s="15" t="s">
        <v>598</v>
      </c>
      <c r="XAB143" s="15" t="s">
        <v>598</v>
      </c>
      <c r="XAC143" s="15" t="s">
        <v>598</v>
      </c>
      <c r="XAD143" s="15" t="s">
        <v>598</v>
      </c>
      <c r="XAE143" s="15" t="s">
        <v>598</v>
      </c>
      <c r="XAF143" s="15" t="s">
        <v>598</v>
      </c>
      <c r="XAG143" s="15" t="s">
        <v>598</v>
      </c>
      <c r="XAH143" s="15" t="s">
        <v>598</v>
      </c>
      <c r="XAI143" s="15" t="s">
        <v>598</v>
      </c>
      <c r="XAJ143" s="15" t="s">
        <v>598</v>
      </c>
      <c r="XAK143" s="15" t="s">
        <v>598</v>
      </c>
      <c r="XAL143" s="15" t="s">
        <v>598</v>
      </c>
      <c r="XAM143" s="15" t="s">
        <v>598</v>
      </c>
      <c r="XAN143" s="15" t="s">
        <v>598</v>
      </c>
      <c r="XAO143" s="15" t="s">
        <v>598</v>
      </c>
      <c r="XAP143" s="15" t="s">
        <v>598</v>
      </c>
      <c r="XAQ143" s="15" t="s">
        <v>598</v>
      </c>
      <c r="XAR143" s="15" t="s">
        <v>598</v>
      </c>
      <c r="XAS143" s="15" t="s">
        <v>598</v>
      </c>
      <c r="XAT143" s="15" t="s">
        <v>598</v>
      </c>
      <c r="XAU143" s="15" t="s">
        <v>598</v>
      </c>
      <c r="XAV143" s="15" t="s">
        <v>598</v>
      </c>
      <c r="XAW143" s="15" t="s">
        <v>598</v>
      </c>
      <c r="XAX143" s="15" t="s">
        <v>598</v>
      </c>
      <c r="XAY143" s="15" t="s">
        <v>598</v>
      </c>
      <c r="XAZ143" s="15" t="s">
        <v>598</v>
      </c>
      <c r="XBA143" s="15" t="s">
        <v>598</v>
      </c>
      <c r="XBB143" s="15" t="s">
        <v>598</v>
      </c>
      <c r="XBC143" s="15" t="s">
        <v>598</v>
      </c>
      <c r="XBD143" s="15" t="s">
        <v>598</v>
      </c>
      <c r="XBE143" s="15" t="s">
        <v>598</v>
      </c>
      <c r="XBF143" s="15" t="s">
        <v>598</v>
      </c>
      <c r="XBG143" s="15" t="s">
        <v>598</v>
      </c>
      <c r="XBH143" s="15" t="s">
        <v>598</v>
      </c>
      <c r="XBI143" s="15" t="s">
        <v>598</v>
      </c>
      <c r="XBJ143" s="15" t="s">
        <v>598</v>
      </c>
      <c r="XBK143" s="15" t="s">
        <v>598</v>
      </c>
      <c r="XBL143" s="15" t="s">
        <v>598</v>
      </c>
      <c r="XBM143" s="15" t="s">
        <v>598</v>
      </c>
      <c r="XBN143" s="15" t="s">
        <v>598</v>
      </c>
      <c r="XBO143" s="15" t="s">
        <v>598</v>
      </c>
      <c r="XBP143" s="15" t="s">
        <v>598</v>
      </c>
      <c r="XBQ143" s="15" t="s">
        <v>598</v>
      </c>
      <c r="XBR143" s="15" t="s">
        <v>598</v>
      </c>
      <c r="XBS143" s="15" t="s">
        <v>598</v>
      </c>
      <c r="XBT143" s="15" t="s">
        <v>598</v>
      </c>
      <c r="XBU143" s="15" t="s">
        <v>598</v>
      </c>
      <c r="XBV143" s="15" t="s">
        <v>598</v>
      </c>
      <c r="XBW143" s="15" t="s">
        <v>598</v>
      </c>
      <c r="XBX143" s="15" t="s">
        <v>598</v>
      </c>
      <c r="XBY143" s="15" t="s">
        <v>598</v>
      </c>
      <c r="XBZ143" s="15" t="s">
        <v>598</v>
      </c>
      <c r="XCA143" s="15" t="s">
        <v>598</v>
      </c>
      <c r="XCB143" s="15" t="s">
        <v>598</v>
      </c>
      <c r="XCC143" s="15" t="s">
        <v>598</v>
      </c>
      <c r="XCD143" s="15" t="s">
        <v>598</v>
      </c>
      <c r="XCE143" s="15" t="s">
        <v>598</v>
      </c>
      <c r="XCF143" s="15" t="s">
        <v>598</v>
      </c>
      <c r="XCG143" s="15" t="s">
        <v>598</v>
      </c>
      <c r="XCH143" s="15" t="s">
        <v>598</v>
      </c>
      <c r="XCI143" s="15" t="s">
        <v>598</v>
      </c>
      <c r="XCJ143" s="15" t="s">
        <v>598</v>
      </c>
      <c r="XCK143" s="15" t="s">
        <v>598</v>
      </c>
      <c r="XCL143" s="15" t="s">
        <v>598</v>
      </c>
      <c r="XCM143" s="15" t="s">
        <v>598</v>
      </c>
      <c r="XCN143" s="15" t="s">
        <v>598</v>
      </c>
      <c r="XCO143" s="15" t="s">
        <v>598</v>
      </c>
      <c r="XCP143" s="15" t="s">
        <v>598</v>
      </c>
      <c r="XCQ143" s="15" t="s">
        <v>598</v>
      </c>
      <c r="XCR143" s="15" t="s">
        <v>598</v>
      </c>
      <c r="XCS143" s="15" t="s">
        <v>598</v>
      </c>
      <c r="XCT143" s="15" t="s">
        <v>598</v>
      </c>
      <c r="XCU143" s="15" t="s">
        <v>598</v>
      </c>
      <c r="XCV143" s="15" t="s">
        <v>598</v>
      </c>
      <c r="XCW143" s="15" t="s">
        <v>598</v>
      </c>
      <c r="XCX143" s="15" t="s">
        <v>598</v>
      </c>
      <c r="XCY143" s="15" t="s">
        <v>598</v>
      </c>
      <c r="XCZ143" s="15" t="s">
        <v>598</v>
      </c>
      <c r="XDA143" s="15" t="s">
        <v>598</v>
      </c>
      <c r="XDB143" s="15" t="s">
        <v>598</v>
      </c>
      <c r="XDC143" s="15" t="s">
        <v>598</v>
      </c>
      <c r="XDD143" s="15" t="s">
        <v>598</v>
      </c>
      <c r="XDE143" s="15" t="s">
        <v>598</v>
      </c>
      <c r="XDF143" s="15" t="s">
        <v>598</v>
      </c>
      <c r="XDG143" s="15" t="s">
        <v>598</v>
      </c>
      <c r="XDH143" s="15" t="s">
        <v>598</v>
      </c>
      <c r="XDI143" s="15" t="s">
        <v>598</v>
      </c>
      <c r="XDJ143" s="15" t="s">
        <v>598</v>
      </c>
      <c r="XDK143" s="15" t="s">
        <v>598</v>
      </c>
      <c r="XDL143" s="15" t="s">
        <v>598</v>
      </c>
      <c r="XDM143" s="15" t="s">
        <v>598</v>
      </c>
      <c r="XDN143" s="15" t="s">
        <v>598</v>
      </c>
      <c r="XDO143" s="15" t="s">
        <v>598</v>
      </c>
      <c r="XDP143" s="15" t="s">
        <v>598</v>
      </c>
      <c r="XDQ143" s="15" t="s">
        <v>598</v>
      </c>
      <c r="XDR143" s="15" t="s">
        <v>598</v>
      </c>
      <c r="XDS143" s="15" t="s">
        <v>598</v>
      </c>
      <c r="XDT143" s="15" t="s">
        <v>598</v>
      </c>
      <c r="XDU143" s="15" t="s">
        <v>598</v>
      </c>
      <c r="XDV143" s="15" t="s">
        <v>598</v>
      </c>
      <c r="XDW143" s="15" t="s">
        <v>598</v>
      </c>
      <c r="XDX143" s="15" t="s">
        <v>598</v>
      </c>
      <c r="XDY143" s="15" t="s">
        <v>598</v>
      </c>
      <c r="XDZ143" s="15" t="s">
        <v>598</v>
      </c>
      <c r="XEA143" s="15" t="s">
        <v>598</v>
      </c>
      <c r="XEB143" s="15" t="s">
        <v>598</v>
      </c>
      <c r="XEC143" s="15" t="s">
        <v>598</v>
      </c>
      <c r="XED143" s="15" t="s">
        <v>598</v>
      </c>
      <c r="XEE143" s="15" t="s">
        <v>598</v>
      </c>
      <c r="XEF143" s="15" t="s">
        <v>598</v>
      </c>
      <c r="XEG143" s="15" t="s">
        <v>598</v>
      </c>
      <c r="XEH143" s="15" t="s">
        <v>598</v>
      </c>
      <c r="XEI143" s="15" t="s">
        <v>598</v>
      </c>
      <c r="XEJ143" s="15" t="s">
        <v>598</v>
      </c>
      <c r="XEK143" s="15" t="s">
        <v>598</v>
      </c>
      <c r="XEL143" s="15" t="s">
        <v>598</v>
      </c>
      <c r="XEM143" s="15" t="s">
        <v>598</v>
      </c>
      <c r="XEN143" s="15" t="s">
        <v>598</v>
      </c>
      <c r="XEO143" s="15" t="s">
        <v>598</v>
      </c>
      <c r="XEP143" s="15" t="s">
        <v>598</v>
      </c>
      <c r="XEQ143" s="15" t="s">
        <v>598</v>
      </c>
      <c r="XER143" s="15" t="s">
        <v>598</v>
      </c>
      <c r="XES143" s="15" t="s">
        <v>598</v>
      </c>
      <c r="XET143" s="15" t="s">
        <v>598</v>
      </c>
      <c r="XEU143" s="15" t="s">
        <v>598</v>
      </c>
      <c r="XEV143" s="15" t="s">
        <v>598</v>
      </c>
      <c r="XEW143" s="15" t="s">
        <v>598</v>
      </c>
      <c r="XEX143" s="15" t="s">
        <v>598</v>
      </c>
      <c r="XEY143" s="15" t="s">
        <v>598</v>
      </c>
      <c r="XEZ143" s="15" t="s">
        <v>598</v>
      </c>
      <c r="XFA143" s="15" t="s">
        <v>598</v>
      </c>
      <c r="XFB143" s="15" t="s">
        <v>598</v>
      </c>
      <c r="XFC143" s="15" t="s">
        <v>598</v>
      </c>
      <c r="XFD143" s="15" t="s">
        <v>598</v>
      </c>
    </row>
  </sheetData>
  <autoFilter ref="A5:XFD140" xr:uid="{719B5B23-E41E-401C-B37D-3715A912B555}"/>
  <mergeCells count="6">
    <mergeCell ref="Q2:Q4"/>
    <mergeCell ref="G2:G4"/>
    <mergeCell ref="J2:K2"/>
    <mergeCell ref="L2:L4"/>
    <mergeCell ref="H2:H4"/>
    <mergeCell ref="I2:I4"/>
  </mergeCells>
  <conditionalFormatting sqref="J108 J121:J123">
    <cfRule type="iconSet" priority="71206">
      <iconSet iconSet="3Symbols2" showValue="0">
        <cfvo type="percent" val="0"/>
        <cfvo type="num" val="0"/>
        <cfvo type="num" val="1"/>
      </iconSet>
    </cfRule>
  </conditionalFormatting>
  <conditionalFormatting sqref="J109:J111 J113:J114">
    <cfRule type="iconSet" priority="69933">
      <iconSet iconSet="3Symbols2" showValue="0">
        <cfvo type="percent" val="0"/>
        <cfvo type="num" val="0"/>
        <cfvo type="num" val="1"/>
      </iconSet>
    </cfRule>
  </conditionalFormatting>
  <conditionalFormatting sqref="J115:J116 J119:J120">
    <cfRule type="iconSet" priority="1140">
      <iconSet iconSet="3Symbols2" showValue="0">
        <cfvo type="percent" val="0"/>
        <cfvo type="num" val="0"/>
        <cfvo type="num" val="1"/>
      </iconSet>
    </cfRule>
  </conditionalFormatting>
  <conditionalFormatting sqref="J119:J140 J80:J88 J7:J70 J90:J98 J100:J104 J66:K68 J75:K77 J85:K87 J95:K97 J128:K129 J17:M18 J28:P29 J32:P39 J52:P65 J72:P74 J80:P84 J88:P94 J98:P103 J106:P107 J130:P133 J140:P1048576 J1:Q14 J19:Q27 J30:Q31 J124:Q124 J126:Q126 J78:R79 J15:T16 K122:K123 K127 K112:M112 K108:P111 K134:P139 K113:Q114 K121:Q121 K125:R125 L117:M117 M122:P123 O17:R18 O112:R112 Q52:Q68 Q72:Q77 Q81:Q87 Q91:Q97 Q107:Q111 Q130 Q34:R39 Q80:R80 Q88:R90 Q98:R100 Q106:R106 Q131:R132 J72:J77 J69:R70 J71:Q71 S71 Q133:Q1048576 L127:R128 L129:Q129 S129 J106:J116 J104:K105 Q101:Q105">
    <cfRule type="iconSet" priority="1160">
      <iconSet iconSet="3Symbols2" showValue="0">
        <cfvo type="percent" val="0"/>
        <cfvo type="num" val="0"/>
        <cfvo type="num" val="1"/>
      </iconSet>
    </cfRule>
  </conditionalFormatting>
  <conditionalFormatting sqref="J46:L50 J51:M51 J40:Q40 K41:K45 N41:P51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K117:K118 K115:Q116 K119:Q120 N117:P118">
    <cfRule type="iconSet" priority="1151">
      <iconSet iconSet="3Symbols2" showValue="0">
        <cfvo type="percent" val="0"/>
        <cfvo type="num" val="0"/>
        <cfvo type="num" val="1"/>
      </iconSet>
    </cfRule>
  </conditionalFormatting>
  <conditionalFormatting sqref="L41:L45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L122:L123">
    <cfRule type="iconSet" priority="71209">
      <iconSet iconSet="3Symbols2" showValue="0">
        <cfvo type="percent" val="0"/>
        <cfvo type="num" val="0"/>
        <cfvo type="num" val="1"/>
      </iconSet>
    </cfRule>
  </conditionalFormatting>
  <conditionalFormatting sqref="L51:M51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L117:M117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L118:M118">
    <cfRule type="iconSet" priority="9">
      <iconSet iconSet="3Symbols2" showValue="0">
        <cfvo type="percent" val="0"/>
        <cfvo type="num" val="0"/>
        <cfvo type="num" val="1"/>
      </iconSet>
    </cfRule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M41:M45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M46:M50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N112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Q41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Q42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Q43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Q44:Q45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Q46:Q50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Q122:Q12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Q28:R29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Q51:R51">
    <cfRule type="iconSet" priority="4">
      <iconSet iconSet="3Symbols2" showValue="0">
        <cfvo type="percent" val="0"/>
        <cfvo type="num" val="0"/>
        <cfvo type="num" val="1"/>
      </iconSet>
    </cfRule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Q117:R117">
    <cfRule type="iconSet" priority="11">
      <iconSet iconSet="3Symbols2" showValue="0">
        <cfvo type="percent" val="0"/>
        <cfvo type="num" val="0"/>
        <cfvo type="num" val="1"/>
      </iconSet>
    </cfRule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Q118:R118">
    <cfRule type="iconSet" priority="8">
      <iconSet iconSet="3Symbols2" showValue="0">
        <cfvo type="percent" val="0"/>
        <cfvo type="num" val="0"/>
        <cfvo type="num" val="1"/>
      </iconSet>
    </cfRule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Q32:S32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Q33:S33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R41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R42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R43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R44:R45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R46:R50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R122:R123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R4:U4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S28:S29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S35:S36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S41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S42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S43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S44:S45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S46:S51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S134:S139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EEF0-E660-428F-AD1E-E226572B89A7}">
  <sheetPr codeName="Sheet6" filterMode="1">
    <outlinePr summaryBelow="0" summaryRight="0"/>
  </sheetPr>
  <dimension ref="A1:X260"/>
  <sheetViews>
    <sheetView zoomScale="81" zoomScaleNormal="70" workbookViewId="0">
      <pane xSplit="9" ySplit="5" topLeftCell="J210" activePane="bottomRight" state="frozen"/>
      <selection pane="topRight" activeCell="J1" sqref="J1"/>
      <selection pane="bottomLeft" activeCell="A6" sqref="A6"/>
      <selection pane="bottomRight" activeCell="Q270" sqref="Q270"/>
    </sheetView>
  </sheetViews>
  <sheetFormatPr defaultColWidth="8.5546875" defaultRowHeight="12.75" customHeight="1" outlineLevelRow="4"/>
  <cols>
    <col min="1" max="1" width="10.44140625" style="55" customWidth="1"/>
    <col min="2" max="2" width="6.5546875" style="56" customWidth="1"/>
    <col min="3" max="3" width="8.44140625" style="56" customWidth="1"/>
    <col min="4" max="4" width="7" style="226" customWidth="1"/>
    <col min="5" max="5" width="79.44140625" style="242" bestFit="1" customWidth="1"/>
    <col min="6" max="6" width="3.44140625" style="55" hidden="1" customWidth="1"/>
    <col min="7" max="7" width="8.44140625" style="55" bestFit="1" customWidth="1"/>
    <col min="8" max="8" width="12" style="55" bestFit="1" customWidth="1"/>
    <col min="9" max="9" width="5.5546875" style="243" bestFit="1" customWidth="1"/>
    <col min="10" max="10" width="9.44140625" style="226" customWidth="1"/>
    <col min="11" max="11" width="8.5546875" style="226" customWidth="1"/>
    <col min="12" max="12" width="10.44140625" style="226" bestFit="1" customWidth="1"/>
    <col min="13" max="16" width="10.44140625" style="226" customWidth="1"/>
    <col min="17" max="17" width="10.44140625" style="226" bestFit="1" customWidth="1"/>
    <col min="18" max="16384" width="8.5546875" style="55"/>
  </cols>
  <sheetData>
    <row r="1" spans="1:24" s="4" customFormat="1" ht="13.2">
      <c r="A1" s="60"/>
      <c r="B1" s="61"/>
      <c r="C1" s="62"/>
      <c r="D1" s="66"/>
      <c r="E1" s="227"/>
      <c r="F1" s="64"/>
      <c r="G1" s="61"/>
      <c r="H1" s="65"/>
      <c r="I1" s="65"/>
      <c r="J1" s="66"/>
      <c r="K1" s="68"/>
      <c r="L1" s="68"/>
      <c r="M1" s="68"/>
      <c r="N1" s="68"/>
      <c r="O1" s="68"/>
      <c r="P1" s="68"/>
      <c r="Q1" s="68"/>
    </row>
    <row r="2" spans="1:24" s="4" customFormat="1" ht="9" customHeight="1">
      <c r="A2" s="60" t="s">
        <v>120</v>
      </c>
      <c r="B2" s="61"/>
      <c r="C2" s="62"/>
      <c r="D2" s="66"/>
      <c r="E2" s="227"/>
      <c r="F2" s="64"/>
      <c r="G2" s="523" t="s">
        <v>121</v>
      </c>
      <c r="H2" s="523" t="s">
        <v>122</v>
      </c>
      <c r="I2" s="524" t="s">
        <v>123</v>
      </c>
      <c r="J2" s="524" t="s">
        <v>124</v>
      </c>
      <c r="K2" s="524"/>
      <c r="L2" s="522" t="s">
        <v>599</v>
      </c>
      <c r="M2" s="222"/>
      <c r="N2" s="222"/>
      <c r="O2" s="222"/>
      <c r="P2" s="222"/>
      <c r="Q2" s="522" t="s">
        <v>600</v>
      </c>
    </row>
    <row r="3" spans="1:24" s="4" customFormat="1" ht="9" customHeight="1">
      <c r="A3" s="60"/>
      <c r="B3" s="61"/>
      <c r="C3" s="62"/>
      <c r="D3" s="66"/>
      <c r="E3" s="227"/>
      <c r="F3" s="64"/>
      <c r="G3" s="523"/>
      <c r="H3" s="523"/>
      <c r="I3" s="524"/>
      <c r="J3" s="68"/>
      <c r="K3" s="68"/>
      <c r="L3" s="522"/>
      <c r="M3" s="223"/>
      <c r="N3" s="223"/>
      <c r="O3" s="223"/>
      <c r="P3" s="223"/>
      <c r="Q3" s="522"/>
    </row>
    <row r="4" spans="1:24" s="4" customFormat="1" ht="15.75" customHeight="1">
      <c r="A4" s="228" t="s">
        <v>711</v>
      </c>
      <c r="B4" s="61"/>
      <c r="C4" s="65"/>
      <c r="D4" s="66"/>
      <c r="E4" s="227"/>
      <c r="F4" s="64"/>
      <c r="G4" s="523"/>
      <c r="H4" s="523"/>
      <c r="I4" s="524"/>
      <c r="J4" s="108" t="s">
        <v>130</v>
      </c>
      <c r="K4" s="229" t="s">
        <v>131</v>
      </c>
      <c r="L4" s="522"/>
      <c r="M4" s="107" t="s">
        <v>6</v>
      </c>
      <c r="N4" s="107" t="s">
        <v>7</v>
      </c>
      <c r="O4" s="107" t="s">
        <v>8</v>
      </c>
      <c r="P4" s="107" t="s">
        <v>9</v>
      </c>
      <c r="Q4" s="522"/>
      <c r="R4" s="107" t="s">
        <v>6</v>
      </c>
      <c r="S4" s="107" t="s">
        <v>7</v>
      </c>
      <c r="T4" s="107" t="s">
        <v>8</v>
      </c>
      <c r="U4" s="107" t="s">
        <v>9</v>
      </c>
    </row>
    <row r="5" spans="1:24" s="4" customFormat="1" ht="12.75" customHeight="1">
      <c r="A5" s="60"/>
      <c r="B5" s="61"/>
      <c r="C5" s="62"/>
      <c r="D5" s="66"/>
      <c r="E5" s="227"/>
      <c r="F5" s="64"/>
      <c r="G5" s="61"/>
      <c r="H5" s="65"/>
      <c r="I5" s="65"/>
      <c r="J5" s="66"/>
      <c r="K5" s="68"/>
      <c r="L5" s="68"/>
      <c r="M5" s="68"/>
      <c r="N5" s="68"/>
      <c r="O5" s="68"/>
      <c r="P5" s="68"/>
      <c r="Q5" s="68"/>
    </row>
    <row r="6" spans="1:24" s="57" customFormat="1" ht="12.75" hidden="1" customHeight="1" collapsed="1">
      <c r="A6" s="230" t="s">
        <v>132</v>
      </c>
      <c r="B6" s="45"/>
      <c r="C6" s="45"/>
      <c r="D6" s="231"/>
      <c r="E6" s="54"/>
      <c r="F6" s="46"/>
      <c r="G6" s="94" t="s">
        <v>121</v>
      </c>
      <c r="H6" s="94" t="s">
        <v>122</v>
      </c>
      <c r="I6" s="95" t="s">
        <v>123</v>
      </c>
      <c r="J6" s="224"/>
      <c r="K6" s="224"/>
      <c r="L6" s="224"/>
      <c r="M6" s="224"/>
      <c r="N6" s="224"/>
      <c r="O6" s="224"/>
      <c r="P6" s="224"/>
      <c r="Q6" s="224"/>
    </row>
    <row r="7" spans="1:24" s="57" customFormat="1" ht="2.25" hidden="1" customHeight="1" outlineLevel="1">
      <c r="A7" s="11"/>
      <c r="B7" s="45"/>
      <c r="C7" s="45"/>
      <c r="D7" s="231"/>
      <c r="E7" s="54"/>
      <c r="F7" s="46"/>
      <c r="G7" s="46"/>
      <c r="H7" s="46"/>
      <c r="I7" s="232"/>
      <c r="J7" s="224"/>
      <c r="K7" s="224"/>
      <c r="L7" s="224"/>
      <c r="M7" s="224"/>
      <c r="N7" s="224"/>
      <c r="O7" s="224"/>
      <c r="P7" s="224"/>
      <c r="Q7" s="224"/>
    </row>
    <row r="8" spans="1:24" s="57" customFormat="1" ht="12.75" hidden="1" customHeight="1" outlineLevel="1">
      <c r="A8" s="11"/>
      <c r="B8" s="11" t="s">
        <v>712</v>
      </c>
      <c r="C8" s="45"/>
      <c r="D8" s="231"/>
      <c r="E8" s="54"/>
      <c r="F8" s="46"/>
      <c r="G8" s="46"/>
      <c r="H8" s="46"/>
      <c r="I8" s="232"/>
      <c r="J8" s="224"/>
      <c r="K8" s="224"/>
      <c r="L8" s="224"/>
      <c r="M8" s="224"/>
      <c r="N8" s="224"/>
      <c r="O8" s="224"/>
      <c r="P8" s="224"/>
      <c r="Q8" s="224"/>
      <c r="R8" s="225"/>
      <c r="S8" s="225"/>
      <c r="T8" s="225"/>
      <c r="U8" s="225"/>
    </row>
    <row r="9" spans="1:24" ht="12.75" hidden="1" customHeight="1" outlineLevel="2">
      <c r="A9" s="47"/>
      <c r="B9" s="233" t="s">
        <v>713</v>
      </c>
      <c r="C9" s="48"/>
      <c r="D9" s="231"/>
      <c r="E9" s="234"/>
      <c r="F9" s="76"/>
      <c r="G9" s="45"/>
      <c r="H9" s="215"/>
      <c r="I9" s="77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</row>
    <row r="10" spans="1:24" ht="12.75" hidden="1" customHeight="1" outlineLevel="3">
      <c r="A10" s="47"/>
      <c r="B10" s="45" t="s">
        <v>714</v>
      </c>
      <c r="C10" s="48" t="s">
        <v>195</v>
      </c>
      <c r="D10" s="231" t="s">
        <v>715</v>
      </c>
      <c r="E10" s="234" t="s">
        <v>716</v>
      </c>
      <c r="F10" s="76"/>
      <c r="G10" s="45" t="s">
        <v>138</v>
      </c>
      <c r="H10" s="215" t="str">
        <f t="shared" ref="H10:H15" si="0">CONCATENATE("MEP-",G10,"-",I10)</f>
        <v>MEP-ST9-2</v>
      </c>
      <c r="I10" s="77">
        <v>2</v>
      </c>
      <c r="J10" s="225"/>
      <c r="K10" s="225"/>
      <c r="L10" s="225">
        <v>1</v>
      </c>
      <c r="M10" s="225">
        <v>1</v>
      </c>
      <c r="O10" s="225"/>
      <c r="P10" s="225"/>
      <c r="Q10" s="225">
        <v>1</v>
      </c>
      <c r="R10" s="225">
        <v>1</v>
      </c>
      <c r="S10" s="225"/>
      <c r="T10" s="225"/>
      <c r="U10" s="225"/>
    </row>
    <row r="11" spans="1:24" ht="12.75" hidden="1" customHeight="1" outlineLevel="3">
      <c r="A11" s="47"/>
      <c r="B11" s="45" t="s">
        <v>714</v>
      </c>
      <c r="C11" s="48" t="s">
        <v>195</v>
      </c>
      <c r="D11" s="231" t="s">
        <v>717</v>
      </c>
      <c r="E11" s="492" t="s">
        <v>718</v>
      </c>
      <c r="F11" s="76"/>
      <c r="G11" s="45" t="s">
        <v>138</v>
      </c>
      <c r="H11" s="215" t="str">
        <f t="shared" si="0"/>
        <v>MEP-ST9-NA</v>
      </c>
      <c r="I11" s="77" t="s">
        <v>257</v>
      </c>
      <c r="J11" s="225"/>
      <c r="K11" s="225"/>
      <c r="L11" s="225"/>
      <c r="M11" s="225"/>
      <c r="O11" s="225"/>
      <c r="P11" s="225"/>
      <c r="Q11" s="225"/>
      <c r="R11" s="225"/>
      <c r="S11" s="225"/>
      <c r="T11" s="225"/>
      <c r="U11" s="225"/>
    </row>
    <row r="12" spans="1:24" ht="12.75" hidden="1" customHeight="1" outlineLevel="3">
      <c r="A12" s="47"/>
      <c r="B12" s="45" t="s">
        <v>714</v>
      </c>
      <c r="C12" s="48" t="s">
        <v>195</v>
      </c>
      <c r="D12" s="231" t="s">
        <v>719</v>
      </c>
      <c r="E12" s="492" t="s">
        <v>720</v>
      </c>
      <c r="F12" s="76"/>
      <c r="G12" s="45" t="s">
        <v>138</v>
      </c>
      <c r="H12" s="215" t="str">
        <f t="shared" si="0"/>
        <v>MEP-ST9-NA</v>
      </c>
      <c r="I12" s="77" t="s">
        <v>257</v>
      </c>
      <c r="J12" s="225"/>
      <c r="K12" s="225"/>
      <c r="L12" s="225"/>
      <c r="M12" s="225"/>
      <c r="O12" s="225"/>
      <c r="P12" s="225"/>
      <c r="Q12" s="225"/>
      <c r="R12" s="225"/>
      <c r="S12" s="225"/>
      <c r="T12" s="225"/>
      <c r="U12" s="225"/>
    </row>
    <row r="13" spans="1:24" ht="12.75" hidden="1" customHeight="1" outlineLevel="3">
      <c r="A13" s="47"/>
      <c r="B13" s="45" t="s">
        <v>714</v>
      </c>
      <c r="C13" s="48" t="s">
        <v>195</v>
      </c>
      <c r="D13" s="231" t="s">
        <v>721</v>
      </c>
      <c r="E13" s="492" t="s">
        <v>722</v>
      </c>
      <c r="F13" s="76"/>
      <c r="G13" s="45" t="s">
        <v>138</v>
      </c>
      <c r="H13" s="215" t="str">
        <f t="shared" si="0"/>
        <v>MEP-ST9-NA</v>
      </c>
      <c r="I13" s="77" t="s">
        <v>257</v>
      </c>
      <c r="J13" s="225"/>
      <c r="K13" s="225"/>
      <c r="L13" s="225"/>
      <c r="M13" s="225"/>
      <c r="O13" s="225"/>
      <c r="P13" s="225"/>
      <c r="Q13" s="225"/>
      <c r="R13" s="225"/>
      <c r="S13" s="225"/>
      <c r="T13" s="225"/>
      <c r="U13" s="225"/>
    </row>
    <row r="14" spans="1:24" ht="12.75" hidden="1" customHeight="1" outlineLevel="3">
      <c r="A14" s="47"/>
      <c r="B14" s="45" t="s">
        <v>714</v>
      </c>
      <c r="C14" s="48" t="s">
        <v>195</v>
      </c>
      <c r="D14" s="231" t="s">
        <v>723</v>
      </c>
      <c r="E14" s="324" t="s">
        <v>724</v>
      </c>
      <c r="F14" s="76"/>
      <c r="G14" s="45" t="s">
        <v>138</v>
      </c>
      <c r="H14" s="215" t="str">
        <f t="shared" si="0"/>
        <v>MEP-ST9-4</v>
      </c>
      <c r="I14" s="77">
        <v>4</v>
      </c>
      <c r="J14" s="225"/>
      <c r="K14" s="225"/>
      <c r="L14" s="225">
        <v>1</v>
      </c>
      <c r="M14" s="225">
        <v>1</v>
      </c>
      <c r="O14" s="225"/>
      <c r="P14" s="225"/>
      <c r="Q14" s="225">
        <v>1</v>
      </c>
      <c r="R14" s="225"/>
      <c r="S14" s="225"/>
      <c r="T14" s="225">
        <v>1</v>
      </c>
      <c r="U14" s="225"/>
    </row>
    <row r="15" spans="1:24" ht="12.75" hidden="1" customHeight="1" outlineLevel="3">
      <c r="A15" s="47"/>
      <c r="B15" s="45" t="s">
        <v>714</v>
      </c>
      <c r="C15" s="48" t="s">
        <v>195</v>
      </c>
      <c r="D15" s="231" t="s">
        <v>216</v>
      </c>
      <c r="E15" s="234" t="s">
        <v>725</v>
      </c>
      <c r="F15" s="76"/>
      <c r="G15" s="45" t="s">
        <v>138</v>
      </c>
      <c r="H15" s="215" t="str">
        <f t="shared" si="0"/>
        <v>MEP-ST9-4</v>
      </c>
      <c r="I15" s="77">
        <v>4</v>
      </c>
      <c r="J15" s="225"/>
      <c r="K15" s="225"/>
      <c r="L15" s="225">
        <v>1</v>
      </c>
      <c r="M15" s="225">
        <v>1</v>
      </c>
      <c r="N15" s="225"/>
      <c r="O15" s="225"/>
      <c r="P15" s="225"/>
      <c r="Q15" s="225">
        <v>1</v>
      </c>
      <c r="R15" s="225">
        <v>1</v>
      </c>
      <c r="S15" s="225"/>
      <c r="T15" s="225"/>
      <c r="U15" s="225"/>
    </row>
    <row r="16" spans="1:24" ht="12.75" hidden="1" customHeight="1" outlineLevel="3">
      <c r="A16" s="47"/>
      <c r="B16" s="45" t="s">
        <v>714</v>
      </c>
      <c r="C16" s="48" t="s">
        <v>12</v>
      </c>
      <c r="D16" s="231" t="s">
        <v>726</v>
      </c>
      <c r="E16" s="492" t="s">
        <v>727</v>
      </c>
      <c r="F16" s="76"/>
      <c r="G16" s="45" t="s">
        <v>138</v>
      </c>
      <c r="H16" s="215" t="str">
        <f t="shared" ref="H16:H24" si="1">CONCATENATE("MEP-",G16,"-",I16)</f>
        <v>MEP-ST9-NA</v>
      </c>
      <c r="I16" s="77" t="s">
        <v>257</v>
      </c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X16" s="77">
        <v>5</v>
      </c>
    </row>
    <row r="17" spans="1:24" ht="12.75" hidden="1" customHeight="1" outlineLevel="3">
      <c r="A17" s="47"/>
      <c r="B17" s="45" t="s">
        <v>714</v>
      </c>
      <c r="C17" s="48" t="s">
        <v>12</v>
      </c>
      <c r="D17" s="231" t="s">
        <v>728</v>
      </c>
      <c r="E17" s="492" t="s">
        <v>729</v>
      </c>
      <c r="F17" s="76"/>
      <c r="G17" s="45" t="s">
        <v>138</v>
      </c>
      <c r="H17" s="215" t="str">
        <f t="shared" si="1"/>
        <v>MEP-ST9-NA</v>
      </c>
      <c r="I17" s="77" t="s">
        <v>257</v>
      </c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X17" s="77">
        <v>5</v>
      </c>
    </row>
    <row r="18" spans="1:24" ht="12.75" hidden="1" customHeight="1" outlineLevel="3">
      <c r="A18" s="47"/>
      <c r="B18" s="45" t="s">
        <v>714</v>
      </c>
      <c r="C18" s="48" t="s">
        <v>12</v>
      </c>
      <c r="D18" s="231" t="s">
        <v>730</v>
      </c>
      <c r="E18" s="492" t="s">
        <v>731</v>
      </c>
      <c r="F18" s="76"/>
      <c r="G18" s="45" t="s">
        <v>138</v>
      </c>
      <c r="H18" s="215" t="str">
        <f t="shared" si="1"/>
        <v>MEP-ST9-NA</v>
      </c>
      <c r="I18" s="77" t="s">
        <v>257</v>
      </c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X18" s="77">
        <v>5</v>
      </c>
    </row>
    <row r="19" spans="1:24" ht="12.75" hidden="1" customHeight="1" outlineLevel="3">
      <c r="A19" s="47"/>
      <c r="B19" s="45" t="s">
        <v>714</v>
      </c>
      <c r="C19" s="48" t="s">
        <v>12</v>
      </c>
      <c r="D19" s="231" t="s">
        <v>732</v>
      </c>
      <c r="E19" s="492" t="s">
        <v>733</v>
      </c>
      <c r="F19" s="76"/>
      <c r="G19" s="45" t="s">
        <v>138</v>
      </c>
      <c r="H19" s="215" t="str">
        <f t="shared" si="1"/>
        <v>MEP-ST9-NA</v>
      </c>
      <c r="I19" s="77" t="s">
        <v>257</v>
      </c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X19" s="77">
        <v>5</v>
      </c>
    </row>
    <row r="20" spans="1:24" ht="12.75" hidden="1" customHeight="1" outlineLevel="3">
      <c r="A20" s="47"/>
      <c r="B20" s="45" t="s">
        <v>714</v>
      </c>
      <c r="C20" s="48" t="s">
        <v>12</v>
      </c>
      <c r="D20" s="231" t="s">
        <v>734</v>
      </c>
      <c r="E20" s="492" t="s">
        <v>735</v>
      </c>
      <c r="F20" s="76"/>
      <c r="G20" s="45" t="s">
        <v>138</v>
      </c>
      <c r="H20" s="215" t="str">
        <f t="shared" si="1"/>
        <v>MEP-ST9-NA</v>
      </c>
      <c r="I20" s="77" t="s">
        <v>257</v>
      </c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X20" s="77">
        <v>5</v>
      </c>
    </row>
    <row r="21" spans="1:24" ht="12.75" hidden="1" customHeight="1" outlineLevel="3">
      <c r="A21" s="47"/>
      <c r="B21" s="45" t="s">
        <v>714</v>
      </c>
      <c r="C21" s="48" t="s">
        <v>12</v>
      </c>
      <c r="D21" s="231" t="s">
        <v>736</v>
      </c>
      <c r="E21" s="492" t="s">
        <v>737</v>
      </c>
      <c r="F21" s="76"/>
      <c r="G21" s="45" t="s">
        <v>138</v>
      </c>
      <c r="H21" s="215" t="str">
        <f t="shared" si="1"/>
        <v>MEP-ST9-NA</v>
      </c>
      <c r="I21" s="77" t="s">
        <v>257</v>
      </c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X21" s="77">
        <v>5</v>
      </c>
    </row>
    <row r="22" spans="1:24" ht="12.75" hidden="1" customHeight="1" outlineLevel="3">
      <c r="A22" s="47"/>
      <c r="B22" s="45" t="s">
        <v>714</v>
      </c>
      <c r="C22" s="48" t="s">
        <v>12</v>
      </c>
      <c r="D22" s="231" t="s">
        <v>738</v>
      </c>
      <c r="E22" s="492" t="s">
        <v>739</v>
      </c>
      <c r="F22" s="76"/>
      <c r="G22" s="45" t="s">
        <v>138</v>
      </c>
      <c r="H22" s="215" t="str">
        <f t="shared" si="1"/>
        <v>MEP-ST9-NA</v>
      </c>
      <c r="I22" s="77" t="s">
        <v>257</v>
      </c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X22" s="77">
        <v>5</v>
      </c>
    </row>
    <row r="23" spans="1:24" ht="12.75" hidden="1" customHeight="1" outlineLevel="3">
      <c r="A23" s="47"/>
      <c r="B23" s="45" t="s">
        <v>714</v>
      </c>
      <c r="C23" s="48" t="s">
        <v>12</v>
      </c>
      <c r="D23" s="231" t="s">
        <v>740</v>
      </c>
      <c r="E23" s="492" t="s">
        <v>741</v>
      </c>
      <c r="F23" s="76"/>
      <c r="G23" s="45" t="s">
        <v>138</v>
      </c>
      <c r="H23" s="215" t="str">
        <f t="shared" si="1"/>
        <v>MEP-ST9-NA</v>
      </c>
      <c r="I23" s="77" t="s">
        <v>257</v>
      </c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X23" s="77">
        <v>5</v>
      </c>
    </row>
    <row r="24" spans="1:24" ht="12.75" hidden="1" customHeight="1" outlineLevel="3">
      <c r="A24" s="47"/>
      <c r="B24" s="45" t="s">
        <v>714</v>
      </c>
      <c r="C24" s="48" t="s">
        <v>12</v>
      </c>
      <c r="D24" s="231" t="s">
        <v>742</v>
      </c>
      <c r="E24" s="492" t="s">
        <v>743</v>
      </c>
      <c r="F24" s="76"/>
      <c r="G24" s="45" t="s">
        <v>138</v>
      </c>
      <c r="H24" s="215" t="str">
        <f t="shared" si="1"/>
        <v>MEP-ST9-NA</v>
      </c>
      <c r="I24" s="77" t="s">
        <v>257</v>
      </c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X24" s="77">
        <v>5</v>
      </c>
    </row>
    <row r="25" spans="1:24" ht="12.75" hidden="1" customHeight="1" outlineLevel="2">
      <c r="A25" s="47"/>
      <c r="B25" s="233" t="s">
        <v>744</v>
      </c>
      <c r="C25" s="48"/>
      <c r="D25" s="231"/>
      <c r="E25" s="234"/>
      <c r="F25" s="76"/>
      <c r="G25" s="45"/>
      <c r="H25" s="215"/>
      <c r="I25" s="77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</row>
    <row r="26" spans="1:24" ht="12.75" hidden="1" customHeight="1" outlineLevel="3">
      <c r="A26" s="47"/>
      <c r="B26" s="45" t="s">
        <v>714</v>
      </c>
      <c r="C26" s="48" t="s">
        <v>195</v>
      </c>
      <c r="D26" s="231">
        <v>1021</v>
      </c>
      <c r="E26" s="234" t="s">
        <v>745</v>
      </c>
      <c r="F26" s="76"/>
      <c r="G26" s="45" t="s">
        <v>138</v>
      </c>
      <c r="H26" s="215" t="str">
        <f t="shared" ref="H26:H29" si="2">CONCATENATE("MEP-",G26,"-",I26)</f>
        <v>MEP-ST9-2</v>
      </c>
      <c r="I26" s="77">
        <v>2</v>
      </c>
      <c r="J26" s="225"/>
      <c r="K26" s="225"/>
      <c r="L26" s="225">
        <v>1</v>
      </c>
      <c r="M26" s="225">
        <v>1</v>
      </c>
      <c r="N26" s="225"/>
      <c r="O26" s="225"/>
      <c r="P26" s="225"/>
      <c r="Q26" s="225">
        <v>1</v>
      </c>
      <c r="R26" s="225"/>
      <c r="S26" s="225"/>
      <c r="T26" s="225">
        <v>1</v>
      </c>
      <c r="U26" s="225"/>
    </row>
    <row r="27" spans="1:24" ht="12.75" hidden="1" customHeight="1" outlineLevel="3">
      <c r="A27" s="47"/>
      <c r="B27" s="45" t="s">
        <v>714</v>
      </c>
      <c r="C27" s="48" t="s">
        <v>195</v>
      </c>
      <c r="D27" s="231">
        <v>1022</v>
      </c>
      <c r="E27" s="492" t="s">
        <v>746</v>
      </c>
      <c r="F27" s="76"/>
      <c r="G27" s="45" t="s">
        <v>138</v>
      </c>
      <c r="H27" s="215" t="str">
        <f t="shared" si="2"/>
        <v>MEP-ST9-NA</v>
      </c>
      <c r="I27" s="77" t="s">
        <v>257</v>
      </c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</row>
    <row r="28" spans="1:24" ht="12.75" hidden="1" customHeight="1" outlineLevel="3">
      <c r="A28" s="47"/>
      <c r="B28" s="45" t="s">
        <v>714</v>
      </c>
      <c r="C28" s="48" t="s">
        <v>195</v>
      </c>
      <c r="D28" s="231">
        <v>1023</v>
      </c>
      <c r="E28" s="492" t="s">
        <v>747</v>
      </c>
      <c r="F28" s="76"/>
      <c r="G28" s="45" t="s">
        <v>138</v>
      </c>
      <c r="H28" s="215" t="str">
        <f t="shared" si="2"/>
        <v>MEP-ST9-NA</v>
      </c>
      <c r="I28" s="77" t="s">
        <v>257</v>
      </c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</row>
    <row r="29" spans="1:24" ht="12.75" hidden="1" customHeight="1" outlineLevel="3">
      <c r="A29" s="47"/>
      <c r="B29" s="45" t="s">
        <v>714</v>
      </c>
      <c r="C29" s="48" t="s">
        <v>195</v>
      </c>
      <c r="D29" s="231">
        <v>1024</v>
      </c>
      <c r="E29" s="492" t="s">
        <v>748</v>
      </c>
      <c r="F29" s="76"/>
      <c r="G29" s="45" t="s">
        <v>138</v>
      </c>
      <c r="H29" s="215" t="str">
        <f t="shared" si="2"/>
        <v>MEP-ST9-NA</v>
      </c>
      <c r="I29" s="77" t="s">
        <v>257</v>
      </c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</row>
    <row r="30" spans="1:24" ht="12.75" hidden="1" customHeight="1" outlineLevel="2">
      <c r="A30" s="47"/>
      <c r="B30" s="233" t="s">
        <v>749</v>
      </c>
      <c r="C30" s="48"/>
      <c r="D30" s="231"/>
      <c r="E30" s="234"/>
      <c r="F30" s="76"/>
      <c r="G30" s="45"/>
      <c r="H30" s="215"/>
      <c r="I30" s="77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</row>
    <row r="31" spans="1:24" ht="12.75" hidden="1" customHeight="1" outlineLevel="3">
      <c r="A31" s="47"/>
      <c r="B31" s="45" t="s">
        <v>714</v>
      </c>
      <c r="C31" s="48" t="s">
        <v>195</v>
      </c>
      <c r="D31" s="231">
        <v>1031</v>
      </c>
      <c r="E31" s="234" t="s">
        <v>750</v>
      </c>
      <c r="F31" s="76"/>
      <c r="G31" s="45" t="s">
        <v>138</v>
      </c>
      <c r="H31" s="215" t="str">
        <f t="shared" ref="H31:H40" si="3">CONCATENATE("MEP-",G31,"-",I31)</f>
        <v>MEP-ST9-2</v>
      </c>
      <c r="I31" s="77">
        <v>2</v>
      </c>
      <c r="J31" s="225">
        <v>1</v>
      </c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</row>
    <row r="32" spans="1:24" ht="12.75" hidden="1" customHeight="1" outlineLevel="3">
      <c r="A32" s="47"/>
      <c r="B32" s="45" t="s">
        <v>714</v>
      </c>
      <c r="C32" s="48" t="s">
        <v>195</v>
      </c>
      <c r="D32" s="231">
        <v>1032</v>
      </c>
      <c r="E32" s="234" t="s">
        <v>751</v>
      </c>
      <c r="F32" s="76"/>
      <c r="G32" s="45" t="s">
        <v>138</v>
      </c>
      <c r="H32" s="215" t="str">
        <f t="shared" si="3"/>
        <v>MEP-ST9-2</v>
      </c>
      <c r="I32" s="77">
        <v>2</v>
      </c>
      <c r="J32" s="225">
        <v>1</v>
      </c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</row>
    <row r="33" spans="1:21" ht="12.75" hidden="1" customHeight="1" outlineLevel="3">
      <c r="A33" s="47"/>
      <c r="B33" s="45" t="s">
        <v>714</v>
      </c>
      <c r="C33" s="48" t="s">
        <v>195</v>
      </c>
      <c r="D33" s="231">
        <v>1033</v>
      </c>
      <c r="E33" s="493" t="s">
        <v>752</v>
      </c>
      <c r="F33" s="76"/>
      <c r="G33" s="45" t="s">
        <v>138</v>
      </c>
      <c r="H33" s="215" t="str">
        <f t="shared" si="3"/>
        <v>MEP-ST9-NA</v>
      </c>
      <c r="I33" s="77" t="s">
        <v>257</v>
      </c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</row>
    <row r="34" spans="1:21" ht="12.75" hidden="1" customHeight="1" outlineLevel="3">
      <c r="A34" s="47"/>
      <c r="B34" s="45" t="s">
        <v>714</v>
      </c>
      <c r="C34" s="48" t="s">
        <v>195</v>
      </c>
      <c r="D34" s="231">
        <v>1034</v>
      </c>
      <c r="E34" s="492" t="s">
        <v>753</v>
      </c>
      <c r="F34" s="76"/>
      <c r="G34" s="45" t="s">
        <v>138</v>
      </c>
      <c r="H34" s="215" t="str">
        <f t="shared" si="3"/>
        <v>MEP-ST9-NA</v>
      </c>
      <c r="I34" s="77" t="s">
        <v>257</v>
      </c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</row>
    <row r="35" spans="1:21" ht="12.75" hidden="1" customHeight="1" outlineLevel="3">
      <c r="A35" s="47"/>
      <c r="B35" s="45" t="s">
        <v>714</v>
      </c>
      <c r="C35" s="48" t="s">
        <v>195</v>
      </c>
      <c r="D35" s="231">
        <v>1036</v>
      </c>
      <c r="E35" s="234" t="s">
        <v>754</v>
      </c>
      <c r="F35" s="76"/>
      <c r="G35" s="45" t="s">
        <v>138</v>
      </c>
      <c r="H35" s="215" t="str">
        <f t="shared" si="3"/>
        <v>MEP-ST9-2</v>
      </c>
      <c r="I35" s="77">
        <v>2</v>
      </c>
      <c r="J35" s="225">
        <v>1</v>
      </c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</row>
    <row r="36" spans="1:21" ht="12.75" hidden="1" customHeight="1" outlineLevel="3">
      <c r="A36" s="47"/>
      <c r="B36" s="45" t="s">
        <v>714</v>
      </c>
      <c r="C36" s="48" t="s">
        <v>195</v>
      </c>
      <c r="D36" s="231">
        <v>1037</v>
      </c>
      <c r="E36" s="234" t="s">
        <v>755</v>
      </c>
      <c r="F36" s="76"/>
      <c r="G36" s="45" t="s">
        <v>138</v>
      </c>
      <c r="H36" s="215" t="str">
        <f t="shared" si="3"/>
        <v>MEP-ST9-2</v>
      </c>
      <c r="I36" s="77">
        <v>2</v>
      </c>
      <c r="J36" s="225">
        <v>1</v>
      </c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</row>
    <row r="37" spans="1:21" ht="12.75" hidden="1" customHeight="1" outlineLevel="3">
      <c r="A37" s="47"/>
      <c r="B37" s="45" t="s">
        <v>714</v>
      </c>
      <c r="C37" s="48" t="s">
        <v>195</v>
      </c>
      <c r="D37" s="231">
        <v>1038</v>
      </c>
      <c r="E37" s="469" t="s">
        <v>756</v>
      </c>
      <c r="F37" s="76"/>
      <c r="G37" s="45" t="s">
        <v>138</v>
      </c>
      <c r="H37" s="215" t="str">
        <f t="shared" si="3"/>
        <v>MEP-ST9-2</v>
      </c>
      <c r="I37" s="77">
        <v>2</v>
      </c>
      <c r="J37" s="225"/>
      <c r="K37" s="225"/>
      <c r="L37" s="225">
        <v>1</v>
      </c>
      <c r="M37" s="225">
        <v>1</v>
      </c>
      <c r="N37" s="225"/>
      <c r="O37" s="225"/>
      <c r="P37" s="225"/>
      <c r="Q37" s="225">
        <v>1</v>
      </c>
      <c r="R37" s="225"/>
      <c r="S37" s="225">
        <v>1</v>
      </c>
      <c r="T37" s="225"/>
      <c r="U37" s="225"/>
    </row>
    <row r="38" spans="1:21" ht="12.75" hidden="1" customHeight="1" outlineLevel="3">
      <c r="A38" s="47"/>
      <c r="B38" s="45" t="s">
        <v>714</v>
      </c>
      <c r="C38" s="48" t="s">
        <v>195</v>
      </c>
      <c r="D38" s="231">
        <v>4021</v>
      </c>
      <c r="E38" s="493" t="s">
        <v>757</v>
      </c>
      <c r="F38" s="76"/>
      <c r="G38" s="45" t="s">
        <v>138</v>
      </c>
      <c r="H38" s="215" t="str">
        <f t="shared" si="3"/>
        <v>MEP-ST9-NA</v>
      </c>
      <c r="I38" s="77" t="s">
        <v>257</v>
      </c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</row>
    <row r="39" spans="1:21" ht="12.75" hidden="1" customHeight="1" outlineLevel="3">
      <c r="A39" s="47"/>
      <c r="B39" s="45" t="s">
        <v>714</v>
      </c>
      <c r="C39" s="48" t="s">
        <v>195</v>
      </c>
      <c r="D39" s="231">
        <v>4022</v>
      </c>
      <c r="E39" s="492" t="s">
        <v>758</v>
      </c>
      <c r="F39" s="76"/>
      <c r="G39" s="45" t="s">
        <v>138</v>
      </c>
      <c r="H39" s="215" t="str">
        <f t="shared" si="3"/>
        <v>MEP-ST9-NA</v>
      </c>
      <c r="I39" s="77" t="s">
        <v>257</v>
      </c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</row>
    <row r="40" spans="1:21" ht="12.75" hidden="1" customHeight="1" outlineLevel="3">
      <c r="A40" s="47"/>
      <c r="B40" s="45" t="s">
        <v>714</v>
      </c>
      <c r="C40" s="48" t="s">
        <v>195</v>
      </c>
      <c r="D40" s="231">
        <v>1039</v>
      </c>
      <c r="E40" s="469" t="s">
        <v>759</v>
      </c>
      <c r="F40" s="76"/>
      <c r="G40" s="45" t="s">
        <v>138</v>
      </c>
      <c r="H40" s="215" t="str">
        <f t="shared" si="3"/>
        <v>MEP-ST9-3</v>
      </c>
      <c r="I40" s="77">
        <v>3</v>
      </c>
      <c r="J40" s="225"/>
      <c r="K40" s="225"/>
      <c r="L40" s="225">
        <v>1</v>
      </c>
      <c r="M40" s="225">
        <v>1</v>
      </c>
      <c r="N40" s="225"/>
      <c r="O40" s="225"/>
      <c r="P40" s="225"/>
      <c r="Q40" s="225">
        <v>1</v>
      </c>
      <c r="R40" s="225"/>
      <c r="S40" s="225"/>
      <c r="T40" s="225">
        <v>1</v>
      </c>
      <c r="U40" s="225"/>
    </row>
    <row r="41" spans="1:21" ht="12.75" hidden="1" customHeight="1" outlineLevel="1">
      <c r="A41" s="47"/>
      <c r="B41" s="45"/>
      <c r="C41" s="48"/>
      <c r="D41" s="231"/>
      <c r="E41" s="234"/>
      <c r="F41" s="76"/>
      <c r="G41" s="45"/>
      <c r="H41" s="30"/>
      <c r="I41" s="77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</row>
    <row r="42" spans="1:21" ht="12.75" hidden="1" customHeight="1" outlineLevel="1">
      <c r="A42" s="47"/>
      <c r="B42" s="11" t="s">
        <v>760</v>
      </c>
      <c r="C42" s="48"/>
      <c r="D42" s="231"/>
      <c r="E42" s="234"/>
      <c r="F42" s="76"/>
      <c r="G42" s="45"/>
      <c r="H42" s="30"/>
      <c r="I42" s="77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</row>
    <row r="43" spans="1:21" ht="12.75" hidden="1" customHeight="1" outlineLevel="2">
      <c r="A43" s="47"/>
      <c r="B43" s="233" t="s">
        <v>713</v>
      </c>
      <c r="C43" s="48"/>
      <c r="D43" s="231"/>
      <c r="E43" s="234"/>
      <c r="F43" s="76"/>
      <c r="G43" s="45"/>
      <c r="H43" s="215"/>
      <c r="I43" s="77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</row>
    <row r="44" spans="1:21" ht="12.75" hidden="1" customHeight="1" outlineLevel="3">
      <c r="A44" s="47"/>
      <c r="B44" s="45" t="s">
        <v>761</v>
      </c>
      <c r="C44" s="48" t="s">
        <v>195</v>
      </c>
      <c r="D44" s="231">
        <v>1011</v>
      </c>
      <c r="E44" s="234" t="s">
        <v>762</v>
      </c>
      <c r="F44" s="76"/>
      <c r="G44" s="45" t="s">
        <v>138</v>
      </c>
      <c r="H44" s="215" t="str">
        <f t="shared" ref="H44:H51" si="4">CONCATENATE("MEP-",G44,"-",I44)</f>
        <v>MEP-ST9-4</v>
      </c>
      <c r="I44" s="77">
        <v>4</v>
      </c>
      <c r="J44" s="225"/>
      <c r="K44" s="225"/>
      <c r="L44" s="225">
        <v>1</v>
      </c>
      <c r="M44" s="225">
        <v>1</v>
      </c>
      <c r="N44" s="225"/>
      <c r="O44" s="225"/>
      <c r="P44" s="225"/>
      <c r="Q44" s="225">
        <v>1</v>
      </c>
      <c r="R44" s="225">
        <v>1</v>
      </c>
      <c r="S44" s="225"/>
      <c r="T44" s="225"/>
      <c r="U44" s="225"/>
    </row>
    <row r="45" spans="1:21" ht="12.75" hidden="1" customHeight="1" outlineLevel="3">
      <c r="A45" s="47"/>
      <c r="B45" s="45" t="s">
        <v>761</v>
      </c>
      <c r="C45" s="48" t="s">
        <v>195</v>
      </c>
      <c r="D45" s="231">
        <v>1012</v>
      </c>
      <c r="E45" s="234" t="s">
        <v>763</v>
      </c>
      <c r="F45" s="76"/>
      <c r="G45" s="45" t="s">
        <v>138</v>
      </c>
      <c r="H45" s="215" t="str">
        <f t="shared" si="4"/>
        <v>MEP-ST9-4</v>
      </c>
      <c r="I45" s="77">
        <v>4</v>
      </c>
      <c r="J45" s="225"/>
      <c r="K45" s="225"/>
      <c r="L45" s="225">
        <v>1</v>
      </c>
      <c r="M45" s="225">
        <v>1</v>
      </c>
      <c r="N45" s="225"/>
      <c r="O45" s="225"/>
      <c r="P45" s="225"/>
      <c r="Q45" s="225">
        <v>1</v>
      </c>
      <c r="R45" s="225">
        <v>1</v>
      </c>
      <c r="S45" s="225"/>
      <c r="T45" s="225"/>
      <c r="U45" s="225"/>
    </row>
    <row r="46" spans="1:21" ht="12.75" hidden="1" customHeight="1" outlineLevel="3">
      <c r="A46" s="47"/>
      <c r="B46" s="45" t="s">
        <v>761</v>
      </c>
      <c r="C46" s="48" t="s">
        <v>195</v>
      </c>
      <c r="D46" s="231">
        <v>1013</v>
      </c>
      <c r="E46" s="234" t="s">
        <v>764</v>
      </c>
      <c r="F46" s="76"/>
      <c r="G46" s="45" t="s">
        <v>138</v>
      </c>
      <c r="H46" s="215" t="str">
        <f t="shared" si="4"/>
        <v>MEP-ST9-4</v>
      </c>
      <c r="I46" s="77">
        <v>4</v>
      </c>
      <c r="J46" s="225"/>
      <c r="K46" s="225"/>
      <c r="L46" s="225">
        <v>1</v>
      </c>
      <c r="M46" s="225">
        <v>1</v>
      </c>
      <c r="N46" s="225"/>
      <c r="O46" s="225"/>
      <c r="P46" s="225"/>
      <c r="Q46" s="225">
        <v>1</v>
      </c>
      <c r="R46" s="225">
        <v>1</v>
      </c>
      <c r="S46" s="225"/>
      <c r="T46" s="225"/>
      <c r="U46" s="225"/>
    </row>
    <row r="47" spans="1:21" ht="12.75" hidden="1" customHeight="1" outlineLevel="3">
      <c r="A47" s="47"/>
      <c r="B47" s="45" t="s">
        <v>761</v>
      </c>
      <c r="C47" s="48" t="s">
        <v>195</v>
      </c>
      <c r="D47" s="231">
        <v>1014</v>
      </c>
      <c r="E47" s="234" t="s">
        <v>765</v>
      </c>
      <c r="F47" s="76"/>
      <c r="G47" s="45" t="s">
        <v>138</v>
      </c>
      <c r="H47" s="215" t="str">
        <f t="shared" si="4"/>
        <v>MEP-ST9-4</v>
      </c>
      <c r="I47" s="77">
        <v>4</v>
      </c>
      <c r="J47" s="225"/>
      <c r="K47" s="225"/>
      <c r="L47" s="225">
        <v>1</v>
      </c>
      <c r="M47" s="225">
        <v>1</v>
      </c>
      <c r="N47" s="225"/>
      <c r="O47" s="225"/>
      <c r="P47" s="225"/>
      <c r="Q47" s="225">
        <v>1</v>
      </c>
      <c r="R47" s="225">
        <v>1</v>
      </c>
      <c r="S47" s="225"/>
      <c r="T47" s="225"/>
      <c r="U47" s="225"/>
    </row>
    <row r="48" spans="1:21" ht="12.75" hidden="1" customHeight="1" outlineLevel="3">
      <c r="A48" s="47"/>
      <c r="B48" s="45" t="s">
        <v>761</v>
      </c>
      <c r="C48" s="48" t="s">
        <v>195</v>
      </c>
      <c r="D48" s="231">
        <v>1015</v>
      </c>
      <c r="E48" s="234" t="s">
        <v>766</v>
      </c>
      <c r="F48" s="76"/>
      <c r="G48" s="45" t="s">
        <v>138</v>
      </c>
      <c r="H48" s="215" t="str">
        <f t="shared" si="4"/>
        <v>MEP-ST9-4</v>
      </c>
      <c r="I48" s="77">
        <v>4</v>
      </c>
      <c r="J48" s="225"/>
      <c r="K48" s="225"/>
      <c r="L48" s="225">
        <v>1</v>
      </c>
      <c r="M48" s="225">
        <v>1</v>
      </c>
      <c r="N48" s="225"/>
      <c r="O48" s="225"/>
      <c r="P48" s="225"/>
      <c r="Q48" s="225">
        <v>1</v>
      </c>
      <c r="R48" s="225">
        <v>1</v>
      </c>
      <c r="S48" s="225"/>
      <c r="T48" s="225"/>
      <c r="U48" s="225"/>
    </row>
    <row r="49" spans="1:21" ht="12.75" hidden="1" customHeight="1" outlineLevel="3">
      <c r="A49" s="47"/>
      <c r="B49" s="45" t="s">
        <v>761</v>
      </c>
      <c r="C49" s="48" t="s">
        <v>195</v>
      </c>
      <c r="D49" s="231">
        <v>1016</v>
      </c>
      <c r="E49" s="234" t="s">
        <v>767</v>
      </c>
      <c r="F49" s="76"/>
      <c r="G49" s="45" t="s">
        <v>138</v>
      </c>
      <c r="H49" s="215" t="str">
        <f t="shared" si="4"/>
        <v>MEP-ST9-5</v>
      </c>
      <c r="I49" s="77">
        <v>5</v>
      </c>
      <c r="J49" s="225"/>
      <c r="K49" s="225"/>
      <c r="L49" s="225">
        <v>1</v>
      </c>
      <c r="M49" s="225">
        <v>1</v>
      </c>
      <c r="N49" s="225"/>
      <c r="O49" s="225"/>
      <c r="P49" s="225"/>
      <c r="Q49" s="225">
        <v>1</v>
      </c>
      <c r="R49" s="225">
        <v>1</v>
      </c>
      <c r="S49" s="225"/>
      <c r="T49" s="225"/>
      <c r="U49" s="225"/>
    </row>
    <row r="50" spans="1:21" ht="12.75" hidden="1" customHeight="1" outlineLevel="3">
      <c r="A50" s="47"/>
      <c r="B50" s="45" t="s">
        <v>761</v>
      </c>
      <c r="C50" s="48" t="s">
        <v>195</v>
      </c>
      <c r="D50" s="231">
        <v>1017</v>
      </c>
      <c r="E50" s="234" t="s">
        <v>768</v>
      </c>
      <c r="F50" s="76"/>
      <c r="G50" s="45" t="s">
        <v>138</v>
      </c>
      <c r="H50" s="215" t="str">
        <f t="shared" si="4"/>
        <v>MEP-ST9-5</v>
      </c>
      <c r="I50" s="77">
        <v>5</v>
      </c>
      <c r="J50" s="225"/>
      <c r="K50" s="225"/>
      <c r="L50" s="225">
        <v>1</v>
      </c>
      <c r="M50" s="225">
        <v>1</v>
      </c>
      <c r="N50" s="225"/>
      <c r="O50" s="225"/>
      <c r="P50" s="225"/>
      <c r="Q50" s="225">
        <v>1</v>
      </c>
      <c r="R50" s="225">
        <v>1</v>
      </c>
      <c r="S50" s="225"/>
      <c r="T50" s="225"/>
      <c r="U50" s="225"/>
    </row>
    <row r="51" spans="1:21" ht="12.75" hidden="1" customHeight="1" outlineLevel="3">
      <c r="A51" s="47"/>
      <c r="B51" s="45" t="s">
        <v>761</v>
      </c>
      <c r="C51" s="48" t="s">
        <v>195</v>
      </c>
      <c r="D51" s="231">
        <v>1018</v>
      </c>
      <c r="E51" s="234" t="s">
        <v>769</v>
      </c>
      <c r="F51" s="76"/>
      <c r="G51" s="45" t="s">
        <v>138</v>
      </c>
      <c r="H51" s="215" t="str">
        <f t="shared" si="4"/>
        <v>MEP-ST9-5</v>
      </c>
      <c r="I51" s="77">
        <v>5</v>
      </c>
      <c r="J51" s="225"/>
      <c r="K51" s="225"/>
      <c r="L51" s="225">
        <v>1</v>
      </c>
      <c r="M51" s="225">
        <v>1</v>
      </c>
      <c r="N51" s="225"/>
      <c r="O51" s="225"/>
      <c r="P51" s="225"/>
      <c r="Q51" s="225">
        <v>1</v>
      </c>
      <c r="R51" s="225">
        <v>1</v>
      </c>
      <c r="S51" s="225"/>
      <c r="T51" s="225"/>
      <c r="U51" s="225"/>
    </row>
    <row r="52" spans="1:21" ht="12.75" hidden="1" customHeight="1" outlineLevel="2">
      <c r="A52" s="47"/>
      <c r="B52" s="233" t="s">
        <v>770</v>
      </c>
      <c r="C52" s="48"/>
      <c r="D52" s="231"/>
      <c r="E52" s="234"/>
      <c r="F52" s="76"/>
      <c r="G52" s="45"/>
      <c r="H52" s="215"/>
      <c r="I52" s="77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</row>
    <row r="53" spans="1:21" ht="12.75" hidden="1" customHeight="1" outlineLevel="3">
      <c r="A53" s="47"/>
      <c r="B53" s="45" t="s">
        <v>761</v>
      </c>
      <c r="C53" s="48" t="s">
        <v>195</v>
      </c>
      <c r="D53" s="231">
        <v>1021</v>
      </c>
      <c r="E53" s="234" t="s">
        <v>771</v>
      </c>
      <c r="F53" s="76"/>
      <c r="G53" s="45" t="s">
        <v>138</v>
      </c>
      <c r="H53" s="215" t="str">
        <f t="shared" ref="H53:H57" si="5">CONCATENATE("MEP-",G53,"-",I53)</f>
        <v>MEP-ST9-3</v>
      </c>
      <c r="I53" s="77">
        <v>3</v>
      </c>
      <c r="J53" s="225"/>
      <c r="K53" s="225"/>
      <c r="L53" s="225">
        <v>1</v>
      </c>
      <c r="M53" s="225">
        <v>1</v>
      </c>
      <c r="N53" s="225"/>
      <c r="O53" s="225"/>
      <c r="P53" s="225"/>
      <c r="Q53" s="225">
        <v>1</v>
      </c>
      <c r="R53" s="225">
        <v>1</v>
      </c>
      <c r="S53" s="225"/>
      <c r="T53" s="225"/>
      <c r="U53" s="225"/>
    </row>
    <row r="54" spans="1:21" ht="12.75" hidden="1" customHeight="1" outlineLevel="3">
      <c r="A54" s="47"/>
      <c r="B54" s="45" t="s">
        <v>761</v>
      </c>
      <c r="C54" s="48" t="s">
        <v>195</v>
      </c>
      <c r="D54" s="231">
        <v>1022</v>
      </c>
      <c r="E54" s="234" t="s">
        <v>772</v>
      </c>
      <c r="F54" s="76"/>
      <c r="G54" s="45" t="s">
        <v>138</v>
      </c>
      <c r="H54" s="215" t="str">
        <f t="shared" si="5"/>
        <v>MEP-ST9-3</v>
      </c>
      <c r="I54" s="77">
        <v>3</v>
      </c>
      <c r="J54" s="225"/>
      <c r="K54" s="225"/>
      <c r="L54" s="225">
        <v>1</v>
      </c>
      <c r="M54" s="225">
        <v>1</v>
      </c>
      <c r="N54" s="225"/>
      <c r="O54" s="225"/>
      <c r="P54" s="225"/>
      <c r="Q54" s="225">
        <v>1</v>
      </c>
      <c r="R54" s="225">
        <v>1</v>
      </c>
      <c r="S54" s="225"/>
      <c r="T54" s="225"/>
      <c r="U54" s="225"/>
    </row>
    <row r="55" spans="1:21" ht="12.75" hidden="1" customHeight="1" outlineLevel="3">
      <c r="A55" s="47"/>
      <c r="B55" s="45" t="s">
        <v>761</v>
      </c>
      <c r="C55" s="48" t="s">
        <v>195</v>
      </c>
      <c r="D55" s="231">
        <v>1023</v>
      </c>
      <c r="E55" s="234" t="s">
        <v>773</v>
      </c>
      <c r="F55" s="76"/>
      <c r="G55" s="45" t="s">
        <v>138</v>
      </c>
      <c r="H55" s="215" t="str">
        <f t="shared" si="5"/>
        <v>MEP-ST9-3</v>
      </c>
      <c r="I55" s="77">
        <v>3</v>
      </c>
      <c r="J55" s="225"/>
      <c r="K55" s="225"/>
      <c r="L55" s="225">
        <v>1</v>
      </c>
      <c r="M55" s="225">
        <v>1</v>
      </c>
      <c r="N55" s="225"/>
      <c r="O55" s="225"/>
      <c r="P55" s="225"/>
      <c r="Q55" s="225">
        <v>1</v>
      </c>
      <c r="R55" s="225">
        <v>1</v>
      </c>
      <c r="S55" s="225"/>
      <c r="T55" s="225"/>
      <c r="U55" s="225"/>
    </row>
    <row r="56" spans="1:21" ht="12.75" hidden="1" customHeight="1" outlineLevel="3">
      <c r="A56" s="47"/>
      <c r="B56" s="45" t="s">
        <v>761</v>
      </c>
      <c r="C56" s="48" t="s">
        <v>195</v>
      </c>
      <c r="D56" s="231" t="s">
        <v>774</v>
      </c>
      <c r="E56" s="234" t="s">
        <v>775</v>
      </c>
      <c r="F56" s="76"/>
      <c r="G56" s="45" t="s">
        <v>138</v>
      </c>
      <c r="H56" s="215" t="str">
        <f t="shared" si="5"/>
        <v>MEP-ST9-3</v>
      </c>
      <c r="I56" s="77">
        <v>3</v>
      </c>
      <c r="J56" s="225"/>
      <c r="K56" s="225"/>
      <c r="L56" s="225">
        <v>1</v>
      </c>
      <c r="M56" s="225">
        <v>1</v>
      </c>
      <c r="N56" s="225"/>
      <c r="O56" s="225"/>
      <c r="P56" s="225"/>
      <c r="Q56" s="225">
        <v>1</v>
      </c>
      <c r="R56" s="225">
        <v>1</v>
      </c>
      <c r="S56" s="225"/>
      <c r="T56" s="225"/>
      <c r="U56" s="225"/>
    </row>
    <row r="57" spans="1:21" ht="12.75" hidden="1" customHeight="1" outlineLevel="3">
      <c r="A57" s="47"/>
      <c r="B57" s="45" t="s">
        <v>761</v>
      </c>
      <c r="C57" s="48" t="s">
        <v>195</v>
      </c>
      <c r="D57" s="231" t="s">
        <v>776</v>
      </c>
      <c r="E57" s="234" t="s">
        <v>775</v>
      </c>
      <c r="F57" s="76"/>
      <c r="G57" s="45" t="s">
        <v>138</v>
      </c>
      <c r="H57" s="215" t="str">
        <f t="shared" si="5"/>
        <v>MEP-ST9-3</v>
      </c>
      <c r="I57" s="77">
        <v>3</v>
      </c>
      <c r="J57" s="225"/>
      <c r="K57" s="225"/>
      <c r="L57" s="225">
        <v>1</v>
      </c>
      <c r="M57" s="225">
        <v>1</v>
      </c>
      <c r="N57" s="225"/>
      <c r="O57" s="225"/>
      <c r="P57" s="225"/>
      <c r="Q57" s="225">
        <v>1</v>
      </c>
      <c r="R57" s="225">
        <v>1</v>
      </c>
      <c r="S57" s="225"/>
      <c r="T57" s="225"/>
      <c r="U57" s="225"/>
    </row>
    <row r="58" spans="1:21" ht="12.75" hidden="1" customHeight="1" outlineLevel="2">
      <c r="A58" s="47"/>
      <c r="B58" s="233" t="s">
        <v>749</v>
      </c>
      <c r="C58" s="48"/>
      <c r="D58" s="231"/>
      <c r="E58" s="234"/>
      <c r="F58" s="76"/>
      <c r="G58" s="45"/>
      <c r="H58" s="215"/>
      <c r="I58" s="77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</row>
    <row r="59" spans="1:21" ht="12.75" hidden="1" customHeight="1" outlineLevel="3">
      <c r="A59" s="47"/>
      <c r="B59" s="45" t="s">
        <v>761</v>
      </c>
      <c r="C59" s="48" t="s">
        <v>195</v>
      </c>
      <c r="D59" s="231">
        <v>1031</v>
      </c>
      <c r="E59" s="234" t="s">
        <v>777</v>
      </c>
      <c r="F59" s="76"/>
      <c r="G59" s="45" t="s">
        <v>138</v>
      </c>
      <c r="H59" s="215" t="str">
        <f>CONCATENATE("MEP-",G59,"-",I59)</f>
        <v>MEP-ST9-3</v>
      </c>
      <c r="I59" s="77">
        <v>3</v>
      </c>
      <c r="J59" s="225"/>
      <c r="K59" s="225"/>
      <c r="L59" s="225">
        <v>1</v>
      </c>
      <c r="M59" s="225">
        <v>1</v>
      </c>
      <c r="N59" s="225"/>
      <c r="O59" s="225"/>
      <c r="P59" s="225"/>
      <c r="Q59" s="225">
        <v>1</v>
      </c>
      <c r="R59" s="225">
        <v>1</v>
      </c>
      <c r="S59" s="225"/>
      <c r="T59" s="225"/>
      <c r="U59" s="225"/>
    </row>
    <row r="60" spans="1:21" ht="12.75" hidden="1" customHeight="1" outlineLevel="1">
      <c r="A60" s="47"/>
      <c r="B60" s="45"/>
      <c r="C60" s="48"/>
      <c r="D60" s="231"/>
      <c r="E60" s="234"/>
      <c r="F60" s="76"/>
      <c r="G60" s="45"/>
      <c r="H60" s="30"/>
      <c r="I60" s="77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</row>
    <row r="61" spans="1:21" ht="12.75" hidden="1" customHeight="1" outlineLevel="1">
      <c r="A61" s="47"/>
      <c r="B61" s="11" t="s">
        <v>778</v>
      </c>
      <c r="C61" s="48"/>
      <c r="D61" s="231"/>
      <c r="E61" s="234"/>
      <c r="F61" s="76"/>
      <c r="G61" s="45"/>
      <c r="H61" s="30"/>
      <c r="I61" s="77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</row>
    <row r="62" spans="1:21" ht="12.75" hidden="1" customHeight="1" outlineLevel="2">
      <c r="A62" s="47"/>
      <c r="B62" s="233" t="s">
        <v>713</v>
      </c>
      <c r="C62" s="48"/>
      <c r="D62" s="231"/>
      <c r="E62" s="234"/>
      <c r="F62" s="76"/>
      <c r="G62" s="45"/>
      <c r="H62" s="215"/>
      <c r="I62" s="77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</row>
    <row r="63" spans="1:21" ht="12.75" hidden="1" customHeight="1" outlineLevel="3">
      <c r="A63" s="47"/>
      <c r="B63" s="45" t="s">
        <v>778</v>
      </c>
      <c r="C63" s="48" t="s">
        <v>195</v>
      </c>
      <c r="D63" s="231" t="s">
        <v>715</v>
      </c>
      <c r="E63" s="234" t="s">
        <v>779</v>
      </c>
      <c r="F63" s="76"/>
      <c r="G63" s="45" t="s">
        <v>138</v>
      </c>
      <c r="H63" s="215" t="str">
        <f>CONCATENATE("MEP-",G63,"-",I63)</f>
        <v>MEP-ST9-5</v>
      </c>
      <c r="I63" s="77">
        <v>5</v>
      </c>
      <c r="J63" s="225"/>
      <c r="K63" s="225"/>
      <c r="L63" s="225">
        <v>1</v>
      </c>
      <c r="M63" s="225">
        <v>1</v>
      </c>
      <c r="N63" s="225"/>
      <c r="O63" s="225"/>
      <c r="P63" s="225"/>
      <c r="Q63" s="225">
        <v>1</v>
      </c>
      <c r="R63" s="225">
        <v>1</v>
      </c>
      <c r="S63" s="225"/>
      <c r="T63" s="225"/>
      <c r="U63" s="225"/>
    </row>
    <row r="64" spans="1:21" ht="12.75" hidden="1" customHeight="1" outlineLevel="3">
      <c r="A64" s="47"/>
      <c r="B64" s="45" t="s">
        <v>778</v>
      </c>
      <c r="C64" s="48" t="s">
        <v>195</v>
      </c>
      <c r="D64" s="231" t="s">
        <v>717</v>
      </c>
      <c r="E64" s="234" t="s">
        <v>780</v>
      </c>
      <c r="F64" s="76"/>
      <c r="G64" s="45" t="s">
        <v>138</v>
      </c>
      <c r="H64" s="215" t="str">
        <f>CONCATENATE("MEP-",G64,"-",I64)</f>
        <v>MEP-ST9-5</v>
      </c>
      <c r="I64" s="77">
        <v>5</v>
      </c>
      <c r="J64" s="225"/>
      <c r="K64" s="225"/>
      <c r="L64" s="225">
        <v>1</v>
      </c>
      <c r="M64" s="225">
        <v>1</v>
      </c>
      <c r="N64" s="225"/>
      <c r="O64" s="225"/>
      <c r="P64" s="225"/>
      <c r="Q64" s="225">
        <v>1</v>
      </c>
      <c r="R64" s="225">
        <v>1</v>
      </c>
      <c r="S64" s="225"/>
      <c r="T64" s="225"/>
      <c r="U64" s="225"/>
    </row>
    <row r="65" spans="1:21" ht="12.75" hidden="1" customHeight="1" outlineLevel="3">
      <c r="A65" s="47"/>
      <c r="B65" s="45" t="s">
        <v>778</v>
      </c>
      <c r="C65" s="48" t="s">
        <v>195</v>
      </c>
      <c r="D65" s="231">
        <v>1013</v>
      </c>
      <c r="E65" s="234" t="s">
        <v>781</v>
      </c>
      <c r="F65" s="76"/>
      <c r="G65" s="45" t="s">
        <v>138</v>
      </c>
      <c r="H65" s="215" t="str">
        <f>CONCATENATE("MEP-",G65,"-",I65)</f>
        <v>MEP-ST9-5</v>
      </c>
      <c r="I65" s="77">
        <v>5</v>
      </c>
      <c r="J65" s="225"/>
      <c r="K65" s="225"/>
      <c r="L65" s="225">
        <v>1</v>
      </c>
      <c r="M65" s="225">
        <v>1</v>
      </c>
      <c r="N65" s="225"/>
      <c r="O65" s="225"/>
      <c r="P65" s="225"/>
      <c r="Q65" s="225">
        <v>1</v>
      </c>
      <c r="R65" s="225">
        <v>1</v>
      </c>
      <c r="S65" s="225"/>
      <c r="T65" s="225"/>
      <c r="U65" s="225"/>
    </row>
    <row r="66" spans="1:21" ht="12.75" hidden="1" customHeight="1" outlineLevel="2">
      <c r="A66" s="47"/>
      <c r="B66" s="233" t="s">
        <v>770</v>
      </c>
      <c r="C66" s="48"/>
      <c r="D66" s="231"/>
      <c r="E66" s="234"/>
      <c r="F66" s="76"/>
      <c r="G66" s="45"/>
      <c r="H66" s="215"/>
      <c r="I66" s="77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</row>
    <row r="67" spans="1:21" ht="12.75" hidden="1" customHeight="1" outlineLevel="3">
      <c r="A67" s="47"/>
      <c r="B67" s="45" t="s">
        <v>778</v>
      </c>
      <c r="C67" s="48" t="s">
        <v>195</v>
      </c>
      <c r="D67" s="231" t="s">
        <v>220</v>
      </c>
      <c r="E67" s="234" t="s">
        <v>782</v>
      </c>
      <c r="F67" s="76"/>
      <c r="G67" s="45" t="s">
        <v>138</v>
      </c>
      <c r="H67" s="215" t="str">
        <f>CONCATENATE("MEP-",G67,"-",I67)</f>
        <v>MEP-ST9-5</v>
      </c>
      <c r="I67" s="77">
        <v>5</v>
      </c>
      <c r="J67" s="225"/>
      <c r="K67" s="225"/>
      <c r="L67" s="225">
        <v>1</v>
      </c>
      <c r="M67" s="225">
        <v>1</v>
      </c>
      <c r="N67" s="225"/>
      <c r="O67" s="225"/>
      <c r="P67" s="225"/>
      <c r="Q67" s="225">
        <v>1</v>
      </c>
      <c r="R67" s="225">
        <v>1</v>
      </c>
      <c r="S67" s="225"/>
      <c r="T67" s="225"/>
      <c r="U67" s="225"/>
    </row>
    <row r="68" spans="1:21" ht="12.75" hidden="1" customHeight="1" outlineLevel="3">
      <c r="A68" s="47"/>
      <c r="B68" s="45" t="s">
        <v>778</v>
      </c>
      <c r="C68" s="48" t="s">
        <v>195</v>
      </c>
      <c r="D68" s="231" t="s">
        <v>783</v>
      </c>
      <c r="E68" s="234" t="s">
        <v>784</v>
      </c>
      <c r="F68" s="76"/>
      <c r="G68" s="45" t="s">
        <v>138</v>
      </c>
      <c r="H68" s="215" t="str">
        <f>CONCATENATE("MEP-",G68,"-",I68)</f>
        <v>MEP-ST9-5</v>
      </c>
      <c r="I68" s="77">
        <v>5</v>
      </c>
      <c r="J68" s="225"/>
      <c r="K68" s="225"/>
      <c r="L68" s="225">
        <v>1</v>
      </c>
      <c r="M68" s="225">
        <v>1</v>
      </c>
      <c r="N68" s="225"/>
      <c r="O68" s="225"/>
      <c r="P68" s="225"/>
      <c r="Q68" s="225">
        <v>1</v>
      </c>
      <c r="R68" s="225">
        <v>1</v>
      </c>
      <c r="S68" s="225"/>
      <c r="T68" s="225"/>
      <c r="U68" s="225"/>
    </row>
    <row r="69" spans="1:21" ht="12.75" hidden="1" customHeight="1" outlineLevel="2">
      <c r="A69" s="47"/>
      <c r="B69" s="233" t="s">
        <v>749</v>
      </c>
      <c r="C69" s="48"/>
      <c r="D69" s="231"/>
      <c r="E69" s="234"/>
      <c r="F69" s="76"/>
      <c r="G69" s="45"/>
      <c r="H69" s="215"/>
      <c r="I69" s="77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</row>
    <row r="70" spans="1:21" ht="12.75" hidden="1" customHeight="1" outlineLevel="3">
      <c r="A70" s="47"/>
      <c r="B70" s="45" t="s">
        <v>778</v>
      </c>
      <c r="C70" s="48" t="s">
        <v>195</v>
      </c>
      <c r="D70" s="231">
        <v>1031</v>
      </c>
      <c r="E70" s="234" t="s">
        <v>785</v>
      </c>
      <c r="F70" s="76"/>
      <c r="G70" s="45" t="s">
        <v>138</v>
      </c>
      <c r="H70" s="215" t="str">
        <f>CONCATENATE("MEP-",G70,"-",I70)</f>
        <v>MEP-ST9-5</v>
      </c>
      <c r="I70" s="77">
        <v>5</v>
      </c>
      <c r="J70" s="225"/>
      <c r="K70" s="225"/>
      <c r="L70" s="225">
        <v>1</v>
      </c>
      <c r="M70" s="225">
        <v>1</v>
      </c>
      <c r="N70" s="225"/>
      <c r="O70" s="225"/>
      <c r="P70" s="225"/>
      <c r="Q70" s="225">
        <v>1</v>
      </c>
      <c r="R70" s="225">
        <v>1</v>
      </c>
      <c r="S70" s="225"/>
      <c r="T70" s="225"/>
      <c r="U70" s="225"/>
    </row>
    <row r="71" spans="1:21" ht="12.75" hidden="1" customHeight="1" outlineLevel="3">
      <c r="A71" s="47"/>
      <c r="B71" s="45" t="s">
        <v>778</v>
      </c>
      <c r="C71" s="48" t="s">
        <v>195</v>
      </c>
      <c r="D71" s="231">
        <v>1034</v>
      </c>
      <c r="E71" s="234" t="s">
        <v>786</v>
      </c>
      <c r="F71" s="76"/>
      <c r="G71" s="45" t="s">
        <v>138</v>
      </c>
      <c r="H71" s="215" t="str">
        <f>CONCATENATE("MEP-",G71,"-",I71)</f>
        <v>MEP-ST9-5</v>
      </c>
      <c r="I71" s="77">
        <v>5</v>
      </c>
      <c r="J71" s="225"/>
      <c r="K71" s="225"/>
      <c r="L71" s="225">
        <v>1</v>
      </c>
      <c r="M71" s="225">
        <v>1</v>
      </c>
      <c r="N71" s="225"/>
      <c r="O71" s="225"/>
      <c r="P71" s="225"/>
      <c r="Q71" s="225">
        <v>1</v>
      </c>
      <c r="R71" s="225">
        <v>1</v>
      </c>
      <c r="S71" s="225"/>
      <c r="T71" s="225"/>
      <c r="U71" s="225"/>
    </row>
    <row r="72" spans="1:21" ht="12.75" hidden="1" customHeight="1" outlineLevel="1">
      <c r="A72" s="47"/>
      <c r="B72" s="45"/>
      <c r="C72" s="48"/>
      <c r="D72" s="231"/>
      <c r="E72" s="234"/>
      <c r="F72" s="76"/>
      <c r="G72" s="45"/>
      <c r="H72" s="30"/>
      <c r="I72" s="77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</row>
    <row r="73" spans="1:21" ht="12.75" hidden="1" customHeight="1" outlineLevel="1">
      <c r="A73" s="47"/>
      <c r="B73" s="11" t="s">
        <v>787</v>
      </c>
      <c r="C73" s="48"/>
      <c r="D73" s="231"/>
      <c r="E73" s="234"/>
      <c r="F73" s="76"/>
      <c r="G73" s="45"/>
      <c r="H73" s="30"/>
      <c r="I73" s="77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</row>
    <row r="74" spans="1:21" ht="12.75" hidden="1" customHeight="1" outlineLevel="2">
      <c r="A74" s="47"/>
      <c r="B74" s="233" t="s">
        <v>713</v>
      </c>
      <c r="C74" s="48"/>
      <c r="D74" s="231"/>
      <c r="E74" s="234"/>
      <c r="F74" s="76"/>
      <c r="G74" s="45"/>
      <c r="H74" s="215"/>
      <c r="I74" s="77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</row>
    <row r="75" spans="1:21" ht="12.75" hidden="1" customHeight="1" outlineLevel="3">
      <c r="A75" s="47"/>
      <c r="B75" s="45" t="s">
        <v>788</v>
      </c>
      <c r="C75" s="48" t="s">
        <v>195</v>
      </c>
      <c r="D75" s="231" t="s">
        <v>715</v>
      </c>
      <c r="E75" s="234" t="s">
        <v>789</v>
      </c>
      <c r="F75" s="76"/>
      <c r="G75" s="45" t="s">
        <v>138</v>
      </c>
      <c r="H75" s="215" t="str">
        <f>CONCATENATE("MEP-",G75,"-",I75)</f>
        <v>MEP-ST9-4</v>
      </c>
      <c r="I75" s="77">
        <v>4</v>
      </c>
      <c r="J75" s="225"/>
      <c r="K75" s="225"/>
      <c r="L75" s="225">
        <v>1</v>
      </c>
      <c r="M75" s="225">
        <v>1</v>
      </c>
      <c r="N75" s="225"/>
      <c r="O75" s="225"/>
      <c r="P75" s="225"/>
      <c r="Q75" s="225">
        <v>1</v>
      </c>
      <c r="R75" s="225">
        <v>1</v>
      </c>
      <c r="S75" s="225"/>
      <c r="T75" s="225"/>
      <c r="U75" s="225"/>
    </row>
    <row r="76" spans="1:21" ht="12.75" hidden="1" customHeight="1" outlineLevel="2">
      <c r="A76" s="47"/>
      <c r="B76" s="233" t="s">
        <v>770</v>
      </c>
      <c r="C76" s="48"/>
      <c r="D76" s="231"/>
      <c r="E76" s="234"/>
      <c r="F76" s="76"/>
      <c r="G76" s="45"/>
      <c r="H76" s="215"/>
      <c r="I76" s="77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</row>
    <row r="77" spans="1:21" ht="12.75" hidden="1" customHeight="1" outlineLevel="3">
      <c r="A77" s="47"/>
      <c r="B77" s="45" t="s">
        <v>788</v>
      </c>
      <c r="C77" s="48" t="s">
        <v>195</v>
      </c>
      <c r="D77" s="231" t="s">
        <v>220</v>
      </c>
      <c r="E77" s="234" t="s">
        <v>790</v>
      </c>
      <c r="F77" s="76"/>
      <c r="G77" s="45" t="s">
        <v>138</v>
      </c>
      <c r="H77" s="215" t="str">
        <f>CONCATENATE("MEP-",G77,"-",I77)</f>
        <v>MEP-ST9-3</v>
      </c>
      <c r="I77" s="77">
        <v>3</v>
      </c>
      <c r="J77" s="225"/>
      <c r="K77" s="225"/>
      <c r="L77" s="225">
        <v>1</v>
      </c>
      <c r="M77" s="225">
        <v>1</v>
      </c>
      <c r="N77" s="225"/>
      <c r="O77" s="225"/>
      <c r="P77" s="225"/>
      <c r="Q77" s="225">
        <v>1</v>
      </c>
      <c r="R77" s="225">
        <v>1</v>
      </c>
      <c r="S77" s="225"/>
      <c r="T77" s="225"/>
      <c r="U77" s="225"/>
    </row>
    <row r="78" spans="1:21" ht="12.75" hidden="1" customHeight="1" outlineLevel="2">
      <c r="A78" s="47"/>
      <c r="B78" s="233" t="s">
        <v>749</v>
      </c>
      <c r="C78" s="48"/>
      <c r="D78" s="231"/>
      <c r="E78" s="234"/>
      <c r="F78" s="76"/>
      <c r="G78" s="45"/>
      <c r="H78" s="215"/>
      <c r="I78" s="77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</row>
    <row r="79" spans="1:21" ht="12.75" hidden="1" customHeight="1" outlineLevel="3">
      <c r="A79" s="47"/>
      <c r="B79" s="45" t="s">
        <v>788</v>
      </c>
      <c r="C79" s="48" t="s">
        <v>195</v>
      </c>
      <c r="D79" s="231">
        <v>1031</v>
      </c>
      <c r="E79" s="234" t="s">
        <v>791</v>
      </c>
      <c r="F79" s="76"/>
      <c r="G79" s="45" t="s">
        <v>138</v>
      </c>
      <c r="H79" s="215" t="str">
        <f>CONCATENATE("MEP-",G79,"-",I79)</f>
        <v>MEP-ST9-3</v>
      </c>
      <c r="I79" s="77">
        <v>3</v>
      </c>
      <c r="J79" s="225"/>
      <c r="K79" s="225"/>
      <c r="L79" s="225">
        <v>1</v>
      </c>
      <c r="M79" s="225">
        <v>1</v>
      </c>
      <c r="N79" s="225"/>
      <c r="O79" s="225"/>
      <c r="P79" s="225"/>
      <c r="Q79" s="225">
        <v>1</v>
      </c>
      <c r="R79" s="225">
        <v>1</v>
      </c>
      <c r="S79" s="225"/>
      <c r="T79" s="225"/>
      <c r="U79" s="225"/>
    </row>
    <row r="80" spans="1:21" ht="12.75" hidden="1" customHeight="1" outlineLevel="1">
      <c r="A80" s="47"/>
      <c r="B80" s="45"/>
      <c r="C80" s="48"/>
      <c r="D80" s="231"/>
      <c r="E80" s="234"/>
      <c r="F80" s="76"/>
      <c r="G80" s="45"/>
      <c r="H80" s="30"/>
      <c r="I80" s="77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</row>
    <row r="81" spans="1:21" ht="12.75" hidden="1" customHeight="1" outlineLevel="1">
      <c r="A81" s="47"/>
      <c r="B81" s="11" t="s">
        <v>792</v>
      </c>
      <c r="C81" s="48"/>
      <c r="D81" s="231"/>
      <c r="E81" s="234"/>
      <c r="F81" s="76"/>
      <c r="G81" s="45"/>
      <c r="H81" s="30"/>
      <c r="I81" s="77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</row>
    <row r="82" spans="1:21" ht="12.75" hidden="1" customHeight="1" outlineLevel="2">
      <c r="A82" s="47"/>
      <c r="B82" s="233" t="s">
        <v>713</v>
      </c>
      <c r="C82" s="48"/>
      <c r="D82" s="231"/>
      <c r="E82" s="234"/>
      <c r="F82" s="76"/>
      <c r="G82" s="45"/>
      <c r="H82" s="215"/>
      <c r="I82" s="77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</row>
    <row r="83" spans="1:21" ht="12.75" hidden="1" customHeight="1" outlineLevel="3">
      <c r="A83" s="47"/>
      <c r="B83" s="45" t="s">
        <v>793</v>
      </c>
      <c r="C83" s="48" t="s">
        <v>195</v>
      </c>
      <c r="D83" s="231">
        <v>1011</v>
      </c>
      <c r="E83" s="234" t="s">
        <v>794</v>
      </c>
      <c r="F83" s="76"/>
      <c r="G83" s="45" t="s">
        <v>138</v>
      </c>
      <c r="H83" s="215" t="str">
        <f>CONCATENATE("MEP-",G83,"-",I83)</f>
        <v>MEP-ST9-4</v>
      </c>
      <c r="I83" s="77">
        <v>4</v>
      </c>
      <c r="J83" s="225"/>
      <c r="K83" s="225"/>
      <c r="L83" s="225">
        <v>1</v>
      </c>
      <c r="M83" s="225">
        <v>1</v>
      </c>
      <c r="N83" s="225"/>
      <c r="O83" s="225"/>
      <c r="P83" s="225"/>
      <c r="Q83" s="225">
        <v>1</v>
      </c>
      <c r="R83" s="225">
        <v>1</v>
      </c>
      <c r="S83" s="225"/>
      <c r="T83" s="225"/>
      <c r="U83" s="225"/>
    </row>
    <row r="84" spans="1:21" ht="12.75" hidden="1" customHeight="1" outlineLevel="3">
      <c r="A84" s="47"/>
      <c r="B84" s="45" t="s">
        <v>793</v>
      </c>
      <c r="C84" s="48" t="s">
        <v>195</v>
      </c>
      <c r="D84" s="231">
        <v>1014</v>
      </c>
      <c r="E84" s="234" t="s">
        <v>795</v>
      </c>
      <c r="F84" s="76"/>
      <c r="G84" s="45" t="s">
        <v>138</v>
      </c>
      <c r="H84" s="215" t="str">
        <f>CONCATENATE("MEP-",G84,"-",I84)</f>
        <v>MEP-ST9-4</v>
      </c>
      <c r="I84" s="77">
        <v>4</v>
      </c>
      <c r="J84" s="225"/>
      <c r="K84" s="225"/>
      <c r="L84" s="225">
        <v>1</v>
      </c>
      <c r="M84" s="225">
        <v>1</v>
      </c>
      <c r="N84" s="225"/>
      <c r="O84" s="225"/>
      <c r="P84" s="225"/>
      <c r="Q84" s="225">
        <v>1</v>
      </c>
      <c r="R84" s="225">
        <v>1</v>
      </c>
      <c r="S84" s="225"/>
      <c r="T84" s="225"/>
      <c r="U84" s="225"/>
    </row>
    <row r="85" spans="1:21" ht="12.75" hidden="1" customHeight="1" outlineLevel="3">
      <c r="A85" s="47"/>
      <c r="B85" s="45" t="s">
        <v>793</v>
      </c>
      <c r="C85" s="48" t="s">
        <v>195</v>
      </c>
      <c r="D85" s="231">
        <v>5012</v>
      </c>
      <c r="E85" s="493" t="s">
        <v>796</v>
      </c>
      <c r="F85" s="76"/>
      <c r="G85" s="45" t="s">
        <v>138</v>
      </c>
      <c r="H85" s="215" t="str">
        <f>CONCATENATE("MEP-",G85,"-",I85)</f>
        <v>MEP-ST9-NA</v>
      </c>
      <c r="I85" s="77" t="s">
        <v>257</v>
      </c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</row>
    <row r="86" spans="1:21" ht="12.75" hidden="1" customHeight="1" outlineLevel="2">
      <c r="A86" s="47"/>
      <c r="B86" s="233" t="s">
        <v>770</v>
      </c>
      <c r="C86" s="48"/>
      <c r="D86" s="231"/>
      <c r="E86" s="234"/>
      <c r="F86" s="76"/>
      <c r="G86" s="45"/>
      <c r="H86" s="215"/>
      <c r="I86" s="77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</row>
    <row r="87" spans="1:21" ht="12.75" hidden="1" customHeight="1" outlineLevel="3">
      <c r="A87" s="47"/>
      <c r="B87" s="45" t="s">
        <v>793</v>
      </c>
      <c r="C87" s="48" t="s">
        <v>195</v>
      </c>
      <c r="D87" s="231">
        <v>1021</v>
      </c>
      <c r="E87" s="493" t="s">
        <v>797</v>
      </c>
      <c r="F87" s="76"/>
      <c r="G87" s="45" t="s">
        <v>138</v>
      </c>
      <c r="H87" s="215" t="str">
        <f>CONCATENATE("MEP-",G87,"-",I87)</f>
        <v>MEP-ST9-NA</v>
      </c>
      <c r="I87" s="77" t="s">
        <v>257</v>
      </c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</row>
    <row r="88" spans="1:21" ht="12.75" hidden="1" customHeight="1" outlineLevel="3">
      <c r="A88" s="47"/>
      <c r="B88" s="45" t="s">
        <v>793</v>
      </c>
      <c r="C88" s="48" t="s">
        <v>195</v>
      </c>
      <c r="D88" s="231">
        <v>1024</v>
      </c>
      <c r="E88" s="493" t="s">
        <v>798</v>
      </c>
      <c r="F88" s="76"/>
      <c r="G88" s="45" t="s">
        <v>138</v>
      </c>
      <c r="H88" s="215" t="str">
        <f>CONCATENATE("MEP-",G88,"-",I88)</f>
        <v>MEP-ST9-NA</v>
      </c>
      <c r="I88" s="77" t="s">
        <v>257</v>
      </c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</row>
    <row r="89" spans="1:21" ht="12.75" hidden="1" customHeight="1" outlineLevel="3">
      <c r="A89" s="47"/>
      <c r="B89" s="45" t="s">
        <v>793</v>
      </c>
      <c r="C89" s="48" t="s">
        <v>195</v>
      </c>
      <c r="D89" s="231">
        <v>5022</v>
      </c>
      <c r="E89" s="493" t="s">
        <v>799</v>
      </c>
      <c r="F89" s="76"/>
      <c r="G89" s="45" t="s">
        <v>138</v>
      </c>
      <c r="H89" s="215" t="str">
        <f>CONCATENATE("MEP-",G89,"-",I89)</f>
        <v>MEP-ST9-NA</v>
      </c>
      <c r="I89" s="77" t="s">
        <v>257</v>
      </c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</row>
    <row r="90" spans="1:21" ht="12.75" hidden="1" customHeight="1" outlineLevel="2">
      <c r="A90" s="47"/>
      <c r="B90" s="233" t="s">
        <v>749</v>
      </c>
      <c r="C90" s="48"/>
      <c r="D90" s="231"/>
      <c r="E90" s="234"/>
      <c r="F90" s="76"/>
      <c r="G90" s="45"/>
      <c r="H90" s="215"/>
      <c r="I90" s="77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</row>
    <row r="91" spans="1:21" ht="12.75" hidden="1" customHeight="1" outlineLevel="3">
      <c r="A91" s="47"/>
      <c r="B91" s="45" t="s">
        <v>793</v>
      </c>
      <c r="C91" s="48" t="s">
        <v>195</v>
      </c>
      <c r="D91" s="231">
        <v>1031</v>
      </c>
      <c r="E91" s="493" t="s">
        <v>797</v>
      </c>
      <c r="F91" s="76"/>
      <c r="G91" s="45" t="s">
        <v>138</v>
      </c>
      <c r="H91" s="215" t="str">
        <f>CONCATENATE("MEP-",G91,"-",I91)</f>
        <v>MEP-ST9-NA</v>
      </c>
      <c r="I91" s="77" t="s">
        <v>257</v>
      </c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</row>
    <row r="92" spans="1:21" ht="12.75" hidden="1" customHeight="1" outlineLevel="3">
      <c r="A92" s="47"/>
      <c r="B92" s="45" t="s">
        <v>793</v>
      </c>
      <c r="C92" s="48" t="s">
        <v>195</v>
      </c>
      <c r="D92" s="231">
        <v>1034</v>
      </c>
      <c r="E92" s="493" t="s">
        <v>798</v>
      </c>
      <c r="F92" s="76"/>
      <c r="G92" s="45" t="s">
        <v>138</v>
      </c>
      <c r="H92" s="215" t="str">
        <f>CONCATENATE("MEP-",G92,"-",I92)</f>
        <v>MEP-ST9-NA</v>
      </c>
      <c r="I92" s="77" t="s">
        <v>257</v>
      </c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</row>
    <row r="93" spans="1:21" ht="12.75" hidden="1" customHeight="1" outlineLevel="3">
      <c r="A93" s="47"/>
      <c r="B93" s="45" t="s">
        <v>793</v>
      </c>
      <c r="C93" s="48" t="s">
        <v>195</v>
      </c>
      <c r="D93" s="231">
        <v>5032</v>
      </c>
      <c r="E93" s="493" t="s">
        <v>799</v>
      </c>
      <c r="F93" s="76"/>
      <c r="G93" s="45" t="s">
        <v>138</v>
      </c>
      <c r="H93" s="215" t="str">
        <f>CONCATENATE("MEP-",G93,"-",I93)</f>
        <v>MEP-ST9-NA</v>
      </c>
      <c r="I93" s="77" t="s">
        <v>257</v>
      </c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</row>
    <row r="94" spans="1:21" ht="12.75" hidden="1" customHeight="1" outlineLevel="3">
      <c r="A94" s="47"/>
      <c r="B94" s="45"/>
      <c r="C94" s="48"/>
      <c r="D94" s="231"/>
      <c r="E94" s="214"/>
      <c r="F94" s="76"/>
      <c r="G94" s="45"/>
      <c r="H94" s="215"/>
      <c r="I94" s="77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</row>
    <row r="95" spans="1:21" s="57" customFormat="1" ht="12.75" hidden="1" customHeight="1" collapsed="1">
      <c r="A95" s="60" t="s">
        <v>190</v>
      </c>
      <c r="B95" s="45"/>
      <c r="C95" s="45"/>
      <c r="D95" s="231"/>
      <c r="E95" s="234"/>
      <c r="F95" s="46"/>
      <c r="G95" s="94" t="s">
        <v>121</v>
      </c>
      <c r="H95" s="94" t="s">
        <v>122</v>
      </c>
      <c r="I95" s="95" t="s">
        <v>123</v>
      </c>
      <c r="J95" s="224"/>
      <c r="K95" s="224"/>
      <c r="L95" s="224"/>
      <c r="M95" s="224"/>
      <c r="N95" s="224"/>
      <c r="O95" s="224"/>
      <c r="P95" s="224"/>
      <c r="Q95" s="225"/>
      <c r="R95" s="225"/>
      <c r="S95" s="225"/>
      <c r="T95" s="225"/>
      <c r="U95" s="225"/>
    </row>
    <row r="96" spans="1:21" ht="12.75" hidden="1" customHeight="1" outlineLevel="2">
      <c r="A96" s="47"/>
      <c r="B96" s="45"/>
      <c r="C96" s="48"/>
      <c r="D96" s="231"/>
      <c r="E96" s="234"/>
      <c r="F96" s="78"/>
      <c r="G96" s="48"/>
      <c r="H96" s="30"/>
      <c r="I96" s="77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</row>
    <row r="97" spans="1:21" ht="12.75" hidden="1" customHeight="1" outlineLevel="2">
      <c r="A97" s="47"/>
      <c r="B97" s="11" t="s">
        <v>712</v>
      </c>
      <c r="C97" s="48"/>
      <c r="D97" s="231"/>
      <c r="E97" s="234"/>
      <c r="F97" s="78"/>
      <c r="G97" s="48"/>
      <c r="H97" s="30"/>
      <c r="I97" s="77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</row>
    <row r="98" spans="1:21" ht="12.75" hidden="1" customHeight="1" outlineLevel="3">
      <c r="A98" s="47"/>
      <c r="B98" s="233" t="s">
        <v>800</v>
      </c>
      <c r="C98" s="48"/>
      <c r="D98" s="231"/>
      <c r="E98" s="234"/>
      <c r="F98" s="78"/>
      <c r="G98" s="48"/>
      <c r="H98" s="30"/>
      <c r="I98" s="77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</row>
    <row r="99" spans="1:21" ht="12.75" hidden="1" customHeight="1" outlineLevel="4">
      <c r="A99" s="47"/>
      <c r="B99" s="45" t="s">
        <v>714</v>
      </c>
      <c r="C99" s="48" t="s">
        <v>195</v>
      </c>
      <c r="D99" s="231">
        <v>4101</v>
      </c>
      <c r="E99" s="234" t="s">
        <v>801</v>
      </c>
      <c r="F99" s="78"/>
      <c r="G99" s="45" t="s">
        <v>195</v>
      </c>
      <c r="H99" s="215" t="str">
        <f t="shared" ref="H99:H130" si="6">CONCATENATE("MEP-",G99,"-",I99)</f>
        <v>MEP-T09-7</v>
      </c>
      <c r="I99" s="77">
        <v>7</v>
      </c>
      <c r="J99" s="225"/>
      <c r="K99" s="225"/>
      <c r="L99" s="224">
        <v>1</v>
      </c>
      <c r="M99" s="225">
        <v>1</v>
      </c>
      <c r="N99" s="224"/>
      <c r="O99" s="224"/>
      <c r="P99" s="224"/>
      <c r="Q99" s="225">
        <v>1</v>
      </c>
      <c r="R99" s="225">
        <v>1</v>
      </c>
      <c r="S99" s="225"/>
      <c r="T99" s="225"/>
      <c r="U99" s="225"/>
    </row>
    <row r="100" spans="1:21" ht="12.75" hidden="1" customHeight="1" outlineLevel="3">
      <c r="A100" s="47"/>
      <c r="B100" s="233" t="s">
        <v>802</v>
      </c>
      <c r="C100" s="48"/>
      <c r="D100" s="231"/>
      <c r="E100" s="234"/>
      <c r="F100" s="78"/>
      <c r="G100" s="48"/>
      <c r="H100" s="30"/>
      <c r="I100" s="77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</row>
    <row r="101" spans="1:21" ht="12.75" hidden="1" customHeight="1" outlineLevel="4">
      <c r="A101" s="47"/>
      <c r="B101" s="45" t="s">
        <v>714</v>
      </c>
      <c r="C101" s="48" t="s">
        <v>195</v>
      </c>
      <c r="D101" s="231">
        <v>9001</v>
      </c>
      <c r="E101" s="234" t="s">
        <v>803</v>
      </c>
      <c r="F101" s="78"/>
      <c r="G101" s="45" t="s">
        <v>195</v>
      </c>
      <c r="H101" s="215" t="str">
        <f t="shared" si="6"/>
        <v>MEP-T09-4</v>
      </c>
      <c r="I101" s="77">
        <v>4</v>
      </c>
      <c r="J101" s="225"/>
      <c r="K101" s="225"/>
      <c r="L101" s="224">
        <v>1</v>
      </c>
      <c r="M101" s="225">
        <v>1</v>
      </c>
      <c r="N101" s="224"/>
      <c r="O101" s="224"/>
      <c r="P101" s="224"/>
      <c r="Q101" s="225">
        <v>1</v>
      </c>
      <c r="R101" s="225">
        <v>1</v>
      </c>
      <c r="S101" s="225"/>
      <c r="T101" s="225"/>
      <c r="U101" s="225"/>
    </row>
    <row r="102" spans="1:21" ht="12.75" hidden="1" customHeight="1" outlineLevel="3">
      <c r="A102" s="47"/>
      <c r="B102" s="233" t="s">
        <v>804</v>
      </c>
      <c r="C102" s="48"/>
      <c r="D102" s="231"/>
      <c r="E102" s="234"/>
      <c r="F102" s="78"/>
      <c r="G102" s="48"/>
      <c r="H102" s="30"/>
      <c r="I102" s="77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</row>
    <row r="103" spans="1:21" ht="12.75" hidden="1" customHeight="1" outlineLevel="4">
      <c r="A103" s="47"/>
      <c r="B103" s="45" t="s">
        <v>714</v>
      </c>
      <c r="C103" s="48" t="s">
        <v>195</v>
      </c>
      <c r="D103" s="231">
        <v>1111</v>
      </c>
      <c r="E103" s="492" t="s">
        <v>805</v>
      </c>
      <c r="F103" s="78"/>
      <c r="G103" s="45" t="s">
        <v>195</v>
      </c>
      <c r="H103" s="215" t="str">
        <f t="shared" si="6"/>
        <v>MEP-T09-NA</v>
      </c>
      <c r="I103" s="77" t="s">
        <v>257</v>
      </c>
      <c r="J103" s="225"/>
      <c r="K103" s="225"/>
      <c r="L103" s="224"/>
      <c r="M103" s="225"/>
      <c r="N103" s="224"/>
      <c r="O103" s="224"/>
      <c r="P103" s="224"/>
      <c r="Q103" s="225"/>
      <c r="R103" s="225"/>
      <c r="S103" s="225"/>
      <c r="T103" s="225"/>
      <c r="U103" s="225"/>
    </row>
    <row r="104" spans="1:21" ht="12.75" hidden="1" customHeight="1" outlineLevel="4">
      <c r="A104" s="47"/>
      <c r="B104" s="45" t="s">
        <v>714</v>
      </c>
      <c r="C104" s="48" t="s">
        <v>195</v>
      </c>
      <c r="D104" s="231">
        <v>1113</v>
      </c>
      <c r="E104" s="492" t="s">
        <v>806</v>
      </c>
      <c r="F104" s="78"/>
      <c r="G104" s="45" t="s">
        <v>195</v>
      </c>
      <c r="H104" s="215" t="str">
        <f t="shared" si="6"/>
        <v>MEP-T09-NA</v>
      </c>
      <c r="I104" s="77" t="s">
        <v>257</v>
      </c>
      <c r="J104" s="225"/>
      <c r="K104" s="225"/>
      <c r="L104" s="224"/>
      <c r="M104" s="225"/>
      <c r="N104" s="224"/>
      <c r="O104" s="224"/>
      <c r="P104" s="224"/>
      <c r="Q104" s="225"/>
      <c r="R104" s="225"/>
      <c r="S104" s="225"/>
      <c r="T104" s="225"/>
      <c r="U104" s="225"/>
    </row>
    <row r="105" spans="1:21" ht="12.75" hidden="1" customHeight="1" outlineLevel="4">
      <c r="A105" s="47"/>
      <c r="B105" s="45" t="s">
        <v>714</v>
      </c>
      <c r="C105" s="48" t="s">
        <v>195</v>
      </c>
      <c r="D105" s="231">
        <v>1115</v>
      </c>
      <c r="E105" s="492" t="s">
        <v>807</v>
      </c>
      <c r="F105" s="78"/>
      <c r="G105" s="45" t="s">
        <v>195</v>
      </c>
      <c r="H105" s="215" t="str">
        <f t="shared" si="6"/>
        <v>MEP-T09-NA</v>
      </c>
      <c r="I105" s="77" t="s">
        <v>257</v>
      </c>
      <c r="J105" s="225"/>
      <c r="K105" s="225"/>
      <c r="L105" s="224"/>
      <c r="M105" s="225"/>
      <c r="N105" s="224"/>
      <c r="O105" s="224"/>
      <c r="P105" s="224"/>
      <c r="Q105" s="225"/>
      <c r="R105" s="225"/>
      <c r="S105" s="225"/>
      <c r="T105" s="225"/>
      <c r="U105" s="225"/>
    </row>
    <row r="106" spans="1:21" ht="12.75" hidden="1" customHeight="1" outlineLevel="4">
      <c r="A106" s="47"/>
      <c r="B106" s="45" t="s">
        <v>714</v>
      </c>
      <c r="C106" s="48" t="s">
        <v>195</v>
      </c>
      <c r="D106" s="231">
        <v>1117</v>
      </c>
      <c r="E106" s="492" t="s">
        <v>808</v>
      </c>
      <c r="F106" s="78"/>
      <c r="G106" s="45" t="s">
        <v>195</v>
      </c>
      <c r="H106" s="215" t="str">
        <f t="shared" si="6"/>
        <v>MEP-T09-NA</v>
      </c>
      <c r="I106" s="77" t="s">
        <v>257</v>
      </c>
      <c r="J106" s="225"/>
      <c r="K106" s="225"/>
      <c r="L106" s="224"/>
      <c r="M106" s="225"/>
      <c r="N106" s="224"/>
      <c r="O106" s="224"/>
      <c r="P106" s="224"/>
      <c r="Q106" s="225"/>
      <c r="R106" s="225"/>
      <c r="S106" s="225"/>
      <c r="T106" s="225"/>
      <c r="U106" s="225"/>
    </row>
    <row r="107" spans="1:21" ht="12.75" hidden="1" customHeight="1" outlineLevel="4">
      <c r="A107" s="47"/>
      <c r="B107" s="45" t="s">
        <v>714</v>
      </c>
      <c r="C107" s="48" t="s">
        <v>195</v>
      </c>
      <c r="D107" s="231">
        <v>1119</v>
      </c>
      <c r="E107" s="492" t="s">
        <v>809</v>
      </c>
      <c r="F107" s="78"/>
      <c r="G107" s="45" t="s">
        <v>195</v>
      </c>
      <c r="H107" s="215" t="str">
        <f t="shared" si="6"/>
        <v>MEP-T09-NA</v>
      </c>
      <c r="I107" s="77" t="s">
        <v>257</v>
      </c>
      <c r="J107" s="225"/>
      <c r="K107" s="225"/>
      <c r="L107" s="224"/>
      <c r="M107" s="225"/>
      <c r="N107" s="224"/>
      <c r="O107" s="224"/>
      <c r="P107" s="224"/>
      <c r="Q107" s="225"/>
      <c r="R107" s="225"/>
      <c r="S107" s="225"/>
      <c r="T107" s="225"/>
      <c r="U107" s="225"/>
    </row>
    <row r="108" spans="1:21" ht="12.75" hidden="1" customHeight="1" outlineLevel="4">
      <c r="A108" s="47"/>
      <c r="B108" s="45" t="s">
        <v>714</v>
      </c>
      <c r="C108" s="48" t="s">
        <v>195</v>
      </c>
      <c r="D108" s="231">
        <v>1501</v>
      </c>
      <c r="E108" s="492" t="s">
        <v>810</v>
      </c>
      <c r="F108" s="78"/>
      <c r="G108" s="45" t="s">
        <v>195</v>
      </c>
      <c r="H108" s="215" t="str">
        <f t="shared" si="6"/>
        <v>MEP-T09-NA</v>
      </c>
      <c r="I108" s="77" t="s">
        <v>257</v>
      </c>
      <c r="J108" s="225"/>
      <c r="K108" s="225"/>
      <c r="L108" s="224"/>
      <c r="M108" s="225"/>
      <c r="N108" s="224"/>
      <c r="O108" s="224"/>
      <c r="P108" s="224"/>
      <c r="Q108" s="225"/>
      <c r="R108" s="225"/>
      <c r="S108" s="225"/>
      <c r="T108" s="225"/>
      <c r="U108" s="225"/>
    </row>
    <row r="109" spans="1:21" ht="12.75" hidden="1" customHeight="1" outlineLevel="3">
      <c r="A109" s="47"/>
      <c r="B109" s="233" t="s">
        <v>811</v>
      </c>
      <c r="C109" s="48"/>
      <c r="D109" s="231"/>
      <c r="E109" s="234"/>
      <c r="F109" s="78"/>
      <c r="G109" s="48"/>
      <c r="H109" s="30"/>
      <c r="I109" s="77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</row>
    <row r="110" spans="1:21" ht="12.75" hidden="1" customHeight="1" outlineLevel="4">
      <c r="A110" s="47"/>
      <c r="B110" s="45" t="s">
        <v>714</v>
      </c>
      <c r="C110" s="48" t="s">
        <v>195</v>
      </c>
      <c r="D110" s="231">
        <v>4011</v>
      </c>
      <c r="E110" s="492" t="s">
        <v>812</v>
      </c>
      <c r="F110" s="78"/>
      <c r="G110" s="45" t="s">
        <v>195</v>
      </c>
      <c r="H110" s="215" t="str">
        <f t="shared" si="6"/>
        <v>MEP-T09-NA</v>
      </c>
      <c r="I110" s="77" t="s">
        <v>257</v>
      </c>
      <c r="J110" s="225"/>
      <c r="K110" s="225"/>
      <c r="L110" s="224"/>
      <c r="M110" s="225"/>
      <c r="N110" s="224"/>
      <c r="O110" s="224"/>
      <c r="P110" s="224"/>
      <c r="Q110" s="225"/>
      <c r="R110" s="225"/>
      <c r="S110" s="225"/>
      <c r="T110" s="225"/>
      <c r="U110" s="225"/>
    </row>
    <row r="111" spans="1:21" ht="12.75" hidden="1" customHeight="1" outlineLevel="4">
      <c r="A111" s="47"/>
      <c r="B111" s="45" t="s">
        <v>714</v>
      </c>
      <c r="C111" s="48" t="s">
        <v>195</v>
      </c>
      <c r="D111" s="231">
        <v>4021</v>
      </c>
      <c r="E111" s="492" t="s">
        <v>813</v>
      </c>
      <c r="F111" s="78"/>
      <c r="G111" s="45" t="s">
        <v>195</v>
      </c>
      <c r="H111" s="215" t="str">
        <f t="shared" si="6"/>
        <v>MEP-T09-NA</v>
      </c>
      <c r="I111" s="77" t="s">
        <v>257</v>
      </c>
      <c r="J111" s="225"/>
      <c r="K111" s="225"/>
      <c r="L111" s="224"/>
      <c r="M111" s="225"/>
      <c r="N111" s="224"/>
      <c r="O111" s="224"/>
      <c r="P111" s="224"/>
      <c r="Q111" s="225"/>
      <c r="R111" s="225"/>
      <c r="S111" s="225"/>
      <c r="T111" s="225"/>
      <c r="U111" s="225"/>
    </row>
    <row r="112" spans="1:21" ht="12.75" hidden="1" customHeight="1" outlineLevel="4">
      <c r="A112" s="47"/>
      <c r="B112" s="45" t="s">
        <v>714</v>
      </c>
      <c r="C112" s="48" t="s">
        <v>195</v>
      </c>
      <c r="D112" s="231">
        <v>4031</v>
      </c>
      <c r="E112" s="492" t="s">
        <v>814</v>
      </c>
      <c r="F112" s="78"/>
      <c r="G112" s="45" t="s">
        <v>195</v>
      </c>
      <c r="H112" s="215" t="str">
        <f t="shared" si="6"/>
        <v>MEP-T09-NA</v>
      </c>
      <c r="I112" s="77" t="s">
        <v>257</v>
      </c>
      <c r="J112" s="225"/>
      <c r="K112" s="225"/>
      <c r="L112" s="224"/>
      <c r="M112" s="225"/>
      <c r="N112" s="224"/>
      <c r="O112" s="224"/>
      <c r="P112" s="224"/>
      <c r="Q112" s="225"/>
      <c r="R112" s="225"/>
      <c r="S112" s="225"/>
      <c r="T112" s="225"/>
      <c r="U112" s="225"/>
    </row>
    <row r="113" spans="1:21" ht="12.75" hidden="1" customHeight="1" outlineLevel="4">
      <c r="A113" s="47"/>
      <c r="B113" s="45" t="s">
        <v>714</v>
      </c>
      <c r="C113" s="48" t="s">
        <v>195</v>
      </c>
      <c r="D113" s="231">
        <v>4081</v>
      </c>
      <c r="E113" s="492" t="s">
        <v>815</v>
      </c>
      <c r="F113" s="78"/>
      <c r="G113" s="45" t="s">
        <v>195</v>
      </c>
      <c r="H113" s="215" t="str">
        <f t="shared" si="6"/>
        <v>MEP-T09-NA</v>
      </c>
      <c r="I113" s="77" t="s">
        <v>257</v>
      </c>
      <c r="J113" s="225"/>
      <c r="K113" s="225"/>
      <c r="L113" s="224"/>
      <c r="M113" s="225"/>
      <c r="N113" s="224"/>
      <c r="O113" s="224"/>
      <c r="P113" s="224"/>
      <c r="Q113" s="225"/>
      <c r="R113" s="225"/>
      <c r="S113" s="225"/>
      <c r="T113" s="225"/>
      <c r="U113" s="225"/>
    </row>
    <row r="114" spans="1:21" ht="12.75" hidden="1" customHeight="1" outlineLevel="4">
      <c r="A114" s="47"/>
      <c r="B114" s="45" t="s">
        <v>714</v>
      </c>
      <c r="C114" s="48" t="s">
        <v>195</v>
      </c>
      <c r="D114" s="231">
        <v>4083</v>
      </c>
      <c r="E114" s="492" t="s">
        <v>816</v>
      </c>
      <c r="F114" s="78"/>
      <c r="G114" s="45" t="s">
        <v>195</v>
      </c>
      <c r="H114" s="215" t="str">
        <f t="shared" si="6"/>
        <v>MEP-T09-NA</v>
      </c>
      <c r="I114" s="77" t="s">
        <v>257</v>
      </c>
      <c r="J114" s="225"/>
      <c r="K114" s="225"/>
      <c r="L114" s="224"/>
      <c r="M114" s="225"/>
      <c r="N114" s="224"/>
      <c r="O114" s="224"/>
      <c r="P114" s="224"/>
      <c r="Q114" s="225"/>
      <c r="R114" s="225"/>
      <c r="S114" s="225"/>
      <c r="T114" s="225"/>
      <c r="U114" s="225"/>
    </row>
    <row r="115" spans="1:21" ht="12.75" hidden="1" customHeight="1" outlineLevel="3">
      <c r="A115" s="47"/>
      <c r="B115" s="233" t="s">
        <v>817</v>
      </c>
      <c r="C115" s="48"/>
      <c r="D115" s="231"/>
      <c r="E115" s="234"/>
      <c r="F115" s="78"/>
      <c r="G115" s="48"/>
      <c r="H115" s="30"/>
      <c r="I115" s="77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</row>
    <row r="116" spans="1:21" ht="12.75" hidden="1" customHeight="1" outlineLevel="4">
      <c r="A116" s="47"/>
      <c r="B116" s="45" t="s">
        <v>714</v>
      </c>
      <c r="C116" s="48" t="s">
        <v>195</v>
      </c>
      <c r="D116" s="231">
        <v>1301</v>
      </c>
      <c r="E116" s="234" t="s">
        <v>818</v>
      </c>
      <c r="F116" s="78"/>
      <c r="G116" s="45" t="s">
        <v>195</v>
      </c>
      <c r="H116" s="215" t="str">
        <f t="shared" si="6"/>
        <v>MEP-T09-8</v>
      </c>
      <c r="I116" s="77">
        <v>8</v>
      </c>
      <c r="J116" s="225"/>
      <c r="K116" s="225"/>
      <c r="L116" s="224">
        <v>1</v>
      </c>
      <c r="M116" s="225">
        <v>1</v>
      </c>
      <c r="N116" s="224"/>
      <c r="O116" s="224"/>
      <c r="P116" s="224"/>
      <c r="Q116" s="225">
        <v>1</v>
      </c>
      <c r="R116" s="225">
        <v>1</v>
      </c>
      <c r="S116" s="225"/>
      <c r="T116" s="225"/>
      <c r="U116" s="225"/>
    </row>
    <row r="117" spans="1:21" ht="12.75" hidden="1" customHeight="1" outlineLevel="4">
      <c r="A117" s="47"/>
      <c r="B117" s="45" t="s">
        <v>714</v>
      </c>
      <c r="C117" s="48" t="s">
        <v>195</v>
      </c>
      <c r="D117" s="231">
        <v>1303</v>
      </c>
      <c r="E117" s="234" t="s">
        <v>819</v>
      </c>
      <c r="F117" s="78"/>
      <c r="G117" s="45" t="s">
        <v>195</v>
      </c>
      <c r="H117" s="215" t="str">
        <f t="shared" si="6"/>
        <v>MEP-T09-7</v>
      </c>
      <c r="I117" s="77">
        <v>7</v>
      </c>
      <c r="J117" s="225"/>
      <c r="K117" s="225"/>
      <c r="L117" s="224">
        <v>1</v>
      </c>
      <c r="M117" s="225">
        <v>1</v>
      </c>
      <c r="N117" s="224"/>
      <c r="O117" s="224"/>
      <c r="P117" s="224"/>
      <c r="Q117" s="225">
        <v>1</v>
      </c>
      <c r="R117" s="225">
        <v>1</v>
      </c>
      <c r="S117" s="225"/>
      <c r="T117" s="225"/>
      <c r="U117" s="225"/>
    </row>
    <row r="118" spans="1:21" ht="12.75" hidden="1" customHeight="1" outlineLevel="4">
      <c r="A118" s="47"/>
      <c r="B118" s="45" t="s">
        <v>714</v>
      </c>
      <c r="C118" s="48" t="s">
        <v>195</v>
      </c>
      <c r="D118" s="231">
        <v>1303</v>
      </c>
      <c r="E118" s="234" t="s">
        <v>820</v>
      </c>
      <c r="F118" s="78"/>
      <c r="G118" s="45" t="s">
        <v>195</v>
      </c>
      <c r="H118" s="215" t="str">
        <f t="shared" ref="H118" si="7">CONCATENATE("MEP-",G118,"-",I118)</f>
        <v>MEP-T09-7</v>
      </c>
      <c r="I118" s="77">
        <v>7</v>
      </c>
      <c r="J118" s="225"/>
      <c r="K118" s="225"/>
      <c r="L118" s="224">
        <v>1</v>
      </c>
      <c r="M118" s="225">
        <v>1</v>
      </c>
      <c r="N118" s="224"/>
      <c r="O118" s="224"/>
      <c r="P118" s="224"/>
      <c r="Q118" s="225">
        <v>1</v>
      </c>
      <c r="R118" s="225"/>
      <c r="S118" s="225">
        <v>1</v>
      </c>
      <c r="T118" s="225"/>
      <c r="U118" s="225"/>
    </row>
    <row r="119" spans="1:21" ht="12.75" hidden="1" customHeight="1" outlineLevel="4">
      <c r="A119" s="47"/>
      <c r="B119" s="233" t="s">
        <v>821</v>
      </c>
      <c r="C119" s="48"/>
      <c r="D119" s="231"/>
      <c r="E119" s="234"/>
      <c r="F119" s="78"/>
      <c r="G119" s="45"/>
      <c r="H119" s="215"/>
      <c r="I119" s="77"/>
      <c r="J119" s="225"/>
      <c r="K119" s="225"/>
      <c r="L119" s="224"/>
      <c r="M119" s="224"/>
      <c r="N119" s="224"/>
      <c r="O119" s="224"/>
      <c r="P119" s="224"/>
      <c r="Q119" s="225"/>
      <c r="R119" s="225"/>
      <c r="S119" s="225"/>
      <c r="T119" s="225"/>
      <c r="U119" s="225"/>
    </row>
    <row r="120" spans="1:21" ht="12.75" hidden="1" customHeight="1" outlineLevel="4">
      <c r="A120" s="47"/>
      <c r="B120" s="45" t="s">
        <v>714</v>
      </c>
      <c r="C120" s="48" t="s">
        <v>195</v>
      </c>
      <c r="D120" s="231">
        <v>4001</v>
      </c>
      <c r="E120" s="324" t="s">
        <v>822</v>
      </c>
      <c r="F120" s="78"/>
      <c r="G120" s="45" t="s">
        <v>487</v>
      </c>
      <c r="H120" s="215" t="str">
        <f t="shared" si="6"/>
        <v>MEP-SDV-5</v>
      </c>
      <c r="I120" s="77">
        <v>5</v>
      </c>
      <c r="J120" s="225"/>
      <c r="K120" s="225"/>
      <c r="L120" s="224">
        <v>1</v>
      </c>
      <c r="M120" s="225">
        <v>1</v>
      </c>
      <c r="N120" s="224"/>
      <c r="O120" s="224"/>
      <c r="P120" s="224"/>
      <c r="Q120" s="224">
        <v>1</v>
      </c>
      <c r="R120" s="225"/>
      <c r="S120" s="225">
        <v>1</v>
      </c>
      <c r="T120" s="225"/>
      <c r="U120" s="225"/>
    </row>
    <row r="121" spans="1:21" ht="12.75" hidden="1" customHeight="1" outlineLevel="4">
      <c r="A121" s="47"/>
      <c r="B121" s="45" t="s">
        <v>714</v>
      </c>
      <c r="C121" s="48" t="s">
        <v>195</v>
      </c>
      <c r="D121" s="231">
        <v>4002</v>
      </c>
      <c r="E121" s="324" t="s">
        <v>823</v>
      </c>
      <c r="F121" s="78"/>
      <c r="G121" s="45" t="s">
        <v>487</v>
      </c>
      <c r="H121" s="215" t="str">
        <f t="shared" si="6"/>
        <v>MEP-SDV-5</v>
      </c>
      <c r="I121" s="77">
        <v>5</v>
      </c>
      <c r="J121" s="225"/>
      <c r="K121" s="225"/>
      <c r="L121" s="224">
        <v>1</v>
      </c>
      <c r="M121" s="225">
        <v>1</v>
      </c>
      <c r="N121" s="224"/>
      <c r="O121" s="224"/>
      <c r="P121" s="224"/>
      <c r="Q121" s="224">
        <v>1</v>
      </c>
      <c r="R121" s="225"/>
      <c r="S121" s="225">
        <v>1</v>
      </c>
      <c r="T121" s="225"/>
      <c r="U121" s="225"/>
    </row>
    <row r="122" spans="1:21" ht="12.75" hidden="1" customHeight="1" outlineLevel="4">
      <c r="A122" s="47"/>
      <c r="B122" s="45" t="s">
        <v>714</v>
      </c>
      <c r="C122" s="48" t="s">
        <v>195</v>
      </c>
      <c r="D122" s="231">
        <v>4003</v>
      </c>
      <c r="E122" s="324" t="s">
        <v>824</v>
      </c>
      <c r="F122" s="78"/>
      <c r="G122" s="45" t="s">
        <v>487</v>
      </c>
      <c r="H122" s="215" t="str">
        <f t="shared" si="6"/>
        <v>MEP-SDV-5</v>
      </c>
      <c r="I122" s="77">
        <v>5</v>
      </c>
      <c r="J122" s="225"/>
      <c r="K122" s="225"/>
      <c r="L122" s="224">
        <v>1</v>
      </c>
      <c r="M122" s="225">
        <v>1</v>
      </c>
      <c r="N122" s="224"/>
      <c r="O122" s="224"/>
      <c r="P122" s="224"/>
      <c r="Q122" s="224">
        <v>1</v>
      </c>
      <c r="R122" s="225"/>
      <c r="S122" s="225">
        <v>1</v>
      </c>
      <c r="T122" s="225"/>
      <c r="U122" s="225"/>
    </row>
    <row r="123" spans="1:21" ht="12.75" hidden="1" customHeight="1" outlineLevel="4">
      <c r="A123" s="47"/>
      <c r="B123" s="45" t="s">
        <v>714</v>
      </c>
      <c r="C123" s="48" t="s">
        <v>195</v>
      </c>
      <c r="D123" s="231">
        <v>4001</v>
      </c>
      <c r="E123" s="234" t="s">
        <v>825</v>
      </c>
      <c r="F123" s="78"/>
      <c r="G123" s="45" t="s">
        <v>487</v>
      </c>
      <c r="H123" s="215" t="str">
        <f t="shared" si="6"/>
        <v>MEP-SDV-5</v>
      </c>
      <c r="I123" s="77">
        <v>5</v>
      </c>
      <c r="J123" s="225"/>
      <c r="K123" s="225"/>
      <c r="L123" s="224">
        <v>1</v>
      </c>
      <c r="M123" s="225">
        <v>1</v>
      </c>
      <c r="N123" s="224"/>
      <c r="O123" s="224"/>
      <c r="P123" s="224"/>
      <c r="Q123" s="224">
        <v>1</v>
      </c>
      <c r="R123" s="225"/>
      <c r="S123" s="225">
        <v>1</v>
      </c>
      <c r="T123" s="225"/>
      <c r="U123" s="225"/>
    </row>
    <row r="124" spans="1:21" ht="12.75" hidden="1" customHeight="1" outlineLevel="4">
      <c r="A124" s="47"/>
      <c r="B124" s="45" t="s">
        <v>714</v>
      </c>
      <c r="C124" s="48" t="s">
        <v>195</v>
      </c>
      <c r="D124" s="231">
        <v>4001</v>
      </c>
      <c r="E124" s="234" t="s">
        <v>826</v>
      </c>
      <c r="F124" s="78"/>
      <c r="G124" s="45" t="s">
        <v>487</v>
      </c>
      <c r="H124" s="215" t="str">
        <f t="shared" si="6"/>
        <v>MEP-SDV-5</v>
      </c>
      <c r="I124" s="77">
        <v>5</v>
      </c>
      <c r="J124" s="225"/>
      <c r="K124" s="225"/>
      <c r="L124" s="224">
        <v>1</v>
      </c>
      <c r="M124" s="225">
        <v>1</v>
      </c>
      <c r="N124" s="224"/>
      <c r="O124" s="224"/>
      <c r="P124" s="224"/>
      <c r="Q124" s="225">
        <v>1</v>
      </c>
      <c r="R124" s="225"/>
      <c r="S124" s="225">
        <v>1</v>
      </c>
      <c r="T124" s="225"/>
      <c r="U124" s="225"/>
    </row>
    <row r="125" spans="1:21" ht="12.75" hidden="1" customHeight="1" outlineLevel="4">
      <c r="A125" s="47"/>
      <c r="B125" s="45" t="s">
        <v>714</v>
      </c>
      <c r="C125" s="48" t="s">
        <v>195</v>
      </c>
      <c r="D125" s="231">
        <v>4001</v>
      </c>
      <c r="E125" s="234" t="s">
        <v>827</v>
      </c>
      <c r="F125" s="78"/>
      <c r="G125" s="45" t="s">
        <v>487</v>
      </c>
      <c r="H125" s="215" t="str">
        <f t="shared" si="6"/>
        <v>MEP-SDV-5</v>
      </c>
      <c r="I125" s="77">
        <v>5</v>
      </c>
      <c r="J125" s="225"/>
      <c r="K125" s="225"/>
      <c r="L125" s="224">
        <v>1</v>
      </c>
      <c r="M125" s="225">
        <v>1</v>
      </c>
      <c r="N125" s="224"/>
      <c r="O125" s="224"/>
      <c r="P125" s="224"/>
      <c r="Q125" s="225">
        <v>1</v>
      </c>
      <c r="R125" s="225">
        <v>1</v>
      </c>
      <c r="S125" s="225"/>
      <c r="T125" s="225"/>
      <c r="U125" s="225"/>
    </row>
    <row r="126" spans="1:21" ht="12.75" hidden="1" customHeight="1" outlineLevel="4">
      <c r="A126" s="47"/>
      <c r="B126" s="45" t="s">
        <v>714</v>
      </c>
      <c r="C126" s="48" t="s">
        <v>195</v>
      </c>
      <c r="D126" s="231">
        <v>4002</v>
      </c>
      <c r="E126" s="234" t="s">
        <v>828</v>
      </c>
      <c r="F126" s="78"/>
      <c r="G126" s="45" t="s">
        <v>487</v>
      </c>
      <c r="H126" s="215" t="str">
        <f t="shared" ref="H126" si="8">CONCATENATE("MEP-",G126,"-",I126)</f>
        <v>MEP-SDV-5</v>
      </c>
      <c r="I126" s="77">
        <v>5</v>
      </c>
      <c r="J126" s="225"/>
      <c r="K126" s="225"/>
      <c r="L126" s="224">
        <v>1</v>
      </c>
      <c r="M126" s="225">
        <v>1</v>
      </c>
      <c r="N126" s="224"/>
      <c r="O126" s="224"/>
      <c r="P126" s="224"/>
      <c r="Q126" s="225">
        <v>1</v>
      </c>
      <c r="R126" s="225">
        <v>1</v>
      </c>
      <c r="S126" s="225"/>
      <c r="T126" s="225"/>
      <c r="U126" s="225"/>
    </row>
    <row r="127" spans="1:21" ht="12.75" hidden="1" customHeight="1" outlineLevel="4">
      <c r="A127" s="47"/>
      <c r="B127" s="45" t="s">
        <v>714</v>
      </c>
      <c r="C127" s="48" t="s">
        <v>195</v>
      </c>
      <c r="D127" s="231">
        <v>4002</v>
      </c>
      <c r="E127" s="234" t="s">
        <v>829</v>
      </c>
      <c r="F127" s="78"/>
      <c r="G127" s="45" t="s">
        <v>487</v>
      </c>
      <c r="H127" s="215" t="str">
        <f t="shared" si="6"/>
        <v>MEP-SDV-5</v>
      </c>
      <c r="I127" s="77">
        <v>5</v>
      </c>
      <c r="J127" s="225"/>
      <c r="K127" s="225"/>
      <c r="L127" s="224">
        <v>1</v>
      </c>
      <c r="M127" s="225">
        <v>1</v>
      </c>
      <c r="N127" s="224"/>
      <c r="O127" s="224"/>
      <c r="P127" s="224"/>
      <c r="Q127" s="225">
        <v>1</v>
      </c>
      <c r="R127" s="225">
        <v>1</v>
      </c>
      <c r="S127" s="225"/>
      <c r="T127" s="225"/>
      <c r="U127" s="225"/>
    </row>
    <row r="128" spans="1:21" ht="12.75" hidden="1" customHeight="1" outlineLevel="4">
      <c r="A128" s="47"/>
      <c r="B128" s="45" t="s">
        <v>714</v>
      </c>
      <c r="C128" s="48" t="s">
        <v>195</v>
      </c>
      <c r="D128" s="231">
        <v>9001</v>
      </c>
      <c r="E128" s="234" t="s">
        <v>830</v>
      </c>
      <c r="F128" s="78"/>
      <c r="G128" s="45" t="s">
        <v>487</v>
      </c>
      <c r="H128" s="215" t="str">
        <f t="shared" si="6"/>
        <v>MEP-SDV-5</v>
      </c>
      <c r="I128" s="77">
        <v>5</v>
      </c>
      <c r="J128" s="225"/>
      <c r="K128" s="225"/>
      <c r="L128" s="224">
        <v>1</v>
      </c>
      <c r="M128" s="225">
        <v>1</v>
      </c>
      <c r="N128" s="224"/>
      <c r="O128" s="224"/>
      <c r="P128" s="224"/>
      <c r="Q128" s="225">
        <v>1</v>
      </c>
      <c r="R128" s="225">
        <v>1</v>
      </c>
      <c r="S128" s="225"/>
      <c r="T128" s="225"/>
      <c r="U128" s="225"/>
    </row>
    <row r="129" spans="1:21" ht="12.75" hidden="1" customHeight="1" outlineLevel="4">
      <c r="A129" s="47"/>
      <c r="B129" s="45" t="s">
        <v>714</v>
      </c>
      <c r="C129" s="48" t="s">
        <v>195</v>
      </c>
      <c r="D129" s="231">
        <v>9001</v>
      </c>
      <c r="E129" s="234" t="s">
        <v>831</v>
      </c>
      <c r="F129" s="78"/>
      <c r="G129" s="45" t="s">
        <v>487</v>
      </c>
      <c r="H129" s="215" t="str">
        <f t="shared" si="6"/>
        <v>MEP-SDV-6</v>
      </c>
      <c r="I129" s="77">
        <v>6</v>
      </c>
      <c r="J129" s="225"/>
      <c r="K129" s="225"/>
      <c r="L129" s="224">
        <v>1</v>
      </c>
      <c r="M129" s="225">
        <v>1</v>
      </c>
      <c r="N129" s="224"/>
      <c r="O129" s="224"/>
      <c r="P129" s="224"/>
      <c r="Q129" s="225">
        <v>1</v>
      </c>
      <c r="R129" s="225">
        <v>1</v>
      </c>
      <c r="S129" s="225"/>
      <c r="T129" s="225"/>
      <c r="U129" s="225"/>
    </row>
    <row r="130" spans="1:21" ht="12.75" hidden="1" customHeight="1" outlineLevel="4">
      <c r="A130" s="47"/>
      <c r="B130" s="45" t="s">
        <v>714</v>
      </c>
      <c r="C130" s="48" t="s">
        <v>195</v>
      </c>
      <c r="D130" s="231" t="s">
        <v>196</v>
      </c>
      <c r="E130" s="234" t="s">
        <v>832</v>
      </c>
      <c r="F130" s="78"/>
      <c r="G130" s="45" t="s">
        <v>487</v>
      </c>
      <c r="H130" s="215" t="str">
        <f t="shared" si="6"/>
        <v>MEP-SDV-5</v>
      </c>
      <c r="I130" s="77">
        <v>5</v>
      </c>
      <c r="J130" s="225"/>
      <c r="K130" s="225"/>
      <c r="L130" s="224">
        <v>1</v>
      </c>
      <c r="M130" s="225">
        <v>1</v>
      </c>
      <c r="N130" s="224"/>
      <c r="O130" s="224"/>
      <c r="P130" s="224"/>
      <c r="Q130" s="225">
        <v>1</v>
      </c>
      <c r="R130" s="225">
        <v>1</v>
      </c>
      <c r="S130" s="225"/>
      <c r="T130" s="225"/>
      <c r="U130" s="225"/>
    </row>
    <row r="131" spans="1:21" ht="12.75" hidden="1" customHeight="1" outlineLevel="2">
      <c r="A131" s="47"/>
      <c r="B131" s="11" t="s">
        <v>760</v>
      </c>
      <c r="C131" s="48"/>
      <c r="D131" s="231"/>
      <c r="E131" s="234"/>
      <c r="F131" s="78"/>
      <c r="G131" s="48"/>
      <c r="H131" s="30"/>
      <c r="I131" s="77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</row>
    <row r="132" spans="1:21" ht="12.75" hidden="1" customHeight="1" outlineLevel="3">
      <c r="A132" s="47"/>
      <c r="B132" s="233" t="s">
        <v>833</v>
      </c>
      <c r="C132" s="48"/>
      <c r="D132" s="231"/>
      <c r="E132" s="234"/>
      <c r="F132" s="78"/>
      <c r="G132" s="48"/>
      <c r="H132" s="30"/>
      <c r="I132" s="77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</row>
    <row r="133" spans="1:21" ht="12.75" hidden="1" customHeight="1" outlineLevel="4">
      <c r="A133" s="47"/>
      <c r="B133" s="45" t="s">
        <v>761</v>
      </c>
      <c r="C133" s="48" t="s">
        <v>195</v>
      </c>
      <c r="D133" s="231">
        <v>4101</v>
      </c>
      <c r="E133" s="234" t="s">
        <v>834</v>
      </c>
      <c r="F133" s="78"/>
      <c r="G133" s="45" t="s">
        <v>195</v>
      </c>
      <c r="H133" s="215" t="str">
        <f>CONCATENATE("MEP-",G133,"-",I133)</f>
        <v>MEP-T09-7</v>
      </c>
      <c r="I133" s="77">
        <v>7</v>
      </c>
      <c r="J133" s="225"/>
      <c r="K133" s="225"/>
      <c r="L133" s="224">
        <v>1</v>
      </c>
      <c r="M133" s="225">
        <v>1</v>
      </c>
      <c r="N133" s="224"/>
      <c r="O133" s="224"/>
      <c r="P133" s="224"/>
      <c r="Q133" s="225">
        <v>1</v>
      </c>
      <c r="R133" s="225">
        <v>1</v>
      </c>
      <c r="S133" s="225"/>
      <c r="T133" s="225"/>
      <c r="U133" s="225"/>
    </row>
    <row r="134" spans="1:21" ht="12.75" hidden="1" customHeight="1" outlineLevel="4">
      <c r="A134" s="47"/>
      <c r="B134" s="45" t="s">
        <v>761</v>
      </c>
      <c r="C134" s="48" t="s">
        <v>195</v>
      </c>
      <c r="D134" s="231">
        <v>4111</v>
      </c>
      <c r="E134" s="234" t="s">
        <v>835</v>
      </c>
      <c r="F134" s="78"/>
      <c r="G134" s="45" t="s">
        <v>195</v>
      </c>
      <c r="H134" s="215" t="str">
        <f>CONCATENATE("MEP-",G134,"-",I134)</f>
        <v>MEP-T09-7</v>
      </c>
      <c r="I134" s="77">
        <v>7</v>
      </c>
      <c r="J134" s="224">
        <v>1</v>
      </c>
      <c r="K134" s="225"/>
      <c r="L134" s="224"/>
      <c r="M134" s="224"/>
      <c r="N134" s="224"/>
      <c r="O134" s="224"/>
      <c r="P134" s="224"/>
      <c r="Q134" s="225"/>
      <c r="R134" s="225"/>
      <c r="S134" s="225"/>
      <c r="T134" s="225"/>
      <c r="U134" s="225"/>
    </row>
    <row r="135" spans="1:21" ht="12.75" hidden="1" customHeight="1" outlineLevel="4">
      <c r="A135" s="47"/>
      <c r="B135" s="45" t="s">
        <v>761</v>
      </c>
      <c r="C135" s="48" t="s">
        <v>195</v>
      </c>
      <c r="D135" s="231">
        <v>4112</v>
      </c>
      <c r="E135" s="234" t="s">
        <v>836</v>
      </c>
      <c r="F135" s="78"/>
      <c r="G135" s="45" t="s">
        <v>195</v>
      </c>
      <c r="H135" s="215" t="str">
        <f>CONCATENATE("MEP-",G135,"-",I135)</f>
        <v>MEP-T09-8</v>
      </c>
      <c r="I135" s="77">
        <v>8</v>
      </c>
      <c r="J135" s="224">
        <v>1</v>
      </c>
      <c r="K135" s="225"/>
      <c r="L135" s="224"/>
      <c r="M135" s="224"/>
      <c r="N135" s="224"/>
      <c r="O135" s="224"/>
      <c r="P135" s="224"/>
      <c r="Q135" s="225"/>
      <c r="R135" s="225"/>
      <c r="S135" s="225"/>
      <c r="T135" s="225"/>
      <c r="U135" s="225"/>
    </row>
    <row r="136" spans="1:21" ht="12.75" hidden="1" customHeight="1" outlineLevel="4">
      <c r="A136" s="47"/>
      <c r="B136" s="45" t="s">
        <v>761</v>
      </c>
      <c r="C136" s="48" t="s">
        <v>195</v>
      </c>
      <c r="D136" s="231">
        <v>4113</v>
      </c>
      <c r="E136" s="234" t="s">
        <v>837</v>
      </c>
      <c r="F136" s="78"/>
      <c r="G136" s="45" t="s">
        <v>195</v>
      </c>
      <c r="H136" s="215" t="str">
        <f>CONCATENATE("MEP-",G136,"-",I136)</f>
        <v>MEP-T09-7</v>
      </c>
      <c r="I136" s="77">
        <v>7</v>
      </c>
      <c r="J136" s="224">
        <v>1</v>
      </c>
      <c r="K136" s="225"/>
      <c r="L136" s="224"/>
      <c r="M136" s="224"/>
      <c r="N136" s="224"/>
      <c r="O136" s="224"/>
      <c r="P136" s="224"/>
      <c r="Q136" s="225"/>
      <c r="R136" s="225"/>
      <c r="S136" s="225"/>
      <c r="T136" s="225"/>
      <c r="U136" s="225"/>
    </row>
    <row r="137" spans="1:21" ht="12.75" hidden="1" customHeight="1" outlineLevel="3">
      <c r="A137" s="47"/>
      <c r="B137" s="233" t="s">
        <v>838</v>
      </c>
      <c r="C137" s="48"/>
      <c r="D137" s="231"/>
      <c r="E137" s="234"/>
      <c r="F137" s="78"/>
      <c r="G137" s="48"/>
      <c r="H137" s="30"/>
      <c r="I137" s="77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</row>
    <row r="138" spans="1:21" ht="12.75" hidden="1" customHeight="1" outlineLevel="4">
      <c r="A138" s="47"/>
      <c r="B138" s="45" t="s">
        <v>761</v>
      </c>
      <c r="C138" s="48" t="s">
        <v>195</v>
      </c>
      <c r="D138" s="231">
        <v>1101</v>
      </c>
      <c r="E138" s="234" t="s">
        <v>839</v>
      </c>
      <c r="F138" s="78"/>
      <c r="G138" s="45" t="s">
        <v>195</v>
      </c>
      <c r="H138" s="215" t="str">
        <f t="shared" ref="H138:H143" si="9">CONCATENATE("MEP-",G138,"-",I138)</f>
        <v>MEP-T09-4</v>
      </c>
      <c r="I138" s="77">
        <v>4</v>
      </c>
      <c r="J138" s="224">
        <v>1</v>
      </c>
      <c r="K138" s="225"/>
      <c r="L138" s="224"/>
      <c r="M138" s="224"/>
      <c r="N138" s="224"/>
      <c r="O138" s="224"/>
      <c r="P138" s="224"/>
      <c r="Q138" s="225"/>
      <c r="R138" s="225"/>
      <c r="S138" s="225"/>
      <c r="T138" s="225"/>
      <c r="U138" s="225"/>
    </row>
    <row r="139" spans="1:21" ht="12.75" hidden="1" customHeight="1" outlineLevel="4">
      <c r="A139" s="47"/>
      <c r="B139" s="45" t="s">
        <v>761</v>
      </c>
      <c r="C139" s="48" t="s">
        <v>195</v>
      </c>
      <c r="D139" s="231">
        <v>1103</v>
      </c>
      <c r="E139" s="234" t="s">
        <v>840</v>
      </c>
      <c r="F139" s="78"/>
      <c r="G139" s="45" t="s">
        <v>195</v>
      </c>
      <c r="H139" s="215" t="str">
        <f t="shared" si="9"/>
        <v>MEP-T09-4</v>
      </c>
      <c r="I139" s="77">
        <v>4</v>
      </c>
      <c r="J139" s="224">
        <v>1</v>
      </c>
      <c r="K139" s="225"/>
      <c r="L139" s="224"/>
      <c r="M139" s="224"/>
      <c r="N139" s="224"/>
      <c r="O139" s="224"/>
      <c r="P139" s="224"/>
      <c r="Q139" s="225"/>
      <c r="R139" s="225"/>
      <c r="S139" s="225"/>
      <c r="T139" s="225"/>
      <c r="U139" s="225"/>
    </row>
    <row r="140" spans="1:21" ht="12.75" hidden="1" customHeight="1" outlineLevel="4">
      <c r="A140" s="47"/>
      <c r="B140" s="45" t="s">
        <v>761</v>
      </c>
      <c r="C140" s="48" t="s">
        <v>195</v>
      </c>
      <c r="D140" s="231">
        <v>1105</v>
      </c>
      <c r="E140" s="234" t="s">
        <v>841</v>
      </c>
      <c r="F140" s="78"/>
      <c r="G140" s="45" t="s">
        <v>195</v>
      </c>
      <c r="H140" s="215" t="str">
        <f t="shared" si="9"/>
        <v>MEP-T09-4</v>
      </c>
      <c r="I140" s="77">
        <v>4</v>
      </c>
      <c r="J140" s="224">
        <v>1</v>
      </c>
      <c r="K140" s="225"/>
      <c r="L140" s="224"/>
      <c r="M140" s="224"/>
      <c r="N140" s="224"/>
      <c r="O140" s="224"/>
      <c r="P140" s="224"/>
      <c r="Q140" s="225"/>
      <c r="R140" s="225"/>
      <c r="S140" s="225"/>
      <c r="T140" s="225"/>
      <c r="U140" s="225"/>
    </row>
    <row r="141" spans="1:21" ht="12.75" hidden="1" customHeight="1" outlineLevel="4">
      <c r="A141" s="47"/>
      <c r="B141" s="45" t="s">
        <v>761</v>
      </c>
      <c r="C141" s="48" t="s">
        <v>195</v>
      </c>
      <c r="D141" s="231">
        <v>1107</v>
      </c>
      <c r="E141" s="234" t="s">
        <v>842</v>
      </c>
      <c r="F141" s="78"/>
      <c r="G141" s="45" t="s">
        <v>195</v>
      </c>
      <c r="H141" s="215" t="str">
        <f t="shared" si="9"/>
        <v>MEP-T09-4</v>
      </c>
      <c r="I141" s="77">
        <v>4</v>
      </c>
      <c r="J141" s="224">
        <v>1</v>
      </c>
      <c r="K141" s="225"/>
      <c r="L141" s="224"/>
      <c r="M141" s="224"/>
      <c r="N141" s="224"/>
      <c r="O141" s="224"/>
      <c r="P141" s="224"/>
      <c r="Q141" s="225"/>
      <c r="R141" s="225"/>
      <c r="S141" s="225"/>
      <c r="T141" s="225"/>
      <c r="U141" s="225"/>
    </row>
    <row r="142" spans="1:21" ht="12.75" hidden="1" customHeight="1" outlineLevel="4">
      <c r="A142" s="47"/>
      <c r="B142" s="45" t="s">
        <v>761</v>
      </c>
      <c r="C142" s="48" t="s">
        <v>195</v>
      </c>
      <c r="D142" s="231">
        <v>1109</v>
      </c>
      <c r="E142" s="234" t="s">
        <v>843</v>
      </c>
      <c r="F142" s="78"/>
      <c r="G142" s="45" t="s">
        <v>195</v>
      </c>
      <c r="H142" s="215" t="str">
        <f t="shared" si="9"/>
        <v>MEP-T09-4</v>
      </c>
      <c r="I142" s="77">
        <v>4</v>
      </c>
      <c r="J142" s="225"/>
      <c r="K142" s="225"/>
      <c r="L142" s="224">
        <v>1</v>
      </c>
      <c r="M142" s="225">
        <v>1</v>
      </c>
      <c r="N142" s="224"/>
      <c r="O142" s="224"/>
      <c r="P142" s="224"/>
      <c r="Q142" s="225">
        <v>1</v>
      </c>
      <c r="R142" s="225">
        <v>1</v>
      </c>
      <c r="S142" s="225"/>
      <c r="T142" s="225"/>
      <c r="U142" s="225"/>
    </row>
    <row r="143" spans="1:21" ht="12.75" hidden="1" customHeight="1" outlineLevel="4">
      <c r="A143" s="47"/>
      <c r="B143" s="45" t="s">
        <v>761</v>
      </c>
      <c r="C143" s="48" t="s">
        <v>195</v>
      </c>
      <c r="D143" s="231">
        <v>1110</v>
      </c>
      <c r="E143" s="235" t="s">
        <v>844</v>
      </c>
      <c r="F143" s="78"/>
      <c r="G143" s="45" t="s">
        <v>195</v>
      </c>
      <c r="H143" s="215" t="str">
        <f t="shared" si="9"/>
        <v>MEP-T09-1</v>
      </c>
      <c r="I143" s="77">
        <v>1</v>
      </c>
      <c r="J143" s="225">
        <v>1</v>
      </c>
      <c r="K143" s="225"/>
      <c r="L143" s="224"/>
      <c r="M143" s="224"/>
      <c r="N143" s="224"/>
      <c r="O143" s="224"/>
      <c r="P143" s="224"/>
      <c r="Q143" s="225"/>
      <c r="R143" s="225"/>
      <c r="S143" s="225"/>
      <c r="T143" s="225"/>
      <c r="U143" s="225"/>
    </row>
    <row r="144" spans="1:21" ht="12.75" hidden="1" customHeight="1" outlineLevel="3">
      <c r="A144" s="47"/>
      <c r="B144" s="233" t="s">
        <v>845</v>
      </c>
      <c r="C144" s="48"/>
      <c r="D144" s="231"/>
      <c r="E144" s="234"/>
      <c r="F144" s="78"/>
      <c r="G144" s="48"/>
      <c r="H144" s="30"/>
      <c r="I144" s="77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</row>
    <row r="145" spans="1:21" ht="12.75" hidden="1" customHeight="1" outlineLevel="4">
      <c r="A145" s="47"/>
      <c r="B145" s="45" t="s">
        <v>761</v>
      </c>
      <c r="C145" s="48" t="s">
        <v>195</v>
      </c>
      <c r="D145" s="231">
        <v>1301</v>
      </c>
      <c r="E145" s="234" t="s">
        <v>846</v>
      </c>
      <c r="F145" s="78"/>
      <c r="G145" s="45" t="s">
        <v>195</v>
      </c>
      <c r="H145" s="215" t="str">
        <f>CONCATENATE("MEP-",G145,"-",I145)</f>
        <v>MEP-T09-7</v>
      </c>
      <c r="I145" s="77">
        <v>7</v>
      </c>
      <c r="J145" s="225"/>
      <c r="K145" s="225"/>
      <c r="L145" s="224">
        <v>1</v>
      </c>
      <c r="M145" s="225">
        <v>1</v>
      </c>
      <c r="N145" s="224"/>
      <c r="O145" s="224"/>
      <c r="P145" s="224"/>
      <c r="Q145" s="225">
        <v>1</v>
      </c>
      <c r="R145" s="225">
        <v>1</v>
      </c>
      <c r="S145" s="225"/>
      <c r="T145" s="225"/>
      <c r="U145" s="225"/>
    </row>
    <row r="146" spans="1:21" ht="12.75" hidden="1" customHeight="1" outlineLevel="4">
      <c r="A146" s="47"/>
      <c r="B146" s="45" t="s">
        <v>761</v>
      </c>
      <c r="C146" s="48" t="s">
        <v>195</v>
      </c>
      <c r="D146" s="231">
        <v>1001</v>
      </c>
      <c r="E146" s="234" t="s">
        <v>847</v>
      </c>
      <c r="F146" s="45" t="s">
        <v>195</v>
      </c>
      <c r="G146" s="45" t="s">
        <v>195</v>
      </c>
      <c r="H146" s="215" t="str">
        <f t="shared" ref="H146:H149" si="10">CONCATENATE("MEP-",G146,"-",I146)</f>
        <v>MEP-T09-7</v>
      </c>
      <c r="I146" s="77">
        <v>7</v>
      </c>
      <c r="J146" s="225">
        <v>1</v>
      </c>
      <c r="K146" s="225"/>
      <c r="L146" s="224"/>
      <c r="M146" s="224"/>
      <c r="N146" s="224"/>
      <c r="O146" s="224"/>
      <c r="P146" s="224"/>
      <c r="Q146" s="225"/>
      <c r="R146" s="225"/>
      <c r="S146" s="225"/>
      <c r="T146" s="225"/>
      <c r="U146" s="225"/>
    </row>
    <row r="147" spans="1:21" ht="12.75" hidden="1" customHeight="1" outlineLevel="4">
      <c r="A147" s="47"/>
      <c r="B147" s="45" t="s">
        <v>761</v>
      </c>
      <c r="C147" s="48" t="s">
        <v>195</v>
      </c>
      <c r="D147" s="231">
        <v>1002</v>
      </c>
      <c r="E147" s="234" t="s">
        <v>848</v>
      </c>
      <c r="F147" s="45" t="s">
        <v>195</v>
      </c>
      <c r="G147" s="45" t="s">
        <v>195</v>
      </c>
      <c r="H147" s="215" t="str">
        <f t="shared" si="10"/>
        <v>MEP-T09-7</v>
      </c>
      <c r="I147" s="77">
        <v>7</v>
      </c>
      <c r="J147" s="225">
        <v>1</v>
      </c>
      <c r="K147" s="225"/>
      <c r="L147" s="224"/>
      <c r="M147" s="224"/>
      <c r="N147" s="224"/>
      <c r="O147" s="224"/>
      <c r="P147" s="224"/>
      <c r="Q147" s="225"/>
      <c r="R147" s="225"/>
      <c r="S147" s="225"/>
      <c r="T147" s="225"/>
      <c r="U147" s="225"/>
    </row>
    <row r="148" spans="1:21" ht="12.75" hidden="1" customHeight="1" outlineLevel="4">
      <c r="A148" s="47"/>
      <c r="B148" s="45" t="s">
        <v>761</v>
      </c>
      <c r="C148" s="48" t="s">
        <v>195</v>
      </c>
      <c r="D148" s="231">
        <v>1003</v>
      </c>
      <c r="E148" s="234" t="s">
        <v>849</v>
      </c>
      <c r="F148" s="45" t="s">
        <v>195</v>
      </c>
      <c r="G148" s="45" t="s">
        <v>195</v>
      </c>
      <c r="H148" s="215" t="str">
        <f t="shared" si="10"/>
        <v>MEP-T09-7</v>
      </c>
      <c r="I148" s="77">
        <v>7</v>
      </c>
      <c r="J148" s="225">
        <v>1</v>
      </c>
      <c r="K148" s="225"/>
      <c r="L148" s="224"/>
      <c r="M148" s="224"/>
      <c r="N148" s="224"/>
      <c r="O148" s="224"/>
      <c r="P148" s="224"/>
      <c r="Q148" s="225"/>
      <c r="R148" s="225"/>
      <c r="S148" s="225"/>
      <c r="T148" s="225"/>
      <c r="U148" s="225"/>
    </row>
    <row r="149" spans="1:21" ht="12.75" hidden="1" customHeight="1" outlineLevel="4">
      <c r="A149" s="47"/>
      <c r="B149" s="45" t="s">
        <v>761</v>
      </c>
      <c r="C149" s="48" t="s">
        <v>195</v>
      </c>
      <c r="D149" s="231">
        <v>1004</v>
      </c>
      <c r="E149" s="234" t="s">
        <v>850</v>
      </c>
      <c r="F149" s="45" t="s">
        <v>195</v>
      </c>
      <c r="G149" s="45" t="s">
        <v>195</v>
      </c>
      <c r="H149" s="215" t="str">
        <f t="shared" si="10"/>
        <v>MEP-T09-7</v>
      </c>
      <c r="I149" s="77">
        <v>7</v>
      </c>
      <c r="J149" s="225">
        <v>1</v>
      </c>
      <c r="K149" s="225"/>
      <c r="L149" s="224"/>
      <c r="M149" s="224"/>
      <c r="N149" s="224"/>
      <c r="O149" s="224"/>
      <c r="P149" s="224"/>
      <c r="Q149" s="225"/>
      <c r="R149" s="225"/>
      <c r="S149" s="225"/>
      <c r="T149" s="225"/>
      <c r="U149" s="225"/>
    </row>
    <row r="150" spans="1:21" ht="12.75" hidden="1" customHeight="1" outlineLevel="4">
      <c r="A150" s="47"/>
      <c r="B150" s="45"/>
      <c r="C150" s="48"/>
      <c r="D150" s="231"/>
      <c r="E150" s="234"/>
      <c r="F150" s="78"/>
      <c r="G150" s="45"/>
      <c r="H150" s="215"/>
      <c r="I150" s="77"/>
      <c r="J150" s="225"/>
      <c r="K150" s="225"/>
      <c r="L150" s="224"/>
      <c r="M150" s="224"/>
      <c r="N150" s="224"/>
      <c r="O150" s="224"/>
      <c r="P150" s="224"/>
      <c r="Q150" s="225"/>
      <c r="R150" s="225"/>
      <c r="S150" s="225"/>
      <c r="T150" s="225"/>
      <c r="U150" s="225"/>
    </row>
    <row r="151" spans="1:21" ht="12.75" hidden="1" customHeight="1" outlineLevel="3">
      <c r="A151" s="47"/>
      <c r="B151" s="233" t="s">
        <v>802</v>
      </c>
      <c r="C151" s="48"/>
      <c r="D151" s="231"/>
      <c r="E151" s="234"/>
      <c r="F151" s="78"/>
      <c r="G151" s="48"/>
      <c r="H151" s="30"/>
      <c r="I151" s="77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</row>
    <row r="152" spans="1:21" ht="12.75" hidden="1" customHeight="1" outlineLevel="4">
      <c r="A152" s="47"/>
      <c r="B152" s="45" t="s">
        <v>761</v>
      </c>
      <c r="C152" s="48" t="s">
        <v>195</v>
      </c>
      <c r="D152" s="231" t="s">
        <v>851</v>
      </c>
      <c r="E152" s="234" t="s">
        <v>852</v>
      </c>
      <c r="F152" s="78"/>
      <c r="G152" s="45" t="s">
        <v>195</v>
      </c>
      <c r="H152" s="215" t="str">
        <f t="shared" ref="H152:H153" si="11">CONCATENATE("MEP-",G152,"-",I152)</f>
        <v>MEP-T09-4</v>
      </c>
      <c r="I152" s="77">
        <v>4</v>
      </c>
      <c r="J152" s="225"/>
      <c r="K152" s="225"/>
      <c r="L152" s="224">
        <v>1</v>
      </c>
      <c r="M152" s="225">
        <v>1</v>
      </c>
      <c r="N152" s="224"/>
      <c r="O152" s="224"/>
      <c r="P152" s="224"/>
      <c r="Q152" s="225">
        <v>1</v>
      </c>
      <c r="R152" s="225">
        <v>1</v>
      </c>
      <c r="S152" s="225"/>
      <c r="T152" s="225"/>
      <c r="U152" s="225"/>
    </row>
    <row r="153" spans="1:21" ht="12.75" hidden="1" customHeight="1" outlineLevel="4">
      <c r="A153" s="47"/>
      <c r="B153" s="45" t="s">
        <v>761</v>
      </c>
      <c r="C153" s="48" t="s">
        <v>195</v>
      </c>
      <c r="D153" s="231" t="s">
        <v>853</v>
      </c>
      <c r="E153" s="234" t="s">
        <v>854</v>
      </c>
      <c r="F153" s="78"/>
      <c r="G153" s="45" t="s">
        <v>195</v>
      </c>
      <c r="H153" s="215" t="str">
        <f t="shared" si="11"/>
        <v>MEP-T09-7</v>
      </c>
      <c r="I153" s="77">
        <v>7</v>
      </c>
      <c r="J153" s="225"/>
      <c r="K153" s="225"/>
      <c r="L153" s="224">
        <v>1</v>
      </c>
      <c r="M153" s="225">
        <v>1</v>
      </c>
      <c r="N153" s="224"/>
      <c r="O153" s="224"/>
      <c r="P153" s="224"/>
      <c r="Q153" s="225">
        <v>1</v>
      </c>
      <c r="R153" s="225">
        <v>1</v>
      </c>
      <c r="S153" s="225"/>
      <c r="T153" s="225"/>
      <c r="U153" s="225"/>
    </row>
    <row r="154" spans="1:21" ht="12.75" hidden="1" customHeight="1" outlineLevel="3">
      <c r="A154" s="47"/>
      <c r="B154" s="233" t="s">
        <v>855</v>
      </c>
      <c r="C154" s="48"/>
      <c r="D154" s="231"/>
      <c r="E154" s="234"/>
      <c r="F154" s="78"/>
      <c r="G154" s="48"/>
      <c r="H154" s="30"/>
      <c r="I154" s="77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</row>
    <row r="155" spans="1:21" ht="12.75" hidden="1" customHeight="1" outlineLevel="4">
      <c r="A155" s="47"/>
      <c r="B155" s="45" t="s">
        <v>761</v>
      </c>
      <c r="C155" s="48" t="s">
        <v>195</v>
      </c>
      <c r="D155" s="231" t="s">
        <v>856</v>
      </c>
      <c r="E155" s="234" t="s">
        <v>857</v>
      </c>
      <c r="F155" s="78"/>
      <c r="G155" s="45" t="s">
        <v>195</v>
      </c>
      <c r="H155" s="215" t="str">
        <f>CONCATENATE("MEP-",G155,"-",I155)</f>
        <v>MEP-T09-4</v>
      </c>
      <c r="I155" s="77">
        <v>4</v>
      </c>
      <c r="J155" s="225"/>
      <c r="K155" s="225"/>
      <c r="L155" s="224">
        <v>1</v>
      </c>
      <c r="M155" s="225">
        <v>1</v>
      </c>
      <c r="N155" s="224"/>
      <c r="O155" s="224"/>
      <c r="P155" s="224"/>
      <c r="Q155" s="225">
        <v>1</v>
      </c>
      <c r="R155" s="225">
        <v>1</v>
      </c>
      <c r="S155" s="225"/>
      <c r="T155" s="225"/>
      <c r="U155" s="225"/>
    </row>
    <row r="156" spans="1:21" ht="12.75" hidden="1" customHeight="1" outlineLevel="3">
      <c r="A156" s="47"/>
      <c r="B156" s="233" t="s">
        <v>858</v>
      </c>
      <c r="C156" s="48"/>
      <c r="D156" s="231"/>
      <c r="E156" s="234"/>
      <c r="F156" s="78"/>
      <c r="G156" s="48"/>
      <c r="H156" s="30"/>
      <c r="I156" s="77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</row>
    <row r="157" spans="1:21" ht="12.75" hidden="1" customHeight="1" outlineLevel="4">
      <c r="A157" s="47"/>
      <c r="B157" s="45" t="s">
        <v>761</v>
      </c>
      <c r="C157" s="48" t="s">
        <v>195</v>
      </c>
      <c r="D157" s="231">
        <v>1111</v>
      </c>
      <c r="E157" s="234" t="s">
        <v>859</v>
      </c>
      <c r="F157" s="78"/>
      <c r="G157" s="45" t="s">
        <v>195</v>
      </c>
      <c r="H157" s="215" t="str">
        <f>CONCATENATE("MEP-",G157,"-",I157)</f>
        <v>MEP-T09-4</v>
      </c>
      <c r="I157" s="77">
        <v>4</v>
      </c>
      <c r="J157" s="225"/>
      <c r="K157" s="225"/>
      <c r="L157" s="224">
        <v>1</v>
      </c>
      <c r="M157" s="225">
        <v>1</v>
      </c>
      <c r="N157" s="224"/>
      <c r="O157" s="224"/>
      <c r="P157" s="224"/>
      <c r="Q157" s="225">
        <v>1</v>
      </c>
      <c r="R157" s="225">
        <v>1</v>
      </c>
      <c r="S157" s="225"/>
      <c r="T157" s="225"/>
      <c r="U157" s="225"/>
    </row>
    <row r="158" spans="1:21" ht="12.75" hidden="1" customHeight="1" outlineLevel="4">
      <c r="A158" s="47"/>
      <c r="B158" s="233" t="s">
        <v>821</v>
      </c>
      <c r="C158" s="48"/>
      <c r="D158" s="236"/>
      <c r="E158" s="237"/>
      <c r="F158" s="48"/>
      <c r="G158" s="30"/>
      <c r="H158" s="77"/>
      <c r="I158" s="77"/>
      <c r="J158" s="225"/>
      <c r="K158" s="225"/>
      <c r="L158" s="224"/>
      <c r="M158" s="224"/>
      <c r="N158" s="224"/>
      <c r="O158" s="224"/>
      <c r="P158" s="224"/>
      <c r="Q158" s="225"/>
      <c r="R158" s="225"/>
      <c r="S158" s="225"/>
      <c r="T158" s="225"/>
      <c r="U158" s="225"/>
    </row>
    <row r="159" spans="1:21" ht="12.75" hidden="1" customHeight="1" outlineLevel="4">
      <c r="A159" s="47"/>
      <c r="B159" s="45" t="s">
        <v>761</v>
      </c>
      <c r="C159" s="238" t="s">
        <v>195</v>
      </c>
      <c r="D159" s="231">
        <v>4001</v>
      </c>
      <c r="E159" s="234" t="s">
        <v>860</v>
      </c>
      <c r="F159" s="239" t="s">
        <v>195</v>
      </c>
      <c r="G159" s="45" t="s">
        <v>487</v>
      </c>
      <c r="H159" s="215" t="str">
        <f t="shared" ref="H159:H165" si="12">CONCATENATE("MEP-",G159,"-",I159)</f>
        <v>MEP-SDV-4</v>
      </c>
      <c r="I159" s="77">
        <v>4</v>
      </c>
      <c r="J159" s="225"/>
      <c r="K159" s="225"/>
      <c r="L159" s="224">
        <v>1</v>
      </c>
      <c r="M159" s="225">
        <v>1</v>
      </c>
      <c r="N159" s="224"/>
      <c r="O159" s="224"/>
      <c r="P159" s="224"/>
      <c r="Q159" s="225">
        <v>1</v>
      </c>
      <c r="R159" s="225">
        <v>1</v>
      </c>
      <c r="S159" s="225"/>
      <c r="T159" s="225"/>
      <c r="U159" s="225"/>
    </row>
    <row r="160" spans="1:21" ht="12.75" hidden="1" customHeight="1" outlineLevel="4">
      <c r="A160" s="47"/>
      <c r="B160" s="45" t="s">
        <v>761</v>
      </c>
      <c r="C160" s="238" t="s">
        <v>195</v>
      </c>
      <c r="D160" s="231">
        <v>4001</v>
      </c>
      <c r="E160" s="234" t="s">
        <v>861</v>
      </c>
      <c r="F160" s="240"/>
      <c r="G160" s="45" t="s">
        <v>487</v>
      </c>
      <c r="H160" s="215" t="str">
        <f t="shared" si="12"/>
        <v>MEP-SDV-4</v>
      </c>
      <c r="I160" s="77">
        <v>4</v>
      </c>
      <c r="J160" s="225"/>
      <c r="K160" s="225"/>
      <c r="L160" s="224">
        <v>1</v>
      </c>
      <c r="M160" s="225">
        <v>1</v>
      </c>
      <c r="N160" s="224"/>
      <c r="O160" s="224"/>
      <c r="P160" s="224"/>
      <c r="Q160" s="225">
        <v>1</v>
      </c>
      <c r="R160" s="225">
        <v>1</v>
      </c>
      <c r="S160" s="225"/>
      <c r="T160" s="225"/>
      <c r="U160" s="225"/>
    </row>
    <row r="161" spans="1:21" ht="12.75" hidden="1" customHeight="1" outlineLevel="4">
      <c r="A161" s="47"/>
      <c r="B161" s="45" t="s">
        <v>761</v>
      </c>
      <c r="C161" s="238" t="s">
        <v>195</v>
      </c>
      <c r="D161" s="231">
        <v>4001</v>
      </c>
      <c r="E161" s="234" t="s">
        <v>862</v>
      </c>
      <c r="F161" s="240"/>
      <c r="G161" s="45" t="s">
        <v>487</v>
      </c>
      <c r="H161" s="215" t="str">
        <f t="shared" si="12"/>
        <v>MEP-SDV-4</v>
      </c>
      <c r="I161" s="77">
        <v>4</v>
      </c>
      <c r="J161" s="225"/>
      <c r="K161" s="225"/>
      <c r="L161" s="224">
        <v>1</v>
      </c>
      <c r="M161" s="225">
        <v>1</v>
      </c>
      <c r="N161" s="224"/>
      <c r="O161" s="224"/>
      <c r="P161" s="224"/>
      <c r="Q161" s="225">
        <v>1</v>
      </c>
      <c r="R161" s="225">
        <v>1</v>
      </c>
      <c r="S161" s="225"/>
      <c r="T161" s="225"/>
      <c r="U161" s="225"/>
    </row>
    <row r="162" spans="1:21" ht="12.75" hidden="1" customHeight="1" outlineLevel="4">
      <c r="A162" s="47"/>
      <c r="B162" s="45" t="s">
        <v>761</v>
      </c>
      <c r="C162" s="238" t="s">
        <v>195</v>
      </c>
      <c r="D162" s="231">
        <v>4001</v>
      </c>
      <c r="E162" s="234" t="s">
        <v>863</v>
      </c>
      <c r="F162" s="240"/>
      <c r="G162" s="45" t="s">
        <v>487</v>
      </c>
      <c r="H162" s="215" t="str">
        <f t="shared" si="12"/>
        <v>MEP-SDV-4</v>
      </c>
      <c r="I162" s="77">
        <v>4</v>
      </c>
      <c r="J162" s="225"/>
      <c r="K162" s="225"/>
      <c r="L162" s="224">
        <v>1</v>
      </c>
      <c r="M162" s="225">
        <v>1</v>
      </c>
      <c r="N162" s="224"/>
      <c r="O162" s="224"/>
      <c r="P162" s="224"/>
      <c r="Q162" s="225">
        <v>1</v>
      </c>
      <c r="R162" s="225">
        <v>1</v>
      </c>
      <c r="S162" s="225"/>
      <c r="T162" s="225"/>
      <c r="U162" s="225"/>
    </row>
    <row r="163" spans="1:21" ht="12.75" hidden="1" customHeight="1" outlineLevel="4">
      <c r="A163" s="47"/>
      <c r="B163" s="45" t="s">
        <v>761</v>
      </c>
      <c r="C163" s="238" t="s">
        <v>195</v>
      </c>
      <c r="D163" s="231">
        <v>4001</v>
      </c>
      <c r="E163" s="234" t="s">
        <v>864</v>
      </c>
      <c r="F163" s="240"/>
      <c r="G163" s="45" t="s">
        <v>487</v>
      </c>
      <c r="H163" s="215" t="str">
        <f t="shared" si="12"/>
        <v>MEP-SDV-4</v>
      </c>
      <c r="I163" s="77">
        <v>4</v>
      </c>
      <c r="J163" s="225"/>
      <c r="K163" s="225"/>
      <c r="L163" s="224">
        <v>1</v>
      </c>
      <c r="M163" s="225">
        <v>1</v>
      </c>
      <c r="N163" s="224"/>
      <c r="O163" s="224"/>
      <c r="P163" s="224"/>
      <c r="Q163" s="225">
        <v>1</v>
      </c>
      <c r="R163" s="225">
        <v>1</v>
      </c>
      <c r="S163" s="225"/>
      <c r="T163" s="225"/>
      <c r="U163" s="225"/>
    </row>
    <row r="164" spans="1:21" ht="12.75" hidden="1" customHeight="1" outlineLevel="4">
      <c r="A164" s="47"/>
      <c r="B164" s="45" t="s">
        <v>761</v>
      </c>
      <c r="C164" s="238" t="s">
        <v>195</v>
      </c>
      <c r="D164" s="231">
        <v>4001</v>
      </c>
      <c r="E164" s="234" t="s">
        <v>865</v>
      </c>
      <c r="F164" s="240"/>
      <c r="G164" s="45" t="s">
        <v>487</v>
      </c>
      <c r="H164" s="215" t="str">
        <f t="shared" si="12"/>
        <v>MEP-SDV-4</v>
      </c>
      <c r="I164" s="77">
        <v>4</v>
      </c>
      <c r="J164" s="225"/>
      <c r="K164" s="225"/>
      <c r="L164" s="224">
        <v>1</v>
      </c>
      <c r="M164" s="225">
        <v>1</v>
      </c>
      <c r="N164" s="224"/>
      <c r="O164" s="224"/>
      <c r="P164" s="224"/>
      <c r="Q164" s="225">
        <v>1</v>
      </c>
      <c r="R164" s="225">
        <v>1</v>
      </c>
      <c r="S164" s="225"/>
      <c r="T164" s="225"/>
      <c r="U164" s="225"/>
    </row>
    <row r="165" spans="1:21" ht="12.75" hidden="1" customHeight="1" outlineLevel="4">
      <c r="A165" s="47"/>
      <c r="B165" s="45" t="s">
        <v>761</v>
      </c>
      <c r="C165" s="238" t="s">
        <v>195</v>
      </c>
      <c r="D165" s="231">
        <v>4001</v>
      </c>
      <c r="E165" s="234" t="s">
        <v>866</v>
      </c>
      <c r="F165" s="240"/>
      <c r="G165" s="45" t="s">
        <v>487</v>
      </c>
      <c r="H165" s="215" t="str">
        <f t="shared" si="12"/>
        <v>MEP-SDV-4</v>
      </c>
      <c r="I165" s="77">
        <v>4</v>
      </c>
      <c r="J165" s="225"/>
      <c r="K165" s="225"/>
      <c r="L165" s="224">
        <v>1</v>
      </c>
      <c r="M165" s="225">
        <v>1</v>
      </c>
      <c r="N165" s="224"/>
      <c r="O165" s="224"/>
      <c r="P165" s="224"/>
      <c r="Q165" s="225">
        <v>1</v>
      </c>
      <c r="R165" s="225">
        <v>1</v>
      </c>
      <c r="S165" s="225"/>
      <c r="T165" s="225"/>
      <c r="U165" s="225"/>
    </row>
    <row r="166" spans="1:21" ht="12.75" hidden="1" customHeight="1" outlineLevel="2">
      <c r="A166" s="47"/>
      <c r="B166" s="11" t="s">
        <v>778</v>
      </c>
      <c r="C166" s="48"/>
      <c r="D166" s="231"/>
      <c r="E166" s="234"/>
      <c r="F166" s="78"/>
      <c r="G166" s="48"/>
      <c r="H166" s="30"/>
      <c r="I166" s="77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</row>
    <row r="167" spans="1:21" ht="12.75" hidden="1" customHeight="1" outlineLevel="3">
      <c r="A167" s="47"/>
      <c r="B167" s="45" t="s">
        <v>778</v>
      </c>
      <c r="C167" s="48" t="s">
        <v>778</v>
      </c>
      <c r="D167" s="231">
        <v>1101</v>
      </c>
      <c r="E167" s="234" t="s">
        <v>867</v>
      </c>
      <c r="F167" s="78"/>
      <c r="G167" s="45" t="s">
        <v>195</v>
      </c>
      <c r="H167" s="215" t="str">
        <f t="shared" ref="H167:H174" si="13">CONCATENATE("MEP-",G167,"-",I167)</f>
        <v>MEP-T09-4</v>
      </c>
      <c r="I167" s="77">
        <v>4</v>
      </c>
      <c r="J167" s="225"/>
      <c r="K167" s="225"/>
      <c r="L167" s="224">
        <v>1</v>
      </c>
      <c r="M167" s="225">
        <v>1</v>
      </c>
      <c r="N167" s="224"/>
      <c r="O167" s="224"/>
      <c r="P167" s="224"/>
      <c r="Q167" s="225">
        <v>1</v>
      </c>
      <c r="R167" s="225">
        <v>1</v>
      </c>
      <c r="S167" s="225"/>
      <c r="T167" s="225"/>
      <c r="U167" s="225"/>
    </row>
    <row r="168" spans="1:21" ht="12.75" hidden="1" customHeight="1" outlineLevel="3">
      <c r="A168" s="47"/>
      <c r="B168" s="45" t="s">
        <v>778</v>
      </c>
      <c r="C168" s="48" t="s">
        <v>195</v>
      </c>
      <c r="D168" s="231">
        <v>1103</v>
      </c>
      <c r="E168" s="234" t="s">
        <v>868</v>
      </c>
      <c r="F168" s="78"/>
      <c r="G168" s="45" t="s">
        <v>195</v>
      </c>
      <c r="H168" s="215" t="str">
        <f t="shared" si="13"/>
        <v>MEP-T09-4</v>
      </c>
      <c r="I168" s="77">
        <v>4</v>
      </c>
      <c r="J168" s="225"/>
      <c r="K168" s="225"/>
      <c r="L168" s="224">
        <v>1</v>
      </c>
      <c r="M168" s="225">
        <v>1</v>
      </c>
      <c r="N168" s="224"/>
      <c r="O168" s="224"/>
      <c r="P168" s="224"/>
      <c r="Q168" s="225">
        <v>1</v>
      </c>
      <c r="R168" s="225">
        <v>1</v>
      </c>
      <c r="S168" s="225"/>
      <c r="T168" s="225"/>
      <c r="U168" s="225"/>
    </row>
    <row r="169" spans="1:21" ht="12.75" hidden="1" customHeight="1" outlineLevel="3">
      <c r="A169" s="47"/>
      <c r="B169" s="45" t="s">
        <v>778</v>
      </c>
      <c r="C169" s="48" t="s">
        <v>195</v>
      </c>
      <c r="D169" s="231">
        <v>1105</v>
      </c>
      <c r="E169" s="234" t="s">
        <v>869</v>
      </c>
      <c r="F169" s="78"/>
      <c r="G169" s="45" t="s">
        <v>195</v>
      </c>
      <c r="H169" s="215" t="str">
        <f t="shared" si="13"/>
        <v>MEP-T09-4</v>
      </c>
      <c r="I169" s="77">
        <v>4</v>
      </c>
      <c r="J169" s="225"/>
      <c r="K169" s="225"/>
      <c r="L169" s="224">
        <v>1</v>
      </c>
      <c r="M169" s="225">
        <v>1</v>
      </c>
      <c r="N169" s="224"/>
      <c r="O169" s="224"/>
      <c r="P169" s="224"/>
      <c r="Q169" s="225">
        <v>1</v>
      </c>
      <c r="R169" s="225">
        <v>1</v>
      </c>
      <c r="S169" s="225"/>
      <c r="T169" s="225"/>
      <c r="U169" s="225"/>
    </row>
    <row r="170" spans="1:21" ht="12.75" hidden="1" customHeight="1" outlineLevel="3">
      <c r="A170" s="47"/>
      <c r="B170" s="45" t="s">
        <v>778</v>
      </c>
      <c r="C170" s="48" t="s">
        <v>195</v>
      </c>
      <c r="D170" s="231">
        <v>1107</v>
      </c>
      <c r="E170" s="234" t="s">
        <v>870</v>
      </c>
      <c r="F170" s="78"/>
      <c r="G170" s="45" t="s">
        <v>195</v>
      </c>
      <c r="H170" s="215" t="str">
        <f t="shared" si="13"/>
        <v>MEP-T09-4</v>
      </c>
      <c r="I170" s="77">
        <v>4</v>
      </c>
      <c r="J170" s="225"/>
      <c r="K170" s="225"/>
      <c r="L170" s="224">
        <v>1</v>
      </c>
      <c r="M170" s="225">
        <v>1</v>
      </c>
      <c r="N170" s="224"/>
      <c r="O170" s="224"/>
      <c r="P170" s="224"/>
      <c r="Q170" s="225">
        <v>1</v>
      </c>
      <c r="R170" s="225">
        <v>1</v>
      </c>
      <c r="S170" s="225"/>
      <c r="T170" s="225"/>
      <c r="U170" s="225"/>
    </row>
    <row r="171" spans="1:21" ht="12.75" hidden="1" customHeight="1" outlineLevel="3">
      <c r="A171" s="47"/>
      <c r="B171" s="45" t="s">
        <v>778</v>
      </c>
      <c r="C171" s="48" t="s">
        <v>195</v>
      </c>
      <c r="D171" s="231">
        <v>1109</v>
      </c>
      <c r="E171" s="234" t="s">
        <v>871</v>
      </c>
      <c r="F171" s="78"/>
      <c r="G171" s="45" t="s">
        <v>195</v>
      </c>
      <c r="H171" s="215" t="str">
        <f t="shared" si="13"/>
        <v>MEP-T09-4</v>
      </c>
      <c r="I171" s="77">
        <v>4</v>
      </c>
      <c r="J171" s="225"/>
      <c r="K171" s="225"/>
      <c r="L171" s="224">
        <v>1</v>
      </c>
      <c r="M171" s="225">
        <v>1</v>
      </c>
      <c r="N171" s="224"/>
      <c r="O171" s="224"/>
      <c r="P171" s="224"/>
      <c r="Q171" s="225">
        <v>1</v>
      </c>
      <c r="R171" s="225">
        <v>1</v>
      </c>
      <c r="S171" s="225"/>
      <c r="T171" s="225"/>
      <c r="U171" s="225"/>
    </row>
    <row r="172" spans="1:21" ht="12.75" hidden="1" customHeight="1" outlineLevel="3">
      <c r="A172" s="47"/>
      <c r="B172" s="45" t="s">
        <v>778</v>
      </c>
      <c r="C172" s="48" t="s">
        <v>195</v>
      </c>
      <c r="D172" s="231">
        <v>1109</v>
      </c>
      <c r="E172" s="234" t="s">
        <v>872</v>
      </c>
      <c r="F172" s="78"/>
      <c r="G172" s="45" t="s">
        <v>195</v>
      </c>
      <c r="H172" s="215" t="str">
        <f t="shared" si="13"/>
        <v>MEP-T09-4</v>
      </c>
      <c r="I172" s="77">
        <v>4</v>
      </c>
      <c r="J172" s="225"/>
      <c r="K172" s="225"/>
      <c r="L172" s="224">
        <v>1</v>
      </c>
      <c r="M172" s="225">
        <v>1</v>
      </c>
      <c r="N172" s="224"/>
      <c r="O172" s="224"/>
      <c r="P172" s="224"/>
      <c r="Q172" s="225">
        <v>1</v>
      </c>
      <c r="R172" s="225">
        <v>1</v>
      </c>
      <c r="S172" s="225"/>
      <c r="T172" s="225"/>
      <c r="U172" s="225"/>
    </row>
    <row r="173" spans="1:21" ht="12.75" hidden="1" customHeight="1" outlineLevel="3">
      <c r="A173" s="47"/>
      <c r="B173" s="45" t="s">
        <v>778</v>
      </c>
      <c r="C173" s="48" t="s">
        <v>195</v>
      </c>
      <c r="D173" s="231">
        <v>1109</v>
      </c>
      <c r="E173" s="234" t="s">
        <v>873</v>
      </c>
      <c r="F173" s="78"/>
      <c r="G173" s="45" t="s">
        <v>195</v>
      </c>
      <c r="H173" s="215" t="str">
        <f t="shared" si="13"/>
        <v>MEP-T09-4</v>
      </c>
      <c r="I173" s="77">
        <v>4</v>
      </c>
      <c r="J173" s="225"/>
      <c r="K173" s="225"/>
      <c r="L173" s="224">
        <v>1</v>
      </c>
      <c r="M173" s="225">
        <v>1</v>
      </c>
      <c r="N173" s="224"/>
      <c r="O173" s="224"/>
      <c r="P173" s="224"/>
      <c r="Q173" s="225">
        <v>1</v>
      </c>
      <c r="R173" s="225">
        <v>1</v>
      </c>
      <c r="S173" s="225"/>
      <c r="T173" s="225"/>
      <c r="U173" s="225"/>
    </row>
    <row r="174" spans="1:21" ht="12.75" hidden="1" customHeight="1" outlineLevel="3">
      <c r="A174" s="47"/>
      <c r="B174" s="45" t="s">
        <v>778</v>
      </c>
      <c r="C174" s="48" t="s">
        <v>195</v>
      </c>
      <c r="D174" s="231">
        <v>1109</v>
      </c>
      <c r="E174" s="234" t="s">
        <v>874</v>
      </c>
      <c r="F174" s="78"/>
      <c r="G174" s="45" t="s">
        <v>195</v>
      </c>
      <c r="H174" s="215" t="str">
        <f t="shared" si="13"/>
        <v>MEP-T09-4</v>
      </c>
      <c r="I174" s="77">
        <v>4</v>
      </c>
      <c r="J174" s="225"/>
      <c r="K174" s="225"/>
      <c r="L174" s="224">
        <v>1</v>
      </c>
      <c r="M174" s="225">
        <v>1</v>
      </c>
      <c r="N174" s="224"/>
      <c r="O174" s="224"/>
      <c r="P174" s="224"/>
      <c r="Q174" s="225">
        <v>1</v>
      </c>
      <c r="R174" s="225">
        <v>1</v>
      </c>
      <c r="S174" s="225"/>
      <c r="T174" s="225"/>
      <c r="U174" s="225"/>
    </row>
    <row r="175" spans="1:21" ht="12.75" hidden="1" customHeight="1" outlineLevel="3">
      <c r="A175" s="47"/>
      <c r="B175" s="45" t="s">
        <v>778</v>
      </c>
      <c r="C175" s="48" t="s">
        <v>195</v>
      </c>
      <c r="D175" s="231">
        <v>1107</v>
      </c>
      <c r="E175" s="234" t="s">
        <v>875</v>
      </c>
      <c r="F175" s="78"/>
      <c r="G175" s="45" t="s">
        <v>195</v>
      </c>
      <c r="H175" s="215" t="str">
        <f t="shared" ref="H175" si="14">CONCATENATE("MEP-",G175,"-",I175)</f>
        <v>MEP-T09-4</v>
      </c>
      <c r="I175" s="77">
        <v>4</v>
      </c>
      <c r="J175" s="225"/>
      <c r="K175" s="225"/>
      <c r="L175" s="224">
        <v>1</v>
      </c>
      <c r="M175" s="225">
        <v>1</v>
      </c>
      <c r="N175" s="224"/>
      <c r="O175" s="224"/>
      <c r="P175" s="224"/>
      <c r="Q175" s="225">
        <v>1</v>
      </c>
      <c r="R175" s="225">
        <v>1</v>
      </c>
      <c r="S175" s="225"/>
      <c r="T175" s="225"/>
      <c r="U175" s="225"/>
    </row>
    <row r="176" spans="1:21" ht="12.75" hidden="1" customHeight="1" outlineLevel="3">
      <c r="A176" s="47"/>
      <c r="B176" s="233" t="s">
        <v>876</v>
      </c>
      <c r="C176" s="48"/>
      <c r="D176" s="231"/>
      <c r="E176" s="234"/>
      <c r="F176" s="78"/>
      <c r="G176" s="48"/>
      <c r="H176" s="30"/>
      <c r="I176" s="77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</row>
    <row r="177" spans="1:21" ht="12.75" hidden="1" customHeight="1" outlineLevel="4">
      <c r="A177" s="47"/>
      <c r="B177" s="45" t="s">
        <v>778</v>
      </c>
      <c r="C177" s="48" t="s">
        <v>778</v>
      </c>
      <c r="D177" s="231">
        <v>1301</v>
      </c>
      <c r="E177" s="234" t="s">
        <v>877</v>
      </c>
      <c r="F177" s="78"/>
      <c r="G177" s="45" t="s">
        <v>195</v>
      </c>
      <c r="H177" s="215" t="str">
        <f>CONCATENATE("MEP-",G177,"-",I177)</f>
        <v>MEP-T09-7</v>
      </c>
      <c r="I177" s="77">
        <v>7</v>
      </c>
      <c r="J177" s="225"/>
      <c r="K177" s="225"/>
      <c r="L177" s="224">
        <v>1</v>
      </c>
      <c r="M177" s="225">
        <v>1</v>
      </c>
      <c r="N177" s="224"/>
      <c r="O177" s="224"/>
      <c r="P177" s="224"/>
      <c r="Q177" s="225">
        <v>1</v>
      </c>
      <c r="R177" s="225">
        <v>1</v>
      </c>
      <c r="S177" s="225"/>
      <c r="T177" s="225"/>
      <c r="U177" s="225"/>
    </row>
    <row r="178" spans="1:21" ht="12.75" hidden="1" customHeight="1" outlineLevel="2">
      <c r="A178" s="47"/>
      <c r="B178" s="45"/>
      <c r="C178" s="48"/>
      <c r="D178" s="231"/>
      <c r="E178" s="234"/>
      <c r="F178" s="78"/>
      <c r="G178" s="48"/>
      <c r="H178" s="30"/>
      <c r="I178" s="77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</row>
    <row r="179" spans="1:21" ht="12.75" hidden="1" customHeight="1" outlineLevel="2">
      <c r="A179" s="47"/>
      <c r="B179" s="11" t="s">
        <v>787</v>
      </c>
      <c r="C179" s="48"/>
      <c r="D179" s="231"/>
      <c r="E179" s="234"/>
      <c r="F179" s="78"/>
      <c r="G179" s="48"/>
      <c r="H179" s="30"/>
      <c r="I179" s="77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</row>
    <row r="180" spans="1:21" ht="12.75" hidden="1" customHeight="1" outlineLevel="3">
      <c r="A180" s="47"/>
      <c r="B180" s="233" t="s">
        <v>878</v>
      </c>
      <c r="C180" s="48"/>
      <c r="D180" s="231"/>
      <c r="E180" s="234"/>
      <c r="F180" s="78"/>
      <c r="G180" s="48"/>
      <c r="H180" s="30"/>
      <c r="I180" s="77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</row>
    <row r="181" spans="1:21" ht="12.75" hidden="1" customHeight="1" outlineLevel="4">
      <c r="A181" s="47"/>
      <c r="B181" s="45" t="s">
        <v>788</v>
      </c>
      <c r="C181" s="48" t="s">
        <v>195</v>
      </c>
      <c r="D181" s="231">
        <v>1301</v>
      </c>
      <c r="E181" s="234" t="s">
        <v>879</v>
      </c>
      <c r="F181" s="78"/>
      <c r="G181" s="45" t="s">
        <v>195</v>
      </c>
      <c r="H181" s="215" t="str">
        <f>CONCATENATE("MEP-",G181,"-",I181)</f>
        <v>MEP-T09-7</v>
      </c>
      <c r="I181" s="77">
        <v>7</v>
      </c>
      <c r="J181" s="225"/>
      <c r="K181" s="225"/>
      <c r="L181" s="224">
        <v>1</v>
      </c>
      <c r="M181" s="225">
        <v>1</v>
      </c>
      <c r="N181" s="224"/>
      <c r="O181" s="224"/>
      <c r="P181" s="224"/>
      <c r="Q181" s="225">
        <v>1</v>
      </c>
      <c r="R181" s="225">
        <v>1</v>
      </c>
      <c r="S181" s="225"/>
      <c r="T181" s="225"/>
      <c r="U181" s="225"/>
    </row>
    <row r="182" spans="1:21" ht="12.75" hidden="1" customHeight="1" outlineLevel="3">
      <c r="A182" s="47"/>
      <c r="B182" s="233" t="s">
        <v>802</v>
      </c>
      <c r="C182" s="48"/>
      <c r="D182" s="231"/>
      <c r="E182" s="234"/>
      <c r="F182" s="78"/>
      <c r="G182" s="48"/>
      <c r="H182" s="30"/>
      <c r="I182" s="77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</row>
    <row r="183" spans="1:21" ht="12.75" hidden="1" customHeight="1" outlineLevel="4">
      <c r="A183" s="47"/>
      <c r="B183" s="45" t="s">
        <v>788</v>
      </c>
      <c r="C183" s="48" t="s">
        <v>195</v>
      </c>
      <c r="D183" s="231">
        <v>9001</v>
      </c>
      <c r="E183" s="234" t="s">
        <v>880</v>
      </c>
      <c r="F183" s="78"/>
      <c r="G183" s="45" t="s">
        <v>195</v>
      </c>
      <c r="H183" s="215" t="str">
        <f t="shared" ref="H183:H192" si="15">CONCATENATE("MEP-",G183,"-",I183)</f>
        <v>MEP-T09-4</v>
      </c>
      <c r="I183" s="77">
        <v>4</v>
      </c>
      <c r="J183" s="224">
        <v>1</v>
      </c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</row>
    <row r="184" spans="1:21" ht="12.75" hidden="1" customHeight="1" outlineLevel="3">
      <c r="A184" s="47"/>
      <c r="B184" s="45" t="s">
        <v>788</v>
      </c>
      <c r="C184" s="48" t="s">
        <v>195</v>
      </c>
      <c r="D184" s="231" t="s">
        <v>881</v>
      </c>
      <c r="E184" s="234" t="s">
        <v>882</v>
      </c>
      <c r="F184" s="78"/>
      <c r="G184" s="45" t="s">
        <v>195</v>
      </c>
      <c r="H184" s="215" t="str">
        <f t="shared" si="15"/>
        <v>MEP-T09-4</v>
      </c>
      <c r="I184" s="77">
        <v>4</v>
      </c>
      <c r="J184" s="224">
        <v>1</v>
      </c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</row>
    <row r="185" spans="1:21" ht="12.75" hidden="1" customHeight="1" outlineLevel="3">
      <c r="A185" s="47"/>
      <c r="B185" s="45" t="s">
        <v>788</v>
      </c>
      <c r="C185" s="48" t="s">
        <v>195</v>
      </c>
      <c r="D185" s="231" t="s">
        <v>883</v>
      </c>
      <c r="E185" s="234" t="s">
        <v>884</v>
      </c>
      <c r="F185" s="78"/>
      <c r="G185" s="45" t="s">
        <v>195</v>
      </c>
      <c r="H185" s="215" t="str">
        <f t="shared" si="15"/>
        <v>MEP-T09-4</v>
      </c>
      <c r="I185" s="77">
        <v>4</v>
      </c>
      <c r="J185" s="224">
        <v>1</v>
      </c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</row>
    <row r="186" spans="1:21" ht="12.75" hidden="1" customHeight="1" outlineLevel="3">
      <c r="A186" s="47"/>
      <c r="B186" s="45" t="s">
        <v>788</v>
      </c>
      <c r="C186" s="48" t="s">
        <v>195</v>
      </c>
      <c r="D186" s="231" t="s">
        <v>885</v>
      </c>
      <c r="E186" s="234" t="s">
        <v>886</v>
      </c>
      <c r="F186" s="78"/>
      <c r="G186" s="45" t="s">
        <v>195</v>
      </c>
      <c r="H186" s="215" t="str">
        <f t="shared" si="15"/>
        <v>MEP-T09-4</v>
      </c>
      <c r="I186" s="77">
        <v>4</v>
      </c>
      <c r="J186" s="224">
        <v>1</v>
      </c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</row>
    <row r="187" spans="1:21" ht="12.75" hidden="1" customHeight="1" outlineLevel="3">
      <c r="A187" s="47"/>
      <c r="B187" s="45" t="s">
        <v>788</v>
      </c>
      <c r="C187" s="48" t="s">
        <v>195</v>
      </c>
      <c r="D187" s="231" t="s">
        <v>887</v>
      </c>
      <c r="E187" s="234" t="s">
        <v>888</v>
      </c>
      <c r="F187" s="78"/>
      <c r="G187" s="45" t="s">
        <v>195</v>
      </c>
      <c r="H187" s="215" t="str">
        <f t="shared" si="15"/>
        <v>MEP-T09-4</v>
      </c>
      <c r="I187" s="77">
        <v>4</v>
      </c>
      <c r="J187" s="224">
        <v>1</v>
      </c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</row>
    <row r="188" spans="1:21" ht="12.75" hidden="1" customHeight="1" outlineLevel="3">
      <c r="A188" s="47"/>
      <c r="B188" s="45" t="s">
        <v>788</v>
      </c>
      <c r="C188" s="48" t="s">
        <v>195</v>
      </c>
      <c r="D188" s="231" t="s">
        <v>889</v>
      </c>
      <c r="E188" s="234" t="s">
        <v>890</v>
      </c>
      <c r="F188" s="78"/>
      <c r="G188" s="45" t="s">
        <v>195</v>
      </c>
      <c r="H188" s="215" t="str">
        <f t="shared" si="15"/>
        <v>MEP-T09-4</v>
      </c>
      <c r="I188" s="77">
        <v>4</v>
      </c>
      <c r="J188" s="224">
        <v>1</v>
      </c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</row>
    <row r="189" spans="1:21" ht="12.75" hidden="1" customHeight="1" outlineLevel="3">
      <c r="A189" s="47"/>
      <c r="B189" s="45" t="s">
        <v>788</v>
      </c>
      <c r="C189" s="48" t="s">
        <v>195</v>
      </c>
      <c r="D189" s="231" t="s">
        <v>891</v>
      </c>
      <c r="E189" s="234" t="s">
        <v>892</v>
      </c>
      <c r="F189" s="78"/>
      <c r="G189" s="45" t="s">
        <v>195</v>
      </c>
      <c r="H189" s="215" t="str">
        <f t="shared" si="15"/>
        <v>MEP-T09-4</v>
      </c>
      <c r="I189" s="77">
        <v>4</v>
      </c>
      <c r="J189" s="225">
        <v>1</v>
      </c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</row>
    <row r="190" spans="1:21" ht="12.75" hidden="1" customHeight="1" outlineLevel="3">
      <c r="A190" s="47"/>
      <c r="B190" s="45" t="s">
        <v>788</v>
      </c>
      <c r="C190" s="48" t="s">
        <v>195</v>
      </c>
      <c r="D190" s="231" t="s">
        <v>893</v>
      </c>
      <c r="E190" s="234" t="s">
        <v>894</v>
      </c>
      <c r="F190" s="78"/>
      <c r="G190" s="45" t="s">
        <v>195</v>
      </c>
      <c r="H190" s="215" t="str">
        <f t="shared" si="15"/>
        <v>MEP-T09-4</v>
      </c>
      <c r="I190" s="77">
        <v>4</v>
      </c>
      <c r="J190" s="224">
        <v>1</v>
      </c>
      <c r="K190" s="225"/>
      <c r="L190" s="224"/>
      <c r="M190" s="224"/>
      <c r="N190" s="224"/>
      <c r="O190" s="224"/>
      <c r="P190" s="224"/>
      <c r="Q190" s="225"/>
      <c r="R190" s="225"/>
      <c r="S190" s="225"/>
      <c r="T190" s="225"/>
      <c r="U190" s="225"/>
    </row>
    <row r="191" spans="1:21" ht="12.75" hidden="1" customHeight="1" outlineLevel="3">
      <c r="A191" s="47"/>
      <c r="B191" s="45" t="s">
        <v>788</v>
      </c>
      <c r="C191" s="48" t="s">
        <v>195</v>
      </c>
      <c r="D191" s="231" t="s">
        <v>895</v>
      </c>
      <c r="E191" s="234" t="s">
        <v>896</v>
      </c>
      <c r="F191" s="78"/>
      <c r="G191" s="45" t="s">
        <v>195</v>
      </c>
      <c r="H191" s="215" t="str">
        <f t="shared" si="15"/>
        <v>MEP-T09-7</v>
      </c>
      <c r="I191" s="77">
        <v>7</v>
      </c>
      <c r="J191" s="225"/>
      <c r="K191" s="225"/>
      <c r="L191" s="224">
        <v>1</v>
      </c>
      <c r="M191" s="225">
        <v>1</v>
      </c>
      <c r="N191" s="224"/>
      <c r="O191" s="224"/>
      <c r="P191" s="224"/>
      <c r="Q191" s="225">
        <v>1</v>
      </c>
      <c r="R191" s="225">
        <v>1</v>
      </c>
      <c r="S191" s="225"/>
      <c r="T191" s="225"/>
      <c r="U191" s="225"/>
    </row>
    <row r="192" spans="1:21" ht="12.75" hidden="1" customHeight="1" outlineLevel="3">
      <c r="A192" s="47"/>
      <c r="B192" s="45" t="s">
        <v>788</v>
      </c>
      <c r="C192" s="48" t="s">
        <v>195</v>
      </c>
      <c r="D192" s="231" t="s">
        <v>897</v>
      </c>
      <c r="E192" s="234" t="s">
        <v>898</v>
      </c>
      <c r="F192" s="78"/>
      <c r="G192" s="45" t="s">
        <v>195</v>
      </c>
      <c r="H192" s="215" t="str">
        <f t="shared" si="15"/>
        <v>MEP-T09-7</v>
      </c>
      <c r="I192" s="77">
        <v>7</v>
      </c>
      <c r="J192" s="225"/>
      <c r="K192" s="225"/>
      <c r="L192" s="224">
        <v>1</v>
      </c>
      <c r="M192" s="225">
        <v>1</v>
      </c>
      <c r="N192" s="224"/>
      <c r="O192" s="224"/>
      <c r="P192" s="224"/>
      <c r="Q192" s="225">
        <v>1</v>
      </c>
      <c r="R192" s="225">
        <v>1</v>
      </c>
      <c r="S192" s="225"/>
      <c r="T192" s="225"/>
      <c r="U192" s="225"/>
    </row>
    <row r="193" spans="1:21" ht="12.75" hidden="1" customHeight="1" outlineLevel="2">
      <c r="A193" s="47"/>
      <c r="B193" s="45"/>
      <c r="C193" s="48"/>
      <c r="D193" s="231"/>
      <c r="E193" s="234"/>
      <c r="F193" s="78"/>
      <c r="G193" s="48"/>
      <c r="H193" s="30"/>
      <c r="I193" s="77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</row>
    <row r="194" spans="1:21" ht="12.75" hidden="1" customHeight="1" outlineLevel="2">
      <c r="A194" s="47"/>
      <c r="B194" s="11" t="s">
        <v>899</v>
      </c>
      <c r="C194" s="48"/>
      <c r="D194" s="231"/>
      <c r="E194" s="234"/>
      <c r="F194" s="78"/>
      <c r="G194" s="48"/>
      <c r="H194" s="30"/>
      <c r="I194" s="77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</row>
    <row r="195" spans="1:21" ht="12.75" hidden="1" customHeight="1" outlineLevel="3">
      <c r="A195" s="47"/>
      <c r="B195" s="45" t="s">
        <v>793</v>
      </c>
      <c r="C195" s="48" t="s">
        <v>195</v>
      </c>
      <c r="D195" s="231">
        <v>1301</v>
      </c>
      <c r="E195" s="234" t="s">
        <v>900</v>
      </c>
      <c r="F195" s="78"/>
      <c r="G195" s="45" t="s">
        <v>195</v>
      </c>
      <c r="H195" s="215" t="str">
        <f t="shared" ref="H195:H198" si="16">CONCATENATE("MEP-",G195,"-",I195)</f>
        <v>MEP-T09-10</v>
      </c>
      <c r="I195" s="77">
        <v>10</v>
      </c>
      <c r="J195" s="225"/>
      <c r="K195" s="225"/>
      <c r="L195" s="224">
        <v>1</v>
      </c>
      <c r="M195" s="225">
        <v>1</v>
      </c>
      <c r="N195" s="224"/>
      <c r="O195" s="224"/>
      <c r="P195" s="224"/>
      <c r="Q195" s="225">
        <v>1</v>
      </c>
      <c r="R195" s="225">
        <v>1</v>
      </c>
      <c r="S195" s="225"/>
      <c r="T195" s="225"/>
      <c r="U195" s="225"/>
    </row>
    <row r="196" spans="1:21" ht="12.75" hidden="1" customHeight="1" outlineLevel="3">
      <c r="A196" s="47"/>
      <c r="B196" s="45" t="s">
        <v>793</v>
      </c>
      <c r="C196" s="48" t="s">
        <v>195</v>
      </c>
      <c r="D196" s="231">
        <v>5001</v>
      </c>
      <c r="E196" s="493" t="s">
        <v>901</v>
      </c>
      <c r="F196" s="78"/>
      <c r="G196" s="45" t="s">
        <v>195</v>
      </c>
      <c r="H196" s="215" t="str">
        <f t="shared" si="16"/>
        <v>MEP-T09-NA</v>
      </c>
      <c r="I196" s="77" t="s">
        <v>257</v>
      </c>
      <c r="J196" s="225"/>
      <c r="K196" s="225"/>
      <c r="L196" s="224"/>
      <c r="M196" s="225"/>
      <c r="N196" s="224"/>
      <c r="O196" s="224"/>
      <c r="P196" s="224"/>
      <c r="Q196" s="225"/>
      <c r="R196" s="225"/>
      <c r="S196" s="225"/>
      <c r="T196" s="225"/>
      <c r="U196" s="225"/>
    </row>
    <row r="197" spans="1:21" ht="12.75" hidden="1" customHeight="1" outlineLevel="3">
      <c r="A197" s="47"/>
      <c r="B197" s="45" t="s">
        <v>793</v>
      </c>
      <c r="C197" s="48" t="s">
        <v>195</v>
      </c>
      <c r="D197" s="231" t="s">
        <v>170</v>
      </c>
      <c r="E197" s="493" t="s">
        <v>902</v>
      </c>
      <c r="F197" s="78"/>
      <c r="G197" s="45" t="s">
        <v>195</v>
      </c>
      <c r="H197" s="215" t="str">
        <f t="shared" si="16"/>
        <v>MEP-T09-NA</v>
      </c>
      <c r="I197" s="77" t="s">
        <v>257</v>
      </c>
      <c r="J197" s="225"/>
      <c r="K197" s="225"/>
      <c r="L197" s="224"/>
      <c r="M197" s="225"/>
      <c r="N197" s="224"/>
      <c r="O197" s="224"/>
      <c r="P197" s="224"/>
      <c r="Q197" s="225"/>
      <c r="R197" s="225"/>
      <c r="S197" s="225"/>
      <c r="T197" s="225"/>
      <c r="U197" s="225"/>
    </row>
    <row r="198" spans="1:21" ht="12.75" hidden="1" customHeight="1" outlineLevel="3">
      <c r="A198" s="47"/>
      <c r="B198" s="45" t="s">
        <v>793</v>
      </c>
      <c r="C198" s="48" t="s">
        <v>195</v>
      </c>
      <c r="D198" s="231">
        <v>1501</v>
      </c>
      <c r="E198" s="493" t="s">
        <v>903</v>
      </c>
      <c r="F198" s="78"/>
      <c r="G198" s="45" t="s">
        <v>195</v>
      </c>
      <c r="H198" s="215" t="str">
        <f t="shared" si="16"/>
        <v>MEP-T09-NA</v>
      </c>
      <c r="I198" s="77" t="s">
        <v>257</v>
      </c>
      <c r="J198" s="225"/>
      <c r="K198" s="225"/>
      <c r="L198" s="224"/>
      <c r="M198" s="225"/>
      <c r="N198" s="224"/>
      <c r="O198" s="224"/>
      <c r="P198" s="224"/>
      <c r="Q198" s="225"/>
      <c r="R198" s="225"/>
      <c r="S198" s="225"/>
      <c r="T198" s="225"/>
      <c r="U198" s="225"/>
    </row>
    <row r="199" spans="1:21" ht="12.75" hidden="1" customHeight="1" outlineLevel="3">
      <c r="A199" s="47"/>
      <c r="B199" s="45" t="s">
        <v>793</v>
      </c>
      <c r="C199" s="48" t="s">
        <v>195</v>
      </c>
      <c r="D199" s="231">
        <v>1011</v>
      </c>
      <c r="E199" s="324" t="s">
        <v>904</v>
      </c>
      <c r="F199" s="78"/>
      <c r="G199" s="45" t="s">
        <v>195</v>
      </c>
      <c r="H199" s="215" t="str">
        <f t="shared" ref="H199:H200" si="17">CONCATENATE("MEP-",G199,"-",I199)</f>
        <v>MEP-T09-4</v>
      </c>
      <c r="I199" s="77">
        <v>4</v>
      </c>
      <c r="J199" s="225"/>
      <c r="K199" s="225"/>
      <c r="L199" s="224">
        <v>1</v>
      </c>
      <c r="M199" s="225">
        <v>1</v>
      </c>
      <c r="N199" s="224"/>
      <c r="O199" s="224"/>
      <c r="P199" s="224"/>
      <c r="Q199" s="225">
        <v>1</v>
      </c>
      <c r="R199" s="225">
        <v>1</v>
      </c>
      <c r="S199" s="225"/>
      <c r="T199" s="225"/>
      <c r="U199" s="225"/>
    </row>
    <row r="200" spans="1:21" ht="12.75" hidden="1" customHeight="1" outlineLevel="3">
      <c r="A200" s="47"/>
      <c r="B200" s="45" t="s">
        <v>793</v>
      </c>
      <c r="C200" s="48" t="s">
        <v>195</v>
      </c>
      <c r="D200" s="231">
        <v>1014</v>
      </c>
      <c r="E200" s="324" t="s">
        <v>905</v>
      </c>
      <c r="F200" s="78"/>
      <c r="G200" s="45" t="s">
        <v>195</v>
      </c>
      <c r="H200" s="215" t="str">
        <f t="shared" si="17"/>
        <v>MEP-T09-4</v>
      </c>
      <c r="I200" s="77">
        <v>4</v>
      </c>
      <c r="J200" s="225"/>
      <c r="K200" s="225"/>
      <c r="L200" s="224">
        <v>1</v>
      </c>
      <c r="M200" s="225">
        <v>1</v>
      </c>
      <c r="N200" s="224"/>
      <c r="O200" s="224"/>
      <c r="P200" s="224"/>
      <c r="Q200" s="225">
        <v>1</v>
      </c>
      <c r="R200" s="225">
        <v>1</v>
      </c>
      <c r="S200" s="225"/>
      <c r="T200" s="225"/>
      <c r="U200" s="225"/>
    </row>
    <row r="201" spans="1:21" ht="12.75" hidden="1" customHeight="1" outlineLevel="3">
      <c r="A201" s="47"/>
      <c r="B201" s="233" t="s">
        <v>906</v>
      </c>
      <c r="C201" s="48"/>
      <c r="D201" s="231"/>
      <c r="E201" s="234"/>
      <c r="F201" s="78"/>
      <c r="G201" s="48"/>
      <c r="H201" s="30"/>
      <c r="I201" s="77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</row>
    <row r="202" spans="1:21" ht="12.75" hidden="1" customHeight="1" outlineLevel="4">
      <c r="A202" s="47"/>
      <c r="B202" s="45" t="s">
        <v>793</v>
      </c>
      <c r="C202" s="48" t="s">
        <v>195</v>
      </c>
      <c r="D202" s="231">
        <v>4011</v>
      </c>
      <c r="E202" s="324" t="s">
        <v>812</v>
      </c>
      <c r="F202" s="78"/>
      <c r="G202" s="45" t="s">
        <v>195</v>
      </c>
      <c r="H202" s="215" t="str">
        <f>CONCATENATE("MEP-",G202,"-",I202)</f>
        <v>MEP-T09-7</v>
      </c>
      <c r="I202" s="77">
        <v>7</v>
      </c>
      <c r="J202" s="225"/>
      <c r="K202" s="225"/>
      <c r="L202" s="224">
        <v>1</v>
      </c>
      <c r="M202" s="225">
        <v>1</v>
      </c>
      <c r="N202" s="224"/>
      <c r="O202" s="224"/>
      <c r="P202" s="224"/>
      <c r="Q202" s="225">
        <v>1</v>
      </c>
      <c r="R202" s="225">
        <v>1</v>
      </c>
      <c r="S202" s="225"/>
      <c r="T202" s="225"/>
      <c r="U202" s="225"/>
    </row>
    <row r="203" spans="1:21" ht="12.75" hidden="1" customHeight="1" outlineLevel="4">
      <c r="A203" s="47"/>
      <c r="B203" s="45" t="s">
        <v>793</v>
      </c>
      <c r="C203" s="48" t="s">
        <v>195</v>
      </c>
      <c r="D203" s="231">
        <v>4021</v>
      </c>
      <c r="E203" s="324" t="s">
        <v>813</v>
      </c>
      <c r="F203" s="78"/>
      <c r="G203" s="45" t="s">
        <v>195</v>
      </c>
      <c r="H203" s="215" t="str">
        <f>CONCATENATE("MEP-",G203,"-",I203)</f>
        <v>MEP-T09-7</v>
      </c>
      <c r="I203" s="77">
        <v>7</v>
      </c>
      <c r="J203" s="225"/>
      <c r="K203" s="225"/>
      <c r="L203" s="224">
        <v>1</v>
      </c>
      <c r="M203" s="225">
        <v>1</v>
      </c>
      <c r="N203" s="224"/>
      <c r="O203" s="224"/>
      <c r="P203" s="224"/>
      <c r="Q203" s="225">
        <v>1</v>
      </c>
      <c r="R203" s="225">
        <v>1</v>
      </c>
      <c r="S203" s="225"/>
      <c r="T203" s="225"/>
      <c r="U203" s="225"/>
    </row>
    <row r="204" spans="1:21" ht="12.75" hidden="1" customHeight="1" outlineLevel="4">
      <c r="A204" s="47"/>
      <c r="B204" s="45" t="s">
        <v>793</v>
      </c>
      <c r="C204" s="48" t="s">
        <v>195</v>
      </c>
      <c r="D204" s="231">
        <v>4031</v>
      </c>
      <c r="E204" s="324" t="s">
        <v>814</v>
      </c>
      <c r="F204" s="78"/>
      <c r="G204" s="45" t="s">
        <v>195</v>
      </c>
      <c r="H204" s="215" t="str">
        <f>CONCATENATE("MEP-",G204,"-",I204)</f>
        <v>MEP-T09-7</v>
      </c>
      <c r="I204" s="77">
        <v>7</v>
      </c>
      <c r="J204" s="225"/>
      <c r="K204" s="225"/>
      <c r="L204" s="224">
        <v>1</v>
      </c>
      <c r="M204" s="225">
        <v>1</v>
      </c>
      <c r="N204" s="224"/>
      <c r="O204" s="224"/>
      <c r="P204" s="224"/>
      <c r="Q204" s="225">
        <v>1</v>
      </c>
      <c r="R204" s="225">
        <v>1</v>
      </c>
      <c r="S204" s="225"/>
      <c r="T204" s="225"/>
      <c r="U204" s="225"/>
    </row>
    <row r="205" spans="1:21" ht="12.75" hidden="1" customHeight="1" outlineLevel="4">
      <c r="A205" s="47"/>
      <c r="B205" s="45" t="s">
        <v>793</v>
      </c>
      <c r="C205" s="48" t="s">
        <v>195</v>
      </c>
      <c r="D205" s="231">
        <v>4081</v>
      </c>
      <c r="E205" s="324" t="s">
        <v>815</v>
      </c>
      <c r="F205" s="78"/>
      <c r="G205" s="45" t="s">
        <v>195</v>
      </c>
      <c r="H205" s="215" t="str">
        <f>CONCATENATE("MEP-",G205,"-",I205)</f>
        <v>MEP-T09-7</v>
      </c>
      <c r="I205" s="77">
        <v>7</v>
      </c>
      <c r="J205" s="225"/>
      <c r="K205" s="225"/>
      <c r="L205" s="224">
        <v>1</v>
      </c>
      <c r="M205" s="225">
        <v>1</v>
      </c>
      <c r="N205" s="224"/>
      <c r="O205" s="224"/>
      <c r="P205" s="224"/>
      <c r="Q205" s="225">
        <v>1</v>
      </c>
      <c r="R205" s="225">
        <v>1</v>
      </c>
      <c r="S205" s="225"/>
      <c r="T205" s="225"/>
      <c r="U205" s="225"/>
    </row>
    <row r="206" spans="1:21" ht="12.75" hidden="1" customHeight="1" outlineLevel="4">
      <c r="A206" s="47"/>
      <c r="B206" s="45" t="s">
        <v>793</v>
      </c>
      <c r="C206" s="48" t="s">
        <v>195</v>
      </c>
      <c r="D206" s="231">
        <v>4083</v>
      </c>
      <c r="E206" s="324" t="s">
        <v>816</v>
      </c>
      <c r="F206" s="78"/>
      <c r="G206" s="45" t="s">
        <v>195</v>
      </c>
      <c r="H206" s="215" t="str">
        <f>CONCATENATE("MEP-",G206,"-",I206)</f>
        <v>MEP-T09-7</v>
      </c>
      <c r="I206" s="77">
        <v>7</v>
      </c>
      <c r="J206" s="225"/>
      <c r="K206" s="225"/>
      <c r="L206" s="224">
        <v>1</v>
      </c>
      <c r="M206" s="225">
        <v>1</v>
      </c>
      <c r="N206" s="224"/>
      <c r="O206" s="224"/>
      <c r="P206" s="224"/>
      <c r="Q206" s="225">
        <v>1</v>
      </c>
      <c r="R206" s="225">
        <v>1</v>
      </c>
      <c r="S206" s="225"/>
      <c r="T206" s="225"/>
      <c r="U206" s="225"/>
    </row>
    <row r="207" spans="1:21" s="57" customFormat="1" ht="12.75" hidden="1" customHeight="1">
      <c r="A207" s="60" t="s">
        <v>90</v>
      </c>
      <c r="B207" s="45"/>
      <c r="C207" s="45"/>
      <c r="D207" s="231"/>
      <c r="E207" s="234"/>
      <c r="F207" s="46"/>
      <c r="G207" s="94" t="s">
        <v>121</v>
      </c>
      <c r="H207" s="94" t="s">
        <v>122</v>
      </c>
      <c r="I207" s="95" t="s">
        <v>123</v>
      </c>
      <c r="J207" s="224"/>
      <c r="K207" s="224"/>
      <c r="L207" s="224"/>
      <c r="M207" s="224"/>
      <c r="N207" s="224"/>
      <c r="O207" s="224"/>
      <c r="P207" s="224"/>
      <c r="Q207" s="225"/>
      <c r="R207" s="225"/>
      <c r="S207" s="225"/>
      <c r="T207" s="225"/>
      <c r="U207" s="225"/>
    </row>
    <row r="208" spans="1:21" s="57" customFormat="1" ht="12.75" hidden="1" customHeight="1" outlineLevel="1">
      <c r="A208" s="53"/>
      <c r="B208" s="11" t="s">
        <v>712</v>
      </c>
      <c r="C208" s="45"/>
      <c r="D208" s="231"/>
      <c r="E208" s="234"/>
      <c r="F208" s="76"/>
      <c r="G208" s="48"/>
      <c r="H208" s="30"/>
      <c r="I208" s="77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</row>
    <row r="209" spans="1:21" s="57" customFormat="1" ht="12.75" hidden="1" customHeight="1" outlineLevel="2">
      <c r="A209" s="53"/>
      <c r="B209" s="233" t="s">
        <v>907</v>
      </c>
      <c r="C209" s="45"/>
      <c r="D209" s="231"/>
      <c r="E209" s="234"/>
      <c r="F209" s="76"/>
      <c r="G209" s="48"/>
      <c r="H209" s="30"/>
      <c r="I209" s="77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</row>
    <row r="210" spans="1:21" s="57" customFormat="1" ht="12.75" customHeight="1" outlineLevel="3">
      <c r="A210" s="53"/>
      <c r="B210" s="45" t="s">
        <v>714</v>
      </c>
      <c r="C210" s="45" t="s">
        <v>486</v>
      </c>
      <c r="D210" s="231" t="s">
        <v>908</v>
      </c>
      <c r="E210" s="234" t="s">
        <v>909</v>
      </c>
      <c r="F210" s="76"/>
      <c r="G210" s="45" t="s">
        <v>487</v>
      </c>
      <c r="H210" s="215" t="str">
        <f t="shared" ref="H210:H222" si="18">CONCATENATE("MEP-",G210,"-",I210)</f>
        <v>MEP-SDV-1</v>
      </c>
      <c r="I210" s="77">
        <v>1</v>
      </c>
      <c r="J210" s="225"/>
      <c r="K210" s="225"/>
      <c r="L210" s="224">
        <v>1</v>
      </c>
      <c r="M210" s="225">
        <v>1</v>
      </c>
      <c r="N210" s="224"/>
      <c r="O210" s="224"/>
      <c r="P210" s="224"/>
      <c r="Q210" s="225">
        <v>1</v>
      </c>
      <c r="R210" s="225">
        <v>1</v>
      </c>
      <c r="S210" s="225"/>
      <c r="T210" s="225"/>
      <c r="U210" s="225"/>
    </row>
    <row r="211" spans="1:21" s="57" customFormat="1" ht="12.75" hidden="1" customHeight="1" outlineLevel="3">
      <c r="A211" s="53"/>
      <c r="B211" s="45" t="s">
        <v>714</v>
      </c>
      <c r="C211" s="45" t="s">
        <v>486</v>
      </c>
      <c r="D211" s="231" t="s">
        <v>491</v>
      </c>
      <c r="E211" s="493" t="s">
        <v>910</v>
      </c>
      <c r="F211" s="76"/>
      <c r="G211" s="45" t="s">
        <v>487</v>
      </c>
      <c r="H211" s="215" t="str">
        <f t="shared" si="18"/>
        <v>MEP-SDV-NA</v>
      </c>
      <c r="I211" s="77" t="s">
        <v>257</v>
      </c>
      <c r="J211" s="225"/>
      <c r="K211" s="225"/>
      <c r="L211" s="224"/>
      <c r="M211" s="225"/>
      <c r="N211" s="224"/>
      <c r="O211" s="224"/>
      <c r="P211" s="224"/>
      <c r="Q211" s="225"/>
      <c r="R211" s="225"/>
      <c r="S211" s="225"/>
      <c r="T211" s="225"/>
      <c r="U211" s="225"/>
    </row>
    <row r="212" spans="1:21" s="57" customFormat="1" ht="12.75" customHeight="1" outlineLevel="3">
      <c r="A212" s="53"/>
      <c r="B212" s="45" t="s">
        <v>714</v>
      </c>
      <c r="C212" s="45" t="s">
        <v>486</v>
      </c>
      <c r="D212" s="231" t="s">
        <v>501</v>
      </c>
      <c r="E212" s="234" t="s">
        <v>911</v>
      </c>
      <c r="F212" s="76"/>
      <c r="G212" s="45" t="s">
        <v>487</v>
      </c>
      <c r="H212" s="215" t="str">
        <f t="shared" si="18"/>
        <v>MEP-SDV-1</v>
      </c>
      <c r="I212" s="77">
        <v>1</v>
      </c>
      <c r="J212" s="225"/>
      <c r="K212" s="225"/>
      <c r="L212" s="224">
        <v>1</v>
      </c>
      <c r="M212" s="225">
        <v>1</v>
      </c>
      <c r="N212" s="224"/>
      <c r="O212" s="224"/>
      <c r="P212" s="224"/>
      <c r="Q212" s="225">
        <v>1</v>
      </c>
      <c r="R212" s="225">
        <v>1</v>
      </c>
      <c r="S212" s="225"/>
      <c r="T212" s="225"/>
      <c r="U212" s="225"/>
    </row>
    <row r="213" spans="1:21" s="57" customFormat="1" ht="12.75" customHeight="1" outlineLevel="3">
      <c r="A213" s="53"/>
      <c r="B213" s="45" t="s">
        <v>714</v>
      </c>
      <c r="C213" s="45" t="s">
        <v>486</v>
      </c>
      <c r="D213" s="231" t="s">
        <v>912</v>
      </c>
      <c r="E213" s="234" t="s">
        <v>913</v>
      </c>
      <c r="F213" s="76"/>
      <c r="G213" s="45" t="s">
        <v>487</v>
      </c>
      <c r="H213" s="215" t="str">
        <f t="shared" si="18"/>
        <v>MEP-SDV-1</v>
      </c>
      <c r="I213" s="77">
        <v>1</v>
      </c>
      <c r="J213" s="225"/>
      <c r="K213" s="225"/>
      <c r="L213" s="224">
        <v>1</v>
      </c>
      <c r="M213" s="225">
        <v>1</v>
      </c>
      <c r="N213" s="225"/>
      <c r="O213" s="225"/>
      <c r="P213" s="225"/>
      <c r="Q213" s="225">
        <v>1</v>
      </c>
      <c r="R213" s="225">
        <v>1</v>
      </c>
      <c r="S213" s="225"/>
      <c r="T213" s="225"/>
      <c r="U213" s="225"/>
    </row>
    <row r="214" spans="1:21" s="57" customFormat="1" ht="12.75" hidden="1" customHeight="1" outlineLevel="3">
      <c r="A214" s="53"/>
      <c r="B214" s="45" t="s">
        <v>714</v>
      </c>
      <c r="C214" s="45" t="s">
        <v>486</v>
      </c>
      <c r="D214" s="231">
        <v>5020</v>
      </c>
      <c r="E214" s="493" t="s">
        <v>914</v>
      </c>
      <c r="F214" s="76"/>
      <c r="G214" s="45" t="s">
        <v>487</v>
      </c>
      <c r="H214" s="215" t="str">
        <f t="shared" si="18"/>
        <v>MEP-SDV-NA</v>
      </c>
      <c r="I214" s="77" t="s">
        <v>257</v>
      </c>
      <c r="J214" s="225"/>
      <c r="K214" s="225"/>
      <c r="L214" s="224"/>
      <c r="M214" s="225"/>
      <c r="N214" s="224"/>
      <c r="O214" s="224"/>
      <c r="P214" s="224"/>
      <c r="Q214" s="225"/>
      <c r="R214" s="225"/>
      <c r="S214" s="225"/>
      <c r="T214" s="225"/>
      <c r="U214" s="225"/>
    </row>
    <row r="215" spans="1:21" ht="12.75" customHeight="1" outlineLevel="3">
      <c r="A215" s="47"/>
      <c r="B215" s="45" t="s">
        <v>714</v>
      </c>
      <c r="C215" s="48" t="s">
        <v>195</v>
      </c>
      <c r="D215" s="231" t="s">
        <v>196</v>
      </c>
      <c r="E215" s="234" t="s">
        <v>915</v>
      </c>
      <c r="F215" s="78"/>
      <c r="G215" s="45" t="s">
        <v>487</v>
      </c>
      <c r="H215" s="215" t="str">
        <f>CONCATENATE("MEP-",G215,"-",I215)</f>
        <v>MEP-SDV-1</v>
      </c>
      <c r="I215" s="77">
        <v>1</v>
      </c>
      <c r="J215" s="225"/>
      <c r="K215" s="225"/>
      <c r="L215" s="224">
        <v>1</v>
      </c>
      <c r="M215" s="225">
        <v>1</v>
      </c>
      <c r="N215" s="224"/>
      <c r="O215" s="224"/>
      <c r="P215" s="224"/>
      <c r="Q215" s="225">
        <v>1</v>
      </c>
      <c r="R215" s="225">
        <v>1</v>
      </c>
      <c r="S215" s="225"/>
      <c r="T215" s="225"/>
      <c r="U215" s="225"/>
    </row>
    <row r="216" spans="1:21" s="57" customFormat="1" ht="12.75" hidden="1" customHeight="1" outlineLevel="2" collapsed="1">
      <c r="A216" s="53"/>
      <c r="B216" s="233" t="s">
        <v>916</v>
      </c>
      <c r="C216" s="45"/>
      <c r="D216" s="231"/>
      <c r="E216" s="234"/>
      <c r="F216" s="76"/>
      <c r="G216" s="48"/>
      <c r="H216" s="30"/>
      <c r="I216" s="77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</row>
    <row r="217" spans="1:21" s="57" customFormat="1" ht="12.75" hidden="1" customHeight="1" outlineLevel="3">
      <c r="A217" s="53"/>
      <c r="B217" s="45" t="s">
        <v>714</v>
      </c>
      <c r="C217" s="45" t="s">
        <v>486</v>
      </c>
      <c r="D217" s="231">
        <v>4001</v>
      </c>
      <c r="E217" s="493" t="s">
        <v>917</v>
      </c>
      <c r="F217" s="76"/>
      <c r="G217" s="45" t="s">
        <v>487</v>
      </c>
      <c r="H217" s="215" t="str">
        <f t="shared" si="18"/>
        <v>MEP-SDV-NA</v>
      </c>
      <c r="I217" s="77" t="s">
        <v>257</v>
      </c>
      <c r="J217" s="225"/>
      <c r="K217" s="225"/>
      <c r="L217" s="224"/>
      <c r="M217" s="225"/>
      <c r="N217" s="224"/>
      <c r="O217" s="224"/>
      <c r="P217" s="224"/>
      <c r="Q217" s="225"/>
      <c r="R217" s="225"/>
      <c r="S217" s="225"/>
      <c r="T217" s="225"/>
      <c r="U217" s="225"/>
    </row>
    <row r="218" spans="1:21" s="57" customFormat="1" ht="12.75" hidden="1" customHeight="1" outlineLevel="3">
      <c r="A218" s="53"/>
      <c r="B218" s="45" t="s">
        <v>714</v>
      </c>
      <c r="C218" s="45" t="s">
        <v>486</v>
      </c>
      <c r="D218" s="231">
        <v>4011</v>
      </c>
      <c r="E218" s="493" t="s">
        <v>918</v>
      </c>
      <c r="F218" s="76"/>
      <c r="G218" s="45" t="s">
        <v>487</v>
      </c>
      <c r="H218" s="215" t="str">
        <f t="shared" si="18"/>
        <v>MEP-SDV-NA</v>
      </c>
      <c r="I218" s="77" t="s">
        <v>257</v>
      </c>
      <c r="J218" s="225"/>
      <c r="K218" s="225"/>
      <c r="L218" s="224"/>
      <c r="M218" s="225"/>
      <c r="N218" s="224"/>
      <c r="O218" s="224"/>
      <c r="P218" s="224"/>
      <c r="Q218" s="225"/>
      <c r="R218" s="225"/>
      <c r="S218" s="225"/>
      <c r="T218" s="225"/>
      <c r="U218" s="225"/>
    </row>
    <row r="219" spans="1:21" s="57" customFormat="1" ht="12.75" hidden="1" customHeight="1" outlineLevel="2" collapsed="1">
      <c r="A219" s="53"/>
      <c r="B219" s="233" t="s">
        <v>919</v>
      </c>
      <c r="C219" s="45"/>
      <c r="D219" s="231"/>
      <c r="E219" s="234"/>
      <c r="F219" s="76"/>
      <c r="G219" s="48"/>
      <c r="H219" s="30"/>
      <c r="I219" s="77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</row>
    <row r="220" spans="1:21" s="57" customFormat="1" ht="12.75" hidden="1" customHeight="1" outlineLevel="4">
      <c r="A220" s="53"/>
      <c r="B220" s="45" t="s">
        <v>714</v>
      </c>
      <c r="C220" s="45" t="s">
        <v>920</v>
      </c>
      <c r="D220" s="231">
        <v>4001</v>
      </c>
      <c r="E220" s="234" t="s">
        <v>921</v>
      </c>
      <c r="F220" s="76"/>
      <c r="G220" s="45" t="s">
        <v>487</v>
      </c>
      <c r="H220" s="215" t="str">
        <f t="shared" si="18"/>
        <v>MEP-SDV-4</v>
      </c>
      <c r="I220" s="77">
        <v>4</v>
      </c>
      <c r="J220" s="225"/>
      <c r="K220" s="225"/>
      <c r="L220" s="224">
        <v>1</v>
      </c>
      <c r="M220" s="225">
        <v>1</v>
      </c>
      <c r="N220" s="225"/>
      <c r="O220" s="225"/>
      <c r="P220" s="225"/>
      <c r="Q220" s="225">
        <v>1</v>
      </c>
      <c r="R220" s="225">
        <v>1</v>
      </c>
      <c r="S220" s="225"/>
      <c r="T220" s="225"/>
      <c r="U220" s="225"/>
    </row>
    <row r="221" spans="1:21" s="57" customFormat="1" ht="12.75" hidden="1" customHeight="1" outlineLevel="4">
      <c r="A221" s="53"/>
      <c r="B221" s="45" t="s">
        <v>714</v>
      </c>
      <c r="C221" s="45" t="s">
        <v>920</v>
      </c>
      <c r="D221" s="231">
        <v>4004</v>
      </c>
      <c r="E221" s="234" t="s">
        <v>922</v>
      </c>
      <c r="F221" s="76"/>
      <c r="G221" s="45" t="s">
        <v>487</v>
      </c>
      <c r="H221" s="215" t="str">
        <f t="shared" si="18"/>
        <v>MEP-SDV-4</v>
      </c>
      <c r="I221" s="77">
        <v>4</v>
      </c>
      <c r="J221" s="225"/>
      <c r="K221" s="225"/>
      <c r="L221" s="224">
        <v>1</v>
      </c>
      <c r="M221" s="225">
        <v>1</v>
      </c>
      <c r="N221" s="224"/>
      <c r="O221" s="224"/>
      <c r="P221" s="224"/>
      <c r="Q221" s="225">
        <v>1</v>
      </c>
      <c r="R221" s="225">
        <v>1</v>
      </c>
      <c r="S221" s="225"/>
      <c r="T221" s="225"/>
      <c r="U221" s="225"/>
    </row>
    <row r="222" spans="1:21" ht="12.75" hidden="1" customHeight="1" outlineLevel="4">
      <c r="A222" s="47"/>
      <c r="B222" s="45" t="s">
        <v>714</v>
      </c>
      <c r="C222" s="48" t="s">
        <v>920</v>
      </c>
      <c r="D222" s="231">
        <v>4001</v>
      </c>
      <c r="E222" s="234" t="s">
        <v>922</v>
      </c>
      <c r="F222" s="78"/>
      <c r="G222" s="45" t="s">
        <v>487</v>
      </c>
      <c r="H222" s="215" t="str">
        <f t="shared" si="18"/>
        <v>MEP-SDV-4</v>
      </c>
      <c r="I222" s="77">
        <v>4</v>
      </c>
      <c r="J222" s="225"/>
      <c r="K222" s="225"/>
      <c r="L222" s="224">
        <v>1</v>
      </c>
      <c r="M222" s="225">
        <v>1</v>
      </c>
      <c r="N222" s="224"/>
      <c r="O222" s="224"/>
      <c r="P222" s="224"/>
      <c r="Q222" s="225">
        <v>1</v>
      </c>
      <c r="R222" s="225">
        <v>1</v>
      </c>
      <c r="S222" s="225"/>
      <c r="T222" s="225"/>
      <c r="U222" s="225"/>
    </row>
    <row r="223" spans="1:21" s="57" customFormat="1" ht="12.75" hidden="1" customHeight="1" outlineLevel="3">
      <c r="A223" s="53"/>
      <c r="B223" s="45"/>
      <c r="C223" s="45"/>
      <c r="D223" s="231"/>
      <c r="E223" s="79" t="s">
        <v>923</v>
      </c>
      <c r="F223" s="76"/>
      <c r="G223" s="48"/>
      <c r="H223" s="30"/>
      <c r="I223" s="77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</row>
    <row r="224" spans="1:21" s="57" customFormat="1" ht="12.75" hidden="1" customHeight="1" outlineLevel="3">
      <c r="A224" s="53"/>
      <c r="B224" s="45" t="s">
        <v>714</v>
      </c>
      <c r="C224" s="45"/>
      <c r="D224" s="231">
        <v>4001</v>
      </c>
      <c r="E224" s="234" t="s">
        <v>924</v>
      </c>
      <c r="F224" s="76"/>
      <c r="G224" s="45" t="s">
        <v>487</v>
      </c>
      <c r="H224" s="215" t="str">
        <f>CONCATENATE("MEP-",G224,"-",I224)</f>
        <v>MEP-SDV-4</v>
      </c>
      <c r="I224" s="77">
        <v>4</v>
      </c>
      <c r="J224" s="225">
        <v>1</v>
      </c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</row>
    <row r="225" spans="1:21" s="57" customFormat="1" ht="12.75" hidden="1" customHeight="1" outlineLevel="1">
      <c r="A225" s="53"/>
      <c r="B225" s="11" t="s">
        <v>760</v>
      </c>
      <c r="C225" s="45"/>
      <c r="D225" s="231"/>
      <c r="E225" s="234"/>
      <c r="F225" s="76"/>
      <c r="G225" s="48"/>
      <c r="H225" s="30"/>
      <c r="I225" s="77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</row>
    <row r="226" spans="1:21" s="57" customFormat="1" ht="12.75" hidden="1" customHeight="1" outlineLevel="2">
      <c r="A226" s="53"/>
      <c r="B226" s="233" t="s">
        <v>907</v>
      </c>
      <c r="C226" s="45"/>
      <c r="D226" s="231"/>
      <c r="E226" s="234"/>
      <c r="F226" s="76"/>
      <c r="G226" s="48"/>
      <c r="H226" s="30"/>
      <c r="I226" s="77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</row>
    <row r="227" spans="1:21" s="57" customFormat="1" ht="12.75" customHeight="1" outlineLevel="3">
      <c r="A227" s="53"/>
      <c r="B227" s="45" t="s">
        <v>761</v>
      </c>
      <c r="C227" s="45" t="s">
        <v>486</v>
      </c>
      <c r="D227" s="231" t="s">
        <v>196</v>
      </c>
      <c r="E227" s="234" t="s">
        <v>925</v>
      </c>
      <c r="F227" s="76"/>
      <c r="G227" s="45" t="s">
        <v>487</v>
      </c>
      <c r="H227" s="215" t="str">
        <f t="shared" ref="H227:H233" si="19">CONCATENATE("MEP-",G227,"-",I227)</f>
        <v>MEP-SDV-1</v>
      </c>
      <c r="I227" s="77">
        <v>1</v>
      </c>
      <c r="J227" s="225">
        <v>1</v>
      </c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</row>
    <row r="228" spans="1:21" s="57" customFormat="1" ht="12.75" customHeight="1" outlineLevel="3">
      <c r="A228" s="53"/>
      <c r="B228" s="45" t="s">
        <v>761</v>
      </c>
      <c r="C228" s="45" t="s">
        <v>486</v>
      </c>
      <c r="D228" s="231" t="s">
        <v>926</v>
      </c>
      <c r="E228" s="234" t="s">
        <v>927</v>
      </c>
      <c r="F228" s="76"/>
      <c r="G228" s="45" t="s">
        <v>487</v>
      </c>
      <c r="H228" s="215" t="str">
        <f t="shared" si="19"/>
        <v>MEP-SDV-1</v>
      </c>
      <c r="I228" s="77">
        <v>1</v>
      </c>
      <c r="J228" s="225">
        <v>1</v>
      </c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</row>
    <row r="229" spans="1:21" s="57" customFormat="1" ht="12.75" customHeight="1" outlineLevel="3">
      <c r="A229" s="53"/>
      <c r="B229" s="45" t="s">
        <v>761</v>
      </c>
      <c r="C229" s="45" t="s">
        <v>486</v>
      </c>
      <c r="D229" s="231" t="s">
        <v>928</v>
      </c>
      <c r="E229" s="234" t="s">
        <v>929</v>
      </c>
      <c r="F229" s="76"/>
      <c r="G229" s="45" t="s">
        <v>487</v>
      </c>
      <c r="H229" s="215" t="str">
        <f t="shared" si="19"/>
        <v>MEP-SDV-1</v>
      </c>
      <c r="I229" s="77">
        <v>1</v>
      </c>
      <c r="J229" s="224">
        <v>1</v>
      </c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</row>
    <row r="230" spans="1:21" s="57" customFormat="1" ht="12.75" customHeight="1" outlineLevel="3">
      <c r="A230" s="53"/>
      <c r="B230" s="45" t="s">
        <v>761</v>
      </c>
      <c r="C230" s="45" t="s">
        <v>486</v>
      </c>
      <c r="D230" s="231" t="s">
        <v>930</v>
      </c>
      <c r="E230" s="234" t="s">
        <v>931</v>
      </c>
      <c r="F230" s="76"/>
      <c r="G230" s="45" t="s">
        <v>487</v>
      </c>
      <c r="H230" s="215" t="str">
        <f t="shared" si="19"/>
        <v>MEP-SDV-1</v>
      </c>
      <c r="I230" s="77">
        <v>1</v>
      </c>
      <c r="J230" s="224">
        <v>1</v>
      </c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</row>
    <row r="231" spans="1:21" s="57" customFormat="1" ht="12.75" customHeight="1" outlineLevel="3">
      <c r="A231" s="53"/>
      <c r="B231" s="45" t="s">
        <v>761</v>
      </c>
      <c r="C231" s="45" t="s">
        <v>486</v>
      </c>
      <c r="D231" s="231" t="s">
        <v>912</v>
      </c>
      <c r="E231" s="234" t="s">
        <v>932</v>
      </c>
      <c r="F231" s="76"/>
      <c r="G231" s="45" t="s">
        <v>487</v>
      </c>
      <c r="H231" s="215" t="str">
        <f t="shared" si="19"/>
        <v>MEP-SDV-1</v>
      </c>
      <c r="I231" s="77">
        <v>1</v>
      </c>
      <c r="J231" s="225">
        <v>1</v>
      </c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</row>
    <row r="232" spans="1:21" s="57" customFormat="1" ht="12.75" customHeight="1" outlineLevel="3">
      <c r="A232" s="53"/>
      <c r="B232" s="45" t="s">
        <v>761</v>
      </c>
      <c r="C232" s="45" t="s">
        <v>486</v>
      </c>
      <c r="D232" s="231" t="s">
        <v>933</v>
      </c>
      <c r="E232" s="234" t="s">
        <v>934</v>
      </c>
      <c r="F232" s="76"/>
      <c r="G232" s="45" t="s">
        <v>487</v>
      </c>
      <c r="H232" s="215" t="str">
        <f t="shared" si="19"/>
        <v>MEP-SDV-1</v>
      </c>
      <c r="I232" s="77">
        <v>1</v>
      </c>
      <c r="J232" s="225">
        <v>1</v>
      </c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</row>
    <row r="233" spans="1:21" s="57" customFormat="1" ht="12.75" customHeight="1" outlineLevel="3">
      <c r="A233" s="53"/>
      <c r="B233" s="45" t="s">
        <v>761</v>
      </c>
      <c r="C233" s="45" t="s">
        <v>486</v>
      </c>
      <c r="D233" s="231" t="s">
        <v>935</v>
      </c>
      <c r="E233" s="234" t="s">
        <v>936</v>
      </c>
      <c r="F233" s="76"/>
      <c r="G233" s="45" t="s">
        <v>487</v>
      </c>
      <c r="H233" s="215" t="str">
        <f t="shared" si="19"/>
        <v>MEP-SDV-1</v>
      </c>
      <c r="I233" s="77">
        <v>1</v>
      </c>
      <c r="J233" s="225">
        <v>1</v>
      </c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</row>
    <row r="234" spans="1:21" s="57" customFormat="1" ht="12.75" customHeight="1" outlineLevel="3">
      <c r="A234" s="53"/>
      <c r="B234" s="45" t="s">
        <v>761</v>
      </c>
      <c r="C234" s="45" t="s">
        <v>486</v>
      </c>
      <c r="D234" s="231" t="s">
        <v>937</v>
      </c>
      <c r="E234" s="234" t="s">
        <v>938</v>
      </c>
      <c r="F234" s="76"/>
      <c r="G234" s="45" t="s">
        <v>487</v>
      </c>
      <c r="H234" s="215" t="str">
        <f t="shared" ref="H234" si="20">CONCATENATE("MEP-",G234,"-",I234)</f>
        <v>MEP-SDV-1</v>
      </c>
      <c r="I234" s="77">
        <v>1</v>
      </c>
      <c r="J234" s="225">
        <v>1</v>
      </c>
      <c r="K234" s="225"/>
      <c r="L234" s="224"/>
      <c r="M234" s="224"/>
      <c r="N234" s="224"/>
      <c r="O234" s="224"/>
      <c r="P234" s="224"/>
      <c r="Q234" s="225"/>
      <c r="R234" s="225"/>
      <c r="S234" s="225"/>
      <c r="T234" s="225"/>
      <c r="U234" s="225"/>
    </row>
    <row r="235" spans="1:21" s="57" customFormat="1" ht="12.75" customHeight="1" outlineLevel="3">
      <c r="A235" s="53"/>
      <c r="B235" s="45" t="s">
        <v>761</v>
      </c>
      <c r="C235" s="45" t="s">
        <v>195</v>
      </c>
      <c r="D235" s="323" t="s">
        <v>536</v>
      </c>
      <c r="E235" s="234" t="s">
        <v>939</v>
      </c>
      <c r="F235" s="76"/>
      <c r="G235" s="45" t="s">
        <v>487</v>
      </c>
      <c r="H235" s="215" t="str">
        <f t="shared" ref="H235:H236" si="21">CONCATENATE("MEP-",G235,"-",I235)</f>
        <v>MEP-SDV-1</v>
      </c>
      <c r="I235" s="77">
        <v>1</v>
      </c>
      <c r="J235" s="225"/>
      <c r="K235" s="225"/>
      <c r="L235" s="225">
        <v>1</v>
      </c>
      <c r="M235" s="225">
        <v>1</v>
      </c>
      <c r="N235" s="224"/>
      <c r="O235" s="224"/>
      <c r="P235" s="224"/>
      <c r="Q235" s="225">
        <v>1</v>
      </c>
      <c r="R235" s="225">
        <v>1</v>
      </c>
      <c r="S235" s="225"/>
      <c r="T235" s="225"/>
      <c r="U235" s="225"/>
    </row>
    <row r="236" spans="1:21" s="57" customFormat="1" ht="12.75" customHeight="1" outlineLevel="3">
      <c r="A236" s="53"/>
      <c r="B236" s="45" t="s">
        <v>761</v>
      </c>
      <c r="C236" s="45" t="s">
        <v>195</v>
      </c>
      <c r="D236" s="323" t="s">
        <v>552</v>
      </c>
      <c r="E236" s="234" t="s">
        <v>940</v>
      </c>
      <c r="F236" s="76"/>
      <c r="G236" s="45" t="s">
        <v>487</v>
      </c>
      <c r="H236" s="215" t="str">
        <f t="shared" si="21"/>
        <v>MEP-SDV-1</v>
      </c>
      <c r="I236" s="77">
        <v>1</v>
      </c>
      <c r="J236" s="225"/>
      <c r="K236" s="225"/>
      <c r="L236" s="225">
        <v>1</v>
      </c>
      <c r="M236" s="225">
        <v>1</v>
      </c>
      <c r="N236" s="224"/>
      <c r="O236" s="224"/>
      <c r="P236" s="224"/>
      <c r="Q236" s="225">
        <v>1</v>
      </c>
      <c r="R236" s="225">
        <v>1</v>
      </c>
      <c r="S236" s="225"/>
      <c r="T236" s="225"/>
      <c r="U236" s="225"/>
    </row>
    <row r="237" spans="1:21" s="57" customFormat="1" ht="12.75" hidden="1" customHeight="1" outlineLevel="2" collapsed="1">
      <c r="A237" s="233"/>
      <c r="B237" s="233" t="s">
        <v>821</v>
      </c>
      <c r="C237" s="45"/>
      <c r="D237" s="231"/>
      <c r="E237" s="234"/>
      <c r="F237" s="76"/>
      <c r="G237" s="48"/>
      <c r="H237" s="30"/>
      <c r="I237" s="77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</row>
    <row r="238" spans="1:21" s="57" customFormat="1" ht="12.75" hidden="1" customHeight="1" outlineLevel="3">
      <c r="A238" s="233"/>
      <c r="B238" s="233"/>
      <c r="C238" s="45"/>
      <c r="D238" s="231"/>
      <c r="E238" s="79" t="s">
        <v>941</v>
      </c>
      <c r="F238" s="76"/>
      <c r="G238" s="48"/>
      <c r="H238" s="30"/>
      <c r="I238" s="77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</row>
    <row r="239" spans="1:21" s="57" customFormat="1" ht="12.75" hidden="1" customHeight="1" outlineLevel="3">
      <c r="A239" s="53"/>
      <c r="B239" s="45" t="s">
        <v>761</v>
      </c>
      <c r="C239" s="45" t="s">
        <v>920</v>
      </c>
      <c r="D239" s="231">
        <v>4006</v>
      </c>
      <c r="E239" s="234" t="s">
        <v>942</v>
      </c>
      <c r="F239" s="76"/>
      <c r="G239" s="45" t="s">
        <v>487</v>
      </c>
      <c r="H239" s="215" t="str">
        <f>CONCATENATE("MEP-",G239,"-",I239)</f>
        <v>MEP-SDV-4</v>
      </c>
      <c r="I239" s="77">
        <v>4</v>
      </c>
      <c r="J239" s="225"/>
      <c r="K239" s="225"/>
      <c r="L239" s="224">
        <v>1</v>
      </c>
      <c r="M239" s="225">
        <v>1</v>
      </c>
      <c r="N239" s="224"/>
      <c r="O239" s="224"/>
      <c r="P239" s="224"/>
      <c r="Q239" s="225">
        <v>1</v>
      </c>
      <c r="R239" s="225">
        <v>1</v>
      </c>
      <c r="S239" s="225"/>
      <c r="T239" s="225"/>
      <c r="U239" s="225"/>
    </row>
    <row r="240" spans="1:21" s="57" customFormat="1" ht="12.75" hidden="1" customHeight="1" outlineLevel="3">
      <c r="A240" s="53"/>
      <c r="B240" s="45"/>
      <c r="C240" s="45"/>
      <c r="D240" s="231"/>
      <c r="E240" s="79" t="s">
        <v>943</v>
      </c>
      <c r="F240" s="76"/>
      <c r="G240" s="48"/>
      <c r="H240" s="30"/>
      <c r="I240" s="77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</row>
    <row r="241" spans="1:21" s="57" customFormat="1" ht="12.75" hidden="1" customHeight="1" outlineLevel="3">
      <c r="A241" s="53"/>
      <c r="B241" s="45" t="s">
        <v>761</v>
      </c>
      <c r="C241" s="45" t="s">
        <v>944</v>
      </c>
      <c r="D241" s="231">
        <v>4006</v>
      </c>
      <c r="E241" s="234" t="s">
        <v>945</v>
      </c>
      <c r="F241" s="76"/>
      <c r="G241" s="45" t="s">
        <v>487</v>
      </c>
      <c r="H241" s="215" t="str">
        <f>CONCATENATE("MEP-",G241,"-",I241)</f>
        <v>MEP-SDV-4</v>
      </c>
      <c r="I241" s="77">
        <v>4</v>
      </c>
      <c r="J241" s="224"/>
      <c r="K241" s="225"/>
      <c r="L241" s="224">
        <v>1</v>
      </c>
      <c r="M241" s="225">
        <v>1</v>
      </c>
      <c r="N241" s="224"/>
      <c r="O241" s="224"/>
      <c r="P241" s="224"/>
      <c r="Q241" s="225">
        <v>1</v>
      </c>
      <c r="R241" s="225">
        <v>1</v>
      </c>
      <c r="S241" s="225"/>
      <c r="T241" s="225"/>
      <c r="U241" s="225"/>
    </row>
    <row r="242" spans="1:21" s="57" customFormat="1" ht="12.75" hidden="1" customHeight="1" outlineLevel="3">
      <c r="A242" s="53"/>
      <c r="B242" s="45"/>
      <c r="C242" s="45"/>
      <c r="D242" s="231"/>
      <c r="E242" s="79" t="s">
        <v>946</v>
      </c>
      <c r="F242" s="76"/>
      <c r="G242" s="48"/>
      <c r="H242" s="30"/>
      <c r="I242" s="77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</row>
    <row r="243" spans="1:21" s="57" customFormat="1" ht="12.75" hidden="1" customHeight="1" outlineLevel="3">
      <c r="A243" s="53"/>
      <c r="B243" s="45" t="s">
        <v>761</v>
      </c>
      <c r="C243" s="45" t="s">
        <v>947</v>
      </c>
      <c r="D243" s="231">
        <v>4021</v>
      </c>
      <c r="E243" s="234" t="s">
        <v>948</v>
      </c>
      <c r="F243" s="76"/>
      <c r="G243" s="45" t="s">
        <v>487</v>
      </c>
      <c r="H243" s="215" t="str">
        <f t="shared" ref="H243" si="22">CONCATENATE("MEP-",G243,"-",I243)</f>
        <v>MEP-SDV-4</v>
      </c>
      <c r="I243" s="77">
        <v>4</v>
      </c>
      <c r="J243" s="225"/>
      <c r="K243" s="225"/>
      <c r="L243" s="224">
        <v>1</v>
      </c>
      <c r="M243" s="225">
        <v>1</v>
      </c>
      <c r="N243" s="224"/>
      <c r="O243" s="224"/>
      <c r="P243" s="224"/>
      <c r="Q243" s="225">
        <v>1</v>
      </c>
      <c r="R243" s="225">
        <v>1</v>
      </c>
      <c r="S243" s="225"/>
      <c r="T243" s="225"/>
      <c r="U243" s="225"/>
    </row>
    <row r="244" spans="1:21" s="57" customFormat="1" ht="12.75" hidden="1" customHeight="1" outlineLevel="3">
      <c r="A244" s="53"/>
      <c r="B244" s="45"/>
      <c r="C244" s="45"/>
      <c r="D244" s="231"/>
      <c r="E244" s="79" t="s">
        <v>949</v>
      </c>
      <c r="F244" s="76"/>
      <c r="G244" s="48"/>
      <c r="H244" s="30"/>
      <c r="I244" s="77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</row>
    <row r="245" spans="1:21" s="57" customFormat="1" ht="12.75" hidden="1" customHeight="1" outlineLevel="3">
      <c r="A245" s="53"/>
      <c r="B245" s="45" t="s">
        <v>761</v>
      </c>
      <c r="C245" s="45" t="s">
        <v>950</v>
      </c>
      <c r="D245" s="231">
        <v>4021</v>
      </c>
      <c r="E245" s="234" t="s">
        <v>951</v>
      </c>
      <c r="F245" s="76"/>
      <c r="G245" s="45" t="s">
        <v>487</v>
      </c>
      <c r="H245" s="215" t="str">
        <f t="shared" ref="H245" si="23">CONCATENATE("MEP-",G245,"-",I245)</f>
        <v>MEP-SDV-4</v>
      </c>
      <c r="I245" s="77">
        <v>4</v>
      </c>
      <c r="J245" s="225"/>
      <c r="K245" s="225"/>
      <c r="L245" s="224">
        <v>1</v>
      </c>
      <c r="M245" s="225">
        <v>1</v>
      </c>
      <c r="N245" s="224"/>
      <c r="O245" s="224"/>
      <c r="P245" s="224"/>
      <c r="Q245" s="225">
        <v>1</v>
      </c>
      <c r="R245" s="225">
        <v>1</v>
      </c>
      <c r="S245" s="225"/>
      <c r="T245" s="225"/>
      <c r="U245" s="225"/>
    </row>
    <row r="246" spans="1:21" s="57" customFormat="1" ht="12.75" hidden="1" customHeight="1" outlineLevel="3">
      <c r="A246" s="53"/>
      <c r="B246" s="45"/>
      <c r="C246" s="45"/>
      <c r="D246" s="231"/>
      <c r="E246" s="79" t="s">
        <v>923</v>
      </c>
      <c r="F246" s="76"/>
      <c r="G246" s="48"/>
      <c r="H246" s="30"/>
      <c r="I246" s="77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</row>
    <row r="247" spans="1:21" s="57" customFormat="1" ht="12.75" hidden="1" customHeight="1" outlineLevel="3">
      <c r="A247" s="53"/>
      <c r="B247" s="45" t="s">
        <v>761</v>
      </c>
      <c r="C247" s="45"/>
      <c r="D247" s="231"/>
      <c r="E247" s="234" t="s">
        <v>952</v>
      </c>
      <c r="F247" s="76"/>
      <c r="G247" s="45" t="s">
        <v>487</v>
      </c>
      <c r="H247" s="215" t="str">
        <f>CONCATENATE("MEP-",G247,"-",I247)</f>
        <v>MEP-SDV-4</v>
      </c>
      <c r="I247" s="77">
        <v>4</v>
      </c>
      <c r="J247" s="224">
        <v>1</v>
      </c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</row>
    <row r="248" spans="1:21" s="57" customFormat="1" ht="12.75" hidden="1" customHeight="1" outlineLevel="1" collapsed="1">
      <c r="A248" s="53"/>
      <c r="B248" s="11" t="s">
        <v>778</v>
      </c>
      <c r="C248" s="45"/>
      <c r="D248" s="231"/>
      <c r="E248" s="234"/>
      <c r="F248" s="76"/>
      <c r="G248" s="48"/>
      <c r="H248" s="30"/>
      <c r="I248" s="77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</row>
    <row r="249" spans="1:21" s="57" customFormat="1" ht="12.6" hidden="1" customHeight="1" outlineLevel="2">
      <c r="A249" s="53"/>
      <c r="B249" s="233" t="s">
        <v>919</v>
      </c>
      <c r="C249" s="45"/>
      <c r="D249" s="231"/>
      <c r="E249" s="234"/>
      <c r="F249" s="76"/>
      <c r="G249" s="48"/>
      <c r="H249" s="30"/>
      <c r="I249" s="77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</row>
    <row r="250" spans="1:21" s="57" customFormat="1" ht="12.75" hidden="1" customHeight="1" outlineLevel="3">
      <c r="A250" s="53"/>
      <c r="B250" s="45" t="s">
        <v>778</v>
      </c>
      <c r="C250" s="45" t="s">
        <v>920</v>
      </c>
      <c r="D250" s="231">
        <v>4004</v>
      </c>
      <c r="E250" s="234" t="s">
        <v>953</v>
      </c>
      <c r="F250" s="76"/>
      <c r="G250" s="45" t="s">
        <v>487</v>
      </c>
      <c r="H250" s="215" t="str">
        <f>CONCATENATE("MEP-",G250,"-",I250)</f>
        <v>MEP-SDV-4</v>
      </c>
      <c r="I250" s="77">
        <v>4</v>
      </c>
      <c r="J250" s="225"/>
      <c r="K250" s="225"/>
      <c r="L250" s="224">
        <v>1</v>
      </c>
      <c r="M250" s="225">
        <v>1</v>
      </c>
      <c r="N250" s="224"/>
      <c r="O250" s="224"/>
      <c r="P250" s="224"/>
      <c r="Q250" s="225">
        <v>1</v>
      </c>
      <c r="R250" s="225">
        <v>1</v>
      </c>
      <c r="S250" s="225"/>
      <c r="T250" s="225"/>
      <c r="U250" s="225"/>
    </row>
    <row r="251" spans="1:21" s="57" customFormat="1" ht="12.75" hidden="1" customHeight="1" outlineLevel="3">
      <c r="A251" s="53"/>
      <c r="B251" s="45" t="s">
        <v>778</v>
      </c>
      <c r="C251" s="45" t="s">
        <v>954</v>
      </c>
      <c r="D251" s="231">
        <v>9006</v>
      </c>
      <c r="E251" s="234" t="s">
        <v>955</v>
      </c>
      <c r="F251" s="76"/>
      <c r="G251" s="45" t="s">
        <v>487</v>
      </c>
      <c r="H251" s="215" t="str">
        <f>CONCATENATE("MEP-",G251,"-",I251)</f>
        <v>MEP-SDV-4</v>
      </c>
      <c r="I251" s="77">
        <v>4</v>
      </c>
      <c r="J251" s="225"/>
      <c r="K251" s="225"/>
      <c r="L251" s="224">
        <v>1</v>
      </c>
      <c r="M251" s="225">
        <v>1</v>
      </c>
      <c r="N251" s="224"/>
      <c r="O251" s="224"/>
      <c r="P251" s="224"/>
      <c r="Q251" s="225">
        <v>1</v>
      </c>
      <c r="R251" s="225">
        <v>1</v>
      </c>
      <c r="S251" s="225"/>
      <c r="T251" s="225"/>
      <c r="U251" s="225"/>
    </row>
    <row r="252" spans="1:21" s="57" customFormat="1" ht="12.75" hidden="1" customHeight="1" outlineLevel="1">
      <c r="A252" s="53"/>
      <c r="B252" s="11" t="s">
        <v>787</v>
      </c>
      <c r="C252" s="45"/>
      <c r="D252" s="231"/>
      <c r="E252" s="234"/>
      <c r="F252" s="76"/>
      <c r="G252" s="48"/>
      <c r="H252" s="30"/>
      <c r="I252" s="77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</row>
    <row r="253" spans="1:21" s="57" customFormat="1" ht="12.75" customHeight="1" outlineLevel="2">
      <c r="A253" s="53"/>
      <c r="B253" s="45" t="s">
        <v>788</v>
      </c>
      <c r="C253" s="45" t="s">
        <v>486</v>
      </c>
      <c r="D253" s="231" t="s">
        <v>196</v>
      </c>
      <c r="E253" s="234" t="s">
        <v>956</v>
      </c>
      <c r="F253" s="76"/>
      <c r="G253" s="45" t="s">
        <v>487</v>
      </c>
      <c r="H253" s="215" t="str">
        <f>CONCATENATE("MEP-",G253,"-",I253)</f>
        <v>MEP-SDV-1</v>
      </c>
      <c r="I253" s="77">
        <v>1</v>
      </c>
      <c r="J253" s="224">
        <v>1</v>
      </c>
      <c r="K253" s="225"/>
      <c r="L253" s="224"/>
      <c r="M253" s="224"/>
      <c r="N253" s="224"/>
      <c r="O253" s="224"/>
      <c r="P253" s="224"/>
      <c r="Q253" s="224"/>
      <c r="R253" s="225"/>
      <c r="S253" s="225"/>
      <c r="T253" s="225"/>
      <c r="U253" s="225"/>
    </row>
    <row r="254" spans="1:21" s="57" customFormat="1" ht="12.75" hidden="1" customHeight="1" outlineLevel="1">
      <c r="A254" s="53"/>
      <c r="B254" s="11" t="s">
        <v>899</v>
      </c>
      <c r="C254" s="45"/>
      <c r="D254" s="231"/>
      <c r="E254" s="234"/>
      <c r="F254" s="76"/>
      <c r="G254" s="48"/>
      <c r="H254" s="30"/>
      <c r="I254" s="77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</row>
    <row r="255" spans="1:21" s="57" customFormat="1" ht="12.75" hidden="1" customHeight="1" outlineLevel="2">
      <c r="A255" s="53"/>
      <c r="B255" s="233" t="s">
        <v>907</v>
      </c>
      <c r="C255" s="45"/>
      <c r="D255" s="231"/>
      <c r="E255" s="234"/>
      <c r="F255" s="76"/>
      <c r="G255" s="48"/>
      <c r="H255" s="30"/>
      <c r="I255" s="77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</row>
    <row r="256" spans="1:21" s="57" customFormat="1" ht="12.75" customHeight="1" outlineLevel="3">
      <c r="A256" s="53"/>
      <c r="B256" s="45" t="s">
        <v>793</v>
      </c>
      <c r="C256" s="45" t="s">
        <v>486</v>
      </c>
      <c r="D256" s="231" t="s">
        <v>957</v>
      </c>
      <c r="E256" s="234" t="s">
        <v>958</v>
      </c>
      <c r="F256" s="76"/>
      <c r="G256" s="45" t="s">
        <v>487</v>
      </c>
      <c r="H256" s="215" t="str">
        <f t="shared" ref="H256:H259" si="24">CONCATENATE("MEP-",G256,"-",I256)</f>
        <v>MEP-SDV-1</v>
      </c>
      <c r="I256" s="77">
        <v>1</v>
      </c>
      <c r="J256" s="225"/>
      <c r="K256" s="225"/>
      <c r="L256" s="224">
        <v>1</v>
      </c>
      <c r="M256" s="225">
        <v>1</v>
      </c>
      <c r="N256" s="225"/>
      <c r="O256" s="225"/>
      <c r="P256" s="225"/>
      <c r="Q256" s="225"/>
      <c r="R256" s="225"/>
      <c r="S256" s="225"/>
      <c r="T256" s="225"/>
      <c r="U256" s="225"/>
    </row>
    <row r="257" spans="1:21" s="57" customFormat="1" ht="12.75" customHeight="1" outlineLevel="3">
      <c r="A257" s="53"/>
      <c r="B257" s="45" t="s">
        <v>793</v>
      </c>
      <c r="C257" s="45" t="s">
        <v>486</v>
      </c>
      <c r="D257" s="231" t="s">
        <v>491</v>
      </c>
      <c r="E257" s="234" t="s">
        <v>959</v>
      </c>
      <c r="F257" s="76"/>
      <c r="G257" s="45" t="s">
        <v>487</v>
      </c>
      <c r="H257" s="215" t="str">
        <f t="shared" si="24"/>
        <v>MEP-SDV-1</v>
      </c>
      <c r="I257" s="77">
        <v>1</v>
      </c>
      <c r="J257" s="225"/>
      <c r="K257" s="225"/>
      <c r="L257" s="224">
        <v>1</v>
      </c>
      <c r="M257" s="225">
        <v>1</v>
      </c>
      <c r="N257" s="224"/>
      <c r="O257" s="224"/>
      <c r="P257" s="224"/>
      <c r="Q257" s="225"/>
      <c r="R257" s="225"/>
      <c r="S257" s="225"/>
      <c r="T257" s="225"/>
      <c r="U257" s="225"/>
    </row>
    <row r="258" spans="1:21" s="57" customFormat="1" ht="12.75" customHeight="1" outlineLevel="3">
      <c r="A258" s="53"/>
      <c r="B258" s="45" t="s">
        <v>793</v>
      </c>
      <c r="C258" s="45" t="s">
        <v>486</v>
      </c>
      <c r="D258" s="231" t="s">
        <v>501</v>
      </c>
      <c r="E258" s="234" t="s">
        <v>960</v>
      </c>
      <c r="F258" s="76"/>
      <c r="G258" s="45" t="s">
        <v>487</v>
      </c>
      <c r="H258" s="215" t="str">
        <f t="shared" si="24"/>
        <v>MEP-SDV-1</v>
      </c>
      <c r="I258" s="77">
        <v>1</v>
      </c>
      <c r="J258" s="225"/>
      <c r="K258" s="225"/>
      <c r="L258" s="224">
        <v>1</v>
      </c>
      <c r="M258" s="225">
        <v>1</v>
      </c>
      <c r="N258" s="224"/>
      <c r="O258" s="224"/>
      <c r="P258" s="224"/>
      <c r="Q258" s="225"/>
      <c r="R258" s="225"/>
      <c r="S258" s="225"/>
      <c r="T258" s="225"/>
      <c r="U258" s="225"/>
    </row>
    <row r="259" spans="1:21" s="57" customFormat="1" ht="12.75" customHeight="1" outlineLevel="3">
      <c r="A259" s="53"/>
      <c r="B259" s="45" t="s">
        <v>793</v>
      </c>
      <c r="C259" s="45" t="s">
        <v>486</v>
      </c>
      <c r="D259" s="231" t="s">
        <v>912</v>
      </c>
      <c r="E259" s="234" t="s">
        <v>961</v>
      </c>
      <c r="F259" s="76"/>
      <c r="G259" s="45" t="s">
        <v>487</v>
      </c>
      <c r="H259" s="215" t="str">
        <f t="shared" si="24"/>
        <v>MEP-SDV-1</v>
      </c>
      <c r="I259" s="77">
        <v>1</v>
      </c>
      <c r="J259" s="225"/>
      <c r="K259" s="225"/>
      <c r="L259" s="224">
        <v>1</v>
      </c>
      <c r="M259" s="225">
        <v>1</v>
      </c>
      <c r="N259" s="224"/>
      <c r="O259" s="224"/>
      <c r="P259" s="224"/>
      <c r="Q259" s="225"/>
      <c r="R259" s="225"/>
      <c r="S259" s="225"/>
      <c r="T259" s="225"/>
      <c r="U259" s="225"/>
    </row>
    <row r="260" spans="1:21" s="57" customFormat="1" ht="12.75" hidden="1" customHeight="1" outlineLevel="1">
      <c r="A260" s="60"/>
      <c r="B260" s="241"/>
      <c r="C260" s="45"/>
      <c r="D260" s="231"/>
      <c r="E260" s="234"/>
      <c r="F260" s="46"/>
      <c r="G260" s="46"/>
      <c r="H260" s="46"/>
      <c r="I260" s="232"/>
      <c r="J260" s="224"/>
      <c r="K260" s="224"/>
      <c r="L260" s="224"/>
      <c r="M260" s="224"/>
      <c r="N260" s="224"/>
      <c r="O260" s="224"/>
      <c r="P260" s="224"/>
      <c r="Q260" s="224"/>
    </row>
  </sheetData>
  <autoFilter ref="A5:U260" xr:uid="{7C3EEEF0-E660-428F-AD1E-E226572B89A7}">
    <filterColumn colId="7">
      <filters>
        <filter val="MEP-SDV-1"/>
      </filters>
    </filterColumn>
  </autoFilter>
  <mergeCells count="6">
    <mergeCell ref="Q2:Q4"/>
    <mergeCell ref="G2:G4"/>
    <mergeCell ref="H2:H4"/>
    <mergeCell ref="I2:I4"/>
    <mergeCell ref="J2:K2"/>
    <mergeCell ref="L2:L4"/>
  </mergeCells>
  <phoneticPr fontId="37" type="noConversion"/>
  <conditionalFormatting sqref="B10:I261">
    <cfRule type="expression" dxfId="0" priority="1">
      <formula>AND($L10=1,$Q10&lt;&gt;1)</formula>
    </cfRule>
  </conditionalFormatting>
  <conditionalFormatting sqref="J6:J30 L52:M52 L58:M58 L60:M62 L66:M66 L69:M69 L72:M74 L76:M76 L78:M78 L80:M82 L86:M86 L90:M90 L25:P25 L30:P30 L41:P43 O52:P52 O58:P58 O60:P62 O66:P66 O69:P69 O72:P74 O76:P76 O78:P78 O80:P82 O86:P86 O90:P90 L6:Q9 Q16:Q32 Q11:Q14 Q38:Q43 Q34:Q36 J32:J94">
    <cfRule type="iconSet" priority="70988">
      <iconSet iconSet="3Symbols2" showValue="0">
        <cfvo type="percent" val="0"/>
        <cfvo type="num" val="0"/>
        <cfvo type="num" val="1"/>
      </iconSet>
    </cfRule>
  </conditionalFormatting>
  <conditionalFormatting sqref="J31">
    <cfRule type="iconSet" priority="256">
      <iconSet iconSet="3Symbols2" showValue="0">
        <cfvo type="percent" val="0"/>
        <cfvo type="num" val="0"/>
        <cfvo type="num" val="1"/>
      </iconSet>
    </cfRule>
  </conditionalFormatting>
  <conditionalFormatting sqref="J223:J224 L223:M224 O223:P224">
    <cfRule type="iconSet" priority="2473">
      <iconSet iconSet="3Symbols2" showValue="0">
        <cfvo type="percent" val="0"/>
        <cfvo type="num" val="0"/>
        <cfvo type="num" val="1"/>
      </iconSet>
    </cfRule>
  </conditionalFormatting>
  <conditionalFormatting sqref="J225:J245 J1:J5 J248:J1048576 L99 L101 L103:L108 L110:L114 L142 L145 L152:L153 L155 L157 L159:L165 L167:L175 L177 L181:L189 L191:L192 L195:L200 L202:L206 L210:L215 L217:L218 L220:L222 L239 L243 L245 L250:L251 L256:L259 L95:M98 L100:M100 L102:M102 L109:M109 L115:M115 L119:M119 L131:M132 L134:M141 L143:M144 L146:M151 L154:M154 L156:M156 L158:M158 L166:M166 L176:M176 L178:M180 L190:M190 L193:M194 L201:M201 L207:M209 L216:M216 L219:M219 L225:M226 L231:M238 L240:M240 L242:M242 L244:M244 L248:M249 L252:M255 L227:P230 L260:P1048576 L1:Q5 M182:P189 O134:P181 O190:P222 O225:P226 O231:P240 O242:P245 O248:P259 Q252:Q1048576 J95:J222 L116:L118 O95:P132 L120:L130">
    <cfRule type="iconSet" priority="70473">
      <iconSet iconSet="3Symbols2" showValue="0">
        <cfvo type="percent" val="0"/>
        <cfvo type="num" val="0"/>
        <cfvo type="num" val="1"/>
      </iconSet>
    </cfRule>
  </conditionalFormatting>
  <conditionalFormatting sqref="J246 L246:M247 O246:P247">
    <cfRule type="iconSet" priority="2472">
      <iconSet iconSet="3Symbols2" showValue="0">
        <cfvo type="percent" val="0"/>
        <cfvo type="num" val="0"/>
        <cfvo type="num" val="1"/>
      </iconSet>
    </cfRule>
  </conditionalFormatting>
  <conditionalFormatting sqref="J247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L26:L29 N26:P29">
    <cfRule type="iconSet" priority="70764">
      <iconSet iconSet="3Symbols2" showValue="0">
        <cfvo type="percent" val="0"/>
        <cfvo type="num" val="0"/>
        <cfvo type="num" val="1"/>
      </iconSet>
    </cfRule>
  </conditionalFormatting>
  <conditionalFormatting sqref="L33:L34 O33:P34">
    <cfRule type="iconSet" priority="179">
      <iconSet iconSet="3Symbols2" showValue="0">
        <cfvo type="percent" val="0"/>
        <cfvo type="num" val="0"/>
        <cfvo type="num" val="1"/>
      </iconSet>
    </cfRule>
  </conditionalFormatting>
  <conditionalFormatting sqref="L37:L40 O37:P40">
    <cfRule type="iconSet" priority="178">
      <iconSet iconSet="3Symbols2" showValue="0">
        <cfvo type="percent" val="0"/>
        <cfvo type="num" val="0"/>
        <cfvo type="num" val="1"/>
      </iconSet>
    </cfRule>
  </conditionalFormatting>
  <conditionalFormatting sqref="L44:L51 O44:P51">
    <cfRule type="iconSet" priority="177">
      <iconSet iconSet="3Symbols2" showValue="0">
        <cfvo type="percent" val="0"/>
        <cfvo type="num" val="0"/>
        <cfvo type="num" val="1"/>
      </iconSet>
    </cfRule>
  </conditionalFormatting>
  <conditionalFormatting sqref="L53:L55 O53:P55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L56:L57 O56:P57">
    <cfRule type="iconSet" priority="175">
      <iconSet iconSet="3Symbols2" showValue="0">
        <cfvo type="percent" val="0"/>
        <cfvo type="num" val="0"/>
        <cfvo type="num" val="1"/>
      </iconSet>
    </cfRule>
  </conditionalFormatting>
  <conditionalFormatting sqref="L59 O59:P59">
    <cfRule type="iconSet" priority="174">
      <iconSet iconSet="3Symbols2" showValue="0">
        <cfvo type="percent" val="0"/>
        <cfvo type="num" val="0"/>
        <cfvo type="num" val="1"/>
      </iconSet>
    </cfRule>
  </conditionalFormatting>
  <conditionalFormatting sqref="L63:L65 O63:P65">
    <cfRule type="iconSet" priority="173">
      <iconSet iconSet="3Symbols2" showValue="0">
        <cfvo type="percent" val="0"/>
        <cfvo type="num" val="0"/>
        <cfvo type="num" val="1"/>
      </iconSet>
    </cfRule>
  </conditionalFormatting>
  <conditionalFormatting sqref="L67:L68 O67:P68">
    <cfRule type="iconSet" priority="172">
      <iconSet iconSet="3Symbols2" showValue="0">
        <cfvo type="percent" val="0"/>
        <cfvo type="num" val="0"/>
        <cfvo type="num" val="1"/>
      </iconSet>
    </cfRule>
  </conditionalFormatting>
  <conditionalFormatting sqref="L70:L71 O70:P71">
    <cfRule type="iconSet" priority="171">
      <iconSet iconSet="3Symbols2" showValue="0">
        <cfvo type="percent" val="0"/>
        <cfvo type="num" val="0"/>
        <cfvo type="num" val="1"/>
      </iconSet>
    </cfRule>
  </conditionalFormatting>
  <conditionalFormatting sqref="L75 O75:P75">
    <cfRule type="iconSet" priority="170">
      <iconSet iconSet="3Symbols2" showValue="0">
        <cfvo type="percent" val="0"/>
        <cfvo type="num" val="0"/>
        <cfvo type="num" val="1"/>
      </iconSet>
    </cfRule>
  </conditionalFormatting>
  <conditionalFormatting sqref="L77 O77:P77">
    <cfRule type="iconSet" priority="169">
      <iconSet iconSet="3Symbols2" showValue="0">
        <cfvo type="percent" val="0"/>
        <cfvo type="num" val="0"/>
        <cfvo type="num" val="1"/>
      </iconSet>
    </cfRule>
  </conditionalFormatting>
  <conditionalFormatting sqref="L79 O79:P79">
    <cfRule type="iconSet" priority="168">
      <iconSet iconSet="3Symbols2" showValue="0">
        <cfvo type="percent" val="0"/>
        <cfvo type="num" val="0"/>
        <cfvo type="num" val="1"/>
      </iconSet>
    </cfRule>
  </conditionalFormatting>
  <conditionalFormatting sqref="L83:L85 O83:P85">
    <cfRule type="iconSet" priority="167">
      <iconSet iconSet="3Symbols2" showValue="0">
        <cfvo type="percent" val="0"/>
        <cfvo type="num" val="0"/>
        <cfvo type="num" val="1"/>
      </iconSet>
    </cfRule>
  </conditionalFormatting>
  <conditionalFormatting sqref="L87:L89 O87:P89">
    <cfRule type="iconSet" priority="166">
      <iconSet iconSet="3Symbols2" showValue="0">
        <cfvo type="percent" val="0"/>
        <cfvo type="num" val="0"/>
        <cfvo type="num" val="1"/>
      </iconSet>
    </cfRule>
  </conditionalFormatting>
  <conditionalFormatting sqref="L91:L94 O91:P94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L133 O133:P133">
    <cfRule type="iconSet" priority="161">
      <iconSet iconSet="3Symbols2" showValue="0">
        <cfvo type="percent" val="0"/>
        <cfvo type="num" val="0"/>
        <cfvo type="num" val="1"/>
      </iconSet>
    </cfRule>
  </conditionalFormatting>
  <conditionalFormatting sqref="L241 O241:P241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L10:M14 L15:P24 O10:P14">
    <cfRule type="iconSet" priority="70979">
      <iconSet iconSet="3Symbols2" showValue="0">
        <cfvo type="percent" val="0"/>
        <cfvo type="num" val="0"/>
        <cfvo type="num" val="1"/>
      </iconSet>
    </cfRule>
  </conditionalFormatting>
  <conditionalFormatting sqref="L35:M36 O35:P36">
    <cfRule type="iconSet" priority="260">
      <iconSet iconSet="3Symbols2" showValue="0">
        <cfvo type="percent" val="0"/>
        <cfvo type="num" val="0"/>
        <cfvo type="num" val="1"/>
      </iconSet>
    </cfRule>
  </conditionalFormatting>
  <conditionalFormatting sqref="L31:P32">
    <cfRule type="iconSet" priority="70534">
      <iconSet iconSet="3Symbols2" showValue="0">
        <cfvo type="percent" val="0"/>
        <cfvo type="num" val="0"/>
        <cfvo type="num" val="1"/>
      </iconSet>
    </cfRule>
  </conditionalFormatting>
  <conditionalFormatting sqref="M26:M29 M33:M34 M37:M40 M44:M51 M53:M57 M59 M67:M68 M70:M71 M75 M77 M79 M83:M85 M87:M89 M99 M101 M103:M108 M110:M114 M133 M142 M145 M152:M153 M155 M157 M159:M165 M167:M175 M177 M181 M191:M192 M195:M200 M202:M206 M210:M215 M217:M218 M220:M222 M239 M241 M243 M245 M250:M251 M256:M259 M116:M118 M120:M130 M91:M94 M63:M65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N33:N34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N35:N36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N37:N40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N44:N51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N52 N58 N60:N62 N66 N69 N72:N74 N76 N78 N80:N82 N86 N90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N53:N55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N56:N57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N59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N63:N65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N67:N68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N70:N71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N75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N77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N79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N83:N85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N87:N8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N91:N94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N133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N134:N181 N190:N222 N225:N226 N231:N240 N242:N245 N248:N259 N95:N132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N223:N224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N241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N246:N247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Q10 R8:U259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Q15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Q33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Q37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Q120:Q123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Q134:Q136 Q138:Q141 Q143 Q146:Q149 Q183:Q190 Q224 Q227:Q234 Q247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Q137 Q142 Q144:Q145 Q150:Q182 Q191:Q223 Q225:Q226 Q235:Q246 Q248:Q251 Q124:Q133 Q44:Q119">
    <cfRule type="iconSet" priority="71114">
      <iconSet iconSet="3Symbols2" showValue="0">
        <cfvo type="percent" val="0"/>
        <cfvo type="num" val="0"/>
        <cfvo type="num" val="1"/>
      </iconSet>
    </cfRule>
  </conditionalFormatting>
  <conditionalFormatting sqref="R4:U4">
    <cfRule type="iconSet" priority="3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scale="51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2B11-4BAB-4254-AEE3-27C251028F79}">
  <sheetPr codeName="Sheet5">
    <outlinePr summaryBelow="0" summaryRight="0"/>
  </sheetPr>
  <dimension ref="A1:U43"/>
  <sheetViews>
    <sheetView zoomScale="70" zoomScaleNormal="70" workbookViewId="0">
      <pane xSplit="5" ySplit="4" topLeftCell="P5" activePane="bottomRight" state="frozen"/>
      <selection pane="topRight" activeCell="F1" sqref="F1"/>
      <selection pane="bottomLeft" activeCell="A5" sqref="A5"/>
      <selection pane="bottomRight" activeCell="P51" sqref="P51"/>
    </sheetView>
  </sheetViews>
  <sheetFormatPr defaultColWidth="8.5546875" defaultRowHeight="13.2" outlineLevelRow="2"/>
  <cols>
    <col min="1" max="1" width="10.44140625" style="55" customWidth="1"/>
    <col min="2" max="2" width="3.44140625" style="56" bestFit="1" customWidth="1"/>
    <col min="3" max="3" width="9" style="56" customWidth="1"/>
    <col min="4" max="4" width="7" style="59" customWidth="1"/>
    <col min="5" max="5" width="42" style="55" bestFit="1" customWidth="1"/>
    <col min="6" max="6" width="0.5546875" style="55" customWidth="1"/>
    <col min="7" max="7" width="8.44140625" style="55" bestFit="1" customWidth="1"/>
    <col min="8" max="8" width="11.44140625" style="55" bestFit="1" customWidth="1"/>
    <col min="9" max="9" width="5.5546875" style="80" bestFit="1" customWidth="1"/>
    <col min="10" max="10" width="10" style="58" bestFit="1" customWidth="1"/>
    <col min="11" max="11" width="8" style="58" customWidth="1"/>
    <col min="12" max="12" width="10.44140625" style="58" bestFit="1" customWidth="1"/>
    <col min="13" max="16" width="10.44140625" style="58" customWidth="1"/>
    <col min="17" max="17" width="10.44140625" style="58" bestFit="1" customWidth="1"/>
    <col min="18" max="16384" width="8.5546875" style="55"/>
  </cols>
  <sheetData>
    <row r="1" spans="1:21" s="4" customFormat="1" ht="7.35" customHeight="1">
      <c r="A1" s="60"/>
      <c r="B1" s="61"/>
      <c r="C1" s="62"/>
      <c r="D1" s="63"/>
      <c r="E1" s="61"/>
      <c r="F1" s="64"/>
      <c r="G1" s="61"/>
      <c r="H1" s="65"/>
      <c r="I1" s="65"/>
      <c r="J1" s="66"/>
      <c r="K1" s="67"/>
      <c r="L1" s="68"/>
      <c r="M1" s="68"/>
      <c r="N1" s="68"/>
      <c r="O1" s="68"/>
      <c r="P1" s="68"/>
      <c r="Q1" s="69"/>
    </row>
    <row r="2" spans="1:21" s="4" customFormat="1" ht="12.75" customHeight="1">
      <c r="A2" s="60" t="s">
        <v>120</v>
      </c>
      <c r="B2" s="61"/>
      <c r="C2" s="62"/>
      <c r="D2" s="63"/>
      <c r="E2" s="61"/>
      <c r="F2" s="64"/>
      <c r="G2" s="523" t="s">
        <v>121</v>
      </c>
      <c r="H2" s="523" t="s">
        <v>122</v>
      </c>
      <c r="I2" s="524" t="s">
        <v>123</v>
      </c>
      <c r="J2" s="524" t="s">
        <v>124</v>
      </c>
      <c r="K2" s="524"/>
      <c r="L2" s="522" t="s">
        <v>599</v>
      </c>
      <c r="M2" s="107"/>
      <c r="N2" s="107"/>
      <c r="O2" s="107"/>
      <c r="P2" s="107"/>
      <c r="Q2" s="525" t="s">
        <v>600</v>
      </c>
    </row>
    <row r="3" spans="1:21" s="4" customFormat="1" ht="3" customHeight="1">
      <c r="A3" s="60"/>
      <c r="B3" s="61"/>
      <c r="C3" s="62"/>
      <c r="D3" s="63"/>
      <c r="E3" s="61"/>
      <c r="F3" s="64"/>
      <c r="G3" s="523"/>
      <c r="H3" s="523"/>
      <c r="I3" s="524"/>
      <c r="J3" s="68"/>
      <c r="K3" s="69"/>
      <c r="L3" s="522"/>
      <c r="M3" s="107"/>
      <c r="N3" s="107"/>
      <c r="O3" s="107"/>
      <c r="P3" s="107"/>
      <c r="Q3" s="526"/>
    </row>
    <row r="4" spans="1:21" s="4" customFormat="1" ht="17.399999999999999">
      <c r="A4" s="70" t="s">
        <v>962</v>
      </c>
      <c r="B4" s="71"/>
      <c r="C4" s="72"/>
      <c r="D4" s="73"/>
      <c r="E4" s="71"/>
      <c r="F4" s="64"/>
      <c r="G4" s="523"/>
      <c r="H4" s="523"/>
      <c r="I4" s="524"/>
      <c r="J4" s="108" t="s">
        <v>130</v>
      </c>
      <c r="K4" s="43" t="s">
        <v>131</v>
      </c>
      <c r="L4" s="522"/>
      <c r="M4" s="107" t="s">
        <v>6</v>
      </c>
      <c r="N4" s="107" t="s">
        <v>7</v>
      </c>
      <c r="O4" s="107" t="s">
        <v>8</v>
      </c>
      <c r="P4" s="107" t="s">
        <v>9</v>
      </c>
      <c r="Q4" s="527"/>
      <c r="R4" s="107" t="s">
        <v>6</v>
      </c>
      <c r="S4" s="107" t="s">
        <v>7</v>
      </c>
      <c r="T4" s="107" t="s">
        <v>8</v>
      </c>
      <c r="U4" s="107" t="s">
        <v>9</v>
      </c>
    </row>
    <row r="5" spans="1:21" s="4" customFormat="1" ht="3" customHeight="1">
      <c r="A5" s="60"/>
      <c r="B5" s="61"/>
      <c r="C5" s="62"/>
      <c r="D5" s="63"/>
      <c r="E5" s="61"/>
      <c r="F5" s="64"/>
      <c r="G5" s="61"/>
      <c r="H5" s="65"/>
      <c r="I5" s="65"/>
      <c r="J5" s="66"/>
      <c r="K5" s="67"/>
      <c r="L5" s="68"/>
      <c r="M5" s="68"/>
      <c r="N5" s="68"/>
      <c r="O5" s="68"/>
      <c r="P5" s="68"/>
      <c r="Q5" s="69"/>
    </row>
    <row r="6" spans="1:21" outlineLevel="1">
      <c r="A6" s="47"/>
      <c r="B6" s="45" t="s">
        <v>14</v>
      </c>
      <c r="C6" s="48" t="s">
        <v>963</v>
      </c>
      <c r="D6" s="44"/>
      <c r="E6" s="79" t="s">
        <v>964</v>
      </c>
      <c r="F6" s="76"/>
      <c r="G6" s="48" t="s">
        <v>965</v>
      </c>
      <c r="H6" s="30" t="str">
        <f>CONCATENATE(B6,"-",G6,"-",I6)</f>
        <v>LS-T07-4</v>
      </c>
      <c r="I6" s="77">
        <v>4</v>
      </c>
      <c r="J6" s="50">
        <v>1</v>
      </c>
      <c r="K6" s="50"/>
      <c r="L6" s="50"/>
      <c r="M6" s="50"/>
      <c r="N6" s="50"/>
      <c r="O6" s="50"/>
      <c r="P6" s="50"/>
      <c r="Q6" s="50"/>
    </row>
    <row r="7" spans="1:21" ht="26.4" customHeight="1">
      <c r="A7" s="47"/>
      <c r="B7" s="45"/>
      <c r="C7" s="48"/>
      <c r="D7" s="44"/>
      <c r="E7" s="79"/>
      <c r="F7" s="76"/>
      <c r="G7" s="45"/>
      <c r="H7" s="30"/>
      <c r="I7" s="77"/>
      <c r="J7" s="49"/>
      <c r="K7" s="50"/>
      <c r="L7" s="50"/>
      <c r="M7" s="50"/>
      <c r="N7" s="50"/>
      <c r="O7" s="50"/>
      <c r="P7" s="50"/>
      <c r="Q7" s="50"/>
    </row>
    <row r="8" spans="1:21" s="57" customFormat="1">
      <c r="A8" s="60" t="s">
        <v>190</v>
      </c>
      <c r="B8" s="45"/>
      <c r="C8" s="45"/>
      <c r="D8" s="44"/>
      <c r="E8" s="79"/>
      <c r="F8" s="46"/>
      <c r="G8" s="94" t="s">
        <v>121</v>
      </c>
      <c r="H8" s="94" t="s">
        <v>122</v>
      </c>
      <c r="I8" s="95" t="s">
        <v>123</v>
      </c>
      <c r="J8" s="25"/>
      <c r="K8" s="25"/>
      <c r="L8" s="25"/>
      <c r="M8" s="25"/>
      <c r="N8" s="25"/>
      <c r="O8" s="25"/>
      <c r="P8" s="25"/>
      <c r="Q8" s="25"/>
    </row>
    <row r="9" spans="1:21" s="57" customFormat="1" outlineLevel="1">
      <c r="A9" s="60"/>
      <c r="B9" s="45" t="s">
        <v>14</v>
      </c>
      <c r="C9" s="48" t="s">
        <v>192</v>
      </c>
      <c r="D9" s="44"/>
      <c r="E9" s="79" t="s">
        <v>966</v>
      </c>
      <c r="F9" s="46"/>
      <c r="G9" s="48" t="s">
        <v>195</v>
      </c>
      <c r="H9" s="30" t="str">
        <f>CONCATENATE(B9,"-",G9,"-",I9)</f>
        <v>LS-T09-9</v>
      </c>
      <c r="I9" s="77">
        <v>9</v>
      </c>
      <c r="J9" s="49"/>
      <c r="K9" s="50"/>
      <c r="L9" s="50">
        <v>1</v>
      </c>
      <c r="M9" s="50">
        <v>1</v>
      </c>
      <c r="O9" s="50"/>
      <c r="P9" s="50"/>
      <c r="Q9" s="50">
        <v>1</v>
      </c>
      <c r="S9" s="50">
        <v>1</v>
      </c>
    </row>
    <row r="10" spans="1:21" s="57" customFormat="1" outlineLevel="1">
      <c r="A10" s="60" t="s">
        <v>967</v>
      </c>
      <c r="B10" s="45"/>
      <c r="C10" s="45"/>
      <c r="D10" s="44"/>
      <c r="E10" s="79"/>
      <c r="F10" s="46"/>
      <c r="G10" s="94"/>
      <c r="H10" s="94"/>
      <c r="I10" s="95"/>
      <c r="J10" s="25"/>
      <c r="K10" s="25"/>
      <c r="L10" s="25"/>
      <c r="M10" s="25"/>
      <c r="O10" s="25"/>
      <c r="P10" s="25"/>
      <c r="Q10" s="25"/>
    </row>
    <row r="11" spans="1:21" s="57" customFormat="1" outlineLevel="2">
      <c r="B11" s="45" t="s">
        <v>14</v>
      </c>
      <c r="C11" s="48" t="s">
        <v>968</v>
      </c>
      <c r="D11" s="44"/>
      <c r="E11" s="79" t="s">
        <v>969</v>
      </c>
      <c r="F11" s="46"/>
      <c r="G11" s="48" t="s">
        <v>195</v>
      </c>
      <c r="H11" s="30" t="str">
        <f t="shared" ref="H11:H19" si="0">CONCATENATE(B11,"-",G11,"-",I11)</f>
        <v>LS-T09-7</v>
      </c>
      <c r="I11" s="77">
        <v>7</v>
      </c>
      <c r="J11" s="25"/>
      <c r="K11" s="25"/>
      <c r="L11" s="50">
        <v>1</v>
      </c>
      <c r="M11" s="50">
        <v>1</v>
      </c>
      <c r="O11" s="50"/>
      <c r="P11" s="50"/>
      <c r="Q11" s="50">
        <v>1</v>
      </c>
      <c r="T11" s="50">
        <v>1</v>
      </c>
    </row>
    <row r="12" spans="1:21" s="57" customFormat="1" outlineLevel="2">
      <c r="A12" s="60"/>
      <c r="B12" s="45" t="s">
        <v>14</v>
      </c>
      <c r="C12" s="48" t="s">
        <v>968</v>
      </c>
      <c r="D12" s="44"/>
      <c r="E12" s="79" t="s">
        <v>970</v>
      </c>
      <c r="F12" s="46"/>
      <c r="G12" s="48" t="s">
        <v>195</v>
      </c>
      <c r="H12" s="30" t="str">
        <f t="shared" si="0"/>
        <v>LS-T09-7</v>
      </c>
      <c r="I12" s="77">
        <v>7</v>
      </c>
      <c r="J12" s="25"/>
      <c r="K12" s="25"/>
      <c r="L12" s="50">
        <v>1</v>
      </c>
      <c r="M12" s="50">
        <v>1</v>
      </c>
      <c r="O12" s="50"/>
      <c r="P12" s="50"/>
      <c r="Q12" s="50">
        <v>1</v>
      </c>
      <c r="T12" s="50">
        <v>1</v>
      </c>
    </row>
    <row r="13" spans="1:21" s="57" customFormat="1" outlineLevel="2">
      <c r="A13" s="60"/>
      <c r="B13" s="45" t="s">
        <v>14</v>
      </c>
      <c r="C13" s="48" t="s">
        <v>968</v>
      </c>
      <c r="D13" s="44"/>
      <c r="E13" s="79" t="s">
        <v>971</v>
      </c>
      <c r="F13" s="46"/>
      <c r="G13" s="48" t="s">
        <v>195</v>
      </c>
      <c r="H13" s="30" t="str">
        <f t="shared" si="0"/>
        <v>LS-T09-7</v>
      </c>
      <c r="I13" s="77">
        <v>7</v>
      </c>
      <c r="J13" s="25"/>
      <c r="K13" s="25"/>
      <c r="L13" s="50">
        <v>1</v>
      </c>
      <c r="M13" s="50">
        <v>1</v>
      </c>
      <c r="O13" s="50"/>
      <c r="P13" s="50"/>
      <c r="Q13" s="50">
        <v>1</v>
      </c>
      <c r="T13" s="50">
        <v>1</v>
      </c>
    </row>
    <row r="14" spans="1:21" s="57" customFormat="1" outlineLevel="2">
      <c r="A14" s="60"/>
      <c r="B14" s="45" t="s">
        <v>14</v>
      </c>
      <c r="C14" s="48" t="s">
        <v>968</v>
      </c>
      <c r="D14" s="44"/>
      <c r="E14" s="79" t="s">
        <v>972</v>
      </c>
      <c r="F14" s="46"/>
      <c r="G14" s="48" t="s">
        <v>195</v>
      </c>
      <c r="H14" s="30" t="str">
        <f t="shared" si="0"/>
        <v>LS-T09-7</v>
      </c>
      <c r="I14" s="77">
        <v>7</v>
      </c>
      <c r="J14" s="25"/>
      <c r="K14" s="25"/>
      <c r="L14" s="50">
        <v>1</v>
      </c>
      <c r="M14" s="50">
        <v>1</v>
      </c>
      <c r="O14" s="50"/>
      <c r="P14" s="50"/>
      <c r="Q14" s="50">
        <v>1</v>
      </c>
      <c r="T14" s="50">
        <v>1</v>
      </c>
    </row>
    <row r="15" spans="1:21" s="57" customFormat="1" outlineLevel="2">
      <c r="A15" s="60"/>
      <c r="B15" s="45" t="s">
        <v>14</v>
      </c>
      <c r="C15" s="48" t="s">
        <v>968</v>
      </c>
      <c r="D15" s="44"/>
      <c r="E15" s="79" t="s">
        <v>973</v>
      </c>
      <c r="F15" s="46"/>
      <c r="G15" s="48" t="s">
        <v>195</v>
      </c>
      <c r="H15" s="30" t="str">
        <f t="shared" si="0"/>
        <v>LS-T09-7</v>
      </c>
      <c r="I15" s="77">
        <v>7</v>
      </c>
      <c r="J15" s="25"/>
      <c r="K15" s="25"/>
      <c r="L15" s="50">
        <v>1</v>
      </c>
      <c r="M15" s="50">
        <v>1</v>
      </c>
      <c r="O15" s="50"/>
      <c r="P15" s="50"/>
      <c r="Q15" s="50">
        <v>1</v>
      </c>
      <c r="T15" s="50">
        <v>1</v>
      </c>
    </row>
    <row r="16" spans="1:21" s="57" customFormat="1" outlineLevel="2">
      <c r="A16" s="60"/>
      <c r="B16" s="45" t="s">
        <v>14</v>
      </c>
      <c r="C16" s="48" t="s">
        <v>968</v>
      </c>
      <c r="D16" s="44"/>
      <c r="E16" s="79" t="s">
        <v>974</v>
      </c>
      <c r="F16" s="46"/>
      <c r="G16" s="48" t="s">
        <v>195</v>
      </c>
      <c r="H16" s="30" t="str">
        <f t="shared" si="0"/>
        <v>LS-T09-7</v>
      </c>
      <c r="I16" s="77">
        <v>7</v>
      </c>
      <c r="J16" s="25"/>
      <c r="K16" s="25"/>
      <c r="L16" s="50">
        <v>1</v>
      </c>
      <c r="M16" s="50">
        <v>1</v>
      </c>
      <c r="O16" s="50"/>
      <c r="P16" s="50"/>
      <c r="Q16" s="50">
        <v>1</v>
      </c>
      <c r="T16" s="50">
        <v>1</v>
      </c>
    </row>
    <row r="17" spans="1:20" s="57" customFormat="1" outlineLevel="2">
      <c r="A17" s="60"/>
      <c r="B17" s="45" t="s">
        <v>14</v>
      </c>
      <c r="C17" s="48" t="s">
        <v>968</v>
      </c>
      <c r="D17" s="44"/>
      <c r="E17" s="79" t="s">
        <v>975</v>
      </c>
      <c r="F17" s="46"/>
      <c r="G17" s="48" t="s">
        <v>195</v>
      </c>
      <c r="H17" s="30" t="str">
        <f t="shared" si="0"/>
        <v>LS-T09-7</v>
      </c>
      <c r="I17" s="77">
        <v>7</v>
      </c>
      <c r="J17" s="25"/>
      <c r="K17" s="25"/>
      <c r="L17" s="50">
        <v>1</v>
      </c>
      <c r="M17" s="50">
        <v>1</v>
      </c>
      <c r="O17" s="50"/>
      <c r="P17" s="50"/>
      <c r="Q17" s="50">
        <v>1</v>
      </c>
      <c r="T17" s="50">
        <v>1</v>
      </c>
    </row>
    <row r="18" spans="1:20" s="57" customFormat="1" outlineLevel="2">
      <c r="A18" s="60"/>
      <c r="B18" s="45" t="s">
        <v>14</v>
      </c>
      <c r="C18" s="48" t="s">
        <v>968</v>
      </c>
      <c r="D18" s="44"/>
      <c r="E18" s="79" t="s">
        <v>976</v>
      </c>
      <c r="F18" s="46"/>
      <c r="G18" s="48" t="s">
        <v>195</v>
      </c>
      <c r="H18" s="30" t="str">
        <f t="shared" si="0"/>
        <v>LS-T09-7</v>
      </c>
      <c r="I18" s="77">
        <v>7</v>
      </c>
      <c r="J18" s="25"/>
      <c r="K18" s="25"/>
      <c r="L18" s="50">
        <v>1</v>
      </c>
      <c r="M18" s="50">
        <v>1</v>
      </c>
      <c r="O18" s="50"/>
      <c r="P18" s="50"/>
      <c r="Q18" s="50">
        <v>1</v>
      </c>
      <c r="T18" s="50">
        <v>1</v>
      </c>
    </row>
    <row r="19" spans="1:20" s="57" customFormat="1" outlineLevel="2">
      <c r="A19" s="60"/>
      <c r="B19" s="45" t="s">
        <v>14</v>
      </c>
      <c r="C19" s="48" t="s">
        <v>968</v>
      </c>
      <c r="D19" s="44"/>
      <c r="E19" s="79" t="s">
        <v>977</v>
      </c>
      <c r="F19" s="46"/>
      <c r="G19" s="48" t="s">
        <v>195</v>
      </c>
      <c r="H19" s="30" t="str">
        <f t="shared" si="0"/>
        <v>LS-T09-7</v>
      </c>
      <c r="I19" s="77">
        <v>7</v>
      </c>
      <c r="J19" s="25"/>
      <c r="K19" s="25"/>
      <c r="L19" s="50">
        <v>1</v>
      </c>
      <c r="M19" s="50">
        <v>1</v>
      </c>
      <c r="O19" s="50"/>
      <c r="P19" s="50"/>
      <c r="Q19" s="50">
        <v>1</v>
      </c>
      <c r="T19" s="50">
        <v>1</v>
      </c>
    </row>
    <row r="20" spans="1:20" s="57" customFormat="1" outlineLevel="1">
      <c r="A20" s="60" t="s">
        <v>978</v>
      </c>
      <c r="B20" s="45"/>
      <c r="C20" s="45"/>
      <c r="D20" s="44"/>
      <c r="E20" s="79"/>
      <c r="F20" s="46"/>
      <c r="G20" s="94"/>
      <c r="H20" s="94"/>
      <c r="I20" s="95"/>
      <c r="J20" s="25"/>
      <c r="K20" s="25"/>
      <c r="L20" s="25"/>
      <c r="M20" s="25"/>
      <c r="O20" s="25"/>
      <c r="P20" s="25"/>
      <c r="Q20" s="25"/>
    </row>
    <row r="21" spans="1:20" s="57" customFormat="1" outlineLevel="2">
      <c r="B21" s="45" t="s">
        <v>14</v>
      </c>
      <c r="C21" s="48" t="s">
        <v>968</v>
      </c>
      <c r="D21" s="44"/>
      <c r="E21" s="79" t="s">
        <v>969</v>
      </c>
      <c r="F21" s="46"/>
      <c r="G21" s="48" t="s">
        <v>195</v>
      </c>
      <c r="H21" s="30" t="str">
        <f t="shared" ref="H21:H29" si="1">CONCATENATE(B21,"-",G21,"-",I21)</f>
        <v>LS-T09-7</v>
      </c>
      <c r="I21" s="77">
        <v>7</v>
      </c>
      <c r="J21" s="25"/>
      <c r="K21" s="25"/>
      <c r="L21" s="50">
        <v>1</v>
      </c>
      <c r="M21" s="50">
        <v>1</v>
      </c>
      <c r="O21" s="50"/>
      <c r="P21" s="50"/>
      <c r="Q21" s="50">
        <v>1</v>
      </c>
      <c r="T21" s="50">
        <v>1</v>
      </c>
    </row>
    <row r="22" spans="1:20" s="57" customFormat="1" outlineLevel="2">
      <c r="A22" s="60"/>
      <c r="B22" s="45" t="s">
        <v>14</v>
      </c>
      <c r="C22" s="48" t="s">
        <v>968</v>
      </c>
      <c r="D22" s="44"/>
      <c r="E22" s="79" t="s">
        <v>970</v>
      </c>
      <c r="F22" s="46"/>
      <c r="G22" s="48" t="s">
        <v>195</v>
      </c>
      <c r="H22" s="30" t="str">
        <f t="shared" si="1"/>
        <v>LS-T09-7</v>
      </c>
      <c r="I22" s="77">
        <v>7</v>
      </c>
      <c r="J22" s="25"/>
      <c r="K22" s="25"/>
      <c r="L22" s="50">
        <v>1</v>
      </c>
      <c r="M22" s="50">
        <v>1</v>
      </c>
      <c r="O22" s="50"/>
      <c r="P22" s="50"/>
      <c r="Q22" s="50">
        <v>1</v>
      </c>
      <c r="T22" s="50">
        <v>1</v>
      </c>
    </row>
    <row r="23" spans="1:20" s="57" customFormat="1" outlineLevel="2">
      <c r="A23" s="60"/>
      <c r="B23" s="45" t="s">
        <v>14</v>
      </c>
      <c r="C23" s="48" t="s">
        <v>968</v>
      </c>
      <c r="D23" s="44"/>
      <c r="E23" s="79" t="s">
        <v>971</v>
      </c>
      <c r="F23" s="46"/>
      <c r="G23" s="48" t="s">
        <v>195</v>
      </c>
      <c r="H23" s="30" t="str">
        <f t="shared" si="1"/>
        <v>LS-T09-7</v>
      </c>
      <c r="I23" s="77">
        <v>7</v>
      </c>
      <c r="J23" s="25"/>
      <c r="K23" s="25"/>
      <c r="L23" s="50">
        <v>1</v>
      </c>
      <c r="M23" s="50">
        <v>1</v>
      </c>
      <c r="O23" s="50"/>
      <c r="P23" s="50"/>
      <c r="Q23" s="50">
        <v>1</v>
      </c>
      <c r="T23" s="50">
        <v>1</v>
      </c>
    </row>
    <row r="24" spans="1:20" s="57" customFormat="1" outlineLevel="2">
      <c r="A24" s="60"/>
      <c r="B24" s="45" t="s">
        <v>14</v>
      </c>
      <c r="C24" s="48" t="s">
        <v>968</v>
      </c>
      <c r="D24" s="44"/>
      <c r="E24" s="79" t="s">
        <v>972</v>
      </c>
      <c r="F24" s="46"/>
      <c r="G24" s="48" t="s">
        <v>195</v>
      </c>
      <c r="H24" s="30" t="str">
        <f t="shared" si="1"/>
        <v>LS-T09-7</v>
      </c>
      <c r="I24" s="77">
        <v>7</v>
      </c>
      <c r="J24" s="25"/>
      <c r="K24" s="25"/>
      <c r="L24" s="50">
        <v>1</v>
      </c>
      <c r="M24" s="50">
        <v>1</v>
      </c>
      <c r="O24" s="50"/>
      <c r="P24" s="50"/>
      <c r="Q24" s="50">
        <v>1</v>
      </c>
      <c r="T24" s="50">
        <v>1</v>
      </c>
    </row>
    <row r="25" spans="1:20" s="57" customFormat="1" outlineLevel="2">
      <c r="A25" s="60"/>
      <c r="B25" s="45" t="s">
        <v>14</v>
      </c>
      <c r="C25" s="48" t="s">
        <v>968</v>
      </c>
      <c r="D25" s="44"/>
      <c r="E25" s="79" t="s">
        <v>973</v>
      </c>
      <c r="F25" s="46"/>
      <c r="G25" s="48" t="s">
        <v>195</v>
      </c>
      <c r="H25" s="30" t="str">
        <f t="shared" si="1"/>
        <v>LS-T09-7</v>
      </c>
      <c r="I25" s="77">
        <v>7</v>
      </c>
      <c r="J25" s="25"/>
      <c r="K25" s="25"/>
      <c r="L25" s="50">
        <v>1</v>
      </c>
      <c r="M25" s="50">
        <v>1</v>
      </c>
      <c r="O25" s="50"/>
      <c r="P25" s="50"/>
      <c r="Q25" s="50">
        <v>1</v>
      </c>
      <c r="T25" s="50">
        <v>1</v>
      </c>
    </row>
    <row r="26" spans="1:20" s="57" customFormat="1" outlineLevel="2">
      <c r="A26" s="60"/>
      <c r="B26" s="45" t="s">
        <v>14</v>
      </c>
      <c r="C26" s="48" t="s">
        <v>968</v>
      </c>
      <c r="D26" s="44"/>
      <c r="E26" s="79" t="s">
        <v>974</v>
      </c>
      <c r="F26" s="46"/>
      <c r="G26" s="48" t="s">
        <v>195</v>
      </c>
      <c r="H26" s="30" t="str">
        <f t="shared" si="1"/>
        <v>LS-T09-7</v>
      </c>
      <c r="I26" s="77">
        <v>7</v>
      </c>
      <c r="J26" s="25"/>
      <c r="K26" s="25"/>
      <c r="L26" s="50">
        <v>1</v>
      </c>
      <c r="M26" s="50">
        <v>1</v>
      </c>
      <c r="O26" s="50"/>
      <c r="P26" s="50"/>
      <c r="Q26" s="50">
        <v>1</v>
      </c>
      <c r="T26" s="50">
        <v>1</v>
      </c>
    </row>
    <row r="27" spans="1:20" s="57" customFormat="1" outlineLevel="2">
      <c r="A27" s="60"/>
      <c r="B27" s="45" t="s">
        <v>14</v>
      </c>
      <c r="C27" s="48" t="s">
        <v>968</v>
      </c>
      <c r="D27" s="44"/>
      <c r="E27" s="79" t="s">
        <v>975</v>
      </c>
      <c r="F27" s="46"/>
      <c r="G27" s="48" t="s">
        <v>195</v>
      </c>
      <c r="H27" s="30" t="str">
        <f t="shared" si="1"/>
        <v>LS-T09-7</v>
      </c>
      <c r="I27" s="77">
        <v>7</v>
      </c>
      <c r="J27" s="25"/>
      <c r="K27" s="25"/>
      <c r="L27" s="50">
        <v>1</v>
      </c>
      <c r="M27" s="50">
        <v>1</v>
      </c>
      <c r="O27" s="50"/>
      <c r="P27" s="50"/>
      <c r="Q27" s="50">
        <v>1</v>
      </c>
      <c r="T27" s="50">
        <v>1</v>
      </c>
    </row>
    <row r="28" spans="1:20" s="57" customFormat="1" outlineLevel="2">
      <c r="A28" s="60"/>
      <c r="B28" s="45" t="s">
        <v>14</v>
      </c>
      <c r="C28" s="48" t="s">
        <v>968</v>
      </c>
      <c r="D28" s="44"/>
      <c r="E28" s="79" t="s">
        <v>976</v>
      </c>
      <c r="F28" s="46"/>
      <c r="G28" s="48" t="s">
        <v>195</v>
      </c>
      <c r="H28" s="30" t="str">
        <f t="shared" si="1"/>
        <v>LS-T09-7</v>
      </c>
      <c r="I28" s="77">
        <v>7</v>
      </c>
      <c r="J28" s="25"/>
      <c r="K28" s="25"/>
      <c r="L28" s="50">
        <v>1</v>
      </c>
      <c r="M28" s="50">
        <v>1</v>
      </c>
      <c r="O28" s="50"/>
      <c r="P28" s="50"/>
      <c r="Q28" s="50">
        <v>1</v>
      </c>
      <c r="T28" s="50">
        <v>1</v>
      </c>
    </row>
    <row r="29" spans="1:20" s="57" customFormat="1" outlineLevel="2">
      <c r="A29" s="60"/>
      <c r="B29" s="45" t="s">
        <v>14</v>
      </c>
      <c r="C29" s="48" t="s">
        <v>968</v>
      </c>
      <c r="D29" s="44"/>
      <c r="E29" s="79" t="s">
        <v>977</v>
      </c>
      <c r="F29" s="46"/>
      <c r="G29" s="48" t="s">
        <v>195</v>
      </c>
      <c r="H29" s="30" t="str">
        <f t="shared" si="1"/>
        <v>LS-T09-7</v>
      </c>
      <c r="I29" s="77">
        <v>7</v>
      </c>
      <c r="J29" s="25"/>
      <c r="K29" s="25"/>
      <c r="L29" s="50">
        <v>1</v>
      </c>
      <c r="M29" s="50">
        <v>1</v>
      </c>
      <c r="O29" s="50"/>
      <c r="P29" s="50"/>
      <c r="Q29" s="50">
        <v>1</v>
      </c>
      <c r="T29" s="50">
        <v>1</v>
      </c>
    </row>
    <row r="30" spans="1:20" s="57" customFormat="1">
      <c r="A30" s="60" t="s">
        <v>979</v>
      </c>
      <c r="B30" s="45"/>
      <c r="C30" s="45"/>
      <c r="D30" s="44"/>
      <c r="E30" s="79"/>
      <c r="F30" s="46"/>
      <c r="G30" s="94"/>
      <c r="H30" s="94"/>
      <c r="I30" s="95"/>
      <c r="J30" s="25"/>
      <c r="K30" s="25"/>
      <c r="L30" s="25"/>
      <c r="M30" s="25"/>
      <c r="O30" s="25"/>
      <c r="P30" s="25"/>
      <c r="Q30" s="25"/>
    </row>
    <row r="31" spans="1:20" s="57" customFormat="1" outlineLevel="1">
      <c r="A31" s="60"/>
      <c r="B31" s="45" t="s">
        <v>14</v>
      </c>
      <c r="C31" s="45" t="s">
        <v>691</v>
      </c>
      <c r="D31" s="54"/>
      <c r="E31" s="79" t="s">
        <v>980</v>
      </c>
      <c r="F31" s="105"/>
      <c r="G31" s="48" t="s">
        <v>487</v>
      </c>
      <c r="H31" s="30" t="str">
        <f t="shared" ref="H31:H41" si="2">CONCATENATE(B31,"-",G31,"-",I31)</f>
        <v>LS-SDV-1</v>
      </c>
      <c r="I31" s="77">
        <v>1</v>
      </c>
      <c r="J31" s="25"/>
      <c r="K31" s="25"/>
      <c r="L31" s="50">
        <v>1</v>
      </c>
      <c r="M31" s="50">
        <v>1</v>
      </c>
      <c r="O31" s="50"/>
      <c r="P31" s="50"/>
      <c r="Q31" s="50">
        <v>1</v>
      </c>
      <c r="S31" s="50">
        <v>1</v>
      </c>
    </row>
    <row r="32" spans="1:20" s="57" customFormat="1" outlineLevel="1">
      <c r="A32" s="60"/>
      <c r="B32" s="45" t="s">
        <v>14</v>
      </c>
      <c r="C32" s="45" t="s">
        <v>691</v>
      </c>
      <c r="D32" s="54"/>
      <c r="E32" s="79" t="s">
        <v>981</v>
      </c>
      <c r="F32" s="105"/>
      <c r="G32" s="48" t="s">
        <v>487</v>
      </c>
      <c r="H32" s="30" t="str">
        <f t="shared" si="2"/>
        <v>LS-SDV-1</v>
      </c>
      <c r="I32" s="77">
        <v>1</v>
      </c>
      <c r="J32" s="25"/>
      <c r="K32" s="25"/>
      <c r="L32" s="50">
        <v>1</v>
      </c>
      <c r="M32" s="50">
        <v>1</v>
      </c>
      <c r="O32" s="50"/>
      <c r="P32" s="50"/>
      <c r="Q32" s="50">
        <v>1</v>
      </c>
      <c r="S32" s="50">
        <v>1</v>
      </c>
    </row>
    <row r="33" spans="1:19" s="57" customFormat="1" outlineLevel="1">
      <c r="A33" s="60"/>
      <c r="B33" s="45" t="s">
        <v>14</v>
      </c>
      <c r="C33" s="45" t="s">
        <v>691</v>
      </c>
      <c r="D33" s="54"/>
      <c r="E33" s="79" t="s">
        <v>982</v>
      </c>
      <c r="F33" s="105"/>
      <c r="G33" s="48" t="s">
        <v>487</v>
      </c>
      <c r="H33" s="30" t="str">
        <f t="shared" ref="H33" si="3">CONCATENATE(B33,"-",G33,"-",I33)</f>
        <v>LS-SDV-9</v>
      </c>
      <c r="I33" s="77">
        <v>9</v>
      </c>
      <c r="J33" s="25"/>
      <c r="K33" s="25"/>
      <c r="L33" s="50">
        <v>1</v>
      </c>
      <c r="M33" s="50">
        <v>1</v>
      </c>
      <c r="O33" s="50"/>
      <c r="P33" s="50"/>
      <c r="Q33" s="50">
        <v>1</v>
      </c>
      <c r="S33" s="50">
        <v>1</v>
      </c>
    </row>
    <row r="34" spans="1:19" s="57" customFormat="1" outlineLevel="1">
      <c r="A34" s="60"/>
      <c r="B34" s="45" t="s">
        <v>14</v>
      </c>
      <c r="C34" s="45" t="s">
        <v>691</v>
      </c>
      <c r="D34" s="54"/>
      <c r="E34" s="79" t="s">
        <v>970</v>
      </c>
      <c r="F34" s="105"/>
      <c r="G34" s="48" t="s">
        <v>487</v>
      </c>
      <c r="H34" s="30" t="str">
        <f t="shared" si="2"/>
        <v>LS-SDV-1</v>
      </c>
      <c r="I34" s="77">
        <v>1</v>
      </c>
      <c r="J34" s="25"/>
      <c r="K34" s="25"/>
      <c r="L34" s="50">
        <v>1</v>
      </c>
      <c r="M34" s="50">
        <v>1</v>
      </c>
      <c r="O34" s="50"/>
      <c r="P34" s="50"/>
      <c r="Q34" s="50">
        <v>1</v>
      </c>
      <c r="S34" s="50">
        <v>1</v>
      </c>
    </row>
    <row r="35" spans="1:19" s="57" customFormat="1" outlineLevel="1">
      <c r="A35" s="60"/>
      <c r="B35" s="45" t="s">
        <v>14</v>
      </c>
      <c r="C35" s="45" t="s">
        <v>691</v>
      </c>
      <c r="D35" s="54"/>
      <c r="E35" s="79" t="s">
        <v>971</v>
      </c>
      <c r="F35" s="105"/>
      <c r="G35" s="48" t="s">
        <v>487</v>
      </c>
      <c r="H35" s="30" t="str">
        <f t="shared" si="2"/>
        <v>LS-SDV-1</v>
      </c>
      <c r="I35" s="77">
        <v>1</v>
      </c>
      <c r="J35" s="25"/>
      <c r="K35" s="25"/>
      <c r="L35" s="50">
        <v>1</v>
      </c>
      <c r="M35" s="50">
        <v>1</v>
      </c>
      <c r="O35" s="50"/>
      <c r="P35" s="50"/>
      <c r="Q35" s="50">
        <v>1</v>
      </c>
      <c r="S35" s="50">
        <v>1</v>
      </c>
    </row>
    <row r="36" spans="1:19" s="57" customFormat="1" outlineLevel="1">
      <c r="A36" s="60"/>
      <c r="B36" s="45" t="s">
        <v>14</v>
      </c>
      <c r="C36" s="45" t="s">
        <v>691</v>
      </c>
      <c r="D36" s="54"/>
      <c r="E36" s="79" t="s">
        <v>972</v>
      </c>
      <c r="F36" s="105"/>
      <c r="G36" s="48" t="s">
        <v>487</v>
      </c>
      <c r="H36" s="30" t="str">
        <f t="shared" si="2"/>
        <v>LS-SDV-1</v>
      </c>
      <c r="I36" s="77">
        <v>1</v>
      </c>
      <c r="J36" s="25"/>
      <c r="K36" s="25"/>
      <c r="L36" s="50">
        <v>1</v>
      </c>
      <c r="M36" s="50">
        <v>1</v>
      </c>
      <c r="O36" s="50"/>
      <c r="P36" s="50"/>
      <c r="Q36" s="50">
        <v>1</v>
      </c>
      <c r="S36" s="50">
        <v>1</v>
      </c>
    </row>
    <row r="37" spans="1:19" s="57" customFormat="1" outlineLevel="1">
      <c r="A37" s="60"/>
      <c r="B37" s="45" t="s">
        <v>14</v>
      </c>
      <c r="C37" s="45" t="s">
        <v>691</v>
      </c>
      <c r="D37" s="54"/>
      <c r="E37" s="79" t="s">
        <v>973</v>
      </c>
      <c r="F37" s="105"/>
      <c r="G37" s="48" t="s">
        <v>487</v>
      </c>
      <c r="H37" s="30" t="str">
        <f t="shared" si="2"/>
        <v>LS-SDV-9</v>
      </c>
      <c r="I37" s="77">
        <v>9</v>
      </c>
      <c r="J37" s="25"/>
      <c r="K37" s="25"/>
      <c r="L37" s="50">
        <v>1</v>
      </c>
      <c r="M37" s="50">
        <v>1</v>
      </c>
      <c r="O37" s="50"/>
      <c r="P37" s="50"/>
      <c r="Q37" s="50">
        <v>1</v>
      </c>
      <c r="S37" s="50">
        <v>1</v>
      </c>
    </row>
    <row r="38" spans="1:19" s="57" customFormat="1" outlineLevel="1">
      <c r="A38" s="60"/>
      <c r="B38" s="45" t="s">
        <v>14</v>
      </c>
      <c r="C38" s="45" t="s">
        <v>691</v>
      </c>
      <c r="D38" s="54"/>
      <c r="E38" s="79" t="s">
        <v>974</v>
      </c>
      <c r="F38" s="105"/>
      <c r="G38" s="48" t="s">
        <v>487</v>
      </c>
      <c r="H38" s="30" t="str">
        <f t="shared" si="2"/>
        <v>LS-SDV-1</v>
      </c>
      <c r="I38" s="77">
        <v>1</v>
      </c>
      <c r="J38" s="25"/>
      <c r="K38" s="25"/>
      <c r="L38" s="50">
        <v>1</v>
      </c>
      <c r="M38" s="50">
        <v>1</v>
      </c>
      <c r="O38" s="50"/>
      <c r="P38" s="50"/>
      <c r="Q38" s="50">
        <v>1</v>
      </c>
      <c r="S38" s="50">
        <v>1</v>
      </c>
    </row>
    <row r="39" spans="1:19" s="57" customFormat="1" outlineLevel="1">
      <c r="A39" s="60"/>
      <c r="B39" s="45" t="s">
        <v>14</v>
      </c>
      <c r="C39" s="45" t="s">
        <v>691</v>
      </c>
      <c r="D39" s="54"/>
      <c r="E39" s="79" t="s">
        <v>975</v>
      </c>
      <c r="F39" s="105"/>
      <c r="G39" s="48" t="s">
        <v>487</v>
      </c>
      <c r="H39" s="30" t="str">
        <f t="shared" si="2"/>
        <v>LS-SDV-1</v>
      </c>
      <c r="I39" s="77">
        <v>1</v>
      </c>
      <c r="J39" s="25"/>
      <c r="K39" s="25"/>
      <c r="L39" s="50">
        <v>1</v>
      </c>
      <c r="M39" s="50">
        <v>1</v>
      </c>
      <c r="O39" s="50"/>
      <c r="P39" s="50"/>
      <c r="Q39" s="50">
        <v>1</v>
      </c>
      <c r="S39" s="50">
        <v>1</v>
      </c>
    </row>
    <row r="40" spans="1:19" s="57" customFormat="1" outlineLevel="1">
      <c r="A40" s="60"/>
      <c r="B40" s="45" t="s">
        <v>14</v>
      </c>
      <c r="C40" s="45" t="s">
        <v>691</v>
      </c>
      <c r="D40" s="54"/>
      <c r="E40" s="79" t="s">
        <v>976</v>
      </c>
      <c r="F40" s="105"/>
      <c r="G40" s="48" t="s">
        <v>487</v>
      </c>
      <c r="H40" s="30" t="str">
        <f t="shared" si="2"/>
        <v>LS-SDV-1</v>
      </c>
      <c r="I40" s="77">
        <v>1</v>
      </c>
      <c r="J40" s="25"/>
      <c r="K40" s="25"/>
      <c r="L40" s="50">
        <v>1</v>
      </c>
      <c r="M40" s="50">
        <v>1</v>
      </c>
      <c r="O40" s="50"/>
      <c r="P40" s="50"/>
      <c r="Q40" s="50">
        <v>1</v>
      </c>
      <c r="S40" s="50">
        <v>1</v>
      </c>
    </row>
    <row r="41" spans="1:19" s="57" customFormat="1" outlineLevel="1">
      <c r="A41" s="60"/>
      <c r="B41" s="45" t="s">
        <v>14</v>
      </c>
      <c r="C41" s="45" t="s">
        <v>691</v>
      </c>
      <c r="D41" s="44"/>
      <c r="E41" s="79" t="s">
        <v>977</v>
      </c>
      <c r="F41" s="46"/>
      <c r="G41" s="48" t="s">
        <v>487</v>
      </c>
      <c r="H41" s="30" t="str">
        <f t="shared" si="2"/>
        <v>LS-SDV-1</v>
      </c>
      <c r="I41" s="383">
        <v>1</v>
      </c>
      <c r="J41" s="25"/>
      <c r="K41" s="25"/>
      <c r="L41" s="50">
        <v>1</v>
      </c>
      <c r="M41" s="50">
        <v>1</v>
      </c>
      <c r="O41" s="50"/>
      <c r="P41" s="50"/>
      <c r="Q41" s="50">
        <v>1</v>
      </c>
      <c r="S41" s="50">
        <v>1</v>
      </c>
    </row>
    <row r="42" spans="1:19" ht="3" customHeight="1">
      <c r="A42" s="51"/>
      <c r="B42" s="55"/>
      <c r="C42" s="55"/>
      <c r="D42" s="55"/>
      <c r="F42" s="51"/>
      <c r="G42" s="51"/>
      <c r="H42" s="51"/>
      <c r="I42" s="75"/>
      <c r="J42" s="50"/>
      <c r="K42" s="50"/>
      <c r="L42" s="50"/>
      <c r="M42" s="50"/>
      <c r="N42" s="50"/>
      <c r="O42" s="50"/>
      <c r="P42" s="50"/>
      <c r="Q42" s="50"/>
    </row>
    <row r="43" spans="1:19">
      <c r="B43" s="55"/>
      <c r="C43" s="55"/>
      <c r="D43" s="55"/>
    </row>
  </sheetData>
  <autoFilter ref="A7:U43" xr:uid="{E1A52B11-4BAB-4254-AEE3-27C251028F79}"/>
  <mergeCells count="6">
    <mergeCell ref="Q2:Q4"/>
    <mergeCell ref="G2:G4"/>
    <mergeCell ref="H2:H4"/>
    <mergeCell ref="I2:I4"/>
    <mergeCell ref="J2:K2"/>
    <mergeCell ref="L2:L4"/>
  </mergeCells>
  <phoneticPr fontId="37" type="noConversion"/>
  <conditionalFormatting sqref="J1:J5 K1:P1 K5:P5 L2:P4 Q2">
    <cfRule type="iconSet" priority="1174">
      <iconSet iconSet="3Symbols2" showValue="0">
        <cfvo type="percent" val="0"/>
        <cfvo type="num" val="0"/>
        <cfvo type="num" val="1"/>
      </iconSet>
    </cfRule>
  </conditionalFormatting>
  <conditionalFormatting sqref="J6">
    <cfRule type="iconSet" priority="410">
      <iconSet iconSet="3Symbols2" showValue="0">
        <cfvo type="percent" val="0"/>
        <cfvo type="num" val="0"/>
        <cfvo type="num" val="0"/>
      </iconSet>
    </cfRule>
  </conditionalFormatting>
  <conditionalFormatting sqref="J7">
    <cfRule type="iconSet" priority="440">
      <iconSet iconSet="3Symbols2" showValue="0">
        <cfvo type="percent" val="0"/>
        <cfvo type="num" val="0"/>
        <cfvo type="num" val="0"/>
      </iconSet>
    </cfRule>
  </conditionalFormatting>
  <conditionalFormatting sqref="J8 J10:J41">
    <cfRule type="iconSet" priority="39004">
      <iconSet iconSet="3Symbols2" showValue="0">
        <cfvo type="percent" val="0"/>
        <cfvo type="num" val="0"/>
        <cfvo type="num" val="0"/>
      </iconSet>
    </cfRule>
  </conditionalFormatting>
  <conditionalFormatting sqref="J9">
    <cfRule type="iconSet" priority="71">
      <iconSet iconSet="3Symbols2" showValue="0">
        <cfvo type="percent" val="0"/>
        <cfvo type="num" val="0"/>
        <cfvo type="num" val="0"/>
      </iconSet>
    </cfRule>
  </conditionalFormatting>
  <conditionalFormatting sqref="J42:J43">
    <cfRule type="iconSet" priority="70977">
      <iconSet iconSet="3Symbols2" showValue="0">
        <cfvo type="percent" val="0"/>
        <cfvo type="num" val="0"/>
        <cfvo type="num" val="0"/>
      </iconSet>
    </cfRule>
  </conditionalFormatting>
  <conditionalFormatting sqref="J44:J1048576">
    <cfRule type="iconSet" priority="7674">
      <iconSet iconSet="3Symbols2" showValue="0">
        <cfvo type="percent" val="0"/>
        <cfvo type="num" val="0"/>
        <cfvo type="num" val="0"/>
      </iconSet>
    </cfRule>
  </conditionalFormatting>
  <conditionalFormatting sqref="K9">
    <cfRule type="iconSet" priority="70">
      <iconSet iconSet="3Symbols2" showValue="0">
        <cfvo type="percent" val="0"/>
        <cfvo type="num" val="0"/>
        <cfvo type="num" val="0"/>
      </iconSet>
    </cfRule>
  </conditionalFormatting>
  <conditionalFormatting sqref="K11:K19 K21:K29 K31:K41 K10:L10 K20:L20 K30:L30 K8:P8 O10:P10 O20:P20 O30:P30">
    <cfRule type="iconSet" priority="70527">
      <iconSet iconSet="3Symbols2" showValue="0">
        <cfvo type="percent" val="0"/>
        <cfvo type="num" val="0"/>
        <cfvo type="num" val="0"/>
      </iconSet>
    </cfRule>
  </conditionalFormatting>
  <conditionalFormatting sqref="K6:P6 K42:P43">
    <cfRule type="iconSet" priority="70539">
      <iconSet iconSet="3Symbols2" showValue="0">
        <cfvo type="percent" val="0"/>
        <cfvo type="num" val="0"/>
        <cfvo type="num" val="0"/>
      </iconSet>
    </cfRule>
  </conditionalFormatting>
  <conditionalFormatting sqref="K7:P7">
    <cfRule type="iconSet" priority="70521">
      <iconSet iconSet="3Symbols2" showValue="0">
        <cfvo type="percent" val="0"/>
        <cfvo type="num" val="0"/>
        <cfvo type="num" val="0"/>
      </iconSet>
    </cfRule>
  </conditionalFormatting>
  <conditionalFormatting sqref="K44:P1048576">
    <cfRule type="iconSet" priority="70518">
      <iconSet iconSet="3Symbols2" showValue="0">
        <cfvo type="percent" val="0"/>
        <cfvo type="num" val="0"/>
        <cfvo type="num" val="0"/>
      </iconSet>
    </cfRule>
  </conditionalFormatting>
  <conditionalFormatting sqref="L9 O9:Q9">
    <cfRule type="iconSet" priority="69">
      <iconSet iconSet="3Symbols2" showValue="0">
        <cfvo type="percent" val="0"/>
        <cfvo type="num" val="0"/>
        <cfvo type="num" val="0"/>
      </iconSet>
    </cfRule>
  </conditionalFormatting>
  <conditionalFormatting sqref="L11:L19 O11:P19">
    <cfRule type="iconSet" priority="65">
      <iconSet iconSet="3Symbols2" showValue="0">
        <cfvo type="percent" val="0"/>
        <cfvo type="num" val="0"/>
        <cfvo type="num" val="0"/>
      </iconSet>
    </cfRule>
  </conditionalFormatting>
  <conditionalFormatting sqref="L21:L29 O21:P29">
    <cfRule type="iconSet" priority="64">
      <iconSet iconSet="3Symbols2" showValue="0">
        <cfvo type="percent" val="0"/>
        <cfvo type="num" val="0"/>
        <cfvo type="num" val="0"/>
      </iconSet>
    </cfRule>
  </conditionalFormatting>
  <conditionalFormatting sqref="L31:L41 O31:P41">
    <cfRule type="iconSet" priority="63">
      <iconSet iconSet="3Symbols2" showValue="0">
        <cfvo type="percent" val="0"/>
        <cfvo type="num" val="0"/>
        <cfvo type="num" val="0"/>
      </iconSet>
    </cfRule>
  </conditionalFormatting>
  <conditionalFormatting sqref="M9">
    <cfRule type="iconSet" priority="13">
      <iconSet iconSet="3Symbols2" showValue="0">
        <cfvo type="percent" val="0"/>
        <cfvo type="num" val="0"/>
        <cfvo type="num" val="0"/>
      </iconSet>
    </cfRule>
  </conditionalFormatting>
  <conditionalFormatting sqref="M10 M20 M30">
    <cfRule type="iconSet" priority="15">
      <iconSet iconSet="3Symbols2" showValue="0">
        <cfvo type="percent" val="0"/>
        <cfvo type="num" val="0"/>
        <cfvo type="num" val="0"/>
      </iconSet>
    </cfRule>
  </conditionalFormatting>
  <conditionalFormatting sqref="M11:M19">
    <cfRule type="iconSet" priority="12">
      <iconSet iconSet="3Symbols2" showValue="0">
        <cfvo type="percent" val="0"/>
        <cfvo type="num" val="0"/>
        <cfvo type="num" val="0"/>
      </iconSet>
    </cfRule>
  </conditionalFormatting>
  <conditionalFormatting sqref="M21:M29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M31:M41">
    <cfRule type="iconSet" priority="10">
      <iconSet iconSet="3Symbols2" showValue="0">
        <cfvo type="percent" val="0"/>
        <cfvo type="num" val="0"/>
        <cfvo type="num" val="0"/>
      </iconSet>
    </cfRule>
  </conditionalFormatting>
  <conditionalFormatting sqref="Q6 Q42:Q43">
    <cfRule type="iconSet" priority="70975">
      <iconSet iconSet="3Symbols2" showValue="0">
        <cfvo type="percent" val="0"/>
        <cfvo type="num" val="0"/>
        <cfvo type="num" val="0"/>
      </iconSet>
    </cfRule>
  </conditionalFormatting>
  <conditionalFormatting sqref="Q7">
    <cfRule type="iconSet" priority="438">
      <iconSet iconSet="3Symbols2" showValue="0">
        <cfvo type="percent" val="0"/>
        <cfvo type="num" val="0"/>
        <cfvo type="num" val="0"/>
      </iconSet>
    </cfRule>
  </conditionalFormatting>
  <conditionalFormatting sqref="Q8 Q10 Q20 Q30">
    <cfRule type="iconSet" priority="39002">
      <iconSet iconSet="3Symbols2" showValue="0">
        <cfvo type="percent" val="0"/>
        <cfvo type="num" val="0"/>
        <cfvo type="num" val="0"/>
      </iconSet>
    </cfRule>
  </conditionalFormatting>
  <conditionalFormatting sqref="Q11:Q19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Q21:Q29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Q31:Q41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Q44:Q1048576">
    <cfRule type="iconSet" priority="7672">
      <iconSet iconSet="3Symbols2" showValue="0">
        <cfvo type="percent" val="0"/>
        <cfvo type="num" val="0"/>
        <cfvo type="num" val="0"/>
      </iconSet>
    </cfRule>
  </conditionalFormatting>
  <conditionalFormatting sqref="R4:U4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S9">
    <cfRule type="iconSet" priority="7">
      <iconSet iconSet="3Symbols2" showValue="0">
        <cfvo type="percent" val="0"/>
        <cfvo type="num" val="0"/>
        <cfvo type="num" val="0"/>
      </iconSet>
    </cfRule>
  </conditionalFormatting>
  <conditionalFormatting sqref="S31:S41">
    <cfRule type="iconSet" priority="1">
      <iconSet iconSet="3Symbols2" showValue="0">
        <cfvo type="percent" val="0"/>
        <cfvo type="num" val="0"/>
        <cfvo type="num" val="0"/>
      </iconSet>
    </cfRule>
  </conditionalFormatting>
  <conditionalFormatting sqref="T11:T19">
    <cfRule type="iconSet" priority="5">
      <iconSet iconSet="3Symbols2" showValue="0">
        <cfvo type="percent" val="0"/>
        <cfvo type="num" val="0"/>
        <cfvo type="num" val="0"/>
      </iconSet>
    </cfRule>
  </conditionalFormatting>
  <conditionalFormatting sqref="T21:T29">
    <cfRule type="iconSet" priority="3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6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3674-BC4D-4AAD-B75F-28241B0AEBF3}">
  <sheetPr codeName="Sheet2"/>
  <dimension ref="D1:L12"/>
  <sheetViews>
    <sheetView tabSelected="1" zoomScale="102" zoomScaleNormal="145" workbookViewId="0">
      <selection activeCell="L17" sqref="L17"/>
    </sheetView>
  </sheetViews>
  <sheetFormatPr defaultColWidth="9" defaultRowHeight="13.2"/>
  <cols>
    <col min="3" max="3" width="9" customWidth="1"/>
    <col min="4" max="4" width="31.44140625" customWidth="1"/>
    <col min="5" max="8" width="12.5546875" customWidth="1"/>
    <col min="9" max="9" width="9" customWidth="1"/>
    <col min="10" max="10" width="9.5546875" bestFit="1" customWidth="1"/>
  </cols>
  <sheetData>
    <row r="1" spans="4:12">
      <c r="K1" t="s">
        <v>1078</v>
      </c>
    </row>
    <row r="2" spans="4:12">
      <c r="E2" s="98" t="s">
        <v>11</v>
      </c>
      <c r="F2" s="98" t="s">
        <v>12</v>
      </c>
      <c r="G2" s="98" t="s">
        <v>983</v>
      </c>
      <c r="H2" s="98" t="s">
        <v>14</v>
      </c>
      <c r="K2" s="109">
        <v>0.94920172765050415</v>
      </c>
    </row>
    <row r="3" spans="4:12">
      <c r="K3" t="s">
        <v>1077</v>
      </c>
    </row>
    <row r="4" spans="4:12">
      <c r="D4" t="s">
        <v>2</v>
      </c>
      <c r="E4" s="109">
        <f>SUM(E6:E8)</f>
        <v>145.60600000000002</v>
      </c>
      <c r="F4" s="109">
        <f t="shared" ref="F4:H4" si="0">SUM(F6:F8)</f>
        <v>90.2637</v>
      </c>
      <c r="G4" s="109">
        <f t="shared" si="0"/>
        <v>47.460086382525205</v>
      </c>
      <c r="H4" s="109">
        <f t="shared" si="0"/>
        <v>1.0485</v>
      </c>
      <c r="K4">
        <v>463976</v>
      </c>
      <c r="L4">
        <f>G10/K4*10^7</f>
        <v>20.457991957569014</v>
      </c>
    </row>
    <row r="5" spans="4:12">
      <c r="E5" s="109"/>
      <c r="F5" s="109"/>
      <c r="G5" s="109"/>
      <c r="H5" s="109"/>
    </row>
    <row r="6" spans="4:12">
      <c r="D6" t="s">
        <v>984</v>
      </c>
      <c r="E6" s="109">
        <v>34.549999999999997</v>
      </c>
      <c r="F6" s="109">
        <v>25.003499999999999</v>
      </c>
      <c r="G6" s="109">
        <v>5.8007698999999997</v>
      </c>
      <c r="H6" s="109"/>
    </row>
    <row r="7" spans="4:12">
      <c r="D7" t="s">
        <v>985</v>
      </c>
      <c r="E7" s="109">
        <v>95.68</v>
      </c>
      <c r="F7" s="109">
        <v>50.420200000000001</v>
      </c>
      <c r="G7" s="109">
        <v>26.965357180000002</v>
      </c>
      <c r="H7" s="109">
        <v>0.67849999999999999</v>
      </c>
    </row>
    <row r="8" spans="4:12">
      <c r="D8" t="s">
        <v>986</v>
      </c>
      <c r="E8" s="109">
        <v>15.375999999999999</v>
      </c>
      <c r="F8" s="109">
        <v>14.84</v>
      </c>
      <c r="G8" s="109">
        <v>14.693959302525201</v>
      </c>
      <c r="H8" s="109">
        <v>0.37</v>
      </c>
    </row>
    <row r="9" spans="4:12">
      <c r="D9" t="s">
        <v>987</v>
      </c>
      <c r="E9" s="109"/>
      <c r="F9" s="109"/>
      <c r="G9" s="109"/>
      <c r="H9" s="109"/>
    </row>
    <row r="10" spans="4:12">
      <c r="E10" s="109">
        <f>(E4*5%*10^7)/10000000</f>
        <v>7.2803000000000013</v>
      </c>
      <c r="F10" s="109">
        <f>(F4*3%*10^7)/10000000</f>
        <v>2.7079109999999997</v>
      </c>
      <c r="G10" s="109">
        <f>(G4*2%*10^7)/10000000</f>
        <v>0.94920172765050415</v>
      </c>
      <c r="H10" s="109">
        <f>(H4*7%*10^7)/10000000</f>
        <v>7.3395000000000002E-2</v>
      </c>
    </row>
    <row r="11" spans="4:12">
      <c r="E11" s="109">
        <f>('Design Fee'!H5)/10000000</f>
        <v>7.2803000000000015E-7</v>
      </c>
      <c r="F11" s="109">
        <f>('Design Fee'!AR5)/10000000</f>
        <v>2.7079110000000002E-7</v>
      </c>
      <c r="G11" s="109">
        <f>('Design Fee'!CB5)/10000000</f>
        <v>9.4920172765050409E-8</v>
      </c>
      <c r="H11" s="109">
        <f>('Design Fee'!DL5)/10000000</f>
        <v>7.3395000000000018E-9</v>
      </c>
    </row>
    <row r="12" spans="4:12">
      <c r="E12" s="109">
        <f>(E10-E11)/10000000</f>
        <v>7.2802992719700016E-7</v>
      </c>
      <c r="F12" s="109">
        <f>(F10-F11)/10000000</f>
        <v>2.7079107292088996E-7</v>
      </c>
      <c r="G12" s="109">
        <f>(G10-G11)/10000000</f>
        <v>9.4920163273033144E-8</v>
      </c>
      <c r="H12" s="109">
        <f>(H10-H11)/10000000</f>
        <v>7.3394992660500004E-9</v>
      </c>
    </row>
  </sheetData>
  <sheetProtection selectLockedCells="1" selectUnlockedCells="1"/>
  <phoneticPr fontId="3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5447-873D-4A56-8813-ECF3CAC65F96}">
  <sheetPr codeName="Sheet7">
    <outlinePr summaryBelow="0" summaryRight="0"/>
  </sheetPr>
  <dimension ref="A1:AK161"/>
  <sheetViews>
    <sheetView zoomScaleNormal="100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H169" sqref="H169"/>
    </sheetView>
  </sheetViews>
  <sheetFormatPr defaultColWidth="8.5546875" defaultRowHeight="13.2" outlineLevelRow="2"/>
  <cols>
    <col min="1" max="1" width="8.5546875" style="55"/>
    <col min="2" max="2" width="3.44140625" style="56" bestFit="1" customWidth="1"/>
    <col min="3" max="3" width="5.5546875" style="56" bestFit="1" customWidth="1"/>
    <col min="4" max="4" width="7" style="59" customWidth="1"/>
    <col min="5" max="5" width="50.44140625" style="55" bestFit="1" customWidth="1"/>
    <col min="6" max="6" width="0.5546875" style="55" customWidth="1"/>
    <col min="7" max="7" width="8.44140625" style="55" bestFit="1" customWidth="1"/>
    <col min="8" max="8" width="11.44140625" style="55" bestFit="1" customWidth="1"/>
    <col min="9" max="9" width="5.5546875" style="80" bestFit="1" customWidth="1"/>
    <col min="10" max="10" width="10" style="58" bestFit="1" customWidth="1"/>
    <col min="11" max="11" width="8" style="58" customWidth="1"/>
    <col min="12" max="12" width="10.44140625" style="58" bestFit="1" customWidth="1"/>
    <col min="13" max="24" width="10.44140625" style="58" customWidth="1"/>
    <col min="25" max="25" width="10.44140625" style="58" bestFit="1" customWidth="1"/>
    <col min="26" max="37" width="10.44140625" style="58" customWidth="1"/>
    <col min="38" max="16384" width="8.5546875" style="55"/>
  </cols>
  <sheetData>
    <row r="1" spans="1:37" s="4" customFormat="1" ht="3" customHeight="1">
      <c r="A1" s="60"/>
      <c r="B1" s="61"/>
      <c r="C1" s="62"/>
      <c r="D1" s="63"/>
      <c r="E1" s="61"/>
      <c r="F1" s="64"/>
      <c r="G1" s="61"/>
      <c r="H1" s="65"/>
      <c r="I1" s="65"/>
      <c r="J1" s="66"/>
      <c r="K1" s="67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9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</row>
    <row r="2" spans="1:37" s="4" customFormat="1" ht="12.75" customHeight="1">
      <c r="A2" s="60" t="s">
        <v>120</v>
      </c>
      <c r="B2" s="61"/>
      <c r="C2" s="62"/>
      <c r="D2" s="63"/>
      <c r="E2" s="61"/>
      <c r="F2" s="64"/>
      <c r="G2" s="523" t="s">
        <v>121</v>
      </c>
      <c r="H2" s="523" t="s">
        <v>122</v>
      </c>
      <c r="I2" s="524" t="s">
        <v>123</v>
      </c>
      <c r="J2" s="524" t="s">
        <v>124</v>
      </c>
      <c r="K2" s="524"/>
      <c r="L2" s="522" t="s">
        <v>988</v>
      </c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525" t="s">
        <v>989</v>
      </c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</row>
    <row r="3" spans="1:37" s="4" customFormat="1" ht="3" customHeight="1">
      <c r="A3" s="60"/>
      <c r="B3" s="61"/>
      <c r="C3" s="62"/>
      <c r="D3" s="63"/>
      <c r="E3" s="61"/>
      <c r="F3" s="64"/>
      <c r="G3" s="523"/>
      <c r="H3" s="523"/>
      <c r="I3" s="524"/>
      <c r="J3" s="68"/>
      <c r="K3" s="69"/>
      <c r="L3" s="522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526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</row>
    <row r="4" spans="1:37" s="4" customFormat="1" ht="17.399999999999999">
      <c r="A4" s="70" t="s">
        <v>962</v>
      </c>
      <c r="B4" s="71"/>
      <c r="C4" s="72"/>
      <c r="D4" s="73"/>
      <c r="E4" s="71"/>
      <c r="F4" s="64"/>
      <c r="G4" s="523"/>
      <c r="H4" s="523"/>
      <c r="I4" s="524"/>
      <c r="J4" s="108" t="s">
        <v>990</v>
      </c>
      <c r="K4" s="43" t="s">
        <v>131</v>
      </c>
      <c r="L4" s="522"/>
      <c r="M4" s="99" t="s">
        <v>991</v>
      </c>
      <c r="N4" s="99" t="s">
        <v>992</v>
      </c>
      <c r="O4" s="99" t="s">
        <v>993</v>
      </c>
      <c r="P4" s="99" t="s">
        <v>994</v>
      </c>
      <c r="Q4" s="99" t="s">
        <v>995</v>
      </c>
      <c r="R4" s="99" t="s">
        <v>996</v>
      </c>
      <c r="S4" s="99" t="s">
        <v>997</v>
      </c>
      <c r="T4" s="99" t="s">
        <v>998</v>
      </c>
      <c r="U4" s="99" t="s">
        <v>999</v>
      </c>
      <c r="V4" s="99" t="s">
        <v>1000</v>
      </c>
      <c r="W4" s="99" t="s">
        <v>1001</v>
      </c>
      <c r="X4" s="99" t="s">
        <v>1002</v>
      </c>
      <c r="Y4" s="527"/>
      <c r="Z4" s="99" t="s">
        <v>991</v>
      </c>
      <c r="AA4" s="99" t="s">
        <v>992</v>
      </c>
      <c r="AB4" s="99" t="s">
        <v>993</v>
      </c>
      <c r="AC4" s="99" t="s">
        <v>994</v>
      </c>
      <c r="AD4" s="99" t="s">
        <v>995</v>
      </c>
      <c r="AE4" s="99" t="s">
        <v>996</v>
      </c>
      <c r="AF4" s="99" t="s">
        <v>997</v>
      </c>
      <c r="AG4" s="99" t="s">
        <v>998</v>
      </c>
      <c r="AH4" s="99" t="s">
        <v>999</v>
      </c>
      <c r="AI4" s="99" t="s">
        <v>1000</v>
      </c>
      <c r="AJ4" s="99" t="s">
        <v>1001</v>
      </c>
      <c r="AK4" s="99" t="s">
        <v>1002</v>
      </c>
    </row>
    <row r="5" spans="1:37" s="4" customFormat="1" ht="3" customHeight="1">
      <c r="A5" s="60"/>
      <c r="B5" s="61"/>
      <c r="C5" s="62"/>
      <c r="D5" s="63"/>
      <c r="E5" s="61"/>
      <c r="F5" s="64"/>
      <c r="G5" s="61"/>
      <c r="H5" s="65"/>
      <c r="I5" s="65"/>
      <c r="J5" s="66"/>
      <c r="K5" s="67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9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</row>
    <row r="6" spans="1:37" s="57" customFormat="1">
      <c r="A6" s="60" t="s">
        <v>1003</v>
      </c>
      <c r="B6" s="45"/>
      <c r="C6" s="45"/>
      <c r="D6" s="44"/>
      <c r="E6" s="46"/>
      <c r="F6" s="46"/>
      <c r="G6" s="94" t="s">
        <v>121</v>
      </c>
      <c r="H6" s="94" t="s">
        <v>122</v>
      </c>
      <c r="I6" s="95" t="s">
        <v>123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outlineLevel="1">
      <c r="A7" s="47"/>
      <c r="B7" s="45" t="s">
        <v>14</v>
      </c>
      <c r="C7" s="48" t="s">
        <v>1004</v>
      </c>
      <c r="D7" s="44"/>
      <c r="E7" s="79" t="s">
        <v>1005</v>
      </c>
      <c r="F7" s="76"/>
      <c r="G7" s="45" t="s">
        <v>1006</v>
      </c>
      <c r="H7" s="30" t="str">
        <f>CONCATENATE(B7,"-",G7,"-",I7)</f>
        <v>LS-T01-4</v>
      </c>
      <c r="I7" s="77">
        <v>4</v>
      </c>
      <c r="J7" s="50">
        <v>1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 spans="1:37" ht="3" customHeight="1">
      <c r="A8" s="47"/>
      <c r="B8" s="45"/>
      <c r="C8" s="48"/>
      <c r="D8" s="44"/>
      <c r="E8" s="79"/>
      <c r="F8" s="76"/>
      <c r="G8" s="45"/>
      <c r="H8" s="30"/>
      <c r="I8" s="7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 s="57" customFormat="1">
      <c r="A9" s="60" t="s">
        <v>1007</v>
      </c>
      <c r="B9" s="45"/>
      <c r="C9" s="45"/>
      <c r="D9" s="44"/>
      <c r="E9" s="79"/>
      <c r="F9" s="46"/>
      <c r="G9" s="94" t="s">
        <v>121</v>
      </c>
      <c r="H9" s="94" t="s">
        <v>122</v>
      </c>
      <c r="I9" s="95" t="s">
        <v>123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outlineLevel="1">
      <c r="A10" s="47"/>
      <c r="B10" s="45" t="s">
        <v>14</v>
      </c>
      <c r="C10" s="45" t="s">
        <v>1008</v>
      </c>
      <c r="D10" s="44"/>
      <c r="E10" s="79" t="s">
        <v>1009</v>
      </c>
      <c r="F10" s="76"/>
      <c r="G10" s="45" t="s">
        <v>1008</v>
      </c>
      <c r="H10" s="30" t="str">
        <f>CONCATENATE(B10,"-",G10,"-",I10)</f>
        <v>LS-T2V-4</v>
      </c>
      <c r="I10" s="77">
        <v>4</v>
      </c>
      <c r="J10" s="50">
        <v>1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</row>
    <row r="11" spans="1:37" ht="3" customHeight="1">
      <c r="A11" s="47"/>
      <c r="B11" s="45"/>
      <c r="C11" s="48"/>
      <c r="D11" s="44"/>
      <c r="E11" s="79"/>
      <c r="F11" s="76"/>
      <c r="G11" s="45"/>
      <c r="H11" s="30"/>
      <c r="I11" s="77"/>
      <c r="J11" s="49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</row>
    <row r="12" spans="1:37" s="57" customFormat="1">
      <c r="A12" s="60" t="s">
        <v>1010</v>
      </c>
      <c r="B12" s="45"/>
      <c r="C12" s="45"/>
      <c r="D12" s="44"/>
      <c r="E12" s="79"/>
      <c r="F12" s="46"/>
      <c r="G12" s="94" t="s">
        <v>121</v>
      </c>
      <c r="H12" s="94" t="s">
        <v>122</v>
      </c>
      <c r="I12" s="95" t="s">
        <v>123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outlineLevel="1">
      <c r="A13" s="47"/>
      <c r="B13" s="45" t="s">
        <v>14</v>
      </c>
      <c r="C13" s="48" t="s">
        <v>1011</v>
      </c>
      <c r="D13" s="44"/>
      <c r="E13" s="79" t="s">
        <v>1012</v>
      </c>
      <c r="F13" s="76"/>
      <c r="G13" s="48" t="s">
        <v>1011</v>
      </c>
      <c r="H13" s="30" t="str">
        <f>CONCATENATE(B13,"-",G13,"-",I13)</f>
        <v>LS-T2S-4</v>
      </c>
      <c r="I13" s="77">
        <v>4</v>
      </c>
      <c r="J13" s="50">
        <v>1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</row>
    <row r="14" spans="1:37" s="57" customFormat="1" outlineLevel="2">
      <c r="A14" s="52"/>
      <c r="B14" s="45" t="s">
        <v>14</v>
      </c>
      <c r="C14" s="48" t="s">
        <v>1011</v>
      </c>
      <c r="D14" s="44"/>
      <c r="E14" s="79" t="s">
        <v>1013</v>
      </c>
      <c r="F14" s="76"/>
      <c r="G14" s="48" t="s">
        <v>1011</v>
      </c>
      <c r="H14" s="30" t="str">
        <f>CONCATENATE("LS-",G14,"-",I14)</f>
        <v>LS-T2S-4</v>
      </c>
      <c r="I14" s="77">
        <v>4</v>
      </c>
      <c r="J14" s="50">
        <v>1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</row>
    <row r="15" spans="1:37" s="57" customFormat="1" outlineLevel="2">
      <c r="A15" s="52"/>
      <c r="B15" s="45" t="s">
        <v>14</v>
      </c>
      <c r="C15" s="48" t="s">
        <v>1011</v>
      </c>
      <c r="D15" s="44"/>
      <c r="E15" s="79" t="s">
        <v>970</v>
      </c>
      <c r="F15" s="76"/>
      <c r="G15" s="48" t="s">
        <v>1011</v>
      </c>
      <c r="H15" s="30" t="str">
        <f t="shared" ref="H15:H23" si="0">CONCATENATE("LS-",G15,"-",I15)</f>
        <v>LS-T2S-4</v>
      </c>
      <c r="I15" s="77">
        <v>4</v>
      </c>
      <c r="J15" s="50">
        <v>1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</row>
    <row r="16" spans="1:37" s="57" customFormat="1" outlineLevel="2">
      <c r="A16" s="52"/>
      <c r="B16" s="45" t="s">
        <v>14</v>
      </c>
      <c r="C16" s="48" t="s">
        <v>1011</v>
      </c>
      <c r="D16" s="44"/>
      <c r="E16" s="79" t="s">
        <v>971</v>
      </c>
      <c r="F16" s="76"/>
      <c r="G16" s="48" t="s">
        <v>1011</v>
      </c>
      <c r="H16" s="30" t="str">
        <f t="shared" si="0"/>
        <v>LS-T2S-4</v>
      </c>
      <c r="I16" s="77">
        <v>4</v>
      </c>
      <c r="J16" s="50">
        <v>1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</row>
    <row r="17" spans="1:37" s="57" customFormat="1" outlineLevel="2">
      <c r="A17" s="52"/>
      <c r="B17" s="45" t="s">
        <v>14</v>
      </c>
      <c r="C17" s="48" t="s">
        <v>1011</v>
      </c>
      <c r="D17" s="44"/>
      <c r="E17" s="79" t="s">
        <v>1014</v>
      </c>
      <c r="F17" s="76"/>
      <c r="G17" s="48" t="s">
        <v>1011</v>
      </c>
      <c r="H17" s="30" t="str">
        <f t="shared" si="0"/>
        <v>LS-T2S-4</v>
      </c>
      <c r="I17" s="77">
        <v>4</v>
      </c>
      <c r="J17" s="50">
        <v>1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</row>
    <row r="18" spans="1:37" s="57" customFormat="1" outlineLevel="2">
      <c r="A18" s="52"/>
      <c r="B18" s="45" t="s">
        <v>14</v>
      </c>
      <c r="C18" s="48" t="s">
        <v>1011</v>
      </c>
      <c r="D18" s="44"/>
      <c r="E18" s="79" t="s">
        <v>1015</v>
      </c>
      <c r="F18" s="76"/>
      <c r="G18" s="48" t="s">
        <v>1011</v>
      </c>
      <c r="H18" s="30" t="str">
        <f t="shared" si="0"/>
        <v>LS-T2S-4</v>
      </c>
      <c r="I18" s="77">
        <v>4</v>
      </c>
      <c r="J18" s="50">
        <v>1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</row>
    <row r="19" spans="1:37" s="57" customFormat="1" outlineLevel="2">
      <c r="A19" s="52"/>
      <c r="B19" s="45" t="s">
        <v>14</v>
      </c>
      <c r="C19" s="48" t="s">
        <v>1011</v>
      </c>
      <c r="D19" s="44"/>
      <c r="E19" s="79" t="s">
        <v>976</v>
      </c>
      <c r="F19" s="76"/>
      <c r="G19" s="48" t="s">
        <v>1011</v>
      </c>
      <c r="H19" s="30" t="str">
        <f t="shared" si="0"/>
        <v>LS-T2S-4</v>
      </c>
      <c r="I19" s="77">
        <v>4</v>
      </c>
      <c r="J19" s="50">
        <v>1</v>
      </c>
      <c r="K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</row>
    <row r="20" spans="1:37" s="57" customFormat="1" outlineLevel="2">
      <c r="A20" s="52"/>
      <c r="B20" s="45" t="s">
        <v>14</v>
      </c>
      <c r="C20" s="48" t="s">
        <v>1011</v>
      </c>
      <c r="D20" s="44"/>
      <c r="E20" s="79" t="s">
        <v>973</v>
      </c>
      <c r="F20" s="76"/>
      <c r="G20" s="48" t="s">
        <v>1011</v>
      </c>
      <c r="H20" s="30" t="str">
        <f t="shared" si="0"/>
        <v>LS-T2S-4</v>
      </c>
      <c r="I20" s="77">
        <v>4</v>
      </c>
      <c r="J20" s="50">
        <v>1</v>
      </c>
      <c r="K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</row>
    <row r="21" spans="1:37" s="57" customFormat="1" outlineLevel="2">
      <c r="A21" s="52"/>
      <c r="B21" s="45" t="s">
        <v>14</v>
      </c>
      <c r="C21" s="48" t="s">
        <v>1011</v>
      </c>
      <c r="D21" s="44"/>
      <c r="E21" s="79" t="s">
        <v>974</v>
      </c>
      <c r="F21" s="76"/>
      <c r="G21" s="48" t="s">
        <v>1011</v>
      </c>
      <c r="H21" s="30" t="str">
        <f t="shared" si="0"/>
        <v>LS-T2S-4</v>
      </c>
      <c r="I21" s="77">
        <v>4</v>
      </c>
      <c r="J21" s="50">
        <v>1</v>
      </c>
      <c r="K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</row>
    <row r="22" spans="1:37" s="57" customFormat="1" outlineLevel="2">
      <c r="A22" s="52"/>
      <c r="B22" s="45" t="s">
        <v>14</v>
      </c>
      <c r="C22" s="48" t="s">
        <v>1011</v>
      </c>
      <c r="D22" s="44"/>
      <c r="E22" s="79" t="s">
        <v>1016</v>
      </c>
      <c r="F22" s="76"/>
      <c r="G22" s="48" t="s">
        <v>1011</v>
      </c>
      <c r="H22" s="30" t="str">
        <f t="shared" si="0"/>
        <v>LS-T2S-4</v>
      </c>
      <c r="I22" s="77">
        <v>4</v>
      </c>
      <c r="J22" s="50">
        <v>1</v>
      </c>
      <c r="K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</row>
    <row r="23" spans="1:37" s="57" customFormat="1" outlineLevel="2">
      <c r="A23" s="52"/>
      <c r="B23" s="45" t="s">
        <v>14</v>
      </c>
      <c r="C23" s="48" t="s">
        <v>1011</v>
      </c>
      <c r="D23" s="44"/>
      <c r="E23" s="79" t="s">
        <v>977</v>
      </c>
      <c r="F23" s="76"/>
      <c r="G23" s="48" t="s">
        <v>1011</v>
      </c>
      <c r="H23" s="30" t="str">
        <f t="shared" si="0"/>
        <v>LS-T2S-4</v>
      </c>
      <c r="I23" s="77">
        <v>4</v>
      </c>
      <c r="J23" s="50">
        <v>1</v>
      </c>
      <c r="K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</row>
    <row r="24" spans="1:37" ht="3" customHeight="1">
      <c r="A24" s="47"/>
      <c r="B24" s="45"/>
      <c r="C24" s="48"/>
      <c r="D24" s="44"/>
      <c r="E24" s="79"/>
      <c r="F24" s="76"/>
      <c r="G24" s="45"/>
      <c r="H24" s="30"/>
      <c r="I24" s="77"/>
      <c r="J24" s="49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</row>
    <row r="25" spans="1:37" s="57" customFormat="1">
      <c r="A25" s="60" t="s">
        <v>1017</v>
      </c>
      <c r="B25" s="45"/>
      <c r="C25" s="45"/>
      <c r="D25" s="44"/>
      <c r="E25" s="79"/>
      <c r="F25" s="46"/>
      <c r="G25" s="94" t="s">
        <v>121</v>
      </c>
      <c r="H25" s="94" t="s">
        <v>122</v>
      </c>
      <c r="I25" s="95" t="s">
        <v>123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outlineLevel="1">
      <c r="A26" s="47"/>
      <c r="B26" s="45" t="s">
        <v>14</v>
      </c>
      <c r="C26" s="48" t="s">
        <v>1018</v>
      </c>
      <c r="D26" s="44"/>
      <c r="E26" s="79" t="s">
        <v>1019</v>
      </c>
      <c r="F26" s="76"/>
      <c r="G26" s="48" t="s">
        <v>1020</v>
      </c>
      <c r="H26" s="30" t="str">
        <f>CONCATENATE(B26,"-",G26,"-",I26)</f>
        <v>LS-TXV-4</v>
      </c>
      <c r="I26" s="77">
        <v>4</v>
      </c>
      <c r="J26" s="49"/>
      <c r="K26" s="50"/>
      <c r="L26" s="50">
        <v>1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</row>
    <row r="27" spans="1:37" ht="3" customHeight="1">
      <c r="A27" s="47"/>
      <c r="B27" s="45"/>
      <c r="C27" s="48"/>
      <c r="D27" s="44"/>
      <c r="E27" s="79"/>
      <c r="F27" s="76"/>
      <c r="G27" s="45"/>
      <c r="H27" s="30"/>
      <c r="I27" s="77"/>
      <c r="J27" s="49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1:37" s="57" customFormat="1">
      <c r="A28" s="60" t="s">
        <v>1021</v>
      </c>
      <c r="B28" s="45"/>
      <c r="C28" s="45"/>
      <c r="D28" s="44"/>
      <c r="E28" s="79"/>
      <c r="F28" s="46"/>
      <c r="G28" s="94" t="s">
        <v>121</v>
      </c>
      <c r="H28" s="94" t="s">
        <v>122</v>
      </c>
      <c r="I28" s="95" t="s">
        <v>123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outlineLevel="1">
      <c r="A29" s="47"/>
      <c r="B29" s="45" t="s">
        <v>14</v>
      </c>
      <c r="C29" s="48" t="s">
        <v>1022</v>
      </c>
      <c r="D29" s="44"/>
      <c r="E29" s="79" t="s">
        <v>1023</v>
      </c>
      <c r="F29" s="76"/>
      <c r="G29" s="48" t="s">
        <v>1024</v>
      </c>
      <c r="H29" s="30" t="str">
        <f>CONCATENATE(B29,"-",G29,"-",I29)</f>
        <v>LS-TXS-4</v>
      </c>
      <c r="I29" s="77">
        <v>4</v>
      </c>
      <c r="J29" s="50"/>
      <c r="K29" s="50"/>
      <c r="L29" s="50">
        <v>1</v>
      </c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</row>
    <row r="30" spans="1:37" s="57" customFormat="1" outlineLevel="2">
      <c r="A30" s="52"/>
      <c r="B30" s="45" t="s">
        <v>14</v>
      </c>
      <c r="C30" s="48" t="s">
        <v>1022</v>
      </c>
      <c r="D30" s="44"/>
      <c r="E30" s="79" t="s">
        <v>1013</v>
      </c>
      <c r="F30" s="76"/>
      <c r="G30" s="48" t="s">
        <v>1024</v>
      </c>
      <c r="H30" s="30" t="str">
        <f>CONCATENATE("LS-",G30,"-",I30)</f>
        <v>LS-TXS-4</v>
      </c>
      <c r="I30" s="77">
        <v>4</v>
      </c>
      <c r="J30" s="50"/>
      <c r="K30" s="50"/>
      <c r="L30" s="50">
        <v>1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</row>
    <row r="31" spans="1:37" s="57" customFormat="1" outlineLevel="2">
      <c r="A31" s="52"/>
      <c r="B31" s="45" t="s">
        <v>14</v>
      </c>
      <c r="C31" s="48" t="s">
        <v>1022</v>
      </c>
      <c r="D31" s="44"/>
      <c r="E31" s="79" t="s">
        <v>970</v>
      </c>
      <c r="F31" s="76"/>
      <c r="G31" s="48" t="s">
        <v>1024</v>
      </c>
      <c r="H31" s="30" t="str">
        <f t="shared" ref="H31:H39" si="1">CONCATENATE("LS-",G31,"-",I31)</f>
        <v>LS-TXS-4</v>
      </c>
      <c r="I31" s="77">
        <v>4</v>
      </c>
      <c r="J31" s="50"/>
      <c r="K31" s="50"/>
      <c r="L31" s="50">
        <v>1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</row>
    <row r="32" spans="1:37" s="57" customFormat="1" outlineLevel="2">
      <c r="A32" s="52"/>
      <c r="B32" s="45" t="s">
        <v>14</v>
      </c>
      <c r="C32" s="48" t="s">
        <v>1022</v>
      </c>
      <c r="D32" s="44"/>
      <c r="E32" s="79" t="s">
        <v>971</v>
      </c>
      <c r="F32" s="76"/>
      <c r="G32" s="48" t="s">
        <v>1024</v>
      </c>
      <c r="H32" s="30" t="str">
        <f t="shared" si="1"/>
        <v>LS-TXS-4</v>
      </c>
      <c r="I32" s="77">
        <v>4</v>
      </c>
      <c r="J32" s="50"/>
      <c r="K32" s="50"/>
      <c r="L32" s="50">
        <v>1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</row>
    <row r="33" spans="1:37" s="57" customFormat="1" outlineLevel="2">
      <c r="A33" s="52"/>
      <c r="B33" s="45" t="s">
        <v>14</v>
      </c>
      <c r="C33" s="48" t="s">
        <v>1022</v>
      </c>
      <c r="D33" s="44"/>
      <c r="E33" s="79" t="s">
        <v>1014</v>
      </c>
      <c r="F33" s="76"/>
      <c r="G33" s="48" t="s">
        <v>1024</v>
      </c>
      <c r="H33" s="30" t="str">
        <f t="shared" si="1"/>
        <v>LS-TXS-4</v>
      </c>
      <c r="I33" s="77">
        <v>4</v>
      </c>
      <c r="J33" s="50"/>
      <c r="K33" s="50"/>
      <c r="L33" s="50">
        <v>1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</row>
    <row r="34" spans="1:37" s="57" customFormat="1" outlineLevel="2">
      <c r="A34" s="52"/>
      <c r="B34" s="45" t="s">
        <v>14</v>
      </c>
      <c r="C34" s="48" t="s">
        <v>1022</v>
      </c>
      <c r="D34" s="44"/>
      <c r="E34" s="79" t="s">
        <v>1015</v>
      </c>
      <c r="F34" s="76"/>
      <c r="G34" s="48" t="s">
        <v>1024</v>
      </c>
      <c r="H34" s="30" t="str">
        <f t="shared" si="1"/>
        <v>LS-TXS-4</v>
      </c>
      <c r="I34" s="77">
        <v>4</v>
      </c>
      <c r="J34" s="50"/>
      <c r="K34" s="50"/>
      <c r="L34" s="50">
        <v>1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</row>
    <row r="35" spans="1:37" s="57" customFormat="1" outlineLevel="2">
      <c r="A35" s="52"/>
      <c r="B35" s="45" t="s">
        <v>14</v>
      </c>
      <c r="C35" s="48" t="s">
        <v>1022</v>
      </c>
      <c r="D35" s="44"/>
      <c r="E35" s="79" t="s">
        <v>976</v>
      </c>
      <c r="F35" s="76"/>
      <c r="G35" s="48" t="s">
        <v>1024</v>
      </c>
      <c r="H35" s="30" t="str">
        <f t="shared" si="1"/>
        <v>LS-TXS-4</v>
      </c>
      <c r="I35" s="77">
        <v>4</v>
      </c>
      <c r="J35" s="50"/>
      <c r="K35" s="50"/>
      <c r="L35" s="50">
        <v>1</v>
      </c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</row>
    <row r="36" spans="1:37" s="57" customFormat="1" outlineLevel="2">
      <c r="A36" s="52"/>
      <c r="B36" s="45" t="s">
        <v>14</v>
      </c>
      <c r="C36" s="48" t="s">
        <v>1022</v>
      </c>
      <c r="D36" s="44"/>
      <c r="E36" s="79" t="s">
        <v>973</v>
      </c>
      <c r="F36" s="76"/>
      <c r="G36" s="48" t="s">
        <v>1024</v>
      </c>
      <c r="H36" s="30" t="str">
        <f t="shared" si="1"/>
        <v>LS-TXS-4</v>
      </c>
      <c r="I36" s="77">
        <v>4</v>
      </c>
      <c r="J36" s="50"/>
      <c r="K36" s="50"/>
      <c r="L36" s="50">
        <v>1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</row>
    <row r="37" spans="1:37" s="57" customFormat="1" outlineLevel="2">
      <c r="A37" s="52"/>
      <c r="B37" s="45" t="s">
        <v>14</v>
      </c>
      <c r="C37" s="48" t="s">
        <v>1022</v>
      </c>
      <c r="D37" s="44"/>
      <c r="E37" s="79" t="s">
        <v>974</v>
      </c>
      <c r="F37" s="76"/>
      <c r="G37" s="48" t="s">
        <v>1024</v>
      </c>
      <c r="H37" s="30" t="str">
        <f t="shared" si="1"/>
        <v>LS-TXS-4</v>
      </c>
      <c r="I37" s="77">
        <v>4</v>
      </c>
      <c r="J37" s="50"/>
      <c r="K37" s="50"/>
      <c r="L37" s="50">
        <v>1</v>
      </c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</row>
    <row r="38" spans="1:37" s="57" customFormat="1" outlineLevel="2">
      <c r="A38" s="52"/>
      <c r="B38" s="45" t="s">
        <v>14</v>
      </c>
      <c r="C38" s="48" t="s">
        <v>1022</v>
      </c>
      <c r="D38" s="44"/>
      <c r="E38" s="79" t="s">
        <v>1016</v>
      </c>
      <c r="F38" s="76"/>
      <c r="G38" s="48" t="s">
        <v>1024</v>
      </c>
      <c r="H38" s="30" t="str">
        <f t="shared" si="1"/>
        <v>LS-TXS-4</v>
      </c>
      <c r="I38" s="77">
        <v>4</v>
      </c>
      <c r="J38" s="50"/>
      <c r="K38" s="50"/>
      <c r="L38" s="50">
        <v>1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</row>
    <row r="39" spans="1:37" s="57" customFormat="1" outlineLevel="2">
      <c r="A39" s="52"/>
      <c r="B39" s="45" t="s">
        <v>14</v>
      </c>
      <c r="C39" s="48" t="s">
        <v>1022</v>
      </c>
      <c r="D39" s="44"/>
      <c r="E39" s="79" t="s">
        <v>977</v>
      </c>
      <c r="F39" s="76"/>
      <c r="G39" s="48" t="s">
        <v>1024</v>
      </c>
      <c r="H39" s="30" t="str">
        <f t="shared" si="1"/>
        <v>LS-TXS-4</v>
      </c>
      <c r="I39" s="77">
        <v>4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</row>
    <row r="40" spans="1:37" ht="3" customHeight="1">
      <c r="A40" s="47"/>
      <c r="B40" s="45"/>
      <c r="C40" s="48"/>
      <c r="D40" s="44"/>
      <c r="E40" s="79"/>
      <c r="F40" s="76"/>
      <c r="G40" s="45"/>
      <c r="H40" s="30"/>
      <c r="I40" s="77"/>
      <c r="J40" s="49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</row>
    <row r="41" spans="1:37" s="57" customFormat="1">
      <c r="A41" s="60" t="s">
        <v>1025</v>
      </c>
      <c r="B41" s="45"/>
      <c r="C41" s="45"/>
      <c r="D41" s="44"/>
      <c r="E41" s="79"/>
      <c r="F41" s="46"/>
      <c r="G41" s="94" t="s">
        <v>121</v>
      </c>
      <c r="H41" s="94" t="s">
        <v>122</v>
      </c>
      <c r="I41" s="95" t="s">
        <v>123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outlineLevel="1">
      <c r="A42" s="47"/>
      <c r="B42" s="45" t="s">
        <v>14</v>
      </c>
      <c r="C42" s="45" t="s">
        <v>1026</v>
      </c>
      <c r="D42" s="44"/>
      <c r="E42" s="79" t="s">
        <v>1027</v>
      </c>
      <c r="F42" s="76"/>
      <c r="G42" s="45" t="s">
        <v>1026</v>
      </c>
      <c r="H42" s="30" t="str">
        <f>CONCATENATE(B42,"-",G42,"-",I42)</f>
        <v>LS-T6V-4</v>
      </c>
      <c r="I42" s="77">
        <v>4</v>
      </c>
      <c r="J42" s="50">
        <v>1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</row>
    <row r="43" spans="1:37" ht="3" customHeight="1">
      <c r="A43" s="47"/>
      <c r="B43" s="45"/>
      <c r="C43" s="48"/>
      <c r="D43" s="44"/>
      <c r="E43" s="79"/>
      <c r="F43" s="76"/>
      <c r="G43" s="45"/>
      <c r="H43" s="30"/>
      <c r="I43" s="77"/>
      <c r="J43" s="49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</row>
    <row r="44" spans="1:37" s="57" customFormat="1">
      <c r="A44" s="60" t="s">
        <v>1028</v>
      </c>
      <c r="B44" s="45"/>
      <c r="C44" s="45"/>
      <c r="D44" s="44"/>
      <c r="E44" s="79"/>
      <c r="F44" s="46"/>
      <c r="G44" s="94" t="s">
        <v>121</v>
      </c>
      <c r="H44" s="94" t="s">
        <v>122</v>
      </c>
      <c r="I44" s="95" t="s">
        <v>123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outlineLevel="1">
      <c r="A45" s="47"/>
      <c r="B45" s="45" t="s">
        <v>14</v>
      </c>
      <c r="C45" s="48" t="s">
        <v>1029</v>
      </c>
      <c r="D45" s="44"/>
      <c r="E45" s="79" t="s">
        <v>1030</v>
      </c>
      <c r="F45" s="76"/>
      <c r="G45" s="48" t="s">
        <v>1029</v>
      </c>
      <c r="H45" s="30" t="str">
        <f>CONCATENATE(B45,"-",G45,"-",I45)</f>
        <v>LS-T6S-4</v>
      </c>
      <c r="I45" s="77">
        <v>4</v>
      </c>
      <c r="J45" s="50"/>
      <c r="K45" s="50"/>
      <c r="L45" s="50">
        <v>1</v>
      </c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</row>
    <row r="46" spans="1:37" s="57" customFormat="1" outlineLevel="2">
      <c r="A46" s="52"/>
      <c r="B46" s="45" t="s">
        <v>14</v>
      </c>
      <c r="C46" s="48" t="s">
        <v>1029</v>
      </c>
      <c r="D46" s="44"/>
      <c r="E46" s="79" t="s">
        <v>1013</v>
      </c>
      <c r="F46" s="76"/>
      <c r="G46" s="48" t="s">
        <v>1029</v>
      </c>
      <c r="H46" s="30" t="str">
        <f>CONCATENATE("LS-",G46,"-",I46)</f>
        <v>LS-T6S-4</v>
      </c>
      <c r="I46" s="77">
        <v>4</v>
      </c>
      <c r="J46" s="50"/>
      <c r="K46" s="50"/>
      <c r="L46" s="50">
        <v>1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</row>
    <row r="47" spans="1:37" s="57" customFormat="1" outlineLevel="2">
      <c r="A47" s="52"/>
      <c r="B47" s="45" t="s">
        <v>14</v>
      </c>
      <c r="C47" s="48" t="s">
        <v>1029</v>
      </c>
      <c r="D47" s="44"/>
      <c r="E47" s="79" t="s">
        <v>970</v>
      </c>
      <c r="F47" s="76"/>
      <c r="G47" s="48" t="s">
        <v>1029</v>
      </c>
      <c r="H47" s="30" t="str">
        <f t="shared" ref="H47:H55" si="2">CONCATENATE("LS-",G47,"-",I47)</f>
        <v>LS-T6S-4</v>
      </c>
      <c r="I47" s="77">
        <v>4</v>
      </c>
      <c r="J47" s="50"/>
      <c r="K47" s="50"/>
      <c r="L47" s="50">
        <v>1</v>
      </c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</row>
    <row r="48" spans="1:37" s="57" customFormat="1" outlineLevel="2">
      <c r="A48" s="52"/>
      <c r="B48" s="45" t="s">
        <v>14</v>
      </c>
      <c r="C48" s="48" t="s">
        <v>1029</v>
      </c>
      <c r="D48" s="44"/>
      <c r="E48" s="79" t="s">
        <v>971</v>
      </c>
      <c r="F48" s="76"/>
      <c r="G48" s="48" t="s">
        <v>1029</v>
      </c>
      <c r="H48" s="30" t="str">
        <f t="shared" si="2"/>
        <v>LS-T6S-4</v>
      </c>
      <c r="I48" s="77">
        <v>4</v>
      </c>
      <c r="J48" s="50"/>
      <c r="K48" s="50"/>
      <c r="L48" s="50">
        <v>1</v>
      </c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</row>
    <row r="49" spans="1:37" s="57" customFormat="1" outlineLevel="2">
      <c r="A49" s="52"/>
      <c r="B49" s="45" t="s">
        <v>14</v>
      </c>
      <c r="C49" s="48" t="s">
        <v>1029</v>
      </c>
      <c r="D49" s="44"/>
      <c r="E49" s="79" t="s">
        <v>1014</v>
      </c>
      <c r="F49" s="76"/>
      <c r="G49" s="48" t="s">
        <v>1029</v>
      </c>
      <c r="H49" s="30" t="str">
        <f t="shared" si="2"/>
        <v>LS-T6S-4</v>
      </c>
      <c r="I49" s="77">
        <v>4</v>
      </c>
      <c r="J49" s="50"/>
      <c r="K49" s="50"/>
      <c r="L49" s="50">
        <v>1</v>
      </c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</row>
    <row r="50" spans="1:37" s="57" customFormat="1" outlineLevel="2">
      <c r="A50" s="52"/>
      <c r="B50" s="45" t="s">
        <v>14</v>
      </c>
      <c r="C50" s="48" t="s">
        <v>1029</v>
      </c>
      <c r="D50" s="44"/>
      <c r="E50" s="79" t="s">
        <v>1015</v>
      </c>
      <c r="F50" s="76"/>
      <c r="G50" s="48" t="s">
        <v>1029</v>
      </c>
      <c r="H50" s="30" t="str">
        <f t="shared" si="2"/>
        <v>LS-T6S-4</v>
      </c>
      <c r="I50" s="77">
        <v>4</v>
      </c>
      <c r="J50" s="50"/>
      <c r="K50" s="50"/>
      <c r="L50" s="50">
        <v>1</v>
      </c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</row>
    <row r="51" spans="1:37" s="57" customFormat="1" outlineLevel="2">
      <c r="A51" s="52"/>
      <c r="B51" s="45" t="s">
        <v>14</v>
      </c>
      <c r="C51" s="48" t="s">
        <v>1029</v>
      </c>
      <c r="D51" s="44"/>
      <c r="E51" s="79" t="s">
        <v>976</v>
      </c>
      <c r="F51" s="76"/>
      <c r="G51" s="48" t="s">
        <v>1029</v>
      </c>
      <c r="H51" s="30" t="str">
        <f t="shared" si="2"/>
        <v>LS-T6S-4</v>
      </c>
      <c r="I51" s="77">
        <v>4</v>
      </c>
      <c r="J51" s="50"/>
      <c r="K51" s="50"/>
      <c r="L51" s="50">
        <v>1</v>
      </c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</row>
    <row r="52" spans="1:37" s="57" customFormat="1" outlineLevel="2">
      <c r="A52" s="52"/>
      <c r="B52" s="45" t="s">
        <v>14</v>
      </c>
      <c r="C52" s="48" t="s">
        <v>1029</v>
      </c>
      <c r="D52" s="44"/>
      <c r="E52" s="79" t="s">
        <v>973</v>
      </c>
      <c r="F52" s="76"/>
      <c r="G52" s="48" t="s">
        <v>1029</v>
      </c>
      <c r="H52" s="30" t="str">
        <f t="shared" si="2"/>
        <v>LS-T6S-4</v>
      </c>
      <c r="I52" s="77">
        <v>4</v>
      </c>
      <c r="J52" s="50"/>
      <c r="K52" s="50"/>
      <c r="L52" s="50">
        <v>1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</row>
    <row r="53" spans="1:37" s="57" customFormat="1" outlineLevel="2">
      <c r="A53" s="52"/>
      <c r="B53" s="45" t="s">
        <v>14</v>
      </c>
      <c r="C53" s="48" t="s">
        <v>1029</v>
      </c>
      <c r="D53" s="44"/>
      <c r="E53" s="79" t="s">
        <v>974</v>
      </c>
      <c r="F53" s="76"/>
      <c r="G53" s="48" t="s">
        <v>1029</v>
      </c>
      <c r="H53" s="30" t="str">
        <f t="shared" si="2"/>
        <v>LS-T6S-4</v>
      </c>
      <c r="I53" s="77">
        <v>4</v>
      </c>
      <c r="J53" s="50"/>
      <c r="K53" s="50"/>
      <c r="L53" s="50">
        <v>1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</row>
    <row r="54" spans="1:37" s="57" customFormat="1" outlineLevel="2">
      <c r="A54" s="52"/>
      <c r="B54" s="45" t="s">
        <v>14</v>
      </c>
      <c r="C54" s="48" t="s">
        <v>1029</v>
      </c>
      <c r="D54" s="44"/>
      <c r="E54" s="79" t="s">
        <v>1016</v>
      </c>
      <c r="F54" s="76"/>
      <c r="G54" s="48" t="s">
        <v>1029</v>
      </c>
      <c r="H54" s="30" t="str">
        <f t="shared" si="2"/>
        <v>LS-T6S-4</v>
      </c>
      <c r="I54" s="77">
        <v>4</v>
      </c>
      <c r="J54" s="50"/>
      <c r="K54" s="50"/>
      <c r="L54" s="50">
        <v>1</v>
      </c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</row>
    <row r="55" spans="1:37" s="57" customFormat="1" outlineLevel="2">
      <c r="A55" s="52"/>
      <c r="B55" s="45" t="s">
        <v>14</v>
      </c>
      <c r="C55" s="48" t="s">
        <v>1029</v>
      </c>
      <c r="D55" s="44"/>
      <c r="E55" s="79" t="s">
        <v>977</v>
      </c>
      <c r="F55" s="76"/>
      <c r="G55" s="48" t="s">
        <v>1029</v>
      </c>
      <c r="H55" s="30" t="str">
        <f t="shared" si="2"/>
        <v>LS-T6S-4</v>
      </c>
      <c r="I55" s="77">
        <v>4</v>
      </c>
      <c r="J55" s="50"/>
      <c r="K55" s="50"/>
      <c r="L55" s="50">
        <v>1</v>
      </c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</row>
    <row r="56" spans="1:37" ht="3" customHeight="1">
      <c r="A56" s="47"/>
      <c r="B56" s="45"/>
      <c r="C56" s="48"/>
      <c r="D56" s="44"/>
      <c r="E56" s="79"/>
      <c r="F56" s="76"/>
      <c r="G56" s="45"/>
      <c r="H56" s="30"/>
      <c r="I56" s="77"/>
      <c r="J56" s="49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</row>
    <row r="57" spans="1:37" s="57" customFormat="1">
      <c r="A57" s="60" t="s">
        <v>1031</v>
      </c>
      <c r="B57" s="45"/>
      <c r="C57" s="45"/>
      <c r="D57" s="44"/>
      <c r="E57" s="79"/>
      <c r="F57" s="46"/>
      <c r="G57" s="94" t="s">
        <v>121</v>
      </c>
      <c r="H57" s="94" t="s">
        <v>122</v>
      </c>
      <c r="I57" s="95" t="s">
        <v>123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</row>
    <row r="58" spans="1:37" outlineLevel="1">
      <c r="A58" s="47"/>
      <c r="B58" s="45" t="s">
        <v>14</v>
      </c>
      <c r="C58" s="48" t="s">
        <v>963</v>
      </c>
      <c r="D58" s="44"/>
      <c r="E58" s="79" t="s">
        <v>964</v>
      </c>
      <c r="F58" s="76"/>
      <c r="G58" s="48" t="s">
        <v>965</v>
      </c>
      <c r="H58" s="30" t="str">
        <f>CONCATENATE(B58,"-",G58,"-",I58)</f>
        <v>LS-T07-4</v>
      </c>
      <c r="I58" s="77">
        <v>4</v>
      </c>
      <c r="J58" s="50">
        <v>1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</row>
    <row r="59" spans="1:37" ht="3" customHeight="1">
      <c r="A59" s="47"/>
      <c r="B59" s="45"/>
      <c r="C59" s="48"/>
      <c r="D59" s="44"/>
      <c r="E59" s="79"/>
      <c r="F59" s="76"/>
      <c r="G59" s="45"/>
      <c r="H59" s="30"/>
      <c r="I59" s="77"/>
      <c r="J59" s="49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</row>
    <row r="60" spans="1:37" s="57" customFormat="1">
      <c r="A60" s="60" t="s">
        <v>1032</v>
      </c>
      <c r="B60" s="45"/>
      <c r="C60" s="45"/>
      <c r="D60" s="44"/>
      <c r="E60" s="46"/>
      <c r="F60" s="46"/>
      <c r="G60" s="94" t="s">
        <v>121</v>
      </c>
      <c r="H60" s="94" t="s">
        <v>122</v>
      </c>
      <c r="I60" s="95" t="s">
        <v>123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spans="1:37" outlineLevel="1">
      <c r="A61" s="47"/>
      <c r="B61" s="45" t="s">
        <v>14</v>
      </c>
      <c r="C61" s="48" t="s">
        <v>1033</v>
      </c>
      <c r="D61" s="44"/>
      <c r="E61" s="79" t="s">
        <v>1005</v>
      </c>
      <c r="F61" s="76"/>
      <c r="G61" s="45" t="s">
        <v>1034</v>
      </c>
      <c r="H61" s="30" t="str">
        <f>CONCATENATE(B61,"-",G61,"-",I61)</f>
        <v>LS-T08-4</v>
      </c>
      <c r="I61" s="77">
        <v>4</v>
      </c>
      <c r="J61" s="50">
        <v>1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</row>
    <row r="62" spans="1:37" s="57" customFormat="1">
      <c r="A62" s="60" t="s">
        <v>190</v>
      </c>
      <c r="B62" s="45"/>
      <c r="C62" s="45"/>
      <c r="D62" s="44"/>
      <c r="E62" s="79"/>
      <c r="F62" s="46"/>
      <c r="G62" s="94" t="s">
        <v>121</v>
      </c>
      <c r="H62" s="94" t="s">
        <v>122</v>
      </c>
      <c r="I62" s="95" t="s">
        <v>123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spans="1:37" outlineLevel="1">
      <c r="A63" s="47"/>
      <c r="B63" s="45" t="s">
        <v>14</v>
      </c>
      <c r="C63" s="48" t="s">
        <v>192</v>
      </c>
      <c r="D63" s="44"/>
      <c r="E63" s="79" t="s">
        <v>966</v>
      </c>
      <c r="F63" s="78"/>
      <c r="G63" s="48" t="s">
        <v>195</v>
      </c>
      <c r="H63" s="30" t="str">
        <f>CONCATENATE(B63,"-",G63,"-",I63)</f>
        <v>LS-T09-4</v>
      </c>
      <c r="I63" s="77">
        <v>4</v>
      </c>
      <c r="J63" s="49"/>
      <c r="K63" s="50"/>
      <c r="L63" s="50">
        <v>1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 spans="1:37" ht="3" customHeight="1">
      <c r="A64" s="47"/>
      <c r="B64" s="45"/>
      <c r="C64" s="48"/>
      <c r="D64" s="44"/>
      <c r="E64" s="79"/>
      <c r="F64" s="76"/>
      <c r="G64" s="45"/>
      <c r="H64" s="30"/>
      <c r="I64" s="77"/>
      <c r="J64" s="49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</row>
    <row r="65" spans="1:37" s="57" customFormat="1">
      <c r="A65" s="44" t="s">
        <v>1035</v>
      </c>
      <c r="B65" s="44"/>
      <c r="C65" s="45"/>
      <c r="D65" s="44"/>
      <c r="E65" s="79"/>
      <c r="F65" s="46"/>
      <c r="G65" s="46"/>
      <c r="H65" s="46"/>
      <c r="I65" s="7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spans="1:37" s="57" customFormat="1" outlineLevel="1">
      <c r="A66" s="52"/>
      <c r="B66" s="45" t="s">
        <v>14</v>
      </c>
      <c r="C66" s="48" t="s">
        <v>968</v>
      </c>
      <c r="D66" s="44"/>
      <c r="E66" s="79" t="s">
        <v>1013</v>
      </c>
      <c r="F66" s="76"/>
      <c r="G66" s="48" t="s">
        <v>1036</v>
      </c>
      <c r="H66" s="30" t="str">
        <f>CONCATENATE("LS-",G66,"-",I66)</f>
        <v>LS-V01-3</v>
      </c>
      <c r="I66" s="77">
        <v>3</v>
      </c>
      <c r="J66" s="50"/>
      <c r="K66" s="50"/>
      <c r="L66" s="50">
        <v>1</v>
      </c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</row>
    <row r="67" spans="1:37" s="57" customFormat="1" outlineLevel="1">
      <c r="A67" s="52"/>
      <c r="B67" s="45" t="s">
        <v>14</v>
      </c>
      <c r="C67" s="48" t="s">
        <v>968</v>
      </c>
      <c r="D67" s="44"/>
      <c r="E67" s="79" t="s">
        <v>970</v>
      </c>
      <c r="F67" s="76"/>
      <c r="G67" s="48" t="s">
        <v>1036</v>
      </c>
      <c r="H67" s="30" t="str">
        <f t="shared" ref="H67:H74" si="3">CONCATENATE("LS-",G67,"-",I67)</f>
        <v>LS-V01-3</v>
      </c>
      <c r="I67" s="77">
        <v>3</v>
      </c>
      <c r="J67" s="50"/>
      <c r="K67" s="50"/>
      <c r="L67" s="50">
        <v>1</v>
      </c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</row>
    <row r="68" spans="1:37" s="57" customFormat="1" outlineLevel="1">
      <c r="A68" s="52"/>
      <c r="B68" s="45" t="s">
        <v>14</v>
      </c>
      <c r="C68" s="48" t="s">
        <v>968</v>
      </c>
      <c r="D68" s="44"/>
      <c r="E68" s="79" t="s">
        <v>971</v>
      </c>
      <c r="F68" s="76"/>
      <c r="G68" s="48" t="s">
        <v>1036</v>
      </c>
      <c r="H68" s="30" t="str">
        <f t="shared" si="3"/>
        <v>LS-V01-3</v>
      </c>
      <c r="I68" s="77">
        <v>3</v>
      </c>
      <c r="J68" s="50"/>
      <c r="K68" s="50"/>
      <c r="L68" s="50">
        <v>1</v>
      </c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</row>
    <row r="69" spans="1:37" s="57" customFormat="1" outlineLevel="1">
      <c r="A69" s="52"/>
      <c r="B69" s="45" t="s">
        <v>14</v>
      </c>
      <c r="C69" s="48" t="s">
        <v>968</v>
      </c>
      <c r="D69" s="44"/>
      <c r="E69" s="79" t="s">
        <v>1014</v>
      </c>
      <c r="F69" s="76"/>
      <c r="G69" s="48" t="s">
        <v>1036</v>
      </c>
      <c r="H69" s="30" t="str">
        <f t="shared" si="3"/>
        <v>LS-V01-3</v>
      </c>
      <c r="I69" s="77">
        <v>3</v>
      </c>
      <c r="J69" s="50"/>
      <c r="K69" s="50"/>
      <c r="L69" s="50">
        <v>1</v>
      </c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</row>
    <row r="70" spans="1:37" s="57" customFormat="1" outlineLevel="1">
      <c r="A70" s="52"/>
      <c r="B70" s="45" t="s">
        <v>14</v>
      </c>
      <c r="C70" s="48" t="s">
        <v>968</v>
      </c>
      <c r="D70" s="44"/>
      <c r="E70" s="79" t="s">
        <v>1015</v>
      </c>
      <c r="F70" s="76"/>
      <c r="G70" s="48" t="s">
        <v>1036</v>
      </c>
      <c r="H70" s="30" t="str">
        <f t="shared" si="3"/>
        <v>LS-V01-3</v>
      </c>
      <c r="I70" s="77">
        <v>3</v>
      </c>
      <c r="J70" s="50"/>
      <c r="K70" s="50"/>
      <c r="L70" s="50">
        <v>1</v>
      </c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</row>
    <row r="71" spans="1:37" s="57" customFormat="1" outlineLevel="1">
      <c r="A71" s="52"/>
      <c r="B71" s="45" t="s">
        <v>14</v>
      </c>
      <c r="C71" s="48" t="s">
        <v>968</v>
      </c>
      <c r="D71" s="44"/>
      <c r="E71" s="79" t="s">
        <v>976</v>
      </c>
      <c r="F71" s="76"/>
      <c r="G71" s="48" t="s">
        <v>1036</v>
      </c>
      <c r="H71" s="30" t="str">
        <f t="shared" si="3"/>
        <v>LS-V01-3</v>
      </c>
      <c r="I71" s="77">
        <v>3</v>
      </c>
      <c r="J71" s="50"/>
      <c r="K71" s="50"/>
      <c r="L71" s="50">
        <v>1</v>
      </c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</row>
    <row r="72" spans="1:37" s="57" customFormat="1" outlineLevel="1">
      <c r="A72" s="52"/>
      <c r="B72" s="45" t="s">
        <v>14</v>
      </c>
      <c r="C72" s="48" t="s">
        <v>968</v>
      </c>
      <c r="D72" s="44"/>
      <c r="E72" s="79" t="s">
        <v>973</v>
      </c>
      <c r="F72" s="76"/>
      <c r="G72" s="48" t="s">
        <v>1036</v>
      </c>
      <c r="H72" s="30" t="str">
        <f t="shared" si="3"/>
        <v>LS-V01-3</v>
      </c>
      <c r="I72" s="77">
        <v>3</v>
      </c>
      <c r="J72" s="50"/>
      <c r="K72" s="50"/>
      <c r="L72" s="50">
        <v>1</v>
      </c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</row>
    <row r="73" spans="1:37" s="57" customFormat="1" outlineLevel="1">
      <c r="A73" s="52"/>
      <c r="B73" s="45" t="s">
        <v>14</v>
      </c>
      <c r="C73" s="48" t="s">
        <v>968</v>
      </c>
      <c r="D73" s="44"/>
      <c r="E73" s="79" t="s">
        <v>974</v>
      </c>
      <c r="F73" s="76"/>
      <c r="G73" s="48" t="s">
        <v>1036</v>
      </c>
      <c r="H73" s="30" t="str">
        <f t="shared" si="3"/>
        <v>LS-V01-3</v>
      </c>
      <c r="I73" s="77">
        <v>3</v>
      </c>
      <c r="J73" s="50"/>
      <c r="K73" s="50"/>
      <c r="L73" s="50">
        <v>1</v>
      </c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</row>
    <row r="74" spans="1:37" s="57" customFormat="1" outlineLevel="1">
      <c r="A74" s="52"/>
      <c r="B74" s="45" t="s">
        <v>14</v>
      </c>
      <c r="C74" s="48" t="s">
        <v>968</v>
      </c>
      <c r="D74" s="44"/>
      <c r="E74" s="79" t="s">
        <v>977</v>
      </c>
      <c r="F74" s="76"/>
      <c r="G74" s="48" t="s">
        <v>1036</v>
      </c>
      <c r="H74" s="30" t="str">
        <f t="shared" si="3"/>
        <v>LS-V01-3</v>
      </c>
      <c r="I74" s="77">
        <v>3</v>
      </c>
      <c r="J74" s="50"/>
      <c r="K74" s="50"/>
      <c r="L74" s="50">
        <v>1</v>
      </c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</row>
    <row r="75" spans="1:37" s="57" customFormat="1">
      <c r="A75" s="44" t="s">
        <v>1037</v>
      </c>
      <c r="B75" s="44"/>
      <c r="C75" s="45"/>
      <c r="D75" s="44"/>
      <c r="E75" s="79"/>
      <c r="F75" s="46"/>
      <c r="G75" s="46"/>
      <c r="H75" s="46"/>
      <c r="I75" s="7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spans="1:37" s="57" customFormat="1" outlineLevel="1">
      <c r="A76" s="52"/>
      <c r="B76" s="45" t="s">
        <v>14</v>
      </c>
      <c r="C76" s="48" t="s">
        <v>968</v>
      </c>
      <c r="D76" s="44"/>
      <c r="E76" s="79" t="s">
        <v>1013</v>
      </c>
      <c r="F76" s="76"/>
      <c r="G76" s="48" t="s">
        <v>1038</v>
      </c>
      <c r="H76" s="30" t="str">
        <f>CONCATENATE("LS-",G76,"-",I76)</f>
        <v>LS-V03-3</v>
      </c>
      <c r="I76" s="77">
        <v>3</v>
      </c>
      <c r="J76" s="50"/>
      <c r="K76" s="50"/>
      <c r="L76" s="50">
        <v>1</v>
      </c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</row>
    <row r="77" spans="1:37" s="57" customFormat="1" outlineLevel="1">
      <c r="A77" s="52"/>
      <c r="B77" s="45" t="s">
        <v>14</v>
      </c>
      <c r="C77" s="48" t="s">
        <v>968</v>
      </c>
      <c r="D77" s="44"/>
      <c r="E77" s="79" t="s">
        <v>970</v>
      </c>
      <c r="F77" s="76"/>
      <c r="G77" s="48" t="s">
        <v>1038</v>
      </c>
      <c r="H77" s="30" t="str">
        <f t="shared" ref="H77:H84" si="4">CONCATENATE("LS-",G77,"-",I77)</f>
        <v>LS-V03-3</v>
      </c>
      <c r="I77" s="77">
        <v>3</v>
      </c>
      <c r="J77" s="50"/>
      <c r="K77" s="50"/>
      <c r="L77" s="50">
        <v>1</v>
      </c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</row>
    <row r="78" spans="1:37" s="57" customFormat="1" outlineLevel="1">
      <c r="A78" s="52"/>
      <c r="B78" s="45" t="s">
        <v>14</v>
      </c>
      <c r="C78" s="48" t="s">
        <v>968</v>
      </c>
      <c r="D78" s="44"/>
      <c r="E78" s="79" t="s">
        <v>971</v>
      </c>
      <c r="F78" s="76"/>
      <c r="G78" s="48" t="s">
        <v>1038</v>
      </c>
      <c r="H78" s="30" t="str">
        <f t="shared" si="4"/>
        <v>LS-V03-3</v>
      </c>
      <c r="I78" s="77">
        <v>3</v>
      </c>
      <c r="J78" s="50"/>
      <c r="K78" s="50"/>
      <c r="L78" s="50">
        <v>1</v>
      </c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</row>
    <row r="79" spans="1:37" s="57" customFormat="1" outlineLevel="1">
      <c r="A79" s="52"/>
      <c r="B79" s="45" t="s">
        <v>14</v>
      </c>
      <c r="C79" s="48" t="s">
        <v>968</v>
      </c>
      <c r="D79" s="44"/>
      <c r="E79" s="79" t="s">
        <v>1014</v>
      </c>
      <c r="F79" s="76"/>
      <c r="G79" s="48" t="s">
        <v>1038</v>
      </c>
      <c r="H79" s="30" t="str">
        <f t="shared" si="4"/>
        <v>LS-V03-3</v>
      </c>
      <c r="I79" s="77">
        <v>3</v>
      </c>
      <c r="J79" s="50"/>
      <c r="K79" s="50"/>
      <c r="L79" s="50">
        <v>1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</row>
    <row r="80" spans="1:37" s="57" customFormat="1" outlineLevel="1">
      <c r="A80" s="52"/>
      <c r="B80" s="45" t="s">
        <v>14</v>
      </c>
      <c r="C80" s="48" t="s">
        <v>968</v>
      </c>
      <c r="D80" s="44"/>
      <c r="E80" s="79" t="s">
        <v>1015</v>
      </c>
      <c r="F80" s="76"/>
      <c r="G80" s="48" t="s">
        <v>1038</v>
      </c>
      <c r="H80" s="30" t="str">
        <f t="shared" si="4"/>
        <v>LS-V03-3</v>
      </c>
      <c r="I80" s="77">
        <v>3</v>
      </c>
      <c r="J80" s="50"/>
      <c r="K80" s="50"/>
      <c r="L80" s="50">
        <v>1</v>
      </c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</row>
    <row r="81" spans="1:37" s="57" customFormat="1" outlineLevel="1">
      <c r="A81" s="52"/>
      <c r="B81" s="45" t="s">
        <v>14</v>
      </c>
      <c r="C81" s="48" t="s">
        <v>968</v>
      </c>
      <c r="D81" s="44"/>
      <c r="E81" s="79" t="s">
        <v>976</v>
      </c>
      <c r="F81" s="76"/>
      <c r="G81" s="48" t="s">
        <v>1038</v>
      </c>
      <c r="H81" s="30" t="str">
        <f t="shared" si="4"/>
        <v>LS-V03-3</v>
      </c>
      <c r="I81" s="77">
        <v>3</v>
      </c>
      <c r="J81" s="50"/>
      <c r="K81" s="50"/>
      <c r="L81" s="50">
        <v>1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</row>
    <row r="82" spans="1:37" s="57" customFormat="1" outlineLevel="1">
      <c r="A82" s="52"/>
      <c r="B82" s="45" t="s">
        <v>14</v>
      </c>
      <c r="C82" s="48" t="s">
        <v>968</v>
      </c>
      <c r="D82" s="44"/>
      <c r="E82" s="79" t="s">
        <v>973</v>
      </c>
      <c r="F82" s="76"/>
      <c r="G82" s="48" t="s">
        <v>1038</v>
      </c>
      <c r="H82" s="30" t="str">
        <f t="shared" si="4"/>
        <v>LS-V03-3</v>
      </c>
      <c r="I82" s="77">
        <v>3</v>
      </c>
      <c r="J82" s="50"/>
      <c r="K82" s="50"/>
      <c r="L82" s="50">
        <v>1</v>
      </c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</row>
    <row r="83" spans="1:37" s="57" customFormat="1" outlineLevel="1">
      <c r="A83" s="52"/>
      <c r="B83" s="45" t="s">
        <v>14</v>
      </c>
      <c r="C83" s="48" t="s">
        <v>968</v>
      </c>
      <c r="D83" s="44"/>
      <c r="E83" s="79" t="s">
        <v>974</v>
      </c>
      <c r="F83" s="76"/>
      <c r="G83" s="48" t="s">
        <v>1038</v>
      </c>
      <c r="H83" s="30" t="str">
        <f t="shared" si="4"/>
        <v>LS-V03-3</v>
      </c>
      <c r="I83" s="77">
        <v>3</v>
      </c>
      <c r="J83" s="50"/>
      <c r="K83" s="50"/>
      <c r="L83" s="50">
        <v>1</v>
      </c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</row>
    <row r="84" spans="1:37" s="57" customFormat="1" outlineLevel="1">
      <c r="A84" s="52"/>
      <c r="B84" s="45" t="s">
        <v>14</v>
      </c>
      <c r="C84" s="48" t="s">
        <v>968</v>
      </c>
      <c r="D84" s="44"/>
      <c r="E84" s="79" t="s">
        <v>977</v>
      </c>
      <c r="F84" s="76"/>
      <c r="G84" s="48" t="s">
        <v>1038</v>
      </c>
      <c r="H84" s="30" t="str">
        <f t="shared" si="4"/>
        <v>LS-V03-3</v>
      </c>
      <c r="I84" s="77">
        <v>3</v>
      </c>
      <c r="J84" s="50"/>
      <c r="K84" s="50"/>
      <c r="L84" s="50">
        <v>1</v>
      </c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</row>
    <row r="85" spans="1:37" ht="3" customHeight="1">
      <c r="A85" s="47"/>
      <c r="B85" s="45"/>
      <c r="C85" s="48"/>
      <c r="D85" s="44"/>
      <c r="E85" s="79"/>
      <c r="F85" s="76"/>
      <c r="G85" s="45"/>
      <c r="H85" s="30"/>
      <c r="I85" s="77"/>
      <c r="J85" s="49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</row>
    <row r="86" spans="1:37">
      <c r="A86" s="11" t="s">
        <v>1039</v>
      </c>
      <c r="B86" s="45"/>
      <c r="C86" s="45"/>
      <c r="D86" s="44"/>
      <c r="E86" s="79"/>
      <c r="F86" s="46"/>
      <c r="G86" s="94" t="s">
        <v>121</v>
      </c>
      <c r="H86" s="94" t="s">
        <v>122</v>
      </c>
      <c r="I86" s="95" t="s">
        <v>123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spans="1:37" s="57" customFormat="1" outlineLevel="1">
      <c r="A87" s="44"/>
      <c r="B87" s="44" t="s">
        <v>1040</v>
      </c>
      <c r="C87" s="45"/>
      <c r="D87" s="44"/>
      <c r="E87" s="79"/>
      <c r="F87" s="46"/>
      <c r="G87" s="46"/>
      <c r="H87" s="46"/>
      <c r="I87" s="7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 s="57" customFormat="1" outlineLevel="2">
      <c r="A88" s="52"/>
      <c r="B88" s="45" t="s">
        <v>14</v>
      </c>
      <c r="C88" s="48" t="s">
        <v>1041</v>
      </c>
      <c r="D88" s="44"/>
      <c r="E88" s="79" t="s">
        <v>1013</v>
      </c>
      <c r="F88" s="76"/>
      <c r="G88" s="48" t="s">
        <v>1041</v>
      </c>
      <c r="H88" s="30" t="str">
        <f>CONCATENATE("LS-",G88,"-",I88)</f>
        <v>LS-V50-1</v>
      </c>
      <c r="I88" s="77">
        <v>1</v>
      </c>
      <c r="J88" s="50">
        <v>1</v>
      </c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</row>
    <row r="89" spans="1:37" s="57" customFormat="1" outlineLevel="2">
      <c r="A89" s="52"/>
      <c r="B89" s="45" t="s">
        <v>14</v>
      </c>
      <c r="C89" s="48" t="s">
        <v>1041</v>
      </c>
      <c r="D89" s="44"/>
      <c r="E89" s="79" t="s">
        <v>970</v>
      </c>
      <c r="F89" s="76"/>
      <c r="G89" s="48" t="s">
        <v>1041</v>
      </c>
      <c r="H89" s="30" t="str">
        <f t="shared" ref="H89:H97" si="5">CONCATENATE("LS-",G89,"-",I89)</f>
        <v>LS-V50-1</v>
      </c>
      <c r="I89" s="77">
        <v>1</v>
      </c>
      <c r="J89" s="50">
        <v>1</v>
      </c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</row>
    <row r="90" spans="1:37" s="57" customFormat="1" outlineLevel="2">
      <c r="A90" s="52"/>
      <c r="B90" s="45" t="s">
        <v>14</v>
      </c>
      <c r="C90" s="48" t="s">
        <v>1041</v>
      </c>
      <c r="D90" s="44"/>
      <c r="E90" s="79" t="s">
        <v>971</v>
      </c>
      <c r="F90" s="76"/>
      <c r="G90" s="48" t="s">
        <v>1041</v>
      </c>
      <c r="H90" s="30" t="str">
        <f t="shared" si="5"/>
        <v>LS-V50-1</v>
      </c>
      <c r="I90" s="77">
        <v>1</v>
      </c>
      <c r="J90" s="50">
        <v>1</v>
      </c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</row>
    <row r="91" spans="1:37" s="57" customFormat="1" outlineLevel="2">
      <c r="A91" s="52"/>
      <c r="B91" s="45" t="s">
        <v>14</v>
      </c>
      <c r="C91" s="48" t="s">
        <v>1041</v>
      </c>
      <c r="D91" s="44"/>
      <c r="E91" s="79" t="s">
        <v>1014</v>
      </c>
      <c r="F91" s="76"/>
      <c r="G91" s="48" t="s">
        <v>1041</v>
      </c>
      <c r="H91" s="30" t="str">
        <f t="shared" si="5"/>
        <v>LS-V50-1</v>
      </c>
      <c r="I91" s="77">
        <v>1</v>
      </c>
      <c r="J91" s="50">
        <v>1</v>
      </c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</row>
    <row r="92" spans="1:37" s="57" customFormat="1" outlineLevel="2">
      <c r="A92" s="52"/>
      <c r="B92" s="45" t="s">
        <v>14</v>
      </c>
      <c r="C92" s="48" t="s">
        <v>1041</v>
      </c>
      <c r="D92" s="44"/>
      <c r="E92" s="79" t="s">
        <v>1015</v>
      </c>
      <c r="F92" s="76"/>
      <c r="G92" s="48" t="s">
        <v>1041</v>
      </c>
      <c r="H92" s="30" t="str">
        <f t="shared" si="5"/>
        <v>LS-V50-1</v>
      </c>
      <c r="I92" s="77">
        <v>1</v>
      </c>
      <c r="J92" s="50">
        <v>1</v>
      </c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</row>
    <row r="93" spans="1:37" s="57" customFormat="1" outlineLevel="2">
      <c r="A93" s="52"/>
      <c r="B93" s="45" t="s">
        <v>14</v>
      </c>
      <c r="C93" s="48" t="s">
        <v>1041</v>
      </c>
      <c r="D93" s="44"/>
      <c r="E93" s="79" t="s">
        <v>976</v>
      </c>
      <c r="F93" s="76"/>
      <c r="G93" s="48" t="s">
        <v>1041</v>
      </c>
      <c r="H93" s="30" t="str">
        <f t="shared" si="5"/>
        <v>LS-V50-1</v>
      </c>
      <c r="I93" s="77">
        <v>1</v>
      </c>
      <c r="J93" s="50">
        <v>1</v>
      </c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</row>
    <row r="94" spans="1:37" s="57" customFormat="1" outlineLevel="2">
      <c r="A94" s="52"/>
      <c r="B94" s="45" t="s">
        <v>14</v>
      </c>
      <c r="C94" s="48" t="s">
        <v>1041</v>
      </c>
      <c r="D94" s="44"/>
      <c r="E94" s="79" t="s">
        <v>973</v>
      </c>
      <c r="F94" s="76"/>
      <c r="G94" s="48" t="s">
        <v>1041</v>
      </c>
      <c r="H94" s="30" t="str">
        <f t="shared" si="5"/>
        <v>LS-V50-1</v>
      </c>
      <c r="I94" s="77">
        <v>1</v>
      </c>
      <c r="J94" s="50">
        <v>1</v>
      </c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</row>
    <row r="95" spans="1:37" s="57" customFormat="1" outlineLevel="2">
      <c r="A95" s="52"/>
      <c r="B95" s="45" t="s">
        <v>14</v>
      </c>
      <c r="C95" s="48" t="s">
        <v>1041</v>
      </c>
      <c r="D95" s="44"/>
      <c r="E95" s="79" t="s">
        <v>974</v>
      </c>
      <c r="F95" s="76"/>
      <c r="G95" s="48" t="s">
        <v>1041</v>
      </c>
      <c r="H95" s="30" t="str">
        <f t="shared" si="5"/>
        <v>LS-V50-1</v>
      </c>
      <c r="I95" s="77">
        <v>1</v>
      </c>
      <c r="J95" s="50">
        <v>1</v>
      </c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</row>
    <row r="96" spans="1:37" s="57" customFormat="1" outlineLevel="2">
      <c r="A96" s="52"/>
      <c r="B96" s="45" t="s">
        <v>14</v>
      </c>
      <c r="C96" s="48" t="s">
        <v>1041</v>
      </c>
      <c r="D96" s="44"/>
      <c r="E96" s="79" t="s">
        <v>1016</v>
      </c>
      <c r="F96" s="76"/>
      <c r="G96" s="48" t="s">
        <v>1041</v>
      </c>
      <c r="H96" s="30" t="str">
        <f t="shared" si="5"/>
        <v>LS-V50-1</v>
      </c>
      <c r="I96" s="77">
        <v>1</v>
      </c>
      <c r="J96" s="50">
        <v>1</v>
      </c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</row>
    <row r="97" spans="1:37" s="57" customFormat="1" outlineLevel="2">
      <c r="A97" s="52"/>
      <c r="B97" s="45" t="s">
        <v>14</v>
      </c>
      <c r="C97" s="48" t="s">
        <v>1041</v>
      </c>
      <c r="D97" s="44"/>
      <c r="E97" s="79" t="s">
        <v>977</v>
      </c>
      <c r="F97" s="76"/>
      <c r="G97" s="48" t="s">
        <v>1041</v>
      </c>
      <c r="H97" s="30" t="str">
        <f t="shared" si="5"/>
        <v>LS-V50-1</v>
      </c>
      <c r="I97" s="77">
        <v>1</v>
      </c>
      <c r="J97" s="50">
        <v>1</v>
      </c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</row>
    <row r="98" spans="1:37" ht="3" customHeight="1" outlineLevel="1">
      <c r="A98" s="47"/>
      <c r="B98" s="45"/>
      <c r="C98" s="48"/>
      <c r="D98" s="44"/>
      <c r="E98" s="79"/>
      <c r="F98" s="76"/>
      <c r="G98" s="45"/>
      <c r="H98" s="30"/>
      <c r="I98" s="77"/>
      <c r="J98" s="49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</row>
    <row r="99" spans="1:37" s="57" customFormat="1" outlineLevel="1">
      <c r="A99" s="44"/>
      <c r="B99" s="44" t="s">
        <v>1042</v>
      </c>
      <c r="C99" s="45"/>
      <c r="D99" s="44"/>
      <c r="E99" s="79"/>
      <c r="F99" s="46"/>
      <c r="G99" s="46"/>
      <c r="H99" s="46"/>
      <c r="I99" s="7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s="57" customFormat="1" outlineLevel="2">
      <c r="A100" s="52"/>
      <c r="B100" s="45" t="s">
        <v>14</v>
      </c>
      <c r="C100" s="48" t="s">
        <v>1043</v>
      </c>
      <c r="D100" s="44"/>
      <c r="E100" s="79" t="s">
        <v>1013</v>
      </c>
      <c r="F100" s="76"/>
      <c r="G100" s="48" t="s">
        <v>1043</v>
      </c>
      <c r="H100" s="30" t="str">
        <f t="shared" ref="H100:H107" si="6">CONCATENATE("LS-",G100,"-",I100)</f>
        <v>LS-L30-1</v>
      </c>
      <c r="I100" s="77">
        <v>1</v>
      </c>
      <c r="J100" s="50">
        <v>1</v>
      </c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</row>
    <row r="101" spans="1:37" s="57" customFormat="1" outlineLevel="2">
      <c r="A101" s="52"/>
      <c r="B101" s="45" t="s">
        <v>14</v>
      </c>
      <c r="C101" s="48" t="s">
        <v>1043</v>
      </c>
      <c r="D101" s="44"/>
      <c r="E101" s="79" t="s">
        <v>970</v>
      </c>
      <c r="F101" s="76"/>
      <c r="G101" s="48" t="s">
        <v>1043</v>
      </c>
      <c r="H101" s="30" t="str">
        <f t="shared" si="6"/>
        <v>LS-L30-1</v>
      </c>
      <c r="I101" s="77">
        <v>1</v>
      </c>
      <c r="J101" s="50">
        <v>1</v>
      </c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</row>
    <row r="102" spans="1:37" s="57" customFormat="1" outlineLevel="2">
      <c r="A102" s="52"/>
      <c r="B102" s="45" t="s">
        <v>14</v>
      </c>
      <c r="C102" s="48" t="s">
        <v>1043</v>
      </c>
      <c r="D102" s="44"/>
      <c r="E102" s="79" t="s">
        <v>971</v>
      </c>
      <c r="F102" s="76"/>
      <c r="G102" s="48" t="s">
        <v>1043</v>
      </c>
      <c r="H102" s="30" t="str">
        <f t="shared" si="6"/>
        <v>LS-L30-1</v>
      </c>
      <c r="I102" s="77">
        <v>1</v>
      </c>
      <c r="J102" s="50">
        <v>1</v>
      </c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</row>
    <row r="103" spans="1:37" s="57" customFormat="1" outlineLevel="2">
      <c r="A103" s="52"/>
      <c r="B103" s="45" t="s">
        <v>14</v>
      </c>
      <c r="C103" s="48" t="s">
        <v>1043</v>
      </c>
      <c r="D103" s="44"/>
      <c r="E103" s="79" t="s">
        <v>1014</v>
      </c>
      <c r="F103" s="76"/>
      <c r="G103" s="48" t="s">
        <v>1043</v>
      </c>
      <c r="H103" s="30" t="str">
        <f t="shared" si="6"/>
        <v>LS-L30-1</v>
      </c>
      <c r="I103" s="77">
        <v>1</v>
      </c>
      <c r="J103" s="50">
        <v>1</v>
      </c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</row>
    <row r="104" spans="1:37" s="57" customFormat="1" outlineLevel="2">
      <c r="A104" s="52"/>
      <c r="B104" s="45" t="s">
        <v>14</v>
      </c>
      <c r="C104" s="48" t="s">
        <v>1043</v>
      </c>
      <c r="D104" s="44"/>
      <c r="E104" s="79" t="s">
        <v>1015</v>
      </c>
      <c r="F104" s="76"/>
      <c r="G104" s="48" t="s">
        <v>1043</v>
      </c>
      <c r="H104" s="30" t="str">
        <f t="shared" si="6"/>
        <v>LS-L30-1</v>
      </c>
      <c r="I104" s="77">
        <v>1</v>
      </c>
      <c r="J104" s="50">
        <v>1</v>
      </c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</row>
    <row r="105" spans="1:37" s="57" customFormat="1" outlineLevel="2">
      <c r="A105" s="52"/>
      <c r="B105" s="45" t="s">
        <v>14</v>
      </c>
      <c r="C105" s="48" t="s">
        <v>1043</v>
      </c>
      <c r="D105" s="44"/>
      <c r="E105" s="79" t="s">
        <v>976</v>
      </c>
      <c r="F105" s="76"/>
      <c r="G105" s="48" t="s">
        <v>1043</v>
      </c>
      <c r="H105" s="30" t="str">
        <f t="shared" si="6"/>
        <v>LS-L30-1</v>
      </c>
      <c r="I105" s="77">
        <v>1</v>
      </c>
      <c r="J105" s="50">
        <v>1</v>
      </c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</row>
    <row r="106" spans="1:37" s="57" customFormat="1" outlineLevel="2">
      <c r="A106" s="52"/>
      <c r="B106" s="45" t="s">
        <v>14</v>
      </c>
      <c r="C106" s="48" t="s">
        <v>1043</v>
      </c>
      <c r="D106" s="44"/>
      <c r="E106" s="79" t="s">
        <v>973</v>
      </c>
      <c r="F106" s="76"/>
      <c r="G106" s="48" t="s">
        <v>1043</v>
      </c>
      <c r="H106" s="30" t="str">
        <f t="shared" si="6"/>
        <v>LS-L30-1</v>
      </c>
      <c r="I106" s="77">
        <v>1</v>
      </c>
      <c r="J106" s="50">
        <v>1</v>
      </c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</row>
    <row r="107" spans="1:37" s="57" customFormat="1" outlineLevel="2">
      <c r="A107" s="52"/>
      <c r="B107" s="45" t="s">
        <v>14</v>
      </c>
      <c r="C107" s="48" t="s">
        <v>1043</v>
      </c>
      <c r="D107" s="44"/>
      <c r="E107" s="79" t="s">
        <v>974</v>
      </c>
      <c r="F107" s="76"/>
      <c r="G107" s="48" t="s">
        <v>1043</v>
      </c>
      <c r="H107" s="30" t="str">
        <f t="shared" si="6"/>
        <v>LS-L30-1</v>
      </c>
      <c r="I107" s="77">
        <v>1</v>
      </c>
      <c r="J107" s="50">
        <v>1</v>
      </c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</row>
    <row r="108" spans="1:37" ht="3" customHeight="1" outlineLevel="1">
      <c r="A108" s="47"/>
      <c r="B108" s="45"/>
      <c r="C108" s="48"/>
      <c r="D108" s="44"/>
      <c r="E108" s="79"/>
      <c r="F108" s="76"/>
      <c r="G108" s="45"/>
      <c r="H108" s="30"/>
      <c r="I108" s="77"/>
      <c r="J108" s="49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</row>
    <row r="109" spans="1:37" s="57" customFormat="1" outlineLevel="1">
      <c r="A109" s="44"/>
      <c r="B109" s="44" t="s">
        <v>1044</v>
      </c>
      <c r="C109" s="45"/>
      <c r="D109" s="44"/>
      <c r="E109" s="79"/>
      <c r="F109" s="46"/>
      <c r="G109" s="46"/>
      <c r="H109" s="46"/>
      <c r="I109" s="7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:37" s="57" customFormat="1" outlineLevel="2">
      <c r="A110" s="52"/>
      <c r="B110" s="45" t="s">
        <v>14</v>
      </c>
      <c r="C110" s="48" t="s">
        <v>1045</v>
      </c>
      <c r="D110" s="44"/>
      <c r="E110" s="79" t="s">
        <v>1013</v>
      </c>
      <c r="F110" s="76"/>
      <c r="G110" s="48" t="s">
        <v>1045</v>
      </c>
      <c r="H110" s="30" t="str">
        <f t="shared" ref="H110:H117" si="7">CONCATENATE("LS-",G110,"-",I110)</f>
        <v>LS-V40-1</v>
      </c>
      <c r="I110" s="77">
        <v>1</v>
      </c>
      <c r="J110" s="50"/>
      <c r="K110" s="50"/>
      <c r="L110" s="50">
        <v>1</v>
      </c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</row>
    <row r="111" spans="1:37" s="57" customFormat="1" outlineLevel="2">
      <c r="A111" s="52"/>
      <c r="B111" s="45" t="s">
        <v>14</v>
      </c>
      <c r="C111" s="48" t="s">
        <v>1045</v>
      </c>
      <c r="D111" s="44"/>
      <c r="E111" s="79" t="s">
        <v>970</v>
      </c>
      <c r="F111" s="76"/>
      <c r="G111" s="48" t="s">
        <v>1045</v>
      </c>
      <c r="H111" s="30" t="str">
        <f t="shared" si="7"/>
        <v>LS-V40-1</v>
      </c>
      <c r="I111" s="77">
        <v>1</v>
      </c>
      <c r="J111" s="50"/>
      <c r="K111" s="50"/>
      <c r="L111" s="50">
        <v>1</v>
      </c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</row>
    <row r="112" spans="1:37" s="57" customFormat="1" outlineLevel="2">
      <c r="A112" s="52"/>
      <c r="B112" s="45" t="s">
        <v>14</v>
      </c>
      <c r="C112" s="48" t="s">
        <v>1045</v>
      </c>
      <c r="D112" s="44"/>
      <c r="E112" s="79" t="s">
        <v>971</v>
      </c>
      <c r="F112" s="76"/>
      <c r="G112" s="48" t="s">
        <v>1045</v>
      </c>
      <c r="H112" s="30" t="str">
        <f t="shared" si="7"/>
        <v>LS-V40-1</v>
      </c>
      <c r="I112" s="77">
        <v>1</v>
      </c>
      <c r="J112" s="50"/>
      <c r="K112" s="50"/>
      <c r="L112" s="50">
        <v>1</v>
      </c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</row>
    <row r="113" spans="1:37" s="57" customFormat="1" outlineLevel="2">
      <c r="A113" s="52"/>
      <c r="B113" s="45" t="s">
        <v>14</v>
      </c>
      <c r="C113" s="48" t="s">
        <v>1045</v>
      </c>
      <c r="D113" s="44"/>
      <c r="E113" s="79" t="s">
        <v>1014</v>
      </c>
      <c r="F113" s="76"/>
      <c r="G113" s="48" t="s">
        <v>1045</v>
      </c>
      <c r="H113" s="30" t="str">
        <f t="shared" si="7"/>
        <v>LS-V40-1</v>
      </c>
      <c r="I113" s="77">
        <v>1</v>
      </c>
      <c r="J113" s="50"/>
      <c r="K113" s="50"/>
      <c r="L113" s="50">
        <v>1</v>
      </c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</row>
    <row r="114" spans="1:37" s="57" customFormat="1" outlineLevel="2">
      <c r="A114" s="52"/>
      <c r="B114" s="45" t="s">
        <v>14</v>
      </c>
      <c r="C114" s="48" t="s">
        <v>1045</v>
      </c>
      <c r="D114" s="44"/>
      <c r="E114" s="79" t="s">
        <v>1015</v>
      </c>
      <c r="F114" s="76"/>
      <c r="G114" s="48" t="s">
        <v>1045</v>
      </c>
      <c r="H114" s="30" t="str">
        <f t="shared" si="7"/>
        <v>LS-V40-1</v>
      </c>
      <c r="I114" s="77">
        <v>1</v>
      </c>
      <c r="J114" s="50"/>
      <c r="K114" s="50"/>
      <c r="L114" s="50">
        <v>1</v>
      </c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</row>
    <row r="115" spans="1:37" s="57" customFormat="1" outlineLevel="2">
      <c r="A115" s="52"/>
      <c r="B115" s="45" t="s">
        <v>14</v>
      </c>
      <c r="C115" s="48" t="s">
        <v>1045</v>
      </c>
      <c r="D115" s="44"/>
      <c r="E115" s="79" t="s">
        <v>976</v>
      </c>
      <c r="F115" s="76"/>
      <c r="G115" s="48" t="s">
        <v>1045</v>
      </c>
      <c r="H115" s="30" t="str">
        <f t="shared" si="7"/>
        <v>LS-V40-1</v>
      </c>
      <c r="I115" s="77">
        <v>1</v>
      </c>
      <c r="J115" s="50"/>
      <c r="K115" s="50"/>
      <c r="L115" s="50">
        <v>1</v>
      </c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</row>
    <row r="116" spans="1:37" s="57" customFormat="1" outlineLevel="2">
      <c r="A116" s="52"/>
      <c r="B116" s="45" t="s">
        <v>14</v>
      </c>
      <c r="C116" s="48" t="s">
        <v>1045</v>
      </c>
      <c r="D116" s="44"/>
      <c r="E116" s="79" t="s">
        <v>973</v>
      </c>
      <c r="F116" s="76"/>
      <c r="G116" s="48" t="s">
        <v>1045</v>
      </c>
      <c r="H116" s="30" t="str">
        <f t="shared" si="7"/>
        <v>LS-V40-1</v>
      </c>
      <c r="I116" s="77">
        <v>1</v>
      </c>
      <c r="J116" s="50"/>
      <c r="K116" s="50"/>
      <c r="L116" s="50">
        <v>1</v>
      </c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</row>
    <row r="117" spans="1:37" s="57" customFormat="1" outlineLevel="2">
      <c r="A117" s="52"/>
      <c r="B117" s="45" t="s">
        <v>14</v>
      </c>
      <c r="C117" s="48" t="s">
        <v>1045</v>
      </c>
      <c r="D117" s="44"/>
      <c r="E117" s="79" t="s">
        <v>974</v>
      </c>
      <c r="F117" s="76"/>
      <c r="G117" s="48" t="s">
        <v>1045</v>
      </c>
      <c r="H117" s="30" t="str">
        <f t="shared" si="7"/>
        <v>LS-V40-1</v>
      </c>
      <c r="I117" s="77">
        <v>1</v>
      </c>
      <c r="J117" s="50"/>
      <c r="K117" s="50"/>
      <c r="L117" s="50">
        <v>1</v>
      </c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</row>
    <row r="118" spans="1:37" ht="3" customHeight="1" outlineLevel="1">
      <c r="A118" s="47"/>
      <c r="B118" s="45"/>
      <c r="C118" s="48"/>
      <c r="D118" s="44"/>
      <c r="E118" s="79"/>
      <c r="F118" s="76"/>
      <c r="G118" s="45"/>
      <c r="H118" s="30"/>
      <c r="I118" s="77"/>
      <c r="J118" s="49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</row>
    <row r="119" spans="1:37" s="57" customFormat="1" outlineLevel="1">
      <c r="A119" s="44"/>
      <c r="B119" s="44" t="s">
        <v>1046</v>
      </c>
      <c r="C119" s="45"/>
      <c r="D119" s="44"/>
      <c r="E119" s="79"/>
      <c r="F119" s="46"/>
      <c r="G119" s="46"/>
      <c r="H119" s="46"/>
      <c r="I119" s="7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:37" s="57" customFormat="1" outlineLevel="2">
      <c r="A120" s="52"/>
      <c r="B120" s="45" t="s">
        <v>14</v>
      </c>
      <c r="C120" s="48" t="s">
        <v>1047</v>
      </c>
      <c r="D120" s="44"/>
      <c r="E120" s="79" t="s">
        <v>1013</v>
      </c>
      <c r="F120" s="76"/>
      <c r="G120" s="48" t="s">
        <v>1047</v>
      </c>
      <c r="H120" s="30" t="str">
        <f t="shared" ref="H120:H126" si="8">CONCATENATE("LS-",G120,"-",I120)</f>
        <v>LS-C20-1</v>
      </c>
      <c r="I120" s="77">
        <v>1</v>
      </c>
      <c r="J120" s="50">
        <v>1</v>
      </c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</row>
    <row r="121" spans="1:37" s="57" customFormat="1" outlineLevel="2">
      <c r="A121" s="52"/>
      <c r="B121" s="45" t="s">
        <v>14</v>
      </c>
      <c r="C121" s="48" t="s">
        <v>1047</v>
      </c>
      <c r="D121" s="44"/>
      <c r="E121" s="79" t="s">
        <v>970</v>
      </c>
      <c r="F121" s="76"/>
      <c r="G121" s="48" t="s">
        <v>1047</v>
      </c>
      <c r="H121" s="30" t="str">
        <f t="shared" si="8"/>
        <v>LS-C20-1</v>
      </c>
      <c r="I121" s="77">
        <v>1</v>
      </c>
      <c r="J121" s="50">
        <v>1</v>
      </c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</row>
    <row r="122" spans="1:37" s="57" customFormat="1" outlineLevel="2">
      <c r="A122" s="52"/>
      <c r="B122" s="45" t="s">
        <v>14</v>
      </c>
      <c r="C122" s="48" t="s">
        <v>1047</v>
      </c>
      <c r="D122" s="44"/>
      <c r="E122" s="79" t="s">
        <v>971</v>
      </c>
      <c r="F122" s="76"/>
      <c r="G122" s="48" t="s">
        <v>1047</v>
      </c>
      <c r="H122" s="30" t="str">
        <f t="shared" si="8"/>
        <v>LS-C20-1</v>
      </c>
      <c r="I122" s="77">
        <v>1</v>
      </c>
      <c r="J122" s="50">
        <v>1</v>
      </c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</row>
    <row r="123" spans="1:37" s="57" customFormat="1" outlineLevel="2">
      <c r="A123" s="52"/>
      <c r="B123" s="45" t="s">
        <v>14</v>
      </c>
      <c r="C123" s="48" t="s">
        <v>1047</v>
      </c>
      <c r="D123" s="44"/>
      <c r="E123" s="79" t="s">
        <v>1014</v>
      </c>
      <c r="F123" s="76"/>
      <c r="G123" s="48" t="s">
        <v>1047</v>
      </c>
      <c r="H123" s="30" t="str">
        <f t="shared" si="8"/>
        <v>LS-C20-1</v>
      </c>
      <c r="I123" s="77">
        <v>1</v>
      </c>
      <c r="J123" s="50">
        <v>1</v>
      </c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</row>
    <row r="124" spans="1:37" s="57" customFormat="1" outlineLevel="2">
      <c r="A124" s="52"/>
      <c r="B124" s="45" t="s">
        <v>14</v>
      </c>
      <c r="C124" s="48" t="s">
        <v>1047</v>
      </c>
      <c r="D124" s="44"/>
      <c r="E124" s="79" t="s">
        <v>1015</v>
      </c>
      <c r="F124" s="76"/>
      <c r="G124" s="48" t="s">
        <v>1047</v>
      </c>
      <c r="H124" s="30" t="str">
        <f t="shared" si="8"/>
        <v>LS-C20-1</v>
      </c>
      <c r="I124" s="77">
        <v>1</v>
      </c>
      <c r="J124" s="50">
        <v>1</v>
      </c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</row>
    <row r="125" spans="1:37" s="57" customFormat="1" outlineLevel="2">
      <c r="A125" s="52"/>
      <c r="B125" s="45" t="s">
        <v>14</v>
      </c>
      <c r="C125" s="48" t="s">
        <v>1047</v>
      </c>
      <c r="D125" s="44"/>
      <c r="E125" s="79" t="s">
        <v>973</v>
      </c>
      <c r="F125" s="76"/>
      <c r="G125" s="48" t="s">
        <v>1047</v>
      </c>
      <c r="H125" s="30" t="str">
        <f t="shared" si="8"/>
        <v>LS-C20-1</v>
      </c>
      <c r="I125" s="77">
        <v>1</v>
      </c>
      <c r="J125" s="50">
        <v>1</v>
      </c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</row>
    <row r="126" spans="1:37" s="57" customFormat="1" outlineLevel="2">
      <c r="A126" s="52"/>
      <c r="B126" s="45" t="s">
        <v>14</v>
      </c>
      <c r="C126" s="48" t="s">
        <v>1047</v>
      </c>
      <c r="D126" s="44"/>
      <c r="E126" s="79" t="s">
        <v>974</v>
      </c>
      <c r="F126" s="76"/>
      <c r="G126" s="48" t="s">
        <v>1047</v>
      </c>
      <c r="H126" s="30" t="str">
        <f t="shared" si="8"/>
        <v>LS-C20-1</v>
      </c>
      <c r="I126" s="77">
        <v>1</v>
      </c>
      <c r="J126" s="50">
        <v>1</v>
      </c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</row>
    <row r="127" spans="1:37" ht="3" customHeight="1" outlineLevel="1">
      <c r="A127" s="47"/>
      <c r="B127" s="45"/>
      <c r="C127" s="48"/>
      <c r="D127" s="44"/>
      <c r="E127" s="79"/>
      <c r="F127" s="76"/>
      <c r="G127" s="45"/>
      <c r="H127" s="30"/>
      <c r="I127" s="77"/>
      <c r="J127" s="49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</row>
    <row r="128" spans="1:37" s="57" customFormat="1" outlineLevel="1">
      <c r="A128" s="44"/>
      <c r="B128" s="44" t="s">
        <v>1048</v>
      </c>
      <c r="C128" s="45"/>
      <c r="D128" s="44"/>
      <c r="E128" s="79"/>
      <c r="F128" s="46"/>
      <c r="G128" s="46"/>
      <c r="H128" s="46"/>
      <c r="I128" s="7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:37" s="57" customFormat="1" outlineLevel="2">
      <c r="A129" s="52"/>
      <c r="B129" s="45" t="s">
        <v>14</v>
      </c>
      <c r="C129" s="48" t="s">
        <v>1049</v>
      </c>
      <c r="D129" s="44"/>
      <c r="E129" s="79" t="s">
        <v>1013</v>
      </c>
      <c r="F129" s="76"/>
      <c r="G129" s="48" t="s">
        <v>1049</v>
      </c>
      <c r="H129" s="30" t="str">
        <f t="shared" ref="H129:H136" si="9">CONCATENATE("LS-",G129,"-",I129)</f>
        <v>LS-L45-1</v>
      </c>
      <c r="I129" s="77">
        <v>1</v>
      </c>
      <c r="J129" s="50"/>
      <c r="K129" s="50"/>
      <c r="L129" s="50">
        <v>1</v>
      </c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</row>
    <row r="130" spans="1:37" s="57" customFormat="1" outlineLevel="2">
      <c r="A130" s="52"/>
      <c r="B130" s="45" t="s">
        <v>14</v>
      </c>
      <c r="C130" s="48" t="s">
        <v>1049</v>
      </c>
      <c r="D130" s="44"/>
      <c r="E130" s="79" t="s">
        <v>970</v>
      </c>
      <c r="F130" s="76"/>
      <c r="G130" s="48" t="s">
        <v>1049</v>
      </c>
      <c r="H130" s="30" t="str">
        <f t="shared" si="9"/>
        <v>LS-L45-1</v>
      </c>
      <c r="I130" s="77">
        <v>1</v>
      </c>
      <c r="J130" s="50"/>
      <c r="K130" s="50"/>
      <c r="L130" s="50">
        <v>1</v>
      </c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</row>
    <row r="131" spans="1:37" s="57" customFormat="1" outlineLevel="2">
      <c r="A131" s="52"/>
      <c r="B131" s="45" t="s">
        <v>14</v>
      </c>
      <c r="C131" s="48" t="s">
        <v>1049</v>
      </c>
      <c r="D131" s="44"/>
      <c r="E131" s="79" t="s">
        <v>971</v>
      </c>
      <c r="F131" s="76"/>
      <c r="G131" s="48" t="s">
        <v>1049</v>
      </c>
      <c r="H131" s="30" t="str">
        <f t="shared" si="9"/>
        <v>LS-L45-1</v>
      </c>
      <c r="I131" s="77">
        <v>1</v>
      </c>
      <c r="J131" s="50"/>
      <c r="K131" s="50"/>
      <c r="L131" s="50">
        <v>1</v>
      </c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</row>
    <row r="132" spans="1:37" s="57" customFormat="1" outlineLevel="2">
      <c r="A132" s="52"/>
      <c r="B132" s="45" t="s">
        <v>14</v>
      </c>
      <c r="C132" s="48" t="s">
        <v>1049</v>
      </c>
      <c r="D132" s="44"/>
      <c r="E132" s="79" t="s">
        <v>1014</v>
      </c>
      <c r="F132" s="76"/>
      <c r="G132" s="48" t="s">
        <v>1049</v>
      </c>
      <c r="H132" s="30" t="str">
        <f t="shared" si="9"/>
        <v>LS-L45-1</v>
      </c>
      <c r="I132" s="77">
        <v>1</v>
      </c>
      <c r="J132" s="50"/>
      <c r="K132" s="50"/>
      <c r="L132" s="50">
        <v>1</v>
      </c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</row>
    <row r="133" spans="1:37" s="57" customFormat="1" outlineLevel="2">
      <c r="A133" s="52"/>
      <c r="B133" s="45" t="s">
        <v>14</v>
      </c>
      <c r="C133" s="48" t="s">
        <v>1049</v>
      </c>
      <c r="D133" s="44"/>
      <c r="E133" s="79" t="s">
        <v>1015</v>
      </c>
      <c r="F133" s="76"/>
      <c r="G133" s="48" t="s">
        <v>1049</v>
      </c>
      <c r="H133" s="30" t="str">
        <f t="shared" si="9"/>
        <v>LS-L45-1</v>
      </c>
      <c r="I133" s="77">
        <v>1</v>
      </c>
      <c r="J133" s="50"/>
      <c r="K133" s="50"/>
      <c r="L133" s="50">
        <v>1</v>
      </c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</row>
    <row r="134" spans="1:37" s="57" customFormat="1" outlineLevel="2">
      <c r="A134" s="52"/>
      <c r="B134" s="45" t="s">
        <v>14</v>
      </c>
      <c r="C134" s="48" t="s">
        <v>1049</v>
      </c>
      <c r="D134" s="44"/>
      <c r="E134" s="79" t="s">
        <v>976</v>
      </c>
      <c r="F134" s="76"/>
      <c r="G134" s="48" t="s">
        <v>1049</v>
      </c>
      <c r="H134" s="30" t="str">
        <f t="shared" si="9"/>
        <v>LS-L45-1</v>
      </c>
      <c r="I134" s="77">
        <v>1</v>
      </c>
      <c r="J134" s="50"/>
      <c r="K134" s="50"/>
      <c r="L134" s="50">
        <v>1</v>
      </c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</row>
    <row r="135" spans="1:37" s="57" customFormat="1" outlineLevel="2">
      <c r="A135" s="52"/>
      <c r="B135" s="45" t="s">
        <v>14</v>
      </c>
      <c r="C135" s="48" t="s">
        <v>1049</v>
      </c>
      <c r="D135" s="44"/>
      <c r="E135" s="79" t="s">
        <v>973</v>
      </c>
      <c r="F135" s="76"/>
      <c r="G135" s="48" t="s">
        <v>1049</v>
      </c>
      <c r="H135" s="30" t="str">
        <f t="shared" si="9"/>
        <v>LS-L45-1</v>
      </c>
      <c r="I135" s="77">
        <v>1</v>
      </c>
      <c r="J135" s="50"/>
      <c r="K135" s="50"/>
      <c r="L135" s="50">
        <v>1</v>
      </c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</row>
    <row r="136" spans="1:37" s="57" customFormat="1" outlineLevel="2">
      <c r="A136" s="52"/>
      <c r="B136" s="45" t="s">
        <v>14</v>
      </c>
      <c r="C136" s="48" t="s">
        <v>1049</v>
      </c>
      <c r="D136" s="44"/>
      <c r="E136" s="79" t="s">
        <v>974</v>
      </c>
      <c r="F136" s="76"/>
      <c r="G136" s="48" t="s">
        <v>1049</v>
      </c>
      <c r="H136" s="30" t="str">
        <f t="shared" si="9"/>
        <v>LS-L45-1</v>
      </c>
      <c r="I136" s="77">
        <v>1</v>
      </c>
      <c r="J136" s="50"/>
      <c r="K136" s="50"/>
      <c r="L136" s="50">
        <v>1</v>
      </c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</row>
    <row r="137" spans="1:37" ht="3" customHeight="1">
      <c r="A137" s="47"/>
      <c r="B137" s="45"/>
      <c r="C137" s="48"/>
      <c r="D137" s="44"/>
      <c r="E137" s="79"/>
      <c r="F137" s="76"/>
      <c r="G137" s="45"/>
      <c r="H137" s="30"/>
      <c r="I137" s="77"/>
      <c r="J137" s="49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</row>
    <row r="138" spans="1:37" s="57" customFormat="1" ht="14.25" customHeight="1">
      <c r="A138" s="60" t="s">
        <v>90</v>
      </c>
      <c r="B138" s="45"/>
      <c r="C138" s="45"/>
      <c r="D138" s="44"/>
      <c r="E138" s="79"/>
      <c r="F138" s="46"/>
      <c r="G138" s="94" t="s">
        <v>121</v>
      </c>
      <c r="H138" s="94" t="s">
        <v>122</v>
      </c>
      <c r="I138" s="95" t="s">
        <v>123</v>
      </c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:37" s="57" customFormat="1" ht="14.25" customHeight="1" outlineLevel="1">
      <c r="A139" s="53"/>
      <c r="B139" s="45" t="s">
        <v>14</v>
      </c>
      <c r="C139" s="45" t="s">
        <v>691</v>
      </c>
      <c r="D139" s="54"/>
      <c r="E139" s="79" t="s">
        <v>1050</v>
      </c>
      <c r="F139" s="76"/>
      <c r="G139" s="48" t="s">
        <v>487</v>
      </c>
      <c r="H139" s="30" t="str">
        <f t="shared" ref="H139:H151" si="10">CONCATENATE(B139,"-",G139,"-",I139)</f>
        <v>LS-SDV-1</v>
      </c>
      <c r="I139" s="77">
        <v>1</v>
      </c>
      <c r="J139" s="49"/>
      <c r="K139" s="50"/>
      <c r="L139" s="50">
        <v>1</v>
      </c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</row>
    <row r="140" spans="1:37" s="57" customFormat="1" ht="14.25" customHeight="1" outlineLevel="1">
      <c r="A140" s="53"/>
      <c r="B140" s="45" t="s">
        <v>14</v>
      </c>
      <c r="C140" s="45" t="s">
        <v>691</v>
      </c>
      <c r="D140" s="54"/>
      <c r="E140" s="79" t="s">
        <v>1013</v>
      </c>
      <c r="F140" s="76"/>
      <c r="G140" s="48" t="s">
        <v>487</v>
      </c>
      <c r="H140" s="30" t="str">
        <f t="shared" si="10"/>
        <v>LS-SDV-2</v>
      </c>
      <c r="I140" s="77">
        <v>2</v>
      </c>
      <c r="J140" s="49"/>
      <c r="K140" s="50"/>
      <c r="L140" s="50">
        <v>1</v>
      </c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</row>
    <row r="141" spans="1:37" s="57" customFormat="1" ht="14.25" customHeight="1" outlineLevel="1">
      <c r="A141" s="53"/>
      <c r="B141" s="45" t="s">
        <v>14</v>
      </c>
      <c r="C141" s="45" t="s">
        <v>691</v>
      </c>
      <c r="D141" s="54"/>
      <c r="E141" s="79" t="s">
        <v>970</v>
      </c>
      <c r="F141" s="76"/>
      <c r="G141" s="48" t="s">
        <v>487</v>
      </c>
      <c r="H141" s="30" t="str">
        <f t="shared" si="10"/>
        <v>LS-SDV-1</v>
      </c>
      <c r="I141" s="77">
        <v>1</v>
      </c>
      <c r="J141" s="49"/>
      <c r="K141" s="50"/>
      <c r="L141" s="50">
        <v>1</v>
      </c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</row>
    <row r="142" spans="1:37" s="57" customFormat="1" ht="14.25" customHeight="1" outlineLevel="1">
      <c r="A142" s="53"/>
      <c r="B142" s="45" t="s">
        <v>14</v>
      </c>
      <c r="C142" s="45" t="s">
        <v>691</v>
      </c>
      <c r="D142" s="54"/>
      <c r="E142" s="79" t="s">
        <v>1051</v>
      </c>
      <c r="F142" s="76"/>
      <c r="G142" s="48" t="s">
        <v>487</v>
      </c>
      <c r="H142" s="30" t="str">
        <f t="shared" si="10"/>
        <v>LS-SDV-2</v>
      </c>
      <c r="I142" s="77">
        <v>2</v>
      </c>
      <c r="J142" s="49"/>
      <c r="K142" s="50"/>
      <c r="L142" s="50">
        <v>1</v>
      </c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</row>
    <row r="143" spans="1:37" s="57" customFormat="1" ht="14.25" customHeight="1" outlineLevel="1">
      <c r="A143" s="53"/>
      <c r="B143" s="45" t="s">
        <v>14</v>
      </c>
      <c r="C143" s="45" t="s">
        <v>691</v>
      </c>
      <c r="D143" s="54"/>
      <c r="E143" s="79" t="s">
        <v>971</v>
      </c>
      <c r="F143" s="76"/>
      <c r="G143" s="48" t="s">
        <v>487</v>
      </c>
      <c r="H143" s="30" t="str">
        <f t="shared" si="10"/>
        <v>LS-SDV-2</v>
      </c>
      <c r="I143" s="77">
        <v>2</v>
      </c>
      <c r="J143" s="49"/>
      <c r="K143" s="50"/>
      <c r="L143" s="50">
        <v>1</v>
      </c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</row>
    <row r="144" spans="1:37" s="57" customFormat="1" outlineLevel="1">
      <c r="A144" s="53"/>
      <c r="B144" s="45" t="s">
        <v>14</v>
      </c>
      <c r="C144" s="45" t="s">
        <v>691</v>
      </c>
      <c r="D144" s="54"/>
      <c r="E144" s="79" t="s">
        <v>1014</v>
      </c>
      <c r="F144" s="76"/>
      <c r="G144" s="48" t="s">
        <v>487</v>
      </c>
      <c r="H144" s="30" t="str">
        <f t="shared" si="10"/>
        <v>LS-SDV-1</v>
      </c>
      <c r="I144" s="77">
        <v>1</v>
      </c>
      <c r="J144" s="49"/>
      <c r="K144" s="50"/>
      <c r="L144" s="50">
        <v>1</v>
      </c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</row>
    <row r="145" spans="1:37" s="57" customFormat="1" ht="14.25" customHeight="1" outlineLevel="1">
      <c r="A145" s="53"/>
      <c r="B145" s="45" t="s">
        <v>14</v>
      </c>
      <c r="C145" s="45" t="s">
        <v>691</v>
      </c>
      <c r="D145" s="54"/>
      <c r="E145" s="79" t="s">
        <v>1015</v>
      </c>
      <c r="F145" s="76"/>
      <c r="G145" s="48" t="s">
        <v>487</v>
      </c>
      <c r="H145" s="30" t="str">
        <f t="shared" si="10"/>
        <v>LS-SDV-1</v>
      </c>
      <c r="I145" s="77">
        <v>1</v>
      </c>
      <c r="J145" s="49"/>
      <c r="K145" s="50"/>
      <c r="L145" s="50">
        <v>1</v>
      </c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</row>
    <row r="146" spans="1:37" s="57" customFormat="1" ht="14.25" customHeight="1" outlineLevel="1">
      <c r="A146" s="53"/>
      <c r="B146" s="45" t="s">
        <v>14</v>
      </c>
      <c r="C146" s="45" t="s">
        <v>691</v>
      </c>
      <c r="D146" s="54"/>
      <c r="E146" s="79" t="s">
        <v>1052</v>
      </c>
      <c r="F146" s="76"/>
      <c r="G146" s="48" t="s">
        <v>487</v>
      </c>
      <c r="H146" s="30" t="str">
        <f t="shared" si="10"/>
        <v>LS-SDV-1</v>
      </c>
      <c r="I146" s="77">
        <v>1</v>
      </c>
      <c r="J146" s="49"/>
      <c r="K146" s="50"/>
      <c r="L146" s="50">
        <v>1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</row>
    <row r="147" spans="1:37" s="57" customFormat="1" ht="14.25" customHeight="1" outlineLevel="1">
      <c r="A147" s="53"/>
      <c r="B147" s="45" t="s">
        <v>14</v>
      </c>
      <c r="C147" s="45" t="s">
        <v>691</v>
      </c>
      <c r="D147" s="54"/>
      <c r="E147" s="79" t="s">
        <v>976</v>
      </c>
      <c r="F147" s="76"/>
      <c r="G147" s="48" t="s">
        <v>487</v>
      </c>
      <c r="H147" s="30" t="str">
        <f t="shared" si="10"/>
        <v>LS-SDV-9</v>
      </c>
      <c r="I147" s="77">
        <v>9</v>
      </c>
      <c r="J147" s="49"/>
      <c r="K147" s="50"/>
      <c r="L147" s="50">
        <v>1</v>
      </c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</row>
    <row r="148" spans="1:37" s="57" customFormat="1" ht="14.25" customHeight="1" outlineLevel="1">
      <c r="A148" s="53"/>
      <c r="B148" s="45" t="s">
        <v>14</v>
      </c>
      <c r="C148" s="45" t="s">
        <v>691</v>
      </c>
      <c r="D148" s="54"/>
      <c r="E148" s="79" t="s">
        <v>973</v>
      </c>
      <c r="F148" s="76"/>
      <c r="G148" s="48" t="s">
        <v>487</v>
      </c>
      <c r="H148" s="30" t="str">
        <f t="shared" si="10"/>
        <v>LS-SDV-9</v>
      </c>
      <c r="I148" s="77">
        <v>9</v>
      </c>
      <c r="J148" s="49"/>
      <c r="K148" s="50"/>
      <c r="L148" s="50">
        <v>1</v>
      </c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</row>
    <row r="149" spans="1:37" s="57" customFormat="1" ht="14.25" customHeight="1" outlineLevel="1">
      <c r="A149" s="53"/>
      <c r="B149" s="45" t="s">
        <v>14</v>
      </c>
      <c r="C149" s="45" t="s">
        <v>691</v>
      </c>
      <c r="D149" s="54"/>
      <c r="E149" s="79" t="s">
        <v>974</v>
      </c>
      <c r="F149" s="76"/>
      <c r="G149" s="48" t="s">
        <v>487</v>
      </c>
      <c r="H149" s="30" t="str">
        <f t="shared" si="10"/>
        <v>LS-SDV-2</v>
      </c>
      <c r="I149" s="77">
        <v>2</v>
      </c>
      <c r="J149" s="49"/>
      <c r="K149" s="50"/>
      <c r="L149" s="50">
        <v>1</v>
      </c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</row>
    <row r="150" spans="1:37" s="57" customFormat="1" ht="14.25" customHeight="1" outlineLevel="1">
      <c r="A150" s="53"/>
      <c r="B150" s="45" t="s">
        <v>14</v>
      </c>
      <c r="C150" s="45" t="s">
        <v>691</v>
      </c>
      <c r="D150" s="54"/>
      <c r="E150" s="79" t="s">
        <v>1053</v>
      </c>
      <c r="F150" s="76"/>
      <c r="G150" s="48" t="s">
        <v>487</v>
      </c>
      <c r="H150" s="30" t="str">
        <f t="shared" si="10"/>
        <v>LS-SDV-9</v>
      </c>
      <c r="I150" s="77">
        <v>9</v>
      </c>
      <c r="J150" s="49"/>
      <c r="K150" s="50"/>
      <c r="L150" s="50">
        <v>1</v>
      </c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</row>
    <row r="151" spans="1:37" s="57" customFormat="1" ht="14.25" customHeight="1" outlineLevel="1">
      <c r="A151" s="53"/>
      <c r="B151" s="45" t="s">
        <v>14</v>
      </c>
      <c r="C151" s="45" t="s">
        <v>691</v>
      </c>
      <c r="D151" s="54"/>
      <c r="E151" s="79" t="s">
        <v>1054</v>
      </c>
      <c r="F151" s="76"/>
      <c r="G151" s="48" t="s">
        <v>487</v>
      </c>
      <c r="H151" s="30" t="str">
        <f t="shared" si="10"/>
        <v>LS-SDV-9</v>
      </c>
      <c r="I151" s="77">
        <v>9</v>
      </c>
      <c r="J151" s="49"/>
      <c r="K151" s="50"/>
      <c r="L151" s="50">
        <v>1</v>
      </c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</row>
    <row r="152" spans="1:37" ht="3" customHeight="1">
      <c r="A152" s="47"/>
      <c r="B152" s="45"/>
      <c r="C152" s="48"/>
      <c r="D152" s="44"/>
      <c r="E152" s="79"/>
      <c r="F152" s="76"/>
      <c r="G152" s="45"/>
      <c r="H152" s="30"/>
      <c r="I152" s="77"/>
      <c r="J152" s="49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</row>
    <row r="153" spans="1:37" s="57" customFormat="1" ht="14.25" customHeight="1">
      <c r="A153" s="60" t="s">
        <v>24</v>
      </c>
      <c r="B153" s="45"/>
      <c r="C153" s="45"/>
      <c r="D153" s="44"/>
      <c r="E153" s="79"/>
      <c r="F153" s="46"/>
      <c r="G153" s="94" t="s">
        <v>121</v>
      </c>
      <c r="H153" s="94" t="s">
        <v>122</v>
      </c>
      <c r="I153" s="95" t="s">
        <v>123</v>
      </c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:37" s="57" customFormat="1" ht="14.25" customHeight="1" outlineLevel="1">
      <c r="A154" s="53"/>
      <c r="B154" s="45" t="s">
        <v>14</v>
      </c>
      <c r="C154" s="45" t="s">
        <v>1055</v>
      </c>
      <c r="D154" s="54"/>
      <c r="E154" s="79" t="s">
        <v>1056</v>
      </c>
      <c r="F154" s="76"/>
      <c r="G154" s="48" t="s">
        <v>1057</v>
      </c>
      <c r="H154" s="30" t="str">
        <f t="shared" ref="H154:H160" si="11">CONCATENATE(B154,"-",G154,"-",I154)</f>
        <v>LS-AMN-2</v>
      </c>
      <c r="I154" s="77">
        <v>2</v>
      </c>
      <c r="J154" s="49"/>
      <c r="K154" s="50"/>
      <c r="L154" s="50">
        <v>1</v>
      </c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</row>
    <row r="155" spans="1:37" s="57" customFormat="1" ht="14.25" customHeight="1" outlineLevel="1">
      <c r="A155" s="53"/>
      <c r="B155" s="45" t="s">
        <v>14</v>
      </c>
      <c r="C155" s="45" t="s">
        <v>1055</v>
      </c>
      <c r="D155" s="54"/>
      <c r="E155" s="79" t="s">
        <v>1058</v>
      </c>
      <c r="F155" s="76"/>
      <c r="G155" s="48" t="s">
        <v>1057</v>
      </c>
      <c r="H155" s="30" t="str">
        <f t="shared" si="11"/>
        <v>LS-AMN-2</v>
      </c>
      <c r="I155" s="77">
        <v>2</v>
      </c>
      <c r="J155" s="49"/>
      <c r="K155" s="50"/>
      <c r="L155" s="50">
        <v>1</v>
      </c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</row>
    <row r="156" spans="1:37" s="57" customFormat="1" ht="14.25" customHeight="1" outlineLevel="1">
      <c r="A156" s="53"/>
      <c r="B156" s="45" t="s">
        <v>14</v>
      </c>
      <c r="C156" s="45" t="s">
        <v>1055</v>
      </c>
      <c r="D156" s="54"/>
      <c r="E156" s="79" t="s">
        <v>1059</v>
      </c>
      <c r="F156" s="76"/>
      <c r="G156" s="48" t="s">
        <v>1057</v>
      </c>
      <c r="H156" s="30" t="str">
        <f t="shared" si="11"/>
        <v>LS-AMN-3</v>
      </c>
      <c r="I156" s="77">
        <v>3</v>
      </c>
      <c r="J156" s="49"/>
      <c r="K156" s="50"/>
      <c r="L156" s="50">
        <v>1</v>
      </c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</row>
    <row r="157" spans="1:37" s="57" customFormat="1" ht="14.25" customHeight="1" outlineLevel="1">
      <c r="A157" s="53"/>
      <c r="B157" s="45" t="s">
        <v>14</v>
      </c>
      <c r="C157" s="45" t="s">
        <v>1057</v>
      </c>
      <c r="D157" s="54"/>
      <c r="E157" s="79" t="s">
        <v>1060</v>
      </c>
      <c r="F157" s="76"/>
      <c r="G157" s="48" t="s">
        <v>1057</v>
      </c>
      <c r="H157" s="30" t="str">
        <f t="shared" si="11"/>
        <v>LS-AMN-4</v>
      </c>
      <c r="I157" s="77">
        <v>4</v>
      </c>
      <c r="J157" s="49"/>
      <c r="K157" s="49"/>
      <c r="L157" s="50">
        <v>1</v>
      </c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</row>
    <row r="158" spans="1:37" s="57" customFormat="1" ht="14.25" customHeight="1" outlineLevel="1">
      <c r="A158" s="53"/>
      <c r="B158" s="45" t="s">
        <v>14</v>
      </c>
      <c r="C158" s="45" t="s">
        <v>1057</v>
      </c>
      <c r="D158" s="54"/>
      <c r="E158" s="79" t="s">
        <v>1061</v>
      </c>
      <c r="F158" s="76"/>
      <c r="G158" s="48" t="s">
        <v>1057</v>
      </c>
      <c r="H158" s="30" t="str">
        <f t="shared" si="11"/>
        <v>LS-AMN-4</v>
      </c>
      <c r="I158" s="77">
        <v>4</v>
      </c>
      <c r="J158" s="49"/>
      <c r="K158" s="50"/>
      <c r="L158" s="50">
        <v>1</v>
      </c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</row>
    <row r="159" spans="1:37" s="57" customFormat="1" ht="14.25" customHeight="1" outlineLevel="1">
      <c r="A159" s="53"/>
      <c r="B159" s="45" t="s">
        <v>14</v>
      </c>
      <c r="C159" s="45" t="s">
        <v>1057</v>
      </c>
      <c r="D159" s="54"/>
      <c r="E159" s="79" t="s">
        <v>1062</v>
      </c>
      <c r="F159" s="76"/>
      <c r="G159" s="48" t="s">
        <v>1057</v>
      </c>
      <c r="H159" s="30" t="str">
        <f t="shared" si="11"/>
        <v>LS-AMN-4</v>
      </c>
      <c r="I159" s="77">
        <v>4</v>
      </c>
      <c r="J159" s="49"/>
      <c r="K159" s="50"/>
      <c r="L159" s="50">
        <v>1</v>
      </c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</row>
    <row r="160" spans="1:37" s="57" customFormat="1" ht="14.25" customHeight="1" outlineLevel="1">
      <c r="A160" s="53"/>
      <c r="B160" s="45" t="s">
        <v>14</v>
      </c>
      <c r="C160" s="45" t="s">
        <v>1057</v>
      </c>
      <c r="D160" s="54"/>
      <c r="E160" s="79" t="s">
        <v>1063</v>
      </c>
      <c r="F160" s="76"/>
      <c r="G160" s="48" t="s">
        <v>1057</v>
      </c>
      <c r="H160" s="30" t="str">
        <f t="shared" si="11"/>
        <v>LS-AMN-4</v>
      </c>
      <c r="I160" s="77">
        <v>4</v>
      </c>
      <c r="J160" s="49"/>
      <c r="K160" s="50"/>
      <c r="L160" s="50">
        <v>1</v>
      </c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</row>
    <row r="161" spans="1:37" ht="3" customHeight="1">
      <c r="A161" s="51"/>
      <c r="B161" s="48"/>
      <c r="C161" s="48"/>
      <c r="D161" s="74"/>
      <c r="E161" s="51"/>
      <c r="F161" s="51"/>
      <c r="G161" s="51"/>
      <c r="H161" s="51"/>
      <c r="I161" s="75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</row>
  </sheetData>
  <mergeCells count="6">
    <mergeCell ref="Y2:Y4"/>
    <mergeCell ref="G2:G4"/>
    <mergeCell ref="H2:H4"/>
    <mergeCell ref="I2:I4"/>
    <mergeCell ref="J2:K2"/>
    <mergeCell ref="L2:L4"/>
  </mergeCells>
  <conditionalFormatting sqref="J1:J5 K1:N1 K5:N5 L2:N4 Y2">
    <cfRule type="iconSet" priority="616">
      <iconSet iconSet="3Symbols2" showValue="0">
        <cfvo type="percent" val="0"/>
        <cfvo type="num" val="0"/>
        <cfvo type="num" val="1"/>
      </iconSet>
    </cfRule>
  </conditionalFormatting>
  <conditionalFormatting sqref="J6 J26 J29 J45 J63 J88:J97 J120:J126 J129:J136 J139:J151 J156:J1048576">
    <cfRule type="iconSet" priority="653">
      <iconSet iconSet="3Symbols2" showValue="0">
        <cfvo type="percent" val="0"/>
        <cfvo type="num" val="0"/>
        <cfvo type="num" val="0"/>
      </iconSet>
    </cfRule>
  </conditionalFormatting>
  <conditionalFormatting sqref="J7:J8 J10">
    <cfRule type="iconSet" priority="556">
      <iconSet iconSet="3Symbols2" showValue="0">
        <cfvo type="percent" val="0"/>
        <cfvo type="num" val="0"/>
        <cfvo type="num" val="0"/>
      </iconSet>
    </cfRule>
  </conditionalFormatting>
  <conditionalFormatting sqref="J9">
    <cfRule type="iconSet" priority="555">
      <iconSet iconSet="3Symbols2" showValue="0">
        <cfvo type="percent" val="0"/>
        <cfvo type="num" val="0"/>
        <cfvo type="num" val="0"/>
      </iconSet>
    </cfRule>
  </conditionalFormatting>
  <conditionalFormatting sqref="J11">
    <cfRule type="iconSet" priority="615">
      <iconSet iconSet="3Symbols2" showValue="0">
        <cfvo type="percent" val="0"/>
        <cfvo type="num" val="0"/>
        <cfvo type="num" val="0"/>
      </iconSet>
    </cfRule>
  </conditionalFormatting>
  <conditionalFormatting sqref="J12">
    <cfRule type="iconSet" priority="655">
      <iconSet iconSet="3Symbols2" showValue="0">
        <cfvo type="percent" val="0"/>
        <cfvo type="num" val="0"/>
        <cfvo type="num" val="0"/>
      </iconSet>
    </cfRule>
  </conditionalFormatting>
  <conditionalFormatting sqref="J13:J18">
    <cfRule type="iconSet" priority="1">
      <iconSet iconSet="3Symbols2" showValue="0">
        <cfvo type="percent" val="0"/>
        <cfvo type="num" val="0"/>
        <cfvo type="num" val="0"/>
      </iconSet>
    </cfRule>
  </conditionalFormatting>
  <conditionalFormatting sqref="J19:J23 L13:N18 M19:N23">
    <cfRule type="iconSet" priority="552">
      <iconSet iconSet="3Symbols2" showValue="0">
        <cfvo type="percent" val="0"/>
        <cfvo type="num" val="0"/>
        <cfvo type="num" val="0"/>
      </iconSet>
    </cfRule>
  </conditionalFormatting>
  <conditionalFormatting sqref="J24">
    <cfRule type="iconSet" priority="612">
      <iconSet iconSet="3Symbols2" showValue="0">
        <cfvo type="percent" val="0"/>
        <cfvo type="num" val="0"/>
        <cfvo type="num" val="0"/>
      </iconSet>
    </cfRule>
  </conditionalFormatting>
  <conditionalFormatting sqref="J25">
    <cfRule type="iconSet" priority="656">
      <iconSet iconSet="3Symbols2" showValue="0">
        <cfvo type="percent" val="0"/>
        <cfvo type="num" val="0"/>
        <cfvo type="num" val="0"/>
      </iconSet>
    </cfRule>
  </conditionalFormatting>
  <conditionalFormatting sqref="J27">
    <cfRule type="iconSet" priority="609">
      <iconSet iconSet="3Symbols2" showValue="0">
        <cfvo type="percent" val="0"/>
        <cfvo type="num" val="0"/>
        <cfvo type="num" val="0"/>
      </iconSet>
    </cfRule>
  </conditionalFormatting>
  <conditionalFormatting sqref="J28">
    <cfRule type="iconSet" priority="657">
      <iconSet iconSet="3Symbols2" showValue="0">
        <cfvo type="percent" val="0"/>
        <cfvo type="num" val="0"/>
        <cfvo type="num" val="0"/>
      </iconSet>
    </cfRule>
  </conditionalFormatting>
  <conditionalFormatting sqref="J30:J39">
    <cfRule type="iconSet" priority="562">
      <iconSet iconSet="3Symbols2" showValue="0">
        <cfvo type="percent" val="0"/>
        <cfvo type="num" val="0"/>
        <cfvo type="num" val="0"/>
      </iconSet>
    </cfRule>
  </conditionalFormatting>
  <conditionalFormatting sqref="J40">
    <cfRule type="iconSet" priority="606">
      <iconSet iconSet="3Symbols2" showValue="0">
        <cfvo type="percent" val="0"/>
        <cfvo type="num" val="0"/>
        <cfvo type="num" val="0"/>
      </iconSet>
    </cfRule>
  </conditionalFormatting>
  <conditionalFormatting sqref="J41">
    <cfRule type="iconSet" priority="658">
      <iconSet iconSet="3Symbols2" showValue="0">
        <cfvo type="percent" val="0"/>
        <cfvo type="num" val="0"/>
        <cfvo type="num" val="0"/>
      </iconSet>
    </cfRule>
  </conditionalFormatting>
  <conditionalFormatting sqref="J42">
    <cfRule type="iconSet" priority="554">
      <iconSet iconSet="3Symbols2" showValue="0">
        <cfvo type="percent" val="0"/>
        <cfvo type="num" val="0"/>
        <cfvo type="num" val="0"/>
      </iconSet>
    </cfRule>
  </conditionalFormatting>
  <conditionalFormatting sqref="J43">
    <cfRule type="iconSet" priority="603">
      <iconSet iconSet="3Symbols2" showValue="0">
        <cfvo type="percent" val="0"/>
        <cfvo type="num" val="0"/>
        <cfvo type="num" val="0"/>
      </iconSet>
    </cfRule>
  </conditionalFormatting>
  <conditionalFormatting sqref="J44">
    <cfRule type="iconSet" priority="659">
      <iconSet iconSet="3Symbols2" showValue="0">
        <cfvo type="percent" val="0"/>
        <cfvo type="num" val="0"/>
        <cfvo type="num" val="0"/>
      </iconSet>
    </cfRule>
  </conditionalFormatting>
  <conditionalFormatting sqref="J46:J55">
    <cfRule type="iconSet" priority="559">
      <iconSet iconSet="3Symbols2" showValue="0">
        <cfvo type="percent" val="0"/>
        <cfvo type="num" val="0"/>
        <cfvo type="num" val="0"/>
      </iconSet>
    </cfRule>
  </conditionalFormatting>
  <conditionalFormatting sqref="J56">
    <cfRule type="iconSet" priority="600">
      <iconSet iconSet="3Symbols2" showValue="0">
        <cfvo type="percent" val="0"/>
        <cfvo type="num" val="0"/>
        <cfvo type="num" val="0"/>
      </iconSet>
    </cfRule>
  </conditionalFormatting>
  <conditionalFormatting sqref="J57">
    <cfRule type="iconSet" priority="660">
      <iconSet iconSet="3Symbols2" showValue="0">
        <cfvo type="percent" val="0"/>
        <cfvo type="num" val="0"/>
        <cfvo type="num" val="0"/>
      </iconSet>
    </cfRule>
  </conditionalFormatting>
  <conditionalFormatting sqref="J58">
    <cfRule type="iconSet" priority="553">
      <iconSet iconSet="3Symbols2" showValue="0">
        <cfvo type="percent" val="0"/>
        <cfvo type="num" val="0"/>
        <cfvo type="num" val="0"/>
      </iconSet>
    </cfRule>
  </conditionalFormatting>
  <conditionalFormatting sqref="J59">
    <cfRule type="iconSet" priority="597">
      <iconSet iconSet="3Symbols2" showValue="0">
        <cfvo type="percent" val="0"/>
        <cfvo type="num" val="0"/>
        <cfvo type="num" val="0"/>
      </iconSet>
    </cfRule>
  </conditionalFormatting>
  <conditionalFormatting sqref="J60">
    <cfRule type="iconSet" priority="535">
      <iconSet iconSet="3Symbols2" showValue="0">
        <cfvo type="percent" val="0"/>
        <cfvo type="num" val="0"/>
        <cfvo type="num" val="0"/>
      </iconSet>
    </cfRule>
  </conditionalFormatting>
  <conditionalFormatting sqref="J61">
    <cfRule type="iconSet" priority="532">
      <iconSet iconSet="3Symbols2" showValue="0">
        <cfvo type="percent" val="0"/>
        <cfvo type="num" val="0"/>
        <cfvo type="num" val="0"/>
      </iconSet>
    </cfRule>
  </conditionalFormatting>
  <conditionalFormatting sqref="J62">
    <cfRule type="iconSet" priority="666">
      <iconSet iconSet="3Symbols2" showValue="0">
        <cfvo type="percent" val="0"/>
        <cfvo type="num" val="0"/>
        <cfvo type="num" val="0"/>
      </iconSet>
    </cfRule>
  </conditionalFormatting>
  <conditionalFormatting sqref="J64">
    <cfRule type="iconSet" priority="672">
      <iconSet iconSet="3Symbols2" showValue="0">
        <cfvo type="percent" val="0"/>
        <cfvo type="num" val="0"/>
        <cfvo type="num" val="0"/>
      </iconSet>
    </cfRule>
  </conditionalFormatting>
  <conditionalFormatting sqref="J65">
    <cfRule type="iconSet" priority="570">
      <iconSet iconSet="3Symbols2" showValue="0">
        <cfvo type="percent" val="0"/>
        <cfvo type="num" val="0"/>
        <cfvo type="num" val="0"/>
      </iconSet>
    </cfRule>
  </conditionalFormatting>
  <conditionalFormatting sqref="J66:J74">
    <cfRule type="iconSet" priority="675">
      <iconSet iconSet="3Symbols2" showValue="0">
        <cfvo type="percent" val="0"/>
        <cfvo type="num" val="0"/>
        <cfvo type="num" val="0"/>
      </iconSet>
    </cfRule>
  </conditionalFormatting>
  <conditionalFormatting sqref="J75">
    <cfRule type="iconSet" priority="539">
      <iconSet iconSet="3Symbols2" showValue="0">
        <cfvo type="percent" val="0"/>
        <cfvo type="num" val="0"/>
        <cfvo type="num" val="0"/>
      </iconSet>
    </cfRule>
  </conditionalFormatting>
  <conditionalFormatting sqref="J76:J84">
    <cfRule type="iconSet" priority="542">
      <iconSet iconSet="3Symbols2" showValue="0">
        <cfvo type="percent" val="0"/>
        <cfvo type="num" val="0"/>
        <cfvo type="num" val="0"/>
      </iconSet>
    </cfRule>
  </conditionalFormatting>
  <conditionalFormatting sqref="J85">
    <cfRule type="iconSet" priority="567">
      <iconSet iconSet="3Symbols2" showValue="0">
        <cfvo type="percent" val="0"/>
        <cfvo type="num" val="0"/>
        <cfvo type="num" val="0"/>
      </iconSet>
    </cfRule>
  </conditionalFormatting>
  <conditionalFormatting sqref="J86">
    <cfRule type="iconSet" priority="669">
      <iconSet iconSet="3Symbols2" showValue="0">
        <cfvo type="percent" val="0"/>
        <cfvo type="num" val="0"/>
        <cfvo type="num" val="0"/>
      </iconSet>
    </cfRule>
  </conditionalFormatting>
  <conditionalFormatting sqref="J87">
    <cfRule type="iconSet" priority="661">
      <iconSet iconSet="3Symbols2" showValue="0">
        <cfvo type="percent" val="0"/>
        <cfvo type="num" val="0"/>
        <cfvo type="num" val="0"/>
      </iconSet>
    </cfRule>
  </conditionalFormatting>
  <conditionalFormatting sqref="J98">
    <cfRule type="iconSet" priority="594">
      <iconSet iconSet="3Symbols2" showValue="0">
        <cfvo type="percent" val="0"/>
        <cfvo type="num" val="0"/>
        <cfvo type="num" val="0"/>
      </iconSet>
    </cfRule>
  </conditionalFormatting>
  <conditionalFormatting sqref="J99">
    <cfRule type="iconSet" priority="662">
      <iconSet iconSet="3Symbols2" showValue="0">
        <cfvo type="percent" val="0"/>
        <cfvo type="num" val="0"/>
        <cfvo type="num" val="0"/>
      </iconSet>
    </cfRule>
  </conditionalFormatting>
  <conditionalFormatting sqref="J100:J10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J108">
    <cfRule type="iconSet" priority="591">
      <iconSet iconSet="3Symbols2" showValue="0">
        <cfvo type="percent" val="0"/>
        <cfvo type="num" val="0"/>
        <cfvo type="num" val="0"/>
      </iconSet>
    </cfRule>
  </conditionalFormatting>
  <conditionalFormatting sqref="J109">
    <cfRule type="iconSet" priority="663">
      <iconSet iconSet="3Symbols2" showValue="0">
        <cfvo type="percent" val="0"/>
        <cfvo type="num" val="0"/>
        <cfvo type="num" val="0"/>
      </iconSet>
    </cfRule>
  </conditionalFormatting>
  <conditionalFormatting sqref="J110:J117">
    <cfRule type="iconSet" priority="654">
      <iconSet iconSet="3Symbols2" showValue="0">
        <cfvo type="percent" val="0"/>
        <cfvo type="num" val="0"/>
        <cfvo type="num" val="0"/>
      </iconSet>
    </cfRule>
  </conditionalFormatting>
  <conditionalFormatting sqref="J118">
    <cfRule type="iconSet" priority="588">
      <iconSet iconSet="3Symbols2" showValue="0">
        <cfvo type="percent" val="0"/>
        <cfvo type="num" val="0"/>
        <cfvo type="num" val="0"/>
      </iconSet>
    </cfRule>
  </conditionalFormatting>
  <conditionalFormatting sqref="J119">
    <cfRule type="iconSet" priority="664">
      <iconSet iconSet="3Symbols2" showValue="0">
        <cfvo type="percent" val="0"/>
        <cfvo type="num" val="0"/>
        <cfvo type="num" val="0"/>
      </iconSet>
    </cfRule>
  </conditionalFormatting>
  <conditionalFormatting sqref="J127">
    <cfRule type="iconSet" priority="585">
      <iconSet iconSet="3Symbols2" showValue="0">
        <cfvo type="percent" val="0"/>
        <cfvo type="num" val="0"/>
        <cfvo type="num" val="0"/>
      </iconSet>
    </cfRule>
  </conditionalFormatting>
  <conditionalFormatting sqref="J128">
    <cfRule type="iconSet" priority="665">
      <iconSet iconSet="3Symbols2" showValue="0">
        <cfvo type="percent" val="0"/>
        <cfvo type="num" val="0"/>
        <cfvo type="num" val="0"/>
      </iconSet>
    </cfRule>
  </conditionalFormatting>
  <conditionalFormatting sqref="J137">
    <cfRule type="iconSet" priority="582">
      <iconSet iconSet="3Symbols2" showValue="0">
        <cfvo type="percent" val="0"/>
        <cfvo type="num" val="0"/>
        <cfvo type="num" val="0"/>
      </iconSet>
    </cfRule>
  </conditionalFormatting>
  <conditionalFormatting sqref="J138">
    <cfRule type="iconSet" priority="667">
      <iconSet iconSet="3Symbols2" showValue="0">
        <cfvo type="percent" val="0"/>
        <cfvo type="num" val="0"/>
        <cfvo type="num" val="0"/>
      </iconSet>
    </cfRule>
  </conditionalFormatting>
  <conditionalFormatting sqref="J152">
    <cfRule type="iconSet" priority="579">
      <iconSet iconSet="3Symbols2" showValue="0">
        <cfvo type="percent" val="0"/>
        <cfvo type="num" val="0"/>
        <cfvo type="num" val="0"/>
      </iconSet>
    </cfRule>
  </conditionalFormatting>
  <conditionalFormatting sqref="J153">
    <cfRule type="iconSet" priority="668">
      <iconSet iconSet="3Symbols2" showValue="0">
        <cfvo type="percent" val="0"/>
        <cfvo type="num" val="0"/>
        <cfvo type="num" val="0"/>
      </iconSet>
    </cfRule>
  </conditionalFormatting>
  <conditionalFormatting sqref="J154">
    <cfRule type="iconSet" priority="573">
      <iconSet iconSet="3Symbols2" showValue="0">
        <cfvo type="percent" val="0"/>
        <cfvo type="num" val="0"/>
        <cfvo type="num" val="0"/>
      </iconSet>
    </cfRule>
  </conditionalFormatting>
  <conditionalFormatting sqref="J155">
    <cfRule type="iconSet" priority="576">
      <iconSet iconSet="3Symbols2" showValue="0">
        <cfvo type="percent" val="0"/>
        <cfvo type="num" val="0"/>
        <cfvo type="num" val="0"/>
      </iconSet>
    </cfRule>
  </conditionalFormatting>
  <conditionalFormatting sqref="K13 K26 K29 K45 K63 K100:K107 K129:K136 K139:K151 K156:K160 K6:N8 K10:N10 K42:N42 K58:N58 K88:N97 K120:N126 K161:N1048576">
    <cfRule type="iconSet" priority="652">
      <iconSet iconSet="3Symbols2" showValue="0">
        <cfvo type="percent" val="0"/>
        <cfvo type="num" val="0"/>
        <cfvo type="num" val="0"/>
      </iconSet>
    </cfRule>
  </conditionalFormatting>
  <conditionalFormatting sqref="K14:K23">
    <cfRule type="iconSet" priority="564">
      <iconSet iconSet="3Symbols2" showValue="0">
        <cfvo type="percent" val="0"/>
        <cfvo type="num" val="0"/>
        <cfvo type="num" val="0"/>
      </iconSet>
    </cfRule>
  </conditionalFormatting>
  <conditionalFormatting sqref="K30:K39">
    <cfRule type="iconSet" priority="561">
      <iconSet iconSet="3Symbols2" showValue="0">
        <cfvo type="percent" val="0"/>
        <cfvo type="num" val="0"/>
        <cfvo type="num" val="0"/>
      </iconSet>
    </cfRule>
  </conditionalFormatting>
  <conditionalFormatting sqref="K46:K55">
    <cfRule type="iconSet" priority="558">
      <iconSet iconSet="3Symbols2" showValue="0">
        <cfvo type="percent" val="0"/>
        <cfvo type="num" val="0"/>
        <cfvo type="num" val="0"/>
      </iconSet>
    </cfRule>
  </conditionalFormatting>
  <conditionalFormatting sqref="K66:K74">
    <cfRule type="iconSet" priority="673">
      <iconSet iconSet="3Symbols2" showValue="0">
        <cfvo type="percent" val="0"/>
        <cfvo type="num" val="0"/>
        <cfvo type="num" val="0"/>
      </iconSet>
    </cfRule>
  </conditionalFormatting>
  <conditionalFormatting sqref="K76:K84">
    <cfRule type="iconSet" priority="540">
      <iconSet iconSet="3Symbols2" showValue="0">
        <cfvo type="percent" val="0"/>
        <cfvo type="num" val="0"/>
        <cfvo type="num" val="0"/>
      </iconSet>
    </cfRule>
  </conditionalFormatting>
  <conditionalFormatting sqref="K110:K117">
    <cfRule type="iconSet" priority="651">
      <iconSet iconSet="3Symbols2" showValue="0">
        <cfvo type="percent" val="0"/>
        <cfvo type="num" val="0"/>
        <cfvo type="num" val="0"/>
      </iconSet>
    </cfRule>
  </conditionalFormatting>
  <conditionalFormatting sqref="K154">
    <cfRule type="iconSet" priority="572">
      <iconSet iconSet="3Symbols2" showValue="0">
        <cfvo type="percent" val="0"/>
        <cfvo type="num" val="0"/>
        <cfvo type="num" val="0"/>
      </iconSet>
    </cfRule>
  </conditionalFormatting>
  <conditionalFormatting sqref="K155">
    <cfRule type="iconSet" priority="575">
      <iconSet iconSet="3Symbols2" showValue="0">
        <cfvo type="percent" val="0"/>
        <cfvo type="num" val="0"/>
        <cfvo type="num" val="0"/>
      </iconSet>
    </cfRule>
  </conditionalFormatting>
  <conditionalFormatting sqref="K9:N9">
    <cfRule type="iconSet" priority="650">
      <iconSet iconSet="3Symbols2" showValue="0">
        <cfvo type="percent" val="0"/>
        <cfvo type="num" val="0"/>
        <cfvo type="num" val="0"/>
      </iconSet>
    </cfRule>
  </conditionalFormatting>
  <conditionalFormatting sqref="K11:N11">
    <cfRule type="iconSet" priority="614">
      <iconSet iconSet="3Symbols2" showValue="0">
        <cfvo type="percent" val="0"/>
        <cfvo type="num" val="0"/>
        <cfvo type="num" val="0"/>
      </iconSet>
    </cfRule>
  </conditionalFormatting>
  <conditionalFormatting sqref="K12:N12">
    <cfRule type="iconSet" priority="649">
      <iconSet iconSet="3Symbols2" showValue="0">
        <cfvo type="percent" val="0"/>
        <cfvo type="num" val="0"/>
        <cfvo type="num" val="0"/>
      </iconSet>
    </cfRule>
  </conditionalFormatting>
  <conditionalFormatting sqref="K24:N24">
    <cfRule type="iconSet" priority="611">
      <iconSet iconSet="3Symbols2" showValue="0">
        <cfvo type="percent" val="0"/>
        <cfvo type="num" val="0"/>
        <cfvo type="num" val="0"/>
      </iconSet>
    </cfRule>
  </conditionalFormatting>
  <conditionalFormatting sqref="K25:N25">
    <cfRule type="iconSet" priority="648">
      <iconSet iconSet="3Symbols2" showValue="0">
        <cfvo type="percent" val="0"/>
        <cfvo type="num" val="0"/>
        <cfvo type="num" val="0"/>
      </iconSet>
    </cfRule>
  </conditionalFormatting>
  <conditionalFormatting sqref="K27:N27">
    <cfRule type="iconSet" priority="608">
      <iconSet iconSet="3Symbols2" showValue="0">
        <cfvo type="percent" val="0"/>
        <cfvo type="num" val="0"/>
        <cfvo type="num" val="0"/>
      </iconSet>
    </cfRule>
  </conditionalFormatting>
  <conditionalFormatting sqref="K28:N28">
    <cfRule type="iconSet" priority="647">
      <iconSet iconSet="3Symbols2" showValue="0">
        <cfvo type="percent" val="0"/>
        <cfvo type="num" val="0"/>
        <cfvo type="num" val="0"/>
      </iconSet>
    </cfRule>
  </conditionalFormatting>
  <conditionalFormatting sqref="K40:N40">
    <cfRule type="iconSet" priority="605">
      <iconSet iconSet="3Symbols2" showValue="0">
        <cfvo type="percent" val="0"/>
        <cfvo type="num" val="0"/>
        <cfvo type="num" val="0"/>
      </iconSet>
    </cfRule>
  </conditionalFormatting>
  <conditionalFormatting sqref="K41:N41">
    <cfRule type="iconSet" priority="646">
      <iconSet iconSet="3Symbols2" showValue="0">
        <cfvo type="percent" val="0"/>
        <cfvo type="num" val="0"/>
        <cfvo type="num" val="0"/>
      </iconSet>
    </cfRule>
  </conditionalFormatting>
  <conditionalFormatting sqref="K43:N43">
    <cfRule type="iconSet" priority="602">
      <iconSet iconSet="3Symbols2" showValue="0">
        <cfvo type="percent" val="0"/>
        <cfvo type="num" val="0"/>
        <cfvo type="num" val="0"/>
      </iconSet>
    </cfRule>
  </conditionalFormatting>
  <conditionalFormatting sqref="K44:N44">
    <cfRule type="iconSet" priority="645">
      <iconSet iconSet="3Symbols2" showValue="0">
        <cfvo type="percent" val="0"/>
        <cfvo type="num" val="0"/>
        <cfvo type="num" val="0"/>
      </iconSet>
    </cfRule>
  </conditionalFormatting>
  <conditionalFormatting sqref="K56:N56">
    <cfRule type="iconSet" priority="599">
      <iconSet iconSet="3Symbols2" showValue="0">
        <cfvo type="percent" val="0"/>
        <cfvo type="num" val="0"/>
        <cfvo type="num" val="0"/>
      </iconSet>
    </cfRule>
  </conditionalFormatting>
  <conditionalFormatting sqref="K57:N57">
    <cfRule type="iconSet" priority="644">
      <iconSet iconSet="3Symbols2" showValue="0">
        <cfvo type="percent" val="0"/>
        <cfvo type="num" val="0"/>
        <cfvo type="num" val="0"/>
      </iconSet>
    </cfRule>
  </conditionalFormatting>
  <conditionalFormatting sqref="K59:N59">
    <cfRule type="iconSet" priority="596">
      <iconSet iconSet="3Symbols2" showValue="0">
        <cfvo type="percent" val="0"/>
        <cfvo type="num" val="0"/>
        <cfvo type="num" val="0"/>
      </iconSet>
    </cfRule>
  </conditionalFormatting>
  <conditionalFormatting sqref="K60:N61">
    <cfRule type="iconSet" priority="534">
      <iconSet iconSet="3Symbols2" showValue="0">
        <cfvo type="percent" val="0"/>
        <cfvo type="num" val="0"/>
        <cfvo type="num" val="0"/>
      </iconSet>
    </cfRule>
  </conditionalFormatting>
  <conditionalFormatting sqref="K62:N62">
    <cfRule type="iconSet" priority="638">
      <iconSet iconSet="3Symbols2" showValue="0">
        <cfvo type="percent" val="0"/>
        <cfvo type="num" val="0"/>
        <cfvo type="num" val="0"/>
      </iconSet>
    </cfRule>
  </conditionalFormatting>
  <conditionalFormatting sqref="K64:N64">
    <cfRule type="iconSet" priority="670">
      <iconSet iconSet="3Symbols2" showValue="0">
        <cfvo type="percent" val="0"/>
        <cfvo type="num" val="0"/>
        <cfvo type="num" val="0"/>
      </iconSet>
    </cfRule>
  </conditionalFormatting>
  <conditionalFormatting sqref="K65:N65">
    <cfRule type="iconSet" priority="569">
      <iconSet iconSet="3Symbols2" showValue="0">
        <cfvo type="percent" val="0"/>
        <cfvo type="num" val="0"/>
        <cfvo type="num" val="0"/>
      </iconSet>
    </cfRule>
  </conditionalFormatting>
  <conditionalFormatting sqref="K75:N75">
    <cfRule type="iconSet" priority="538">
      <iconSet iconSet="3Symbols2" showValue="0">
        <cfvo type="percent" val="0"/>
        <cfvo type="num" val="0"/>
        <cfvo type="num" val="0"/>
      </iconSet>
    </cfRule>
  </conditionalFormatting>
  <conditionalFormatting sqref="K85:N85">
    <cfRule type="iconSet" priority="566">
      <iconSet iconSet="3Symbols2" showValue="0">
        <cfvo type="percent" val="0"/>
        <cfvo type="num" val="0"/>
        <cfvo type="num" val="0"/>
      </iconSet>
    </cfRule>
  </conditionalFormatting>
  <conditionalFormatting sqref="K86:N86">
    <cfRule type="iconSet" priority="618">
      <iconSet iconSet="3Symbols2" showValue="0">
        <cfvo type="percent" val="0"/>
        <cfvo type="num" val="0"/>
        <cfvo type="num" val="0"/>
      </iconSet>
    </cfRule>
  </conditionalFormatting>
  <conditionalFormatting sqref="K87:N87">
    <cfRule type="iconSet" priority="643">
      <iconSet iconSet="3Symbols2" showValue="0">
        <cfvo type="percent" val="0"/>
        <cfvo type="num" val="0"/>
        <cfvo type="num" val="0"/>
      </iconSet>
    </cfRule>
  </conditionalFormatting>
  <conditionalFormatting sqref="K98:N98">
    <cfRule type="iconSet" priority="593">
      <iconSet iconSet="3Symbols2" showValue="0">
        <cfvo type="percent" val="0"/>
        <cfvo type="num" val="0"/>
        <cfvo type="num" val="0"/>
      </iconSet>
    </cfRule>
  </conditionalFormatting>
  <conditionalFormatting sqref="K99:N99">
    <cfRule type="iconSet" priority="642">
      <iconSet iconSet="3Symbols2" showValue="0">
        <cfvo type="percent" val="0"/>
        <cfvo type="num" val="0"/>
        <cfvo type="num" val="0"/>
      </iconSet>
    </cfRule>
  </conditionalFormatting>
  <conditionalFormatting sqref="K108:N108">
    <cfRule type="iconSet" priority="590">
      <iconSet iconSet="3Symbols2" showValue="0">
        <cfvo type="percent" val="0"/>
        <cfvo type="num" val="0"/>
        <cfvo type="num" val="0"/>
      </iconSet>
    </cfRule>
  </conditionalFormatting>
  <conditionalFormatting sqref="K109:N109">
    <cfRule type="iconSet" priority="641">
      <iconSet iconSet="3Symbols2" showValue="0">
        <cfvo type="percent" val="0"/>
        <cfvo type="num" val="0"/>
        <cfvo type="num" val="0"/>
      </iconSet>
    </cfRule>
  </conditionalFormatting>
  <conditionalFormatting sqref="K118:N118">
    <cfRule type="iconSet" priority="587">
      <iconSet iconSet="3Symbols2" showValue="0">
        <cfvo type="percent" val="0"/>
        <cfvo type="num" val="0"/>
        <cfvo type="num" val="0"/>
      </iconSet>
    </cfRule>
  </conditionalFormatting>
  <conditionalFormatting sqref="K119:N119">
    <cfRule type="iconSet" priority="640">
      <iconSet iconSet="3Symbols2" showValue="0">
        <cfvo type="percent" val="0"/>
        <cfvo type="num" val="0"/>
        <cfvo type="num" val="0"/>
      </iconSet>
    </cfRule>
  </conditionalFormatting>
  <conditionalFormatting sqref="K127:N127">
    <cfRule type="iconSet" priority="584">
      <iconSet iconSet="3Symbols2" showValue="0">
        <cfvo type="percent" val="0"/>
        <cfvo type="num" val="0"/>
        <cfvo type="num" val="0"/>
      </iconSet>
    </cfRule>
  </conditionalFormatting>
  <conditionalFormatting sqref="K128:N128">
    <cfRule type="iconSet" priority="639">
      <iconSet iconSet="3Symbols2" showValue="0">
        <cfvo type="percent" val="0"/>
        <cfvo type="num" val="0"/>
        <cfvo type="num" val="0"/>
      </iconSet>
    </cfRule>
  </conditionalFormatting>
  <conditionalFormatting sqref="K137:N137">
    <cfRule type="iconSet" priority="581">
      <iconSet iconSet="3Symbols2" showValue="0">
        <cfvo type="percent" val="0"/>
        <cfvo type="num" val="0"/>
        <cfvo type="num" val="0"/>
      </iconSet>
    </cfRule>
  </conditionalFormatting>
  <conditionalFormatting sqref="K138:N138">
    <cfRule type="iconSet" priority="637">
      <iconSet iconSet="3Symbols2" showValue="0">
        <cfvo type="percent" val="0"/>
        <cfvo type="num" val="0"/>
        <cfvo type="num" val="0"/>
      </iconSet>
    </cfRule>
  </conditionalFormatting>
  <conditionalFormatting sqref="K152:N152">
    <cfRule type="iconSet" priority="578">
      <iconSet iconSet="3Symbols2" showValue="0">
        <cfvo type="percent" val="0"/>
        <cfvo type="num" val="0"/>
        <cfvo type="num" val="0"/>
      </iconSet>
    </cfRule>
  </conditionalFormatting>
  <conditionalFormatting sqref="K153:N153">
    <cfRule type="iconSet" priority="636">
      <iconSet iconSet="3Symbols2" showValue="0">
        <cfvo type="percent" val="0"/>
        <cfvo type="num" val="0"/>
        <cfvo type="num" val="0"/>
      </iconSet>
    </cfRule>
  </conditionalFormatting>
  <conditionalFormatting sqref="L26:N26">
    <cfRule type="iconSet" priority="551">
      <iconSet iconSet="3Symbols2" showValue="0">
        <cfvo type="percent" val="0"/>
        <cfvo type="num" val="0"/>
        <cfvo type="num" val="0"/>
      </iconSet>
    </cfRule>
  </conditionalFormatting>
  <conditionalFormatting sqref="L29:N39">
    <cfRule type="iconSet" priority="550">
      <iconSet iconSet="3Symbols2" showValue="0">
        <cfvo type="percent" val="0"/>
        <cfvo type="num" val="0"/>
        <cfvo type="num" val="0"/>
      </iconSet>
    </cfRule>
  </conditionalFormatting>
  <conditionalFormatting sqref="L45:N51 L53:N55 L63:N63">
    <cfRule type="iconSet" priority="549">
      <iconSet iconSet="3Symbols2" showValue="0">
        <cfvo type="percent" val="0"/>
        <cfvo type="num" val="0"/>
        <cfvo type="num" val="0"/>
      </iconSet>
    </cfRule>
  </conditionalFormatting>
  <conditionalFormatting sqref="L52:N52">
    <cfRule type="iconSet" priority="531">
      <iconSet iconSet="3Symbols2" showValue="0">
        <cfvo type="percent" val="0"/>
        <cfvo type="num" val="0"/>
        <cfvo type="num" val="0"/>
      </iconSet>
    </cfRule>
  </conditionalFormatting>
  <conditionalFormatting sqref="L66:N74">
    <cfRule type="iconSet" priority="548">
      <iconSet iconSet="3Symbols2" showValue="0">
        <cfvo type="percent" val="0"/>
        <cfvo type="num" val="0"/>
        <cfvo type="num" val="0"/>
      </iconSet>
    </cfRule>
  </conditionalFormatting>
  <conditionalFormatting sqref="L76:N84">
    <cfRule type="iconSet" priority="536">
      <iconSet iconSet="3Symbols2" showValue="0">
        <cfvo type="percent" val="0"/>
        <cfvo type="num" val="0"/>
        <cfvo type="num" val="0"/>
      </iconSet>
    </cfRule>
  </conditionalFormatting>
  <conditionalFormatting sqref="L100:N107">
    <cfRule type="iconSet" priority="547">
      <iconSet iconSet="3Symbols2" showValue="0">
        <cfvo type="percent" val="0"/>
        <cfvo type="num" val="0"/>
        <cfvo type="num" val="0"/>
      </iconSet>
    </cfRule>
  </conditionalFormatting>
  <conditionalFormatting sqref="L110:N117">
    <cfRule type="iconSet" priority="546">
      <iconSet iconSet="3Symbols2" showValue="0">
        <cfvo type="percent" val="0"/>
        <cfvo type="num" val="0"/>
        <cfvo type="num" val="0"/>
      </iconSet>
    </cfRule>
  </conditionalFormatting>
  <conditionalFormatting sqref="L129:N136">
    <cfRule type="iconSet" priority="545">
      <iconSet iconSet="3Symbols2" showValue="0">
        <cfvo type="percent" val="0"/>
        <cfvo type="num" val="0"/>
        <cfvo type="num" val="0"/>
      </iconSet>
    </cfRule>
  </conditionalFormatting>
  <conditionalFormatting sqref="L139:N151">
    <cfRule type="iconSet" priority="544">
      <iconSet iconSet="3Symbols2" showValue="0">
        <cfvo type="percent" val="0"/>
        <cfvo type="num" val="0"/>
        <cfvo type="num" val="0"/>
      </iconSet>
    </cfRule>
  </conditionalFormatting>
  <conditionalFormatting sqref="L154:N160">
    <cfRule type="iconSet" priority="543">
      <iconSet iconSet="3Symbols2" showValue="0">
        <cfvo type="percent" val="0"/>
        <cfvo type="num" val="0"/>
        <cfvo type="num" val="0"/>
      </iconSet>
    </cfRule>
  </conditionalFormatting>
  <conditionalFormatting sqref="O1:P5">
    <cfRule type="iconSet" priority="512">
      <iconSet iconSet="3Symbols2" showValue="0">
        <cfvo type="percent" val="0"/>
        <cfvo type="num" val="0"/>
        <cfvo type="num" val="1"/>
      </iconSet>
    </cfRule>
  </conditionalFormatting>
  <conditionalFormatting sqref="O6:P8 O10:P10 O42:P42 O58:P58 O88:P97 O120:P126 O161:P1048576">
    <cfRule type="iconSet" priority="529">
      <iconSet iconSet="3Symbols2" showValue="0">
        <cfvo type="percent" val="0"/>
        <cfvo type="num" val="0"/>
        <cfvo type="num" val="0"/>
      </iconSet>
    </cfRule>
  </conditionalFormatting>
  <conditionalFormatting sqref="O9:P9">
    <cfRule type="iconSet" priority="528">
      <iconSet iconSet="3Symbols2" showValue="0">
        <cfvo type="percent" val="0"/>
        <cfvo type="num" val="0"/>
        <cfvo type="num" val="0"/>
      </iconSet>
    </cfRule>
  </conditionalFormatting>
  <conditionalFormatting sqref="O11:P11">
    <cfRule type="iconSet" priority="511">
      <iconSet iconSet="3Symbols2" showValue="0">
        <cfvo type="percent" val="0"/>
        <cfvo type="num" val="0"/>
        <cfvo type="num" val="0"/>
      </iconSet>
    </cfRule>
  </conditionalFormatting>
  <conditionalFormatting sqref="O12:P12">
    <cfRule type="iconSet" priority="527">
      <iconSet iconSet="3Symbols2" showValue="0">
        <cfvo type="percent" val="0"/>
        <cfvo type="num" val="0"/>
        <cfvo type="num" val="0"/>
      </iconSet>
    </cfRule>
  </conditionalFormatting>
  <conditionalFormatting sqref="O13:P23">
    <cfRule type="iconSet" priority="496">
      <iconSet iconSet="3Symbols2" showValue="0">
        <cfvo type="percent" val="0"/>
        <cfvo type="num" val="0"/>
        <cfvo type="num" val="0"/>
      </iconSet>
    </cfRule>
  </conditionalFormatting>
  <conditionalFormatting sqref="O24:P24">
    <cfRule type="iconSet" priority="510">
      <iconSet iconSet="3Symbols2" showValue="0">
        <cfvo type="percent" val="0"/>
        <cfvo type="num" val="0"/>
        <cfvo type="num" val="0"/>
      </iconSet>
    </cfRule>
  </conditionalFormatting>
  <conditionalFormatting sqref="O25:P25">
    <cfRule type="iconSet" priority="526">
      <iconSet iconSet="3Symbols2" showValue="0">
        <cfvo type="percent" val="0"/>
        <cfvo type="num" val="0"/>
        <cfvo type="num" val="0"/>
      </iconSet>
    </cfRule>
  </conditionalFormatting>
  <conditionalFormatting sqref="O26:P26">
    <cfRule type="iconSet" priority="495">
      <iconSet iconSet="3Symbols2" showValue="0">
        <cfvo type="percent" val="0"/>
        <cfvo type="num" val="0"/>
        <cfvo type="num" val="0"/>
      </iconSet>
    </cfRule>
  </conditionalFormatting>
  <conditionalFormatting sqref="O27:P27">
    <cfRule type="iconSet" priority="509">
      <iconSet iconSet="3Symbols2" showValue="0">
        <cfvo type="percent" val="0"/>
        <cfvo type="num" val="0"/>
        <cfvo type="num" val="0"/>
      </iconSet>
    </cfRule>
  </conditionalFormatting>
  <conditionalFormatting sqref="O28:P28">
    <cfRule type="iconSet" priority="525">
      <iconSet iconSet="3Symbols2" showValue="0">
        <cfvo type="percent" val="0"/>
        <cfvo type="num" val="0"/>
        <cfvo type="num" val="0"/>
      </iconSet>
    </cfRule>
  </conditionalFormatting>
  <conditionalFormatting sqref="O29:P39">
    <cfRule type="iconSet" priority="494">
      <iconSet iconSet="3Symbols2" showValue="0">
        <cfvo type="percent" val="0"/>
        <cfvo type="num" val="0"/>
        <cfvo type="num" val="0"/>
      </iconSet>
    </cfRule>
  </conditionalFormatting>
  <conditionalFormatting sqref="O40:P40">
    <cfRule type="iconSet" priority="508">
      <iconSet iconSet="3Symbols2" showValue="0">
        <cfvo type="percent" val="0"/>
        <cfvo type="num" val="0"/>
        <cfvo type="num" val="0"/>
      </iconSet>
    </cfRule>
  </conditionalFormatting>
  <conditionalFormatting sqref="O41:P41">
    <cfRule type="iconSet" priority="524">
      <iconSet iconSet="3Symbols2" showValue="0">
        <cfvo type="percent" val="0"/>
        <cfvo type="num" val="0"/>
        <cfvo type="num" val="0"/>
      </iconSet>
    </cfRule>
  </conditionalFormatting>
  <conditionalFormatting sqref="O43:P43">
    <cfRule type="iconSet" priority="507">
      <iconSet iconSet="3Symbols2" showValue="0">
        <cfvo type="percent" val="0"/>
        <cfvo type="num" val="0"/>
        <cfvo type="num" val="0"/>
      </iconSet>
    </cfRule>
  </conditionalFormatting>
  <conditionalFormatting sqref="O44:P44">
    <cfRule type="iconSet" priority="523">
      <iconSet iconSet="3Symbols2" showValue="0">
        <cfvo type="percent" val="0"/>
        <cfvo type="num" val="0"/>
        <cfvo type="num" val="0"/>
      </iconSet>
    </cfRule>
  </conditionalFormatting>
  <conditionalFormatting sqref="O45:P51 O53:P55 O63:P63">
    <cfRule type="iconSet" priority="493">
      <iconSet iconSet="3Symbols2" showValue="0">
        <cfvo type="percent" val="0"/>
        <cfvo type="num" val="0"/>
        <cfvo type="num" val="0"/>
      </iconSet>
    </cfRule>
  </conditionalFormatting>
  <conditionalFormatting sqref="O52:P52">
    <cfRule type="iconSet" priority="483">
      <iconSet iconSet="3Symbols2" showValue="0">
        <cfvo type="percent" val="0"/>
        <cfvo type="num" val="0"/>
        <cfvo type="num" val="0"/>
      </iconSet>
    </cfRule>
  </conditionalFormatting>
  <conditionalFormatting sqref="O56:P56">
    <cfRule type="iconSet" priority="506">
      <iconSet iconSet="3Symbols2" showValue="0">
        <cfvo type="percent" val="0"/>
        <cfvo type="num" val="0"/>
        <cfvo type="num" val="0"/>
      </iconSet>
    </cfRule>
  </conditionalFormatting>
  <conditionalFormatting sqref="O57:P57">
    <cfRule type="iconSet" priority="522">
      <iconSet iconSet="3Symbols2" showValue="0">
        <cfvo type="percent" val="0"/>
        <cfvo type="num" val="0"/>
        <cfvo type="num" val="0"/>
      </iconSet>
    </cfRule>
  </conditionalFormatting>
  <conditionalFormatting sqref="O59:P59">
    <cfRule type="iconSet" priority="505">
      <iconSet iconSet="3Symbols2" showValue="0">
        <cfvo type="percent" val="0"/>
        <cfvo type="num" val="0"/>
        <cfvo type="num" val="0"/>
      </iconSet>
    </cfRule>
  </conditionalFormatting>
  <conditionalFormatting sqref="O60:P61">
    <cfRule type="iconSet" priority="484">
      <iconSet iconSet="3Symbols2" showValue="0">
        <cfvo type="percent" val="0"/>
        <cfvo type="num" val="0"/>
        <cfvo type="num" val="0"/>
      </iconSet>
    </cfRule>
  </conditionalFormatting>
  <conditionalFormatting sqref="O62:P62">
    <cfRule type="iconSet" priority="516">
      <iconSet iconSet="3Symbols2" showValue="0">
        <cfvo type="percent" val="0"/>
        <cfvo type="num" val="0"/>
        <cfvo type="num" val="0"/>
      </iconSet>
    </cfRule>
  </conditionalFormatting>
  <conditionalFormatting sqref="O64:P64">
    <cfRule type="iconSet" priority="530">
      <iconSet iconSet="3Symbols2" showValue="0">
        <cfvo type="percent" val="0"/>
        <cfvo type="num" val="0"/>
        <cfvo type="num" val="0"/>
      </iconSet>
    </cfRule>
  </conditionalFormatting>
  <conditionalFormatting sqref="O65:P65">
    <cfRule type="iconSet" priority="498">
      <iconSet iconSet="3Symbols2" showValue="0">
        <cfvo type="percent" val="0"/>
        <cfvo type="num" val="0"/>
        <cfvo type="num" val="0"/>
      </iconSet>
    </cfRule>
  </conditionalFormatting>
  <conditionalFormatting sqref="O66:P74">
    <cfRule type="iconSet" priority="492">
      <iconSet iconSet="3Symbols2" showValue="0">
        <cfvo type="percent" val="0"/>
        <cfvo type="num" val="0"/>
        <cfvo type="num" val="0"/>
      </iconSet>
    </cfRule>
  </conditionalFormatting>
  <conditionalFormatting sqref="O75:P75">
    <cfRule type="iconSet" priority="486">
      <iconSet iconSet="3Symbols2" showValue="0">
        <cfvo type="percent" val="0"/>
        <cfvo type="num" val="0"/>
        <cfvo type="num" val="0"/>
      </iconSet>
    </cfRule>
  </conditionalFormatting>
  <conditionalFormatting sqref="O76:P84">
    <cfRule type="iconSet" priority="485">
      <iconSet iconSet="3Symbols2" showValue="0">
        <cfvo type="percent" val="0"/>
        <cfvo type="num" val="0"/>
        <cfvo type="num" val="0"/>
      </iconSet>
    </cfRule>
  </conditionalFormatting>
  <conditionalFormatting sqref="O85:P85">
    <cfRule type="iconSet" priority="497">
      <iconSet iconSet="3Symbols2" showValue="0">
        <cfvo type="percent" val="0"/>
        <cfvo type="num" val="0"/>
        <cfvo type="num" val="0"/>
      </iconSet>
    </cfRule>
  </conditionalFormatting>
  <conditionalFormatting sqref="O86:P86">
    <cfRule type="iconSet" priority="513">
      <iconSet iconSet="3Symbols2" showValue="0">
        <cfvo type="percent" val="0"/>
        <cfvo type="num" val="0"/>
        <cfvo type="num" val="0"/>
      </iconSet>
    </cfRule>
  </conditionalFormatting>
  <conditionalFormatting sqref="O87:P87">
    <cfRule type="iconSet" priority="521">
      <iconSet iconSet="3Symbols2" showValue="0">
        <cfvo type="percent" val="0"/>
        <cfvo type="num" val="0"/>
        <cfvo type="num" val="0"/>
      </iconSet>
    </cfRule>
  </conditionalFormatting>
  <conditionalFormatting sqref="O98:P98">
    <cfRule type="iconSet" priority="504">
      <iconSet iconSet="3Symbols2" showValue="0">
        <cfvo type="percent" val="0"/>
        <cfvo type="num" val="0"/>
        <cfvo type="num" val="0"/>
      </iconSet>
    </cfRule>
  </conditionalFormatting>
  <conditionalFormatting sqref="O99:P99">
    <cfRule type="iconSet" priority="520">
      <iconSet iconSet="3Symbols2" showValue="0">
        <cfvo type="percent" val="0"/>
        <cfvo type="num" val="0"/>
        <cfvo type="num" val="0"/>
      </iconSet>
    </cfRule>
  </conditionalFormatting>
  <conditionalFormatting sqref="O100:P107">
    <cfRule type="iconSet" priority="491">
      <iconSet iconSet="3Symbols2" showValue="0">
        <cfvo type="percent" val="0"/>
        <cfvo type="num" val="0"/>
        <cfvo type="num" val="0"/>
      </iconSet>
    </cfRule>
  </conditionalFormatting>
  <conditionalFormatting sqref="O108:P108">
    <cfRule type="iconSet" priority="503">
      <iconSet iconSet="3Symbols2" showValue="0">
        <cfvo type="percent" val="0"/>
        <cfvo type="num" val="0"/>
        <cfvo type="num" val="0"/>
      </iconSet>
    </cfRule>
  </conditionalFormatting>
  <conditionalFormatting sqref="O109:P109">
    <cfRule type="iconSet" priority="519">
      <iconSet iconSet="3Symbols2" showValue="0">
        <cfvo type="percent" val="0"/>
        <cfvo type="num" val="0"/>
        <cfvo type="num" val="0"/>
      </iconSet>
    </cfRule>
  </conditionalFormatting>
  <conditionalFormatting sqref="O110:P117">
    <cfRule type="iconSet" priority="490">
      <iconSet iconSet="3Symbols2" showValue="0">
        <cfvo type="percent" val="0"/>
        <cfvo type="num" val="0"/>
        <cfvo type="num" val="0"/>
      </iconSet>
    </cfRule>
  </conditionalFormatting>
  <conditionalFormatting sqref="O118:P118">
    <cfRule type="iconSet" priority="502">
      <iconSet iconSet="3Symbols2" showValue="0">
        <cfvo type="percent" val="0"/>
        <cfvo type="num" val="0"/>
        <cfvo type="num" val="0"/>
      </iconSet>
    </cfRule>
  </conditionalFormatting>
  <conditionalFormatting sqref="O119:P119">
    <cfRule type="iconSet" priority="518">
      <iconSet iconSet="3Symbols2" showValue="0">
        <cfvo type="percent" val="0"/>
        <cfvo type="num" val="0"/>
        <cfvo type="num" val="0"/>
      </iconSet>
    </cfRule>
  </conditionalFormatting>
  <conditionalFormatting sqref="O127:P127">
    <cfRule type="iconSet" priority="501">
      <iconSet iconSet="3Symbols2" showValue="0">
        <cfvo type="percent" val="0"/>
        <cfvo type="num" val="0"/>
        <cfvo type="num" val="0"/>
      </iconSet>
    </cfRule>
  </conditionalFormatting>
  <conditionalFormatting sqref="O128:P128">
    <cfRule type="iconSet" priority="517">
      <iconSet iconSet="3Symbols2" showValue="0">
        <cfvo type="percent" val="0"/>
        <cfvo type="num" val="0"/>
        <cfvo type="num" val="0"/>
      </iconSet>
    </cfRule>
  </conditionalFormatting>
  <conditionalFormatting sqref="O129:P136">
    <cfRule type="iconSet" priority="489">
      <iconSet iconSet="3Symbols2" showValue="0">
        <cfvo type="percent" val="0"/>
        <cfvo type="num" val="0"/>
        <cfvo type="num" val="0"/>
      </iconSet>
    </cfRule>
  </conditionalFormatting>
  <conditionalFormatting sqref="O137:P137">
    <cfRule type="iconSet" priority="500">
      <iconSet iconSet="3Symbols2" showValue="0">
        <cfvo type="percent" val="0"/>
        <cfvo type="num" val="0"/>
        <cfvo type="num" val="0"/>
      </iconSet>
    </cfRule>
  </conditionalFormatting>
  <conditionalFormatting sqref="O138:P138">
    <cfRule type="iconSet" priority="515">
      <iconSet iconSet="3Symbols2" showValue="0">
        <cfvo type="percent" val="0"/>
        <cfvo type="num" val="0"/>
        <cfvo type="num" val="0"/>
      </iconSet>
    </cfRule>
  </conditionalFormatting>
  <conditionalFormatting sqref="O139:P151">
    <cfRule type="iconSet" priority="488">
      <iconSet iconSet="3Symbols2" showValue="0">
        <cfvo type="percent" val="0"/>
        <cfvo type="num" val="0"/>
        <cfvo type="num" val="0"/>
      </iconSet>
    </cfRule>
  </conditionalFormatting>
  <conditionalFormatting sqref="O152:P152">
    <cfRule type="iconSet" priority="499">
      <iconSet iconSet="3Symbols2" showValue="0">
        <cfvo type="percent" val="0"/>
        <cfvo type="num" val="0"/>
        <cfvo type="num" val="0"/>
      </iconSet>
    </cfRule>
  </conditionalFormatting>
  <conditionalFormatting sqref="O153:P153">
    <cfRule type="iconSet" priority="514">
      <iconSet iconSet="3Symbols2" showValue="0">
        <cfvo type="percent" val="0"/>
        <cfvo type="num" val="0"/>
        <cfvo type="num" val="0"/>
      </iconSet>
    </cfRule>
  </conditionalFormatting>
  <conditionalFormatting sqref="O154:P160">
    <cfRule type="iconSet" priority="487">
      <iconSet iconSet="3Symbols2" showValue="0">
        <cfvo type="percent" val="0"/>
        <cfvo type="num" val="0"/>
        <cfvo type="num" val="0"/>
      </iconSet>
    </cfRule>
  </conditionalFormatting>
  <conditionalFormatting sqref="Q1:R5">
    <cfRule type="iconSet" priority="464">
      <iconSet iconSet="3Symbols2" showValue="0">
        <cfvo type="percent" val="0"/>
        <cfvo type="num" val="0"/>
        <cfvo type="num" val="1"/>
      </iconSet>
    </cfRule>
  </conditionalFormatting>
  <conditionalFormatting sqref="Q6:R8 Q10:R10 Q42:R42 Q58:R58 Q88:R97 Q120:R126 Q161:R1048576">
    <cfRule type="iconSet" priority="481">
      <iconSet iconSet="3Symbols2" showValue="0">
        <cfvo type="percent" val="0"/>
        <cfvo type="num" val="0"/>
        <cfvo type="num" val="0"/>
      </iconSet>
    </cfRule>
  </conditionalFormatting>
  <conditionalFormatting sqref="Q9:R9">
    <cfRule type="iconSet" priority="480">
      <iconSet iconSet="3Symbols2" showValue="0">
        <cfvo type="percent" val="0"/>
        <cfvo type="num" val="0"/>
        <cfvo type="num" val="0"/>
      </iconSet>
    </cfRule>
  </conditionalFormatting>
  <conditionalFormatting sqref="Q11:R11">
    <cfRule type="iconSet" priority="463">
      <iconSet iconSet="3Symbols2" showValue="0">
        <cfvo type="percent" val="0"/>
        <cfvo type="num" val="0"/>
        <cfvo type="num" val="0"/>
      </iconSet>
    </cfRule>
  </conditionalFormatting>
  <conditionalFormatting sqref="Q12:R12">
    <cfRule type="iconSet" priority="479">
      <iconSet iconSet="3Symbols2" showValue="0">
        <cfvo type="percent" val="0"/>
        <cfvo type="num" val="0"/>
        <cfvo type="num" val="0"/>
      </iconSet>
    </cfRule>
  </conditionalFormatting>
  <conditionalFormatting sqref="Q13:R23">
    <cfRule type="iconSet" priority="448">
      <iconSet iconSet="3Symbols2" showValue="0">
        <cfvo type="percent" val="0"/>
        <cfvo type="num" val="0"/>
        <cfvo type="num" val="0"/>
      </iconSet>
    </cfRule>
  </conditionalFormatting>
  <conditionalFormatting sqref="Q24:R24">
    <cfRule type="iconSet" priority="462">
      <iconSet iconSet="3Symbols2" showValue="0">
        <cfvo type="percent" val="0"/>
        <cfvo type="num" val="0"/>
        <cfvo type="num" val="0"/>
      </iconSet>
    </cfRule>
  </conditionalFormatting>
  <conditionalFormatting sqref="Q25:R25">
    <cfRule type="iconSet" priority="478">
      <iconSet iconSet="3Symbols2" showValue="0">
        <cfvo type="percent" val="0"/>
        <cfvo type="num" val="0"/>
        <cfvo type="num" val="0"/>
      </iconSet>
    </cfRule>
  </conditionalFormatting>
  <conditionalFormatting sqref="Q26:R26">
    <cfRule type="iconSet" priority="447">
      <iconSet iconSet="3Symbols2" showValue="0">
        <cfvo type="percent" val="0"/>
        <cfvo type="num" val="0"/>
        <cfvo type="num" val="0"/>
      </iconSet>
    </cfRule>
  </conditionalFormatting>
  <conditionalFormatting sqref="Q27:R27">
    <cfRule type="iconSet" priority="461">
      <iconSet iconSet="3Symbols2" showValue="0">
        <cfvo type="percent" val="0"/>
        <cfvo type="num" val="0"/>
        <cfvo type="num" val="0"/>
      </iconSet>
    </cfRule>
  </conditionalFormatting>
  <conditionalFormatting sqref="Q28:R28">
    <cfRule type="iconSet" priority="477">
      <iconSet iconSet="3Symbols2" showValue="0">
        <cfvo type="percent" val="0"/>
        <cfvo type="num" val="0"/>
        <cfvo type="num" val="0"/>
      </iconSet>
    </cfRule>
  </conditionalFormatting>
  <conditionalFormatting sqref="Q29:R39">
    <cfRule type="iconSet" priority="446">
      <iconSet iconSet="3Symbols2" showValue="0">
        <cfvo type="percent" val="0"/>
        <cfvo type="num" val="0"/>
        <cfvo type="num" val="0"/>
      </iconSet>
    </cfRule>
  </conditionalFormatting>
  <conditionalFormatting sqref="Q40:R40">
    <cfRule type="iconSet" priority="460">
      <iconSet iconSet="3Symbols2" showValue="0">
        <cfvo type="percent" val="0"/>
        <cfvo type="num" val="0"/>
        <cfvo type="num" val="0"/>
      </iconSet>
    </cfRule>
  </conditionalFormatting>
  <conditionalFormatting sqref="Q41:R41">
    <cfRule type="iconSet" priority="476">
      <iconSet iconSet="3Symbols2" showValue="0">
        <cfvo type="percent" val="0"/>
        <cfvo type="num" val="0"/>
        <cfvo type="num" val="0"/>
      </iconSet>
    </cfRule>
  </conditionalFormatting>
  <conditionalFormatting sqref="Q43:R43">
    <cfRule type="iconSet" priority="459">
      <iconSet iconSet="3Symbols2" showValue="0">
        <cfvo type="percent" val="0"/>
        <cfvo type="num" val="0"/>
        <cfvo type="num" val="0"/>
      </iconSet>
    </cfRule>
  </conditionalFormatting>
  <conditionalFormatting sqref="Q44:R44">
    <cfRule type="iconSet" priority="475">
      <iconSet iconSet="3Symbols2" showValue="0">
        <cfvo type="percent" val="0"/>
        <cfvo type="num" val="0"/>
        <cfvo type="num" val="0"/>
      </iconSet>
    </cfRule>
  </conditionalFormatting>
  <conditionalFormatting sqref="Q45:R51 Q53:R55 Q63:R63">
    <cfRule type="iconSet" priority="445">
      <iconSet iconSet="3Symbols2" showValue="0">
        <cfvo type="percent" val="0"/>
        <cfvo type="num" val="0"/>
        <cfvo type="num" val="0"/>
      </iconSet>
    </cfRule>
  </conditionalFormatting>
  <conditionalFormatting sqref="Q52:R52">
    <cfRule type="iconSet" priority="435">
      <iconSet iconSet="3Symbols2" showValue="0">
        <cfvo type="percent" val="0"/>
        <cfvo type="num" val="0"/>
        <cfvo type="num" val="0"/>
      </iconSet>
    </cfRule>
  </conditionalFormatting>
  <conditionalFormatting sqref="Q56:R56">
    <cfRule type="iconSet" priority="458">
      <iconSet iconSet="3Symbols2" showValue="0">
        <cfvo type="percent" val="0"/>
        <cfvo type="num" val="0"/>
        <cfvo type="num" val="0"/>
      </iconSet>
    </cfRule>
  </conditionalFormatting>
  <conditionalFormatting sqref="Q57:R57">
    <cfRule type="iconSet" priority="474">
      <iconSet iconSet="3Symbols2" showValue="0">
        <cfvo type="percent" val="0"/>
        <cfvo type="num" val="0"/>
        <cfvo type="num" val="0"/>
      </iconSet>
    </cfRule>
  </conditionalFormatting>
  <conditionalFormatting sqref="Q59:R59">
    <cfRule type="iconSet" priority="457">
      <iconSet iconSet="3Symbols2" showValue="0">
        <cfvo type="percent" val="0"/>
        <cfvo type="num" val="0"/>
        <cfvo type="num" val="0"/>
      </iconSet>
    </cfRule>
  </conditionalFormatting>
  <conditionalFormatting sqref="Q60:R61">
    <cfRule type="iconSet" priority="436">
      <iconSet iconSet="3Symbols2" showValue="0">
        <cfvo type="percent" val="0"/>
        <cfvo type="num" val="0"/>
        <cfvo type="num" val="0"/>
      </iconSet>
    </cfRule>
  </conditionalFormatting>
  <conditionalFormatting sqref="Q62:R62">
    <cfRule type="iconSet" priority="468">
      <iconSet iconSet="3Symbols2" showValue="0">
        <cfvo type="percent" val="0"/>
        <cfvo type="num" val="0"/>
        <cfvo type="num" val="0"/>
      </iconSet>
    </cfRule>
  </conditionalFormatting>
  <conditionalFormatting sqref="Q64:R64">
    <cfRule type="iconSet" priority="482">
      <iconSet iconSet="3Symbols2" showValue="0">
        <cfvo type="percent" val="0"/>
        <cfvo type="num" val="0"/>
        <cfvo type="num" val="0"/>
      </iconSet>
    </cfRule>
  </conditionalFormatting>
  <conditionalFormatting sqref="Q65:R65">
    <cfRule type="iconSet" priority="450">
      <iconSet iconSet="3Symbols2" showValue="0">
        <cfvo type="percent" val="0"/>
        <cfvo type="num" val="0"/>
        <cfvo type="num" val="0"/>
      </iconSet>
    </cfRule>
  </conditionalFormatting>
  <conditionalFormatting sqref="Q66:R74">
    <cfRule type="iconSet" priority="444">
      <iconSet iconSet="3Symbols2" showValue="0">
        <cfvo type="percent" val="0"/>
        <cfvo type="num" val="0"/>
        <cfvo type="num" val="0"/>
      </iconSet>
    </cfRule>
  </conditionalFormatting>
  <conditionalFormatting sqref="Q75:R75">
    <cfRule type="iconSet" priority="438">
      <iconSet iconSet="3Symbols2" showValue="0">
        <cfvo type="percent" val="0"/>
        <cfvo type="num" val="0"/>
        <cfvo type="num" val="0"/>
      </iconSet>
    </cfRule>
  </conditionalFormatting>
  <conditionalFormatting sqref="Q76:R84">
    <cfRule type="iconSet" priority="437">
      <iconSet iconSet="3Symbols2" showValue="0">
        <cfvo type="percent" val="0"/>
        <cfvo type="num" val="0"/>
        <cfvo type="num" val="0"/>
      </iconSet>
    </cfRule>
  </conditionalFormatting>
  <conditionalFormatting sqref="Q85:R85">
    <cfRule type="iconSet" priority="449">
      <iconSet iconSet="3Symbols2" showValue="0">
        <cfvo type="percent" val="0"/>
        <cfvo type="num" val="0"/>
        <cfvo type="num" val="0"/>
      </iconSet>
    </cfRule>
  </conditionalFormatting>
  <conditionalFormatting sqref="Q86:R86">
    <cfRule type="iconSet" priority="465">
      <iconSet iconSet="3Symbols2" showValue="0">
        <cfvo type="percent" val="0"/>
        <cfvo type="num" val="0"/>
        <cfvo type="num" val="0"/>
      </iconSet>
    </cfRule>
  </conditionalFormatting>
  <conditionalFormatting sqref="Q87:R87">
    <cfRule type="iconSet" priority="473">
      <iconSet iconSet="3Symbols2" showValue="0">
        <cfvo type="percent" val="0"/>
        <cfvo type="num" val="0"/>
        <cfvo type="num" val="0"/>
      </iconSet>
    </cfRule>
  </conditionalFormatting>
  <conditionalFormatting sqref="Q98:R98">
    <cfRule type="iconSet" priority="456">
      <iconSet iconSet="3Symbols2" showValue="0">
        <cfvo type="percent" val="0"/>
        <cfvo type="num" val="0"/>
        <cfvo type="num" val="0"/>
      </iconSet>
    </cfRule>
  </conditionalFormatting>
  <conditionalFormatting sqref="Q99:R99">
    <cfRule type="iconSet" priority="472">
      <iconSet iconSet="3Symbols2" showValue="0">
        <cfvo type="percent" val="0"/>
        <cfvo type="num" val="0"/>
        <cfvo type="num" val="0"/>
      </iconSet>
    </cfRule>
  </conditionalFormatting>
  <conditionalFormatting sqref="Q100:R107">
    <cfRule type="iconSet" priority="443">
      <iconSet iconSet="3Symbols2" showValue="0">
        <cfvo type="percent" val="0"/>
        <cfvo type="num" val="0"/>
        <cfvo type="num" val="0"/>
      </iconSet>
    </cfRule>
  </conditionalFormatting>
  <conditionalFormatting sqref="Q108:R108">
    <cfRule type="iconSet" priority="455">
      <iconSet iconSet="3Symbols2" showValue="0">
        <cfvo type="percent" val="0"/>
        <cfvo type="num" val="0"/>
        <cfvo type="num" val="0"/>
      </iconSet>
    </cfRule>
  </conditionalFormatting>
  <conditionalFormatting sqref="Q109:R109">
    <cfRule type="iconSet" priority="471">
      <iconSet iconSet="3Symbols2" showValue="0">
        <cfvo type="percent" val="0"/>
        <cfvo type="num" val="0"/>
        <cfvo type="num" val="0"/>
      </iconSet>
    </cfRule>
  </conditionalFormatting>
  <conditionalFormatting sqref="Q110:R117">
    <cfRule type="iconSet" priority="442">
      <iconSet iconSet="3Symbols2" showValue="0">
        <cfvo type="percent" val="0"/>
        <cfvo type="num" val="0"/>
        <cfvo type="num" val="0"/>
      </iconSet>
    </cfRule>
  </conditionalFormatting>
  <conditionalFormatting sqref="Q118:R118">
    <cfRule type="iconSet" priority="454">
      <iconSet iconSet="3Symbols2" showValue="0">
        <cfvo type="percent" val="0"/>
        <cfvo type="num" val="0"/>
        <cfvo type="num" val="0"/>
      </iconSet>
    </cfRule>
  </conditionalFormatting>
  <conditionalFormatting sqref="Q119:R119">
    <cfRule type="iconSet" priority="470">
      <iconSet iconSet="3Symbols2" showValue="0">
        <cfvo type="percent" val="0"/>
        <cfvo type="num" val="0"/>
        <cfvo type="num" val="0"/>
      </iconSet>
    </cfRule>
  </conditionalFormatting>
  <conditionalFormatting sqref="Q127:R127">
    <cfRule type="iconSet" priority="453">
      <iconSet iconSet="3Symbols2" showValue="0">
        <cfvo type="percent" val="0"/>
        <cfvo type="num" val="0"/>
        <cfvo type="num" val="0"/>
      </iconSet>
    </cfRule>
  </conditionalFormatting>
  <conditionalFormatting sqref="Q128:R128">
    <cfRule type="iconSet" priority="469">
      <iconSet iconSet="3Symbols2" showValue="0">
        <cfvo type="percent" val="0"/>
        <cfvo type="num" val="0"/>
        <cfvo type="num" val="0"/>
      </iconSet>
    </cfRule>
  </conditionalFormatting>
  <conditionalFormatting sqref="Q129:R136">
    <cfRule type="iconSet" priority="441">
      <iconSet iconSet="3Symbols2" showValue="0">
        <cfvo type="percent" val="0"/>
        <cfvo type="num" val="0"/>
        <cfvo type="num" val="0"/>
      </iconSet>
    </cfRule>
  </conditionalFormatting>
  <conditionalFormatting sqref="Q137:R137">
    <cfRule type="iconSet" priority="452">
      <iconSet iconSet="3Symbols2" showValue="0">
        <cfvo type="percent" val="0"/>
        <cfvo type="num" val="0"/>
        <cfvo type="num" val="0"/>
      </iconSet>
    </cfRule>
  </conditionalFormatting>
  <conditionalFormatting sqref="Q138:R138">
    <cfRule type="iconSet" priority="467">
      <iconSet iconSet="3Symbols2" showValue="0">
        <cfvo type="percent" val="0"/>
        <cfvo type="num" val="0"/>
        <cfvo type="num" val="0"/>
      </iconSet>
    </cfRule>
  </conditionalFormatting>
  <conditionalFormatting sqref="Q139:R151">
    <cfRule type="iconSet" priority="440">
      <iconSet iconSet="3Symbols2" showValue="0">
        <cfvo type="percent" val="0"/>
        <cfvo type="num" val="0"/>
        <cfvo type="num" val="0"/>
      </iconSet>
    </cfRule>
  </conditionalFormatting>
  <conditionalFormatting sqref="Q152:R152">
    <cfRule type="iconSet" priority="451">
      <iconSet iconSet="3Symbols2" showValue="0">
        <cfvo type="percent" val="0"/>
        <cfvo type="num" val="0"/>
        <cfvo type="num" val="0"/>
      </iconSet>
    </cfRule>
  </conditionalFormatting>
  <conditionalFormatting sqref="Q153:R153">
    <cfRule type="iconSet" priority="466">
      <iconSet iconSet="3Symbols2" showValue="0">
        <cfvo type="percent" val="0"/>
        <cfvo type="num" val="0"/>
        <cfvo type="num" val="0"/>
      </iconSet>
    </cfRule>
  </conditionalFormatting>
  <conditionalFormatting sqref="Q154:R160">
    <cfRule type="iconSet" priority="439">
      <iconSet iconSet="3Symbols2" showValue="0">
        <cfvo type="percent" val="0"/>
        <cfvo type="num" val="0"/>
        <cfvo type="num" val="0"/>
      </iconSet>
    </cfRule>
  </conditionalFormatting>
  <conditionalFormatting sqref="S1:T5">
    <cfRule type="iconSet" priority="416">
      <iconSet iconSet="3Symbols2" showValue="0">
        <cfvo type="percent" val="0"/>
        <cfvo type="num" val="0"/>
        <cfvo type="num" val="1"/>
      </iconSet>
    </cfRule>
  </conditionalFormatting>
  <conditionalFormatting sqref="S6:T8 S10:T10 S42:T42 S58:T58 S88:T97 S120:T126 S161:T1048576">
    <cfRule type="iconSet" priority="433">
      <iconSet iconSet="3Symbols2" showValue="0">
        <cfvo type="percent" val="0"/>
        <cfvo type="num" val="0"/>
        <cfvo type="num" val="0"/>
      </iconSet>
    </cfRule>
  </conditionalFormatting>
  <conditionalFormatting sqref="S9:T9">
    <cfRule type="iconSet" priority="432">
      <iconSet iconSet="3Symbols2" showValue="0">
        <cfvo type="percent" val="0"/>
        <cfvo type="num" val="0"/>
        <cfvo type="num" val="0"/>
      </iconSet>
    </cfRule>
  </conditionalFormatting>
  <conditionalFormatting sqref="S11:T11">
    <cfRule type="iconSet" priority="415">
      <iconSet iconSet="3Symbols2" showValue="0">
        <cfvo type="percent" val="0"/>
        <cfvo type="num" val="0"/>
        <cfvo type="num" val="0"/>
      </iconSet>
    </cfRule>
  </conditionalFormatting>
  <conditionalFormatting sqref="S12:T12">
    <cfRule type="iconSet" priority="431">
      <iconSet iconSet="3Symbols2" showValue="0">
        <cfvo type="percent" val="0"/>
        <cfvo type="num" val="0"/>
        <cfvo type="num" val="0"/>
      </iconSet>
    </cfRule>
  </conditionalFormatting>
  <conditionalFormatting sqref="S13:T23">
    <cfRule type="iconSet" priority="400">
      <iconSet iconSet="3Symbols2" showValue="0">
        <cfvo type="percent" val="0"/>
        <cfvo type="num" val="0"/>
        <cfvo type="num" val="0"/>
      </iconSet>
    </cfRule>
  </conditionalFormatting>
  <conditionalFormatting sqref="S24:T24">
    <cfRule type="iconSet" priority="414">
      <iconSet iconSet="3Symbols2" showValue="0">
        <cfvo type="percent" val="0"/>
        <cfvo type="num" val="0"/>
        <cfvo type="num" val="0"/>
      </iconSet>
    </cfRule>
  </conditionalFormatting>
  <conditionalFormatting sqref="S25:T25">
    <cfRule type="iconSet" priority="430">
      <iconSet iconSet="3Symbols2" showValue="0">
        <cfvo type="percent" val="0"/>
        <cfvo type="num" val="0"/>
        <cfvo type="num" val="0"/>
      </iconSet>
    </cfRule>
  </conditionalFormatting>
  <conditionalFormatting sqref="S26:T26">
    <cfRule type="iconSet" priority="399">
      <iconSet iconSet="3Symbols2" showValue="0">
        <cfvo type="percent" val="0"/>
        <cfvo type="num" val="0"/>
        <cfvo type="num" val="0"/>
      </iconSet>
    </cfRule>
  </conditionalFormatting>
  <conditionalFormatting sqref="S27:T27">
    <cfRule type="iconSet" priority="413">
      <iconSet iconSet="3Symbols2" showValue="0">
        <cfvo type="percent" val="0"/>
        <cfvo type="num" val="0"/>
        <cfvo type="num" val="0"/>
      </iconSet>
    </cfRule>
  </conditionalFormatting>
  <conditionalFormatting sqref="S28:T28">
    <cfRule type="iconSet" priority="429">
      <iconSet iconSet="3Symbols2" showValue="0">
        <cfvo type="percent" val="0"/>
        <cfvo type="num" val="0"/>
        <cfvo type="num" val="0"/>
      </iconSet>
    </cfRule>
  </conditionalFormatting>
  <conditionalFormatting sqref="S29:T39">
    <cfRule type="iconSet" priority="398">
      <iconSet iconSet="3Symbols2" showValue="0">
        <cfvo type="percent" val="0"/>
        <cfvo type="num" val="0"/>
        <cfvo type="num" val="0"/>
      </iconSet>
    </cfRule>
  </conditionalFormatting>
  <conditionalFormatting sqref="S40:T40">
    <cfRule type="iconSet" priority="412">
      <iconSet iconSet="3Symbols2" showValue="0">
        <cfvo type="percent" val="0"/>
        <cfvo type="num" val="0"/>
        <cfvo type="num" val="0"/>
      </iconSet>
    </cfRule>
  </conditionalFormatting>
  <conditionalFormatting sqref="S41:T41">
    <cfRule type="iconSet" priority="428">
      <iconSet iconSet="3Symbols2" showValue="0">
        <cfvo type="percent" val="0"/>
        <cfvo type="num" val="0"/>
        <cfvo type="num" val="0"/>
      </iconSet>
    </cfRule>
  </conditionalFormatting>
  <conditionalFormatting sqref="S43:T43">
    <cfRule type="iconSet" priority="411">
      <iconSet iconSet="3Symbols2" showValue="0">
        <cfvo type="percent" val="0"/>
        <cfvo type="num" val="0"/>
        <cfvo type="num" val="0"/>
      </iconSet>
    </cfRule>
  </conditionalFormatting>
  <conditionalFormatting sqref="S44:T44">
    <cfRule type="iconSet" priority="427">
      <iconSet iconSet="3Symbols2" showValue="0">
        <cfvo type="percent" val="0"/>
        <cfvo type="num" val="0"/>
        <cfvo type="num" val="0"/>
      </iconSet>
    </cfRule>
  </conditionalFormatting>
  <conditionalFormatting sqref="S45:T51 S53:T55 S63:T63">
    <cfRule type="iconSet" priority="397">
      <iconSet iconSet="3Symbols2" showValue="0">
        <cfvo type="percent" val="0"/>
        <cfvo type="num" val="0"/>
        <cfvo type="num" val="0"/>
      </iconSet>
    </cfRule>
  </conditionalFormatting>
  <conditionalFormatting sqref="S52:T52">
    <cfRule type="iconSet" priority="387">
      <iconSet iconSet="3Symbols2" showValue="0">
        <cfvo type="percent" val="0"/>
        <cfvo type="num" val="0"/>
        <cfvo type="num" val="0"/>
      </iconSet>
    </cfRule>
  </conditionalFormatting>
  <conditionalFormatting sqref="S56:T56">
    <cfRule type="iconSet" priority="410">
      <iconSet iconSet="3Symbols2" showValue="0">
        <cfvo type="percent" val="0"/>
        <cfvo type="num" val="0"/>
        <cfvo type="num" val="0"/>
      </iconSet>
    </cfRule>
  </conditionalFormatting>
  <conditionalFormatting sqref="S57:T57">
    <cfRule type="iconSet" priority="426">
      <iconSet iconSet="3Symbols2" showValue="0">
        <cfvo type="percent" val="0"/>
        <cfvo type="num" val="0"/>
        <cfvo type="num" val="0"/>
      </iconSet>
    </cfRule>
  </conditionalFormatting>
  <conditionalFormatting sqref="S59:T59">
    <cfRule type="iconSet" priority="409">
      <iconSet iconSet="3Symbols2" showValue="0">
        <cfvo type="percent" val="0"/>
        <cfvo type="num" val="0"/>
        <cfvo type="num" val="0"/>
      </iconSet>
    </cfRule>
  </conditionalFormatting>
  <conditionalFormatting sqref="S60:T61">
    <cfRule type="iconSet" priority="388">
      <iconSet iconSet="3Symbols2" showValue="0">
        <cfvo type="percent" val="0"/>
        <cfvo type="num" val="0"/>
        <cfvo type="num" val="0"/>
      </iconSet>
    </cfRule>
  </conditionalFormatting>
  <conditionalFormatting sqref="S62:T62">
    <cfRule type="iconSet" priority="420">
      <iconSet iconSet="3Symbols2" showValue="0">
        <cfvo type="percent" val="0"/>
        <cfvo type="num" val="0"/>
        <cfvo type="num" val="0"/>
      </iconSet>
    </cfRule>
  </conditionalFormatting>
  <conditionalFormatting sqref="S64:T64">
    <cfRule type="iconSet" priority="434">
      <iconSet iconSet="3Symbols2" showValue="0">
        <cfvo type="percent" val="0"/>
        <cfvo type="num" val="0"/>
        <cfvo type="num" val="0"/>
      </iconSet>
    </cfRule>
  </conditionalFormatting>
  <conditionalFormatting sqref="S65:T65">
    <cfRule type="iconSet" priority="402">
      <iconSet iconSet="3Symbols2" showValue="0">
        <cfvo type="percent" val="0"/>
        <cfvo type="num" val="0"/>
        <cfvo type="num" val="0"/>
      </iconSet>
    </cfRule>
  </conditionalFormatting>
  <conditionalFormatting sqref="S66:T74">
    <cfRule type="iconSet" priority="396">
      <iconSet iconSet="3Symbols2" showValue="0">
        <cfvo type="percent" val="0"/>
        <cfvo type="num" val="0"/>
        <cfvo type="num" val="0"/>
      </iconSet>
    </cfRule>
  </conditionalFormatting>
  <conditionalFormatting sqref="S75:T75">
    <cfRule type="iconSet" priority="390">
      <iconSet iconSet="3Symbols2" showValue="0">
        <cfvo type="percent" val="0"/>
        <cfvo type="num" val="0"/>
        <cfvo type="num" val="0"/>
      </iconSet>
    </cfRule>
  </conditionalFormatting>
  <conditionalFormatting sqref="S76:T84">
    <cfRule type="iconSet" priority="389">
      <iconSet iconSet="3Symbols2" showValue="0">
        <cfvo type="percent" val="0"/>
        <cfvo type="num" val="0"/>
        <cfvo type="num" val="0"/>
      </iconSet>
    </cfRule>
  </conditionalFormatting>
  <conditionalFormatting sqref="S85:T85">
    <cfRule type="iconSet" priority="401">
      <iconSet iconSet="3Symbols2" showValue="0">
        <cfvo type="percent" val="0"/>
        <cfvo type="num" val="0"/>
        <cfvo type="num" val="0"/>
      </iconSet>
    </cfRule>
  </conditionalFormatting>
  <conditionalFormatting sqref="S86:T86">
    <cfRule type="iconSet" priority="417">
      <iconSet iconSet="3Symbols2" showValue="0">
        <cfvo type="percent" val="0"/>
        <cfvo type="num" val="0"/>
        <cfvo type="num" val="0"/>
      </iconSet>
    </cfRule>
  </conditionalFormatting>
  <conditionalFormatting sqref="S87:T87">
    <cfRule type="iconSet" priority="425">
      <iconSet iconSet="3Symbols2" showValue="0">
        <cfvo type="percent" val="0"/>
        <cfvo type="num" val="0"/>
        <cfvo type="num" val="0"/>
      </iconSet>
    </cfRule>
  </conditionalFormatting>
  <conditionalFormatting sqref="S98:T98">
    <cfRule type="iconSet" priority="408">
      <iconSet iconSet="3Symbols2" showValue="0">
        <cfvo type="percent" val="0"/>
        <cfvo type="num" val="0"/>
        <cfvo type="num" val="0"/>
      </iconSet>
    </cfRule>
  </conditionalFormatting>
  <conditionalFormatting sqref="S99:T99">
    <cfRule type="iconSet" priority="424">
      <iconSet iconSet="3Symbols2" showValue="0">
        <cfvo type="percent" val="0"/>
        <cfvo type="num" val="0"/>
        <cfvo type="num" val="0"/>
      </iconSet>
    </cfRule>
  </conditionalFormatting>
  <conditionalFormatting sqref="S100:T107">
    <cfRule type="iconSet" priority="395">
      <iconSet iconSet="3Symbols2" showValue="0">
        <cfvo type="percent" val="0"/>
        <cfvo type="num" val="0"/>
        <cfvo type="num" val="0"/>
      </iconSet>
    </cfRule>
  </conditionalFormatting>
  <conditionalFormatting sqref="S108:T108">
    <cfRule type="iconSet" priority="407">
      <iconSet iconSet="3Symbols2" showValue="0">
        <cfvo type="percent" val="0"/>
        <cfvo type="num" val="0"/>
        <cfvo type="num" val="0"/>
      </iconSet>
    </cfRule>
  </conditionalFormatting>
  <conditionalFormatting sqref="S109:T109">
    <cfRule type="iconSet" priority="423">
      <iconSet iconSet="3Symbols2" showValue="0">
        <cfvo type="percent" val="0"/>
        <cfvo type="num" val="0"/>
        <cfvo type="num" val="0"/>
      </iconSet>
    </cfRule>
  </conditionalFormatting>
  <conditionalFormatting sqref="S110:T117">
    <cfRule type="iconSet" priority="394">
      <iconSet iconSet="3Symbols2" showValue="0">
        <cfvo type="percent" val="0"/>
        <cfvo type="num" val="0"/>
        <cfvo type="num" val="0"/>
      </iconSet>
    </cfRule>
  </conditionalFormatting>
  <conditionalFormatting sqref="S118:T118">
    <cfRule type="iconSet" priority="406">
      <iconSet iconSet="3Symbols2" showValue="0">
        <cfvo type="percent" val="0"/>
        <cfvo type="num" val="0"/>
        <cfvo type="num" val="0"/>
      </iconSet>
    </cfRule>
  </conditionalFormatting>
  <conditionalFormatting sqref="S119:T119">
    <cfRule type="iconSet" priority="422">
      <iconSet iconSet="3Symbols2" showValue="0">
        <cfvo type="percent" val="0"/>
        <cfvo type="num" val="0"/>
        <cfvo type="num" val="0"/>
      </iconSet>
    </cfRule>
  </conditionalFormatting>
  <conditionalFormatting sqref="S127:T127">
    <cfRule type="iconSet" priority="405">
      <iconSet iconSet="3Symbols2" showValue="0">
        <cfvo type="percent" val="0"/>
        <cfvo type="num" val="0"/>
        <cfvo type="num" val="0"/>
      </iconSet>
    </cfRule>
  </conditionalFormatting>
  <conditionalFormatting sqref="S128:T128">
    <cfRule type="iconSet" priority="421">
      <iconSet iconSet="3Symbols2" showValue="0">
        <cfvo type="percent" val="0"/>
        <cfvo type="num" val="0"/>
        <cfvo type="num" val="0"/>
      </iconSet>
    </cfRule>
  </conditionalFormatting>
  <conditionalFormatting sqref="S129:T136">
    <cfRule type="iconSet" priority="393">
      <iconSet iconSet="3Symbols2" showValue="0">
        <cfvo type="percent" val="0"/>
        <cfvo type="num" val="0"/>
        <cfvo type="num" val="0"/>
      </iconSet>
    </cfRule>
  </conditionalFormatting>
  <conditionalFormatting sqref="S137:T137">
    <cfRule type="iconSet" priority="404">
      <iconSet iconSet="3Symbols2" showValue="0">
        <cfvo type="percent" val="0"/>
        <cfvo type="num" val="0"/>
        <cfvo type="num" val="0"/>
      </iconSet>
    </cfRule>
  </conditionalFormatting>
  <conditionalFormatting sqref="S138:T138">
    <cfRule type="iconSet" priority="419">
      <iconSet iconSet="3Symbols2" showValue="0">
        <cfvo type="percent" val="0"/>
        <cfvo type="num" val="0"/>
        <cfvo type="num" val="0"/>
      </iconSet>
    </cfRule>
  </conditionalFormatting>
  <conditionalFormatting sqref="S139:T151">
    <cfRule type="iconSet" priority="392">
      <iconSet iconSet="3Symbols2" showValue="0">
        <cfvo type="percent" val="0"/>
        <cfvo type="num" val="0"/>
        <cfvo type="num" val="0"/>
      </iconSet>
    </cfRule>
  </conditionalFormatting>
  <conditionalFormatting sqref="S152:T152">
    <cfRule type="iconSet" priority="403">
      <iconSet iconSet="3Symbols2" showValue="0">
        <cfvo type="percent" val="0"/>
        <cfvo type="num" val="0"/>
        <cfvo type="num" val="0"/>
      </iconSet>
    </cfRule>
  </conditionalFormatting>
  <conditionalFormatting sqref="S153:T153">
    <cfRule type="iconSet" priority="418">
      <iconSet iconSet="3Symbols2" showValue="0">
        <cfvo type="percent" val="0"/>
        <cfvo type="num" val="0"/>
        <cfvo type="num" val="0"/>
      </iconSet>
    </cfRule>
  </conditionalFormatting>
  <conditionalFormatting sqref="S154:T160">
    <cfRule type="iconSet" priority="391">
      <iconSet iconSet="3Symbols2" showValue="0">
        <cfvo type="percent" val="0"/>
        <cfvo type="num" val="0"/>
        <cfvo type="num" val="0"/>
      </iconSet>
    </cfRule>
  </conditionalFormatting>
  <conditionalFormatting sqref="U1:V5">
    <cfRule type="iconSet" priority="368">
      <iconSet iconSet="3Symbols2" showValue="0">
        <cfvo type="percent" val="0"/>
        <cfvo type="num" val="0"/>
        <cfvo type="num" val="1"/>
      </iconSet>
    </cfRule>
  </conditionalFormatting>
  <conditionalFormatting sqref="U6:V8 U10:V10 U42:V42 U58:V58 U88:V97 U120:V126 U161:V1048576">
    <cfRule type="iconSet" priority="385">
      <iconSet iconSet="3Symbols2" showValue="0">
        <cfvo type="percent" val="0"/>
        <cfvo type="num" val="0"/>
        <cfvo type="num" val="0"/>
      </iconSet>
    </cfRule>
  </conditionalFormatting>
  <conditionalFormatting sqref="U9:V9">
    <cfRule type="iconSet" priority="384">
      <iconSet iconSet="3Symbols2" showValue="0">
        <cfvo type="percent" val="0"/>
        <cfvo type="num" val="0"/>
        <cfvo type="num" val="0"/>
      </iconSet>
    </cfRule>
  </conditionalFormatting>
  <conditionalFormatting sqref="U11:V11">
    <cfRule type="iconSet" priority="367">
      <iconSet iconSet="3Symbols2" showValue="0">
        <cfvo type="percent" val="0"/>
        <cfvo type="num" val="0"/>
        <cfvo type="num" val="0"/>
      </iconSet>
    </cfRule>
  </conditionalFormatting>
  <conditionalFormatting sqref="U12:V12">
    <cfRule type="iconSet" priority="383">
      <iconSet iconSet="3Symbols2" showValue="0">
        <cfvo type="percent" val="0"/>
        <cfvo type="num" val="0"/>
        <cfvo type="num" val="0"/>
      </iconSet>
    </cfRule>
  </conditionalFormatting>
  <conditionalFormatting sqref="U13:V23">
    <cfRule type="iconSet" priority="352">
      <iconSet iconSet="3Symbols2" showValue="0">
        <cfvo type="percent" val="0"/>
        <cfvo type="num" val="0"/>
        <cfvo type="num" val="0"/>
      </iconSet>
    </cfRule>
  </conditionalFormatting>
  <conditionalFormatting sqref="U24:V24">
    <cfRule type="iconSet" priority="366">
      <iconSet iconSet="3Symbols2" showValue="0">
        <cfvo type="percent" val="0"/>
        <cfvo type="num" val="0"/>
        <cfvo type="num" val="0"/>
      </iconSet>
    </cfRule>
  </conditionalFormatting>
  <conditionalFormatting sqref="U25:V25">
    <cfRule type="iconSet" priority="382">
      <iconSet iconSet="3Symbols2" showValue="0">
        <cfvo type="percent" val="0"/>
        <cfvo type="num" val="0"/>
        <cfvo type="num" val="0"/>
      </iconSet>
    </cfRule>
  </conditionalFormatting>
  <conditionalFormatting sqref="U26:V26">
    <cfRule type="iconSet" priority="351">
      <iconSet iconSet="3Symbols2" showValue="0">
        <cfvo type="percent" val="0"/>
        <cfvo type="num" val="0"/>
        <cfvo type="num" val="0"/>
      </iconSet>
    </cfRule>
  </conditionalFormatting>
  <conditionalFormatting sqref="U27:V27">
    <cfRule type="iconSet" priority="365">
      <iconSet iconSet="3Symbols2" showValue="0">
        <cfvo type="percent" val="0"/>
        <cfvo type="num" val="0"/>
        <cfvo type="num" val="0"/>
      </iconSet>
    </cfRule>
  </conditionalFormatting>
  <conditionalFormatting sqref="U28:V28">
    <cfRule type="iconSet" priority="381">
      <iconSet iconSet="3Symbols2" showValue="0">
        <cfvo type="percent" val="0"/>
        <cfvo type="num" val="0"/>
        <cfvo type="num" val="0"/>
      </iconSet>
    </cfRule>
  </conditionalFormatting>
  <conditionalFormatting sqref="U29:V39">
    <cfRule type="iconSet" priority="350">
      <iconSet iconSet="3Symbols2" showValue="0">
        <cfvo type="percent" val="0"/>
        <cfvo type="num" val="0"/>
        <cfvo type="num" val="0"/>
      </iconSet>
    </cfRule>
  </conditionalFormatting>
  <conditionalFormatting sqref="U40:V40">
    <cfRule type="iconSet" priority="364">
      <iconSet iconSet="3Symbols2" showValue="0">
        <cfvo type="percent" val="0"/>
        <cfvo type="num" val="0"/>
        <cfvo type="num" val="0"/>
      </iconSet>
    </cfRule>
  </conditionalFormatting>
  <conditionalFormatting sqref="U41:V41">
    <cfRule type="iconSet" priority="380">
      <iconSet iconSet="3Symbols2" showValue="0">
        <cfvo type="percent" val="0"/>
        <cfvo type="num" val="0"/>
        <cfvo type="num" val="0"/>
      </iconSet>
    </cfRule>
  </conditionalFormatting>
  <conditionalFormatting sqref="U43:V43">
    <cfRule type="iconSet" priority="363">
      <iconSet iconSet="3Symbols2" showValue="0">
        <cfvo type="percent" val="0"/>
        <cfvo type="num" val="0"/>
        <cfvo type="num" val="0"/>
      </iconSet>
    </cfRule>
  </conditionalFormatting>
  <conditionalFormatting sqref="U44:V44">
    <cfRule type="iconSet" priority="379">
      <iconSet iconSet="3Symbols2" showValue="0">
        <cfvo type="percent" val="0"/>
        <cfvo type="num" val="0"/>
        <cfvo type="num" val="0"/>
      </iconSet>
    </cfRule>
  </conditionalFormatting>
  <conditionalFormatting sqref="U45:V51 U53:V55 U63:V63">
    <cfRule type="iconSet" priority="349">
      <iconSet iconSet="3Symbols2" showValue="0">
        <cfvo type="percent" val="0"/>
        <cfvo type="num" val="0"/>
        <cfvo type="num" val="0"/>
      </iconSet>
    </cfRule>
  </conditionalFormatting>
  <conditionalFormatting sqref="U52:V52">
    <cfRule type="iconSet" priority="339">
      <iconSet iconSet="3Symbols2" showValue="0">
        <cfvo type="percent" val="0"/>
        <cfvo type="num" val="0"/>
        <cfvo type="num" val="0"/>
      </iconSet>
    </cfRule>
  </conditionalFormatting>
  <conditionalFormatting sqref="U56:V56">
    <cfRule type="iconSet" priority="362">
      <iconSet iconSet="3Symbols2" showValue="0">
        <cfvo type="percent" val="0"/>
        <cfvo type="num" val="0"/>
        <cfvo type="num" val="0"/>
      </iconSet>
    </cfRule>
  </conditionalFormatting>
  <conditionalFormatting sqref="U57:V57">
    <cfRule type="iconSet" priority="378">
      <iconSet iconSet="3Symbols2" showValue="0">
        <cfvo type="percent" val="0"/>
        <cfvo type="num" val="0"/>
        <cfvo type="num" val="0"/>
      </iconSet>
    </cfRule>
  </conditionalFormatting>
  <conditionalFormatting sqref="U59:V59">
    <cfRule type="iconSet" priority="361">
      <iconSet iconSet="3Symbols2" showValue="0">
        <cfvo type="percent" val="0"/>
        <cfvo type="num" val="0"/>
        <cfvo type="num" val="0"/>
      </iconSet>
    </cfRule>
  </conditionalFormatting>
  <conditionalFormatting sqref="U60:V61">
    <cfRule type="iconSet" priority="340">
      <iconSet iconSet="3Symbols2" showValue="0">
        <cfvo type="percent" val="0"/>
        <cfvo type="num" val="0"/>
        <cfvo type="num" val="0"/>
      </iconSet>
    </cfRule>
  </conditionalFormatting>
  <conditionalFormatting sqref="U62:V62">
    <cfRule type="iconSet" priority="372">
      <iconSet iconSet="3Symbols2" showValue="0">
        <cfvo type="percent" val="0"/>
        <cfvo type="num" val="0"/>
        <cfvo type="num" val="0"/>
      </iconSet>
    </cfRule>
  </conditionalFormatting>
  <conditionalFormatting sqref="U64:V64">
    <cfRule type="iconSet" priority="386">
      <iconSet iconSet="3Symbols2" showValue="0">
        <cfvo type="percent" val="0"/>
        <cfvo type="num" val="0"/>
        <cfvo type="num" val="0"/>
      </iconSet>
    </cfRule>
  </conditionalFormatting>
  <conditionalFormatting sqref="U65:V65">
    <cfRule type="iconSet" priority="354">
      <iconSet iconSet="3Symbols2" showValue="0">
        <cfvo type="percent" val="0"/>
        <cfvo type="num" val="0"/>
        <cfvo type="num" val="0"/>
      </iconSet>
    </cfRule>
  </conditionalFormatting>
  <conditionalFormatting sqref="U66:V74">
    <cfRule type="iconSet" priority="348">
      <iconSet iconSet="3Symbols2" showValue="0">
        <cfvo type="percent" val="0"/>
        <cfvo type="num" val="0"/>
        <cfvo type="num" val="0"/>
      </iconSet>
    </cfRule>
  </conditionalFormatting>
  <conditionalFormatting sqref="U75:V75">
    <cfRule type="iconSet" priority="342">
      <iconSet iconSet="3Symbols2" showValue="0">
        <cfvo type="percent" val="0"/>
        <cfvo type="num" val="0"/>
        <cfvo type="num" val="0"/>
      </iconSet>
    </cfRule>
  </conditionalFormatting>
  <conditionalFormatting sqref="U76:V84">
    <cfRule type="iconSet" priority="341">
      <iconSet iconSet="3Symbols2" showValue="0">
        <cfvo type="percent" val="0"/>
        <cfvo type="num" val="0"/>
        <cfvo type="num" val="0"/>
      </iconSet>
    </cfRule>
  </conditionalFormatting>
  <conditionalFormatting sqref="U85:V85">
    <cfRule type="iconSet" priority="353">
      <iconSet iconSet="3Symbols2" showValue="0">
        <cfvo type="percent" val="0"/>
        <cfvo type="num" val="0"/>
        <cfvo type="num" val="0"/>
      </iconSet>
    </cfRule>
  </conditionalFormatting>
  <conditionalFormatting sqref="U86:V86">
    <cfRule type="iconSet" priority="369">
      <iconSet iconSet="3Symbols2" showValue="0">
        <cfvo type="percent" val="0"/>
        <cfvo type="num" val="0"/>
        <cfvo type="num" val="0"/>
      </iconSet>
    </cfRule>
  </conditionalFormatting>
  <conditionalFormatting sqref="U87:V87">
    <cfRule type="iconSet" priority="377">
      <iconSet iconSet="3Symbols2" showValue="0">
        <cfvo type="percent" val="0"/>
        <cfvo type="num" val="0"/>
        <cfvo type="num" val="0"/>
      </iconSet>
    </cfRule>
  </conditionalFormatting>
  <conditionalFormatting sqref="U98:V98">
    <cfRule type="iconSet" priority="360">
      <iconSet iconSet="3Symbols2" showValue="0">
        <cfvo type="percent" val="0"/>
        <cfvo type="num" val="0"/>
        <cfvo type="num" val="0"/>
      </iconSet>
    </cfRule>
  </conditionalFormatting>
  <conditionalFormatting sqref="U99:V99">
    <cfRule type="iconSet" priority="376">
      <iconSet iconSet="3Symbols2" showValue="0">
        <cfvo type="percent" val="0"/>
        <cfvo type="num" val="0"/>
        <cfvo type="num" val="0"/>
      </iconSet>
    </cfRule>
  </conditionalFormatting>
  <conditionalFormatting sqref="U100:V107">
    <cfRule type="iconSet" priority="347">
      <iconSet iconSet="3Symbols2" showValue="0">
        <cfvo type="percent" val="0"/>
        <cfvo type="num" val="0"/>
        <cfvo type="num" val="0"/>
      </iconSet>
    </cfRule>
  </conditionalFormatting>
  <conditionalFormatting sqref="U108:V108">
    <cfRule type="iconSet" priority="359">
      <iconSet iconSet="3Symbols2" showValue="0">
        <cfvo type="percent" val="0"/>
        <cfvo type="num" val="0"/>
        <cfvo type="num" val="0"/>
      </iconSet>
    </cfRule>
  </conditionalFormatting>
  <conditionalFormatting sqref="U109:V109">
    <cfRule type="iconSet" priority="375">
      <iconSet iconSet="3Symbols2" showValue="0">
        <cfvo type="percent" val="0"/>
        <cfvo type="num" val="0"/>
        <cfvo type="num" val="0"/>
      </iconSet>
    </cfRule>
  </conditionalFormatting>
  <conditionalFormatting sqref="U110:V117">
    <cfRule type="iconSet" priority="346">
      <iconSet iconSet="3Symbols2" showValue="0">
        <cfvo type="percent" val="0"/>
        <cfvo type="num" val="0"/>
        <cfvo type="num" val="0"/>
      </iconSet>
    </cfRule>
  </conditionalFormatting>
  <conditionalFormatting sqref="U118:V118">
    <cfRule type="iconSet" priority="358">
      <iconSet iconSet="3Symbols2" showValue="0">
        <cfvo type="percent" val="0"/>
        <cfvo type="num" val="0"/>
        <cfvo type="num" val="0"/>
      </iconSet>
    </cfRule>
  </conditionalFormatting>
  <conditionalFormatting sqref="U119:V119">
    <cfRule type="iconSet" priority="374">
      <iconSet iconSet="3Symbols2" showValue="0">
        <cfvo type="percent" val="0"/>
        <cfvo type="num" val="0"/>
        <cfvo type="num" val="0"/>
      </iconSet>
    </cfRule>
  </conditionalFormatting>
  <conditionalFormatting sqref="U127:V127">
    <cfRule type="iconSet" priority="357">
      <iconSet iconSet="3Symbols2" showValue="0">
        <cfvo type="percent" val="0"/>
        <cfvo type="num" val="0"/>
        <cfvo type="num" val="0"/>
      </iconSet>
    </cfRule>
  </conditionalFormatting>
  <conditionalFormatting sqref="U128:V128">
    <cfRule type="iconSet" priority="373">
      <iconSet iconSet="3Symbols2" showValue="0">
        <cfvo type="percent" val="0"/>
        <cfvo type="num" val="0"/>
        <cfvo type="num" val="0"/>
      </iconSet>
    </cfRule>
  </conditionalFormatting>
  <conditionalFormatting sqref="U129:V136">
    <cfRule type="iconSet" priority="345">
      <iconSet iconSet="3Symbols2" showValue="0">
        <cfvo type="percent" val="0"/>
        <cfvo type="num" val="0"/>
        <cfvo type="num" val="0"/>
      </iconSet>
    </cfRule>
  </conditionalFormatting>
  <conditionalFormatting sqref="U137:V137">
    <cfRule type="iconSet" priority="356">
      <iconSet iconSet="3Symbols2" showValue="0">
        <cfvo type="percent" val="0"/>
        <cfvo type="num" val="0"/>
        <cfvo type="num" val="0"/>
      </iconSet>
    </cfRule>
  </conditionalFormatting>
  <conditionalFormatting sqref="U138:V138">
    <cfRule type="iconSet" priority="371">
      <iconSet iconSet="3Symbols2" showValue="0">
        <cfvo type="percent" val="0"/>
        <cfvo type="num" val="0"/>
        <cfvo type="num" val="0"/>
      </iconSet>
    </cfRule>
  </conditionalFormatting>
  <conditionalFormatting sqref="U139:V151">
    <cfRule type="iconSet" priority="344">
      <iconSet iconSet="3Symbols2" showValue="0">
        <cfvo type="percent" val="0"/>
        <cfvo type="num" val="0"/>
        <cfvo type="num" val="0"/>
      </iconSet>
    </cfRule>
  </conditionalFormatting>
  <conditionalFormatting sqref="U152:V152">
    <cfRule type="iconSet" priority="355">
      <iconSet iconSet="3Symbols2" showValue="0">
        <cfvo type="percent" val="0"/>
        <cfvo type="num" val="0"/>
        <cfvo type="num" val="0"/>
      </iconSet>
    </cfRule>
  </conditionalFormatting>
  <conditionalFormatting sqref="U153:V153">
    <cfRule type="iconSet" priority="370">
      <iconSet iconSet="3Symbols2" showValue="0">
        <cfvo type="percent" val="0"/>
        <cfvo type="num" val="0"/>
        <cfvo type="num" val="0"/>
      </iconSet>
    </cfRule>
  </conditionalFormatting>
  <conditionalFormatting sqref="U154:V160">
    <cfRule type="iconSet" priority="343">
      <iconSet iconSet="3Symbols2" showValue="0">
        <cfvo type="percent" val="0"/>
        <cfvo type="num" val="0"/>
        <cfvo type="num" val="0"/>
      </iconSet>
    </cfRule>
  </conditionalFormatting>
  <conditionalFormatting sqref="W1:X5">
    <cfRule type="iconSet" priority="320">
      <iconSet iconSet="3Symbols2" showValue="0">
        <cfvo type="percent" val="0"/>
        <cfvo type="num" val="0"/>
        <cfvo type="num" val="1"/>
      </iconSet>
    </cfRule>
  </conditionalFormatting>
  <conditionalFormatting sqref="W6:X8 W10:X10 W42:X42 W58:X58 W88:X97 W120:X126 W161:X1048576">
    <cfRule type="iconSet" priority="337">
      <iconSet iconSet="3Symbols2" showValue="0">
        <cfvo type="percent" val="0"/>
        <cfvo type="num" val="0"/>
        <cfvo type="num" val="0"/>
      </iconSet>
    </cfRule>
  </conditionalFormatting>
  <conditionalFormatting sqref="W9:X9">
    <cfRule type="iconSet" priority="336">
      <iconSet iconSet="3Symbols2" showValue="0">
        <cfvo type="percent" val="0"/>
        <cfvo type="num" val="0"/>
        <cfvo type="num" val="0"/>
      </iconSet>
    </cfRule>
  </conditionalFormatting>
  <conditionalFormatting sqref="W11:X11">
    <cfRule type="iconSet" priority="319">
      <iconSet iconSet="3Symbols2" showValue="0">
        <cfvo type="percent" val="0"/>
        <cfvo type="num" val="0"/>
        <cfvo type="num" val="0"/>
      </iconSet>
    </cfRule>
  </conditionalFormatting>
  <conditionalFormatting sqref="W12:X12">
    <cfRule type="iconSet" priority="335">
      <iconSet iconSet="3Symbols2" showValue="0">
        <cfvo type="percent" val="0"/>
        <cfvo type="num" val="0"/>
        <cfvo type="num" val="0"/>
      </iconSet>
    </cfRule>
  </conditionalFormatting>
  <conditionalFormatting sqref="W13:X23">
    <cfRule type="iconSet" priority="304">
      <iconSet iconSet="3Symbols2" showValue="0">
        <cfvo type="percent" val="0"/>
        <cfvo type="num" val="0"/>
        <cfvo type="num" val="0"/>
      </iconSet>
    </cfRule>
  </conditionalFormatting>
  <conditionalFormatting sqref="W24:X24">
    <cfRule type="iconSet" priority="318">
      <iconSet iconSet="3Symbols2" showValue="0">
        <cfvo type="percent" val="0"/>
        <cfvo type="num" val="0"/>
        <cfvo type="num" val="0"/>
      </iconSet>
    </cfRule>
  </conditionalFormatting>
  <conditionalFormatting sqref="W25:X25">
    <cfRule type="iconSet" priority="334">
      <iconSet iconSet="3Symbols2" showValue="0">
        <cfvo type="percent" val="0"/>
        <cfvo type="num" val="0"/>
        <cfvo type="num" val="0"/>
      </iconSet>
    </cfRule>
  </conditionalFormatting>
  <conditionalFormatting sqref="W26:X26">
    <cfRule type="iconSet" priority="303">
      <iconSet iconSet="3Symbols2" showValue="0">
        <cfvo type="percent" val="0"/>
        <cfvo type="num" val="0"/>
        <cfvo type="num" val="0"/>
      </iconSet>
    </cfRule>
  </conditionalFormatting>
  <conditionalFormatting sqref="W27:X27">
    <cfRule type="iconSet" priority="317">
      <iconSet iconSet="3Symbols2" showValue="0">
        <cfvo type="percent" val="0"/>
        <cfvo type="num" val="0"/>
        <cfvo type="num" val="0"/>
      </iconSet>
    </cfRule>
  </conditionalFormatting>
  <conditionalFormatting sqref="W28:X28">
    <cfRule type="iconSet" priority="333">
      <iconSet iconSet="3Symbols2" showValue="0">
        <cfvo type="percent" val="0"/>
        <cfvo type="num" val="0"/>
        <cfvo type="num" val="0"/>
      </iconSet>
    </cfRule>
  </conditionalFormatting>
  <conditionalFormatting sqref="W29:X39">
    <cfRule type="iconSet" priority="302">
      <iconSet iconSet="3Symbols2" showValue="0">
        <cfvo type="percent" val="0"/>
        <cfvo type="num" val="0"/>
        <cfvo type="num" val="0"/>
      </iconSet>
    </cfRule>
  </conditionalFormatting>
  <conditionalFormatting sqref="W40:X40">
    <cfRule type="iconSet" priority="316">
      <iconSet iconSet="3Symbols2" showValue="0">
        <cfvo type="percent" val="0"/>
        <cfvo type="num" val="0"/>
        <cfvo type="num" val="0"/>
      </iconSet>
    </cfRule>
  </conditionalFormatting>
  <conditionalFormatting sqref="W41:X41">
    <cfRule type="iconSet" priority="332">
      <iconSet iconSet="3Symbols2" showValue="0">
        <cfvo type="percent" val="0"/>
        <cfvo type="num" val="0"/>
        <cfvo type="num" val="0"/>
      </iconSet>
    </cfRule>
  </conditionalFormatting>
  <conditionalFormatting sqref="W43:X43">
    <cfRule type="iconSet" priority="315">
      <iconSet iconSet="3Symbols2" showValue="0">
        <cfvo type="percent" val="0"/>
        <cfvo type="num" val="0"/>
        <cfvo type="num" val="0"/>
      </iconSet>
    </cfRule>
  </conditionalFormatting>
  <conditionalFormatting sqref="W44:X44">
    <cfRule type="iconSet" priority="331">
      <iconSet iconSet="3Symbols2" showValue="0">
        <cfvo type="percent" val="0"/>
        <cfvo type="num" val="0"/>
        <cfvo type="num" val="0"/>
      </iconSet>
    </cfRule>
  </conditionalFormatting>
  <conditionalFormatting sqref="W45:X51 W53:X55 W63:X63">
    <cfRule type="iconSet" priority="301">
      <iconSet iconSet="3Symbols2" showValue="0">
        <cfvo type="percent" val="0"/>
        <cfvo type="num" val="0"/>
        <cfvo type="num" val="0"/>
      </iconSet>
    </cfRule>
  </conditionalFormatting>
  <conditionalFormatting sqref="W52:X52">
    <cfRule type="iconSet" priority="291">
      <iconSet iconSet="3Symbols2" showValue="0">
        <cfvo type="percent" val="0"/>
        <cfvo type="num" val="0"/>
        <cfvo type="num" val="0"/>
      </iconSet>
    </cfRule>
  </conditionalFormatting>
  <conditionalFormatting sqref="W56:X56">
    <cfRule type="iconSet" priority="314">
      <iconSet iconSet="3Symbols2" showValue="0">
        <cfvo type="percent" val="0"/>
        <cfvo type="num" val="0"/>
        <cfvo type="num" val="0"/>
      </iconSet>
    </cfRule>
  </conditionalFormatting>
  <conditionalFormatting sqref="W57:X57">
    <cfRule type="iconSet" priority="330">
      <iconSet iconSet="3Symbols2" showValue="0">
        <cfvo type="percent" val="0"/>
        <cfvo type="num" val="0"/>
        <cfvo type="num" val="0"/>
      </iconSet>
    </cfRule>
  </conditionalFormatting>
  <conditionalFormatting sqref="W59:X59">
    <cfRule type="iconSet" priority="313">
      <iconSet iconSet="3Symbols2" showValue="0">
        <cfvo type="percent" val="0"/>
        <cfvo type="num" val="0"/>
        <cfvo type="num" val="0"/>
      </iconSet>
    </cfRule>
  </conditionalFormatting>
  <conditionalFormatting sqref="W60:X61">
    <cfRule type="iconSet" priority="292">
      <iconSet iconSet="3Symbols2" showValue="0">
        <cfvo type="percent" val="0"/>
        <cfvo type="num" val="0"/>
        <cfvo type="num" val="0"/>
      </iconSet>
    </cfRule>
  </conditionalFormatting>
  <conditionalFormatting sqref="W62:X62">
    <cfRule type="iconSet" priority="324">
      <iconSet iconSet="3Symbols2" showValue="0">
        <cfvo type="percent" val="0"/>
        <cfvo type="num" val="0"/>
        <cfvo type="num" val="0"/>
      </iconSet>
    </cfRule>
  </conditionalFormatting>
  <conditionalFormatting sqref="W64:X64">
    <cfRule type="iconSet" priority="338">
      <iconSet iconSet="3Symbols2" showValue="0">
        <cfvo type="percent" val="0"/>
        <cfvo type="num" val="0"/>
        <cfvo type="num" val="0"/>
      </iconSet>
    </cfRule>
  </conditionalFormatting>
  <conditionalFormatting sqref="W65:X65">
    <cfRule type="iconSet" priority="306">
      <iconSet iconSet="3Symbols2" showValue="0">
        <cfvo type="percent" val="0"/>
        <cfvo type="num" val="0"/>
        <cfvo type="num" val="0"/>
      </iconSet>
    </cfRule>
  </conditionalFormatting>
  <conditionalFormatting sqref="W66:X74">
    <cfRule type="iconSet" priority="300">
      <iconSet iconSet="3Symbols2" showValue="0">
        <cfvo type="percent" val="0"/>
        <cfvo type="num" val="0"/>
        <cfvo type="num" val="0"/>
      </iconSet>
    </cfRule>
  </conditionalFormatting>
  <conditionalFormatting sqref="W75:X75">
    <cfRule type="iconSet" priority="294">
      <iconSet iconSet="3Symbols2" showValue="0">
        <cfvo type="percent" val="0"/>
        <cfvo type="num" val="0"/>
        <cfvo type="num" val="0"/>
      </iconSet>
    </cfRule>
  </conditionalFormatting>
  <conditionalFormatting sqref="W76:X84">
    <cfRule type="iconSet" priority="293">
      <iconSet iconSet="3Symbols2" showValue="0">
        <cfvo type="percent" val="0"/>
        <cfvo type="num" val="0"/>
        <cfvo type="num" val="0"/>
      </iconSet>
    </cfRule>
  </conditionalFormatting>
  <conditionalFormatting sqref="W85:X85">
    <cfRule type="iconSet" priority="305">
      <iconSet iconSet="3Symbols2" showValue="0">
        <cfvo type="percent" val="0"/>
        <cfvo type="num" val="0"/>
        <cfvo type="num" val="0"/>
      </iconSet>
    </cfRule>
  </conditionalFormatting>
  <conditionalFormatting sqref="W86:X86">
    <cfRule type="iconSet" priority="321">
      <iconSet iconSet="3Symbols2" showValue="0">
        <cfvo type="percent" val="0"/>
        <cfvo type="num" val="0"/>
        <cfvo type="num" val="0"/>
      </iconSet>
    </cfRule>
  </conditionalFormatting>
  <conditionalFormatting sqref="W87:X87">
    <cfRule type="iconSet" priority="329">
      <iconSet iconSet="3Symbols2" showValue="0">
        <cfvo type="percent" val="0"/>
        <cfvo type="num" val="0"/>
        <cfvo type="num" val="0"/>
      </iconSet>
    </cfRule>
  </conditionalFormatting>
  <conditionalFormatting sqref="W98:X98">
    <cfRule type="iconSet" priority="312">
      <iconSet iconSet="3Symbols2" showValue="0">
        <cfvo type="percent" val="0"/>
        <cfvo type="num" val="0"/>
        <cfvo type="num" val="0"/>
      </iconSet>
    </cfRule>
  </conditionalFormatting>
  <conditionalFormatting sqref="W99:X99">
    <cfRule type="iconSet" priority="328">
      <iconSet iconSet="3Symbols2" showValue="0">
        <cfvo type="percent" val="0"/>
        <cfvo type="num" val="0"/>
        <cfvo type="num" val="0"/>
      </iconSet>
    </cfRule>
  </conditionalFormatting>
  <conditionalFormatting sqref="W100:X107">
    <cfRule type="iconSet" priority="299">
      <iconSet iconSet="3Symbols2" showValue="0">
        <cfvo type="percent" val="0"/>
        <cfvo type="num" val="0"/>
        <cfvo type="num" val="0"/>
      </iconSet>
    </cfRule>
  </conditionalFormatting>
  <conditionalFormatting sqref="W108:X108">
    <cfRule type="iconSet" priority="311">
      <iconSet iconSet="3Symbols2" showValue="0">
        <cfvo type="percent" val="0"/>
        <cfvo type="num" val="0"/>
        <cfvo type="num" val="0"/>
      </iconSet>
    </cfRule>
  </conditionalFormatting>
  <conditionalFormatting sqref="W109:X109">
    <cfRule type="iconSet" priority="327">
      <iconSet iconSet="3Symbols2" showValue="0">
        <cfvo type="percent" val="0"/>
        <cfvo type="num" val="0"/>
        <cfvo type="num" val="0"/>
      </iconSet>
    </cfRule>
  </conditionalFormatting>
  <conditionalFormatting sqref="W110:X117">
    <cfRule type="iconSet" priority="298">
      <iconSet iconSet="3Symbols2" showValue="0">
        <cfvo type="percent" val="0"/>
        <cfvo type="num" val="0"/>
        <cfvo type="num" val="0"/>
      </iconSet>
    </cfRule>
  </conditionalFormatting>
  <conditionalFormatting sqref="W118:X118">
    <cfRule type="iconSet" priority="310">
      <iconSet iconSet="3Symbols2" showValue="0">
        <cfvo type="percent" val="0"/>
        <cfvo type="num" val="0"/>
        <cfvo type="num" val="0"/>
      </iconSet>
    </cfRule>
  </conditionalFormatting>
  <conditionalFormatting sqref="W119:X119">
    <cfRule type="iconSet" priority="326">
      <iconSet iconSet="3Symbols2" showValue="0">
        <cfvo type="percent" val="0"/>
        <cfvo type="num" val="0"/>
        <cfvo type="num" val="0"/>
      </iconSet>
    </cfRule>
  </conditionalFormatting>
  <conditionalFormatting sqref="W127:X127">
    <cfRule type="iconSet" priority="309">
      <iconSet iconSet="3Symbols2" showValue="0">
        <cfvo type="percent" val="0"/>
        <cfvo type="num" val="0"/>
        <cfvo type="num" val="0"/>
      </iconSet>
    </cfRule>
  </conditionalFormatting>
  <conditionalFormatting sqref="W128:X128">
    <cfRule type="iconSet" priority="325">
      <iconSet iconSet="3Symbols2" showValue="0">
        <cfvo type="percent" val="0"/>
        <cfvo type="num" val="0"/>
        <cfvo type="num" val="0"/>
      </iconSet>
    </cfRule>
  </conditionalFormatting>
  <conditionalFormatting sqref="W129:X136">
    <cfRule type="iconSet" priority="297">
      <iconSet iconSet="3Symbols2" showValue="0">
        <cfvo type="percent" val="0"/>
        <cfvo type="num" val="0"/>
        <cfvo type="num" val="0"/>
      </iconSet>
    </cfRule>
  </conditionalFormatting>
  <conditionalFormatting sqref="W137:X137">
    <cfRule type="iconSet" priority="308">
      <iconSet iconSet="3Symbols2" showValue="0">
        <cfvo type="percent" val="0"/>
        <cfvo type="num" val="0"/>
        <cfvo type="num" val="0"/>
      </iconSet>
    </cfRule>
  </conditionalFormatting>
  <conditionalFormatting sqref="W138:X138">
    <cfRule type="iconSet" priority="323">
      <iconSet iconSet="3Symbols2" showValue="0">
        <cfvo type="percent" val="0"/>
        <cfvo type="num" val="0"/>
        <cfvo type="num" val="0"/>
      </iconSet>
    </cfRule>
  </conditionalFormatting>
  <conditionalFormatting sqref="W139:X151">
    <cfRule type="iconSet" priority="296">
      <iconSet iconSet="3Symbols2" showValue="0">
        <cfvo type="percent" val="0"/>
        <cfvo type="num" val="0"/>
        <cfvo type="num" val="0"/>
      </iconSet>
    </cfRule>
  </conditionalFormatting>
  <conditionalFormatting sqref="W152:X152">
    <cfRule type="iconSet" priority="307">
      <iconSet iconSet="3Symbols2" showValue="0">
        <cfvo type="percent" val="0"/>
        <cfvo type="num" val="0"/>
        <cfvo type="num" val="0"/>
      </iconSet>
    </cfRule>
  </conditionalFormatting>
  <conditionalFormatting sqref="W153:X153">
    <cfRule type="iconSet" priority="322">
      <iconSet iconSet="3Symbols2" showValue="0">
        <cfvo type="percent" val="0"/>
        <cfvo type="num" val="0"/>
        <cfvo type="num" val="0"/>
      </iconSet>
    </cfRule>
  </conditionalFormatting>
  <conditionalFormatting sqref="W154:X160">
    <cfRule type="iconSet" priority="295">
      <iconSet iconSet="3Symbols2" showValue="0">
        <cfvo type="percent" val="0"/>
        <cfvo type="num" val="0"/>
        <cfvo type="num" val="0"/>
      </iconSet>
    </cfRule>
  </conditionalFormatting>
  <conditionalFormatting sqref="Y6:Y8 Y10 Y13 Y26 Y29 Y42 Y45 Y58 Y63 Y88:Y97 Y100:Y107 Y120:Y126 Y129:Y136 Y139:Y151 Y156:Y1048576">
    <cfRule type="iconSet" priority="635">
      <iconSet iconSet="3Symbols2" showValue="0">
        <cfvo type="percent" val="0"/>
        <cfvo type="num" val="0"/>
        <cfvo type="num" val="0"/>
      </iconSet>
    </cfRule>
  </conditionalFormatting>
  <conditionalFormatting sqref="Y9">
    <cfRule type="iconSet" priority="633">
      <iconSet iconSet="3Symbols2" showValue="0">
        <cfvo type="percent" val="0"/>
        <cfvo type="num" val="0"/>
        <cfvo type="num" val="0"/>
      </iconSet>
    </cfRule>
  </conditionalFormatting>
  <conditionalFormatting sqref="Y11">
    <cfRule type="iconSet" priority="613">
      <iconSet iconSet="3Symbols2" showValue="0">
        <cfvo type="percent" val="0"/>
        <cfvo type="num" val="0"/>
        <cfvo type="num" val="0"/>
      </iconSet>
    </cfRule>
  </conditionalFormatting>
  <conditionalFormatting sqref="Y12">
    <cfRule type="iconSet" priority="632">
      <iconSet iconSet="3Symbols2" showValue="0">
        <cfvo type="percent" val="0"/>
        <cfvo type="num" val="0"/>
        <cfvo type="num" val="0"/>
      </iconSet>
    </cfRule>
  </conditionalFormatting>
  <conditionalFormatting sqref="Y14:Y23">
    <cfRule type="iconSet" priority="563">
      <iconSet iconSet="3Symbols2" showValue="0">
        <cfvo type="percent" val="0"/>
        <cfvo type="num" val="0"/>
        <cfvo type="num" val="0"/>
      </iconSet>
    </cfRule>
  </conditionalFormatting>
  <conditionalFormatting sqref="Y24">
    <cfRule type="iconSet" priority="610">
      <iconSet iconSet="3Symbols2" showValue="0">
        <cfvo type="percent" val="0"/>
        <cfvo type="num" val="0"/>
        <cfvo type="num" val="0"/>
      </iconSet>
    </cfRule>
  </conditionalFormatting>
  <conditionalFormatting sqref="Y25">
    <cfRule type="iconSet" priority="631">
      <iconSet iconSet="3Symbols2" showValue="0">
        <cfvo type="percent" val="0"/>
        <cfvo type="num" val="0"/>
        <cfvo type="num" val="0"/>
      </iconSet>
    </cfRule>
  </conditionalFormatting>
  <conditionalFormatting sqref="Y27">
    <cfRule type="iconSet" priority="607">
      <iconSet iconSet="3Symbols2" showValue="0">
        <cfvo type="percent" val="0"/>
        <cfvo type="num" val="0"/>
        <cfvo type="num" val="0"/>
      </iconSet>
    </cfRule>
  </conditionalFormatting>
  <conditionalFormatting sqref="Y28">
    <cfRule type="iconSet" priority="630">
      <iconSet iconSet="3Symbols2" showValue="0">
        <cfvo type="percent" val="0"/>
        <cfvo type="num" val="0"/>
        <cfvo type="num" val="0"/>
      </iconSet>
    </cfRule>
  </conditionalFormatting>
  <conditionalFormatting sqref="Y30:Y39">
    <cfRule type="iconSet" priority="560">
      <iconSet iconSet="3Symbols2" showValue="0">
        <cfvo type="percent" val="0"/>
        <cfvo type="num" val="0"/>
        <cfvo type="num" val="0"/>
      </iconSet>
    </cfRule>
  </conditionalFormatting>
  <conditionalFormatting sqref="Y40">
    <cfRule type="iconSet" priority="604">
      <iconSet iconSet="3Symbols2" showValue="0">
        <cfvo type="percent" val="0"/>
        <cfvo type="num" val="0"/>
        <cfvo type="num" val="0"/>
      </iconSet>
    </cfRule>
  </conditionalFormatting>
  <conditionalFormatting sqref="Y41">
    <cfRule type="iconSet" priority="629">
      <iconSet iconSet="3Symbols2" showValue="0">
        <cfvo type="percent" val="0"/>
        <cfvo type="num" val="0"/>
        <cfvo type="num" val="0"/>
      </iconSet>
    </cfRule>
  </conditionalFormatting>
  <conditionalFormatting sqref="Y43">
    <cfRule type="iconSet" priority="601">
      <iconSet iconSet="3Symbols2" showValue="0">
        <cfvo type="percent" val="0"/>
        <cfvo type="num" val="0"/>
        <cfvo type="num" val="0"/>
      </iconSet>
    </cfRule>
  </conditionalFormatting>
  <conditionalFormatting sqref="Y44">
    <cfRule type="iconSet" priority="628">
      <iconSet iconSet="3Symbols2" showValue="0">
        <cfvo type="percent" val="0"/>
        <cfvo type="num" val="0"/>
        <cfvo type="num" val="0"/>
      </iconSet>
    </cfRule>
  </conditionalFormatting>
  <conditionalFormatting sqref="Y46:Y55">
    <cfRule type="iconSet" priority="557">
      <iconSet iconSet="3Symbols2" showValue="0">
        <cfvo type="percent" val="0"/>
        <cfvo type="num" val="0"/>
        <cfvo type="num" val="0"/>
      </iconSet>
    </cfRule>
  </conditionalFormatting>
  <conditionalFormatting sqref="Y56">
    <cfRule type="iconSet" priority="598">
      <iconSet iconSet="3Symbols2" showValue="0">
        <cfvo type="percent" val="0"/>
        <cfvo type="num" val="0"/>
        <cfvo type="num" val="0"/>
      </iconSet>
    </cfRule>
  </conditionalFormatting>
  <conditionalFormatting sqref="Y57">
    <cfRule type="iconSet" priority="627">
      <iconSet iconSet="3Symbols2" showValue="0">
        <cfvo type="percent" val="0"/>
        <cfvo type="num" val="0"/>
        <cfvo type="num" val="0"/>
      </iconSet>
    </cfRule>
  </conditionalFormatting>
  <conditionalFormatting sqref="Y59">
    <cfRule type="iconSet" priority="595">
      <iconSet iconSet="3Symbols2" showValue="0">
        <cfvo type="percent" val="0"/>
        <cfvo type="num" val="0"/>
        <cfvo type="num" val="0"/>
      </iconSet>
    </cfRule>
  </conditionalFormatting>
  <conditionalFormatting sqref="Y60:Y61">
    <cfRule type="iconSet" priority="533">
      <iconSet iconSet="3Symbols2" showValue="0">
        <cfvo type="percent" val="0"/>
        <cfvo type="num" val="0"/>
        <cfvo type="num" val="0"/>
      </iconSet>
    </cfRule>
  </conditionalFormatting>
  <conditionalFormatting sqref="Y62">
    <cfRule type="iconSet" priority="621">
      <iconSet iconSet="3Symbols2" showValue="0">
        <cfvo type="percent" val="0"/>
        <cfvo type="num" val="0"/>
        <cfvo type="num" val="0"/>
      </iconSet>
    </cfRule>
  </conditionalFormatting>
  <conditionalFormatting sqref="Y64">
    <cfRule type="iconSet" priority="671">
      <iconSet iconSet="3Symbols2" showValue="0">
        <cfvo type="percent" val="0"/>
        <cfvo type="num" val="0"/>
        <cfvo type="num" val="0"/>
      </iconSet>
    </cfRule>
  </conditionalFormatting>
  <conditionalFormatting sqref="Y65">
    <cfRule type="iconSet" priority="568">
      <iconSet iconSet="3Symbols2" showValue="0">
        <cfvo type="percent" val="0"/>
        <cfvo type="num" val="0"/>
        <cfvo type="num" val="0"/>
      </iconSet>
    </cfRule>
  </conditionalFormatting>
  <conditionalFormatting sqref="Y66:Y74">
    <cfRule type="iconSet" priority="674">
      <iconSet iconSet="3Symbols2" showValue="0">
        <cfvo type="percent" val="0"/>
        <cfvo type="num" val="0"/>
        <cfvo type="num" val="0"/>
      </iconSet>
    </cfRule>
  </conditionalFormatting>
  <conditionalFormatting sqref="Y75">
    <cfRule type="iconSet" priority="537">
      <iconSet iconSet="3Symbols2" showValue="0">
        <cfvo type="percent" val="0"/>
        <cfvo type="num" val="0"/>
        <cfvo type="num" val="0"/>
      </iconSet>
    </cfRule>
  </conditionalFormatting>
  <conditionalFormatting sqref="Y76:Y84">
    <cfRule type="iconSet" priority="541">
      <iconSet iconSet="3Symbols2" showValue="0">
        <cfvo type="percent" val="0"/>
        <cfvo type="num" val="0"/>
        <cfvo type="num" val="0"/>
      </iconSet>
    </cfRule>
  </conditionalFormatting>
  <conditionalFormatting sqref="Y85">
    <cfRule type="iconSet" priority="565">
      <iconSet iconSet="3Symbols2" showValue="0">
        <cfvo type="percent" val="0"/>
        <cfvo type="num" val="0"/>
        <cfvo type="num" val="0"/>
      </iconSet>
    </cfRule>
  </conditionalFormatting>
  <conditionalFormatting sqref="Y86">
    <cfRule type="iconSet" priority="617">
      <iconSet iconSet="3Symbols2" showValue="0">
        <cfvo type="percent" val="0"/>
        <cfvo type="num" val="0"/>
        <cfvo type="num" val="0"/>
      </iconSet>
    </cfRule>
  </conditionalFormatting>
  <conditionalFormatting sqref="Y87">
    <cfRule type="iconSet" priority="626">
      <iconSet iconSet="3Symbols2" showValue="0">
        <cfvo type="percent" val="0"/>
        <cfvo type="num" val="0"/>
        <cfvo type="num" val="0"/>
      </iconSet>
    </cfRule>
  </conditionalFormatting>
  <conditionalFormatting sqref="Y98">
    <cfRule type="iconSet" priority="592">
      <iconSet iconSet="3Symbols2" showValue="0">
        <cfvo type="percent" val="0"/>
        <cfvo type="num" val="0"/>
        <cfvo type="num" val="0"/>
      </iconSet>
    </cfRule>
  </conditionalFormatting>
  <conditionalFormatting sqref="Y99">
    <cfRule type="iconSet" priority="625">
      <iconSet iconSet="3Symbols2" showValue="0">
        <cfvo type="percent" val="0"/>
        <cfvo type="num" val="0"/>
        <cfvo type="num" val="0"/>
      </iconSet>
    </cfRule>
  </conditionalFormatting>
  <conditionalFormatting sqref="Y108">
    <cfRule type="iconSet" priority="589">
      <iconSet iconSet="3Symbols2" showValue="0">
        <cfvo type="percent" val="0"/>
        <cfvo type="num" val="0"/>
        <cfvo type="num" val="0"/>
      </iconSet>
    </cfRule>
  </conditionalFormatting>
  <conditionalFormatting sqref="Y109">
    <cfRule type="iconSet" priority="624">
      <iconSet iconSet="3Symbols2" showValue="0">
        <cfvo type="percent" val="0"/>
        <cfvo type="num" val="0"/>
        <cfvo type="num" val="0"/>
      </iconSet>
    </cfRule>
  </conditionalFormatting>
  <conditionalFormatting sqref="Y110:Y117">
    <cfRule type="iconSet" priority="634">
      <iconSet iconSet="3Symbols2" showValue="0">
        <cfvo type="percent" val="0"/>
        <cfvo type="num" val="0"/>
        <cfvo type="num" val="0"/>
      </iconSet>
    </cfRule>
  </conditionalFormatting>
  <conditionalFormatting sqref="Y118">
    <cfRule type="iconSet" priority="586">
      <iconSet iconSet="3Symbols2" showValue="0">
        <cfvo type="percent" val="0"/>
        <cfvo type="num" val="0"/>
        <cfvo type="num" val="0"/>
      </iconSet>
    </cfRule>
  </conditionalFormatting>
  <conditionalFormatting sqref="Y119">
    <cfRule type="iconSet" priority="623">
      <iconSet iconSet="3Symbols2" showValue="0">
        <cfvo type="percent" val="0"/>
        <cfvo type="num" val="0"/>
        <cfvo type="num" val="0"/>
      </iconSet>
    </cfRule>
  </conditionalFormatting>
  <conditionalFormatting sqref="Y127">
    <cfRule type="iconSet" priority="583">
      <iconSet iconSet="3Symbols2" showValue="0">
        <cfvo type="percent" val="0"/>
        <cfvo type="num" val="0"/>
        <cfvo type="num" val="0"/>
      </iconSet>
    </cfRule>
  </conditionalFormatting>
  <conditionalFormatting sqref="Y128">
    <cfRule type="iconSet" priority="622">
      <iconSet iconSet="3Symbols2" showValue="0">
        <cfvo type="percent" val="0"/>
        <cfvo type="num" val="0"/>
        <cfvo type="num" val="0"/>
      </iconSet>
    </cfRule>
  </conditionalFormatting>
  <conditionalFormatting sqref="Y137">
    <cfRule type="iconSet" priority="580">
      <iconSet iconSet="3Symbols2" showValue="0">
        <cfvo type="percent" val="0"/>
        <cfvo type="num" val="0"/>
        <cfvo type="num" val="0"/>
      </iconSet>
    </cfRule>
  </conditionalFormatting>
  <conditionalFormatting sqref="Y138">
    <cfRule type="iconSet" priority="620">
      <iconSet iconSet="3Symbols2" showValue="0">
        <cfvo type="percent" val="0"/>
        <cfvo type="num" val="0"/>
        <cfvo type="num" val="0"/>
      </iconSet>
    </cfRule>
  </conditionalFormatting>
  <conditionalFormatting sqref="Y152">
    <cfRule type="iconSet" priority="577">
      <iconSet iconSet="3Symbols2" showValue="0">
        <cfvo type="percent" val="0"/>
        <cfvo type="num" val="0"/>
        <cfvo type="num" val="0"/>
      </iconSet>
    </cfRule>
  </conditionalFormatting>
  <conditionalFormatting sqref="Y153">
    <cfRule type="iconSet" priority="619">
      <iconSet iconSet="3Symbols2" showValue="0">
        <cfvo type="percent" val="0"/>
        <cfvo type="num" val="0"/>
        <cfvo type="num" val="0"/>
      </iconSet>
    </cfRule>
  </conditionalFormatting>
  <conditionalFormatting sqref="Y154">
    <cfRule type="iconSet" priority="571">
      <iconSet iconSet="3Symbols2" showValue="0">
        <cfvo type="percent" val="0"/>
        <cfvo type="num" val="0"/>
        <cfvo type="num" val="0"/>
      </iconSet>
    </cfRule>
  </conditionalFormatting>
  <conditionalFormatting sqref="Y155">
    <cfRule type="iconSet" priority="574">
      <iconSet iconSet="3Symbols2" showValue="0">
        <cfvo type="percent" val="0"/>
        <cfvo type="num" val="0"/>
        <cfvo type="num" val="0"/>
      </iconSet>
    </cfRule>
  </conditionalFormatting>
  <conditionalFormatting sqref="Z1:AA5">
    <cfRule type="iconSet" priority="272">
      <iconSet iconSet="3Symbols2" showValue="0">
        <cfvo type="percent" val="0"/>
        <cfvo type="num" val="0"/>
        <cfvo type="num" val="1"/>
      </iconSet>
    </cfRule>
  </conditionalFormatting>
  <conditionalFormatting sqref="Z6:AA8 Z10:AA10 Z42:AA42 Z58:AA58 Z88:AA97 Z120:AA126 Z161:AA1048576">
    <cfRule type="iconSet" priority="289">
      <iconSet iconSet="3Symbols2" showValue="0">
        <cfvo type="percent" val="0"/>
        <cfvo type="num" val="0"/>
        <cfvo type="num" val="0"/>
      </iconSet>
    </cfRule>
  </conditionalFormatting>
  <conditionalFormatting sqref="Z9:AA9">
    <cfRule type="iconSet" priority="288">
      <iconSet iconSet="3Symbols2" showValue="0">
        <cfvo type="percent" val="0"/>
        <cfvo type="num" val="0"/>
        <cfvo type="num" val="0"/>
      </iconSet>
    </cfRule>
  </conditionalFormatting>
  <conditionalFormatting sqref="Z11:AA11">
    <cfRule type="iconSet" priority="271">
      <iconSet iconSet="3Symbols2" showValue="0">
        <cfvo type="percent" val="0"/>
        <cfvo type="num" val="0"/>
        <cfvo type="num" val="0"/>
      </iconSet>
    </cfRule>
  </conditionalFormatting>
  <conditionalFormatting sqref="Z12:AA12">
    <cfRule type="iconSet" priority="287">
      <iconSet iconSet="3Symbols2" showValue="0">
        <cfvo type="percent" val="0"/>
        <cfvo type="num" val="0"/>
        <cfvo type="num" val="0"/>
      </iconSet>
    </cfRule>
  </conditionalFormatting>
  <conditionalFormatting sqref="Z13:AA23">
    <cfRule type="iconSet" priority="256">
      <iconSet iconSet="3Symbols2" showValue="0">
        <cfvo type="percent" val="0"/>
        <cfvo type="num" val="0"/>
        <cfvo type="num" val="0"/>
      </iconSet>
    </cfRule>
  </conditionalFormatting>
  <conditionalFormatting sqref="Z24:AA24">
    <cfRule type="iconSet" priority="270">
      <iconSet iconSet="3Symbols2" showValue="0">
        <cfvo type="percent" val="0"/>
        <cfvo type="num" val="0"/>
        <cfvo type="num" val="0"/>
      </iconSet>
    </cfRule>
  </conditionalFormatting>
  <conditionalFormatting sqref="Z25:AA25">
    <cfRule type="iconSet" priority="286">
      <iconSet iconSet="3Symbols2" showValue="0">
        <cfvo type="percent" val="0"/>
        <cfvo type="num" val="0"/>
        <cfvo type="num" val="0"/>
      </iconSet>
    </cfRule>
  </conditionalFormatting>
  <conditionalFormatting sqref="Z26:AA26">
    <cfRule type="iconSet" priority="255">
      <iconSet iconSet="3Symbols2" showValue="0">
        <cfvo type="percent" val="0"/>
        <cfvo type="num" val="0"/>
        <cfvo type="num" val="0"/>
      </iconSet>
    </cfRule>
  </conditionalFormatting>
  <conditionalFormatting sqref="Z27:AA27">
    <cfRule type="iconSet" priority="269">
      <iconSet iconSet="3Symbols2" showValue="0">
        <cfvo type="percent" val="0"/>
        <cfvo type="num" val="0"/>
        <cfvo type="num" val="0"/>
      </iconSet>
    </cfRule>
  </conditionalFormatting>
  <conditionalFormatting sqref="Z28:AA28">
    <cfRule type="iconSet" priority="285">
      <iconSet iconSet="3Symbols2" showValue="0">
        <cfvo type="percent" val="0"/>
        <cfvo type="num" val="0"/>
        <cfvo type="num" val="0"/>
      </iconSet>
    </cfRule>
  </conditionalFormatting>
  <conditionalFormatting sqref="Z29:AA39">
    <cfRule type="iconSet" priority="254">
      <iconSet iconSet="3Symbols2" showValue="0">
        <cfvo type="percent" val="0"/>
        <cfvo type="num" val="0"/>
        <cfvo type="num" val="0"/>
      </iconSet>
    </cfRule>
  </conditionalFormatting>
  <conditionalFormatting sqref="Z40:AA40">
    <cfRule type="iconSet" priority="268">
      <iconSet iconSet="3Symbols2" showValue="0">
        <cfvo type="percent" val="0"/>
        <cfvo type="num" val="0"/>
        <cfvo type="num" val="0"/>
      </iconSet>
    </cfRule>
  </conditionalFormatting>
  <conditionalFormatting sqref="Z41:AA41">
    <cfRule type="iconSet" priority="284">
      <iconSet iconSet="3Symbols2" showValue="0">
        <cfvo type="percent" val="0"/>
        <cfvo type="num" val="0"/>
        <cfvo type="num" val="0"/>
      </iconSet>
    </cfRule>
  </conditionalFormatting>
  <conditionalFormatting sqref="Z43:AA43">
    <cfRule type="iconSet" priority="267">
      <iconSet iconSet="3Symbols2" showValue="0">
        <cfvo type="percent" val="0"/>
        <cfvo type="num" val="0"/>
        <cfvo type="num" val="0"/>
      </iconSet>
    </cfRule>
  </conditionalFormatting>
  <conditionalFormatting sqref="Z44:AA44">
    <cfRule type="iconSet" priority="283">
      <iconSet iconSet="3Symbols2" showValue="0">
        <cfvo type="percent" val="0"/>
        <cfvo type="num" val="0"/>
        <cfvo type="num" val="0"/>
      </iconSet>
    </cfRule>
  </conditionalFormatting>
  <conditionalFormatting sqref="Z45:AA51 Z53:AA55 Z63:AA63">
    <cfRule type="iconSet" priority="253">
      <iconSet iconSet="3Symbols2" showValue="0">
        <cfvo type="percent" val="0"/>
        <cfvo type="num" val="0"/>
        <cfvo type="num" val="0"/>
      </iconSet>
    </cfRule>
  </conditionalFormatting>
  <conditionalFormatting sqref="Z52:AA52">
    <cfRule type="iconSet" priority="243">
      <iconSet iconSet="3Symbols2" showValue="0">
        <cfvo type="percent" val="0"/>
        <cfvo type="num" val="0"/>
        <cfvo type="num" val="0"/>
      </iconSet>
    </cfRule>
  </conditionalFormatting>
  <conditionalFormatting sqref="Z56:AA56">
    <cfRule type="iconSet" priority="266">
      <iconSet iconSet="3Symbols2" showValue="0">
        <cfvo type="percent" val="0"/>
        <cfvo type="num" val="0"/>
        <cfvo type="num" val="0"/>
      </iconSet>
    </cfRule>
  </conditionalFormatting>
  <conditionalFormatting sqref="Z57:AA57">
    <cfRule type="iconSet" priority="282">
      <iconSet iconSet="3Symbols2" showValue="0">
        <cfvo type="percent" val="0"/>
        <cfvo type="num" val="0"/>
        <cfvo type="num" val="0"/>
      </iconSet>
    </cfRule>
  </conditionalFormatting>
  <conditionalFormatting sqref="Z59:AA59">
    <cfRule type="iconSet" priority="265">
      <iconSet iconSet="3Symbols2" showValue="0">
        <cfvo type="percent" val="0"/>
        <cfvo type="num" val="0"/>
        <cfvo type="num" val="0"/>
      </iconSet>
    </cfRule>
  </conditionalFormatting>
  <conditionalFormatting sqref="Z60:AA61">
    <cfRule type="iconSet" priority="244">
      <iconSet iconSet="3Symbols2" showValue="0">
        <cfvo type="percent" val="0"/>
        <cfvo type="num" val="0"/>
        <cfvo type="num" val="0"/>
      </iconSet>
    </cfRule>
  </conditionalFormatting>
  <conditionalFormatting sqref="Z62:AA62">
    <cfRule type="iconSet" priority="276">
      <iconSet iconSet="3Symbols2" showValue="0">
        <cfvo type="percent" val="0"/>
        <cfvo type="num" val="0"/>
        <cfvo type="num" val="0"/>
      </iconSet>
    </cfRule>
  </conditionalFormatting>
  <conditionalFormatting sqref="Z64:AA64">
    <cfRule type="iconSet" priority="290">
      <iconSet iconSet="3Symbols2" showValue="0">
        <cfvo type="percent" val="0"/>
        <cfvo type="num" val="0"/>
        <cfvo type="num" val="0"/>
      </iconSet>
    </cfRule>
  </conditionalFormatting>
  <conditionalFormatting sqref="Z65:AA65">
    <cfRule type="iconSet" priority="258">
      <iconSet iconSet="3Symbols2" showValue="0">
        <cfvo type="percent" val="0"/>
        <cfvo type="num" val="0"/>
        <cfvo type="num" val="0"/>
      </iconSet>
    </cfRule>
  </conditionalFormatting>
  <conditionalFormatting sqref="Z66:AA74">
    <cfRule type="iconSet" priority="252">
      <iconSet iconSet="3Symbols2" showValue="0">
        <cfvo type="percent" val="0"/>
        <cfvo type="num" val="0"/>
        <cfvo type="num" val="0"/>
      </iconSet>
    </cfRule>
  </conditionalFormatting>
  <conditionalFormatting sqref="Z75:AA75">
    <cfRule type="iconSet" priority="246">
      <iconSet iconSet="3Symbols2" showValue="0">
        <cfvo type="percent" val="0"/>
        <cfvo type="num" val="0"/>
        <cfvo type="num" val="0"/>
      </iconSet>
    </cfRule>
  </conditionalFormatting>
  <conditionalFormatting sqref="Z76:AA84">
    <cfRule type="iconSet" priority="245">
      <iconSet iconSet="3Symbols2" showValue="0">
        <cfvo type="percent" val="0"/>
        <cfvo type="num" val="0"/>
        <cfvo type="num" val="0"/>
      </iconSet>
    </cfRule>
  </conditionalFormatting>
  <conditionalFormatting sqref="Z85:AA85">
    <cfRule type="iconSet" priority="257">
      <iconSet iconSet="3Symbols2" showValue="0">
        <cfvo type="percent" val="0"/>
        <cfvo type="num" val="0"/>
        <cfvo type="num" val="0"/>
      </iconSet>
    </cfRule>
  </conditionalFormatting>
  <conditionalFormatting sqref="Z86:AA86">
    <cfRule type="iconSet" priority="273">
      <iconSet iconSet="3Symbols2" showValue="0">
        <cfvo type="percent" val="0"/>
        <cfvo type="num" val="0"/>
        <cfvo type="num" val="0"/>
      </iconSet>
    </cfRule>
  </conditionalFormatting>
  <conditionalFormatting sqref="Z87:AA87">
    <cfRule type="iconSet" priority="281">
      <iconSet iconSet="3Symbols2" showValue="0">
        <cfvo type="percent" val="0"/>
        <cfvo type="num" val="0"/>
        <cfvo type="num" val="0"/>
      </iconSet>
    </cfRule>
  </conditionalFormatting>
  <conditionalFormatting sqref="Z98:AA98">
    <cfRule type="iconSet" priority="264">
      <iconSet iconSet="3Symbols2" showValue="0">
        <cfvo type="percent" val="0"/>
        <cfvo type="num" val="0"/>
        <cfvo type="num" val="0"/>
      </iconSet>
    </cfRule>
  </conditionalFormatting>
  <conditionalFormatting sqref="Z99:AA99">
    <cfRule type="iconSet" priority="280">
      <iconSet iconSet="3Symbols2" showValue="0">
        <cfvo type="percent" val="0"/>
        <cfvo type="num" val="0"/>
        <cfvo type="num" val="0"/>
      </iconSet>
    </cfRule>
  </conditionalFormatting>
  <conditionalFormatting sqref="Z100:AA107">
    <cfRule type="iconSet" priority="251">
      <iconSet iconSet="3Symbols2" showValue="0">
        <cfvo type="percent" val="0"/>
        <cfvo type="num" val="0"/>
        <cfvo type="num" val="0"/>
      </iconSet>
    </cfRule>
  </conditionalFormatting>
  <conditionalFormatting sqref="Z108:AA108">
    <cfRule type="iconSet" priority="263">
      <iconSet iconSet="3Symbols2" showValue="0">
        <cfvo type="percent" val="0"/>
        <cfvo type="num" val="0"/>
        <cfvo type="num" val="0"/>
      </iconSet>
    </cfRule>
  </conditionalFormatting>
  <conditionalFormatting sqref="Z109:AA109">
    <cfRule type="iconSet" priority="279">
      <iconSet iconSet="3Symbols2" showValue="0">
        <cfvo type="percent" val="0"/>
        <cfvo type="num" val="0"/>
        <cfvo type="num" val="0"/>
      </iconSet>
    </cfRule>
  </conditionalFormatting>
  <conditionalFormatting sqref="Z110:AA117">
    <cfRule type="iconSet" priority="250">
      <iconSet iconSet="3Symbols2" showValue="0">
        <cfvo type="percent" val="0"/>
        <cfvo type="num" val="0"/>
        <cfvo type="num" val="0"/>
      </iconSet>
    </cfRule>
  </conditionalFormatting>
  <conditionalFormatting sqref="Z118:AA118">
    <cfRule type="iconSet" priority="262">
      <iconSet iconSet="3Symbols2" showValue="0">
        <cfvo type="percent" val="0"/>
        <cfvo type="num" val="0"/>
        <cfvo type="num" val="0"/>
      </iconSet>
    </cfRule>
  </conditionalFormatting>
  <conditionalFormatting sqref="Z119:AA119">
    <cfRule type="iconSet" priority="278">
      <iconSet iconSet="3Symbols2" showValue="0">
        <cfvo type="percent" val="0"/>
        <cfvo type="num" val="0"/>
        <cfvo type="num" val="0"/>
      </iconSet>
    </cfRule>
  </conditionalFormatting>
  <conditionalFormatting sqref="Z127:AA127">
    <cfRule type="iconSet" priority="261">
      <iconSet iconSet="3Symbols2" showValue="0">
        <cfvo type="percent" val="0"/>
        <cfvo type="num" val="0"/>
        <cfvo type="num" val="0"/>
      </iconSet>
    </cfRule>
  </conditionalFormatting>
  <conditionalFormatting sqref="Z128:AA128">
    <cfRule type="iconSet" priority="277">
      <iconSet iconSet="3Symbols2" showValue="0">
        <cfvo type="percent" val="0"/>
        <cfvo type="num" val="0"/>
        <cfvo type="num" val="0"/>
      </iconSet>
    </cfRule>
  </conditionalFormatting>
  <conditionalFormatting sqref="Z129:AA136">
    <cfRule type="iconSet" priority="249">
      <iconSet iconSet="3Symbols2" showValue="0">
        <cfvo type="percent" val="0"/>
        <cfvo type="num" val="0"/>
        <cfvo type="num" val="0"/>
      </iconSet>
    </cfRule>
  </conditionalFormatting>
  <conditionalFormatting sqref="Z137:AA137">
    <cfRule type="iconSet" priority="260">
      <iconSet iconSet="3Symbols2" showValue="0">
        <cfvo type="percent" val="0"/>
        <cfvo type="num" val="0"/>
        <cfvo type="num" val="0"/>
      </iconSet>
    </cfRule>
  </conditionalFormatting>
  <conditionalFormatting sqref="Z138:AA138">
    <cfRule type="iconSet" priority="275">
      <iconSet iconSet="3Symbols2" showValue="0">
        <cfvo type="percent" val="0"/>
        <cfvo type="num" val="0"/>
        <cfvo type="num" val="0"/>
      </iconSet>
    </cfRule>
  </conditionalFormatting>
  <conditionalFormatting sqref="Z139:AA151">
    <cfRule type="iconSet" priority="248">
      <iconSet iconSet="3Symbols2" showValue="0">
        <cfvo type="percent" val="0"/>
        <cfvo type="num" val="0"/>
        <cfvo type="num" val="0"/>
      </iconSet>
    </cfRule>
  </conditionalFormatting>
  <conditionalFormatting sqref="Z152:AA152">
    <cfRule type="iconSet" priority="259">
      <iconSet iconSet="3Symbols2" showValue="0">
        <cfvo type="percent" val="0"/>
        <cfvo type="num" val="0"/>
        <cfvo type="num" val="0"/>
      </iconSet>
    </cfRule>
  </conditionalFormatting>
  <conditionalFormatting sqref="Z153:AA153">
    <cfRule type="iconSet" priority="274">
      <iconSet iconSet="3Symbols2" showValue="0">
        <cfvo type="percent" val="0"/>
        <cfvo type="num" val="0"/>
        <cfvo type="num" val="0"/>
      </iconSet>
    </cfRule>
  </conditionalFormatting>
  <conditionalFormatting sqref="Z154:AA160">
    <cfRule type="iconSet" priority="247">
      <iconSet iconSet="3Symbols2" showValue="0">
        <cfvo type="percent" val="0"/>
        <cfvo type="num" val="0"/>
        <cfvo type="num" val="0"/>
      </iconSet>
    </cfRule>
  </conditionalFormatting>
  <conditionalFormatting sqref="AB1:AC5">
    <cfRule type="iconSet" priority="224">
      <iconSet iconSet="3Symbols2" showValue="0">
        <cfvo type="percent" val="0"/>
        <cfvo type="num" val="0"/>
        <cfvo type="num" val="1"/>
      </iconSet>
    </cfRule>
  </conditionalFormatting>
  <conditionalFormatting sqref="AB6:AC8 AB10:AC10 AB42:AC42 AB58:AC58 AB88:AC97 AB120:AC126 AB161:AC1048576">
    <cfRule type="iconSet" priority="241">
      <iconSet iconSet="3Symbols2" showValue="0">
        <cfvo type="percent" val="0"/>
        <cfvo type="num" val="0"/>
        <cfvo type="num" val="0"/>
      </iconSet>
    </cfRule>
  </conditionalFormatting>
  <conditionalFormatting sqref="AB9:AC9">
    <cfRule type="iconSet" priority="240">
      <iconSet iconSet="3Symbols2" showValue="0">
        <cfvo type="percent" val="0"/>
        <cfvo type="num" val="0"/>
        <cfvo type="num" val="0"/>
      </iconSet>
    </cfRule>
  </conditionalFormatting>
  <conditionalFormatting sqref="AB11:AC11">
    <cfRule type="iconSet" priority="223">
      <iconSet iconSet="3Symbols2" showValue="0">
        <cfvo type="percent" val="0"/>
        <cfvo type="num" val="0"/>
        <cfvo type="num" val="0"/>
      </iconSet>
    </cfRule>
  </conditionalFormatting>
  <conditionalFormatting sqref="AB12:AC12">
    <cfRule type="iconSet" priority="239">
      <iconSet iconSet="3Symbols2" showValue="0">
        <cfvo type="percent" val="0"/>
        <cfvo type="num" val="0"/>
        <cfvo type="num" val="0"/>
      </iconSet>
    </cfRule>
  </conditionalFormatting>
  <conditionalFormatting sqref="AB13:AC23">
    <cfRule type="iconSet" priority="208">
      <iconSet iconSet="3Symbols2" showValue="0">
        <cfvo type="percent" val="0"/>
        <cfvo type="num" val="0"/>
        <cfvo type="num" val="0"/>
      </iconSet>
    </cfRule>
  </conditionalFormatting>
  <conditionalFormatting sqref="AB24:AC24">
    <cfRule type="iconSet" priority="222">
      <iconSet iconSet="3Symbols2" showValue="0">
        <cfvo type="percent" val="0"/>
        <cfvo type="num" val="0"/>
        <cfvo type="num" val="0"/>
      </iconSet>
    </cfRule>
  </conditionalFormatting>
  <conditionalFormatting sqref="AB25:AC25">
    <cfRule type="iconSet" priority="238">
      <iconSet iconSet="3Symbols2" showValue="0">
        <cfvo type="percent" val="0"/>
        <cfvo type="num" val="0"/>
        <cfvo type="num" val="0"/>
      </iconSet>
    </cfRule>
  </conditionalFormatting>
  <conditionalFormatting sqref="AB26:AC26">
    <cfRule type="iconSet" priority="207">
      <iconSet iconSet="3Symbols2" showValue="0">
        <cfvo type="percent" val="0"/>
        <cfvo type="num" val="0"/>
        <cfvo type="num" val="0"/>
      </iconSet>
    </cfRule>
  </conditionalFormatting>
  <conditionalFormatting sqref="AB27:AC27">
    <cfRule type="iconSet" priority="221">
      <iconSet iconSet="3Symbols2" showValue="0">
        <cfvo type="percent" val="0"/>
        <cfvo type="num" val="0"/>
        <cfvo type="num" val="0"/>
      </iconSet>
    </cfRule>
  </conditionalFormatting>
  <conditionalFormatting sqref="AB28:AC28">
    <cfRule type="iconSet" priority="237">
      <iconSet iconSet="3Symbols2" showValue="0">
        <cfvo type="percent" val="0"/>
        <cfvo type="num" val="0"/>
        <cfvo type="num" val="0"/>
      </iconSet>
    </cfRule>
  </conditionalFormatting>
  <conditionalFormatting sqref="AB29:AC39">
    <cfRule type="iconSet" priority="206">
      <iconSet iconSet="3Symbols2" showValue="0">
        <cfvo type="percent" val="0"/>
        <cfvo type="num" val="0"/>
        <cfvo type="num" val="0"/>
      </iconSet>
    </cfRule>
  </conditionalFormatting>
  <conditionalFormatting sqref="AB40:AC40">
    <cfRule type="iconSet" priority="220">
      <iconSet iconSet="3Symbols2" showValue="0">
        <cfvo type="percent" val="0"/>
        <cfvo type="num" val="0"/>
        <cfvo type="num" val="0"/>
      </iconSet>
    </cfRule>
  </conditionalFormatting>
  <conditionalFormatting sqref="AB41:AC41">
    <cfRule type="iconSet" priority="236">
      <iconSet iconSet="3Symbols2" showValue="0">
        <cfvo type="percent" val="0"/>
        <cfvo type="num" val="0"/>
        <cfvo type="num" val="0"/>
      </iconSet>
    </cfRule>
  </conditionalFormatting>
  <conditionalFormatting sqref="AB43:AC43">
    <cfRule type="iconSet" priority="219">
      <iconSet iconSet="3Symbols2" showValue="0">
        <cfvo type="percent" val="0"/>
        <cfvo type="num" val="0"/>
        <cfvo type="num" val="0"/>
      </iconSet>
    </cfRule>
  </conditionalFormatting>
  <conditionalFormatting sqref="AB44:AC44">
    <cfRule type="iconSet" priority="235">
      <iconSet iconSet="3Symbols2" showValue="0">
        <cfvo type="percent" val="0"/>
        <cfvo type="num" val="0"/>
        <cfvo type="num" val="0"/>
      </iconSet>
    </cfRule>
  </conditionalFormatting>
  <conditionalFormatting sqref="AB45:AC51 AB53:AC55 AB63:AC63">
    <cfRule type="iconSet" priority="205">
      <iconSet iconSet="3Symbols2" showValue="0">
        <cfvo type="percent" val="0"/>
        <cfvo type="num" val="0"/>
        <cfvo type="num" val="0"/>
      </iconSet>
    </cfRule>
  </conditionalFormatting>
  <conditionalFormatting sqref="AB52:AC52">
    <cfRule type="iconSet" priority="195">
      <iconSet iconSet="3Symbols2" showValue="0">
        <cfvo type="percent" val="0"/>
        <cfvo type="num" val="0"/>
        <cfvo type="num" val="0"/>
      </iconSet>
    </cfRule>
  </conditionalFormatting>
  <conditionalFormatting sqref="AB56:AC56">
    <cfRule type="iconSet" priority="218">
      <iconSet iconSet="3Symbols2" showValue="0">
        <cfvo type="percent" val="0"/>
        <cfvo type="num" val="0"/>
        <cfvo type="num" val="0"/>
      </iconSet>
    </cfRule>
  </conditionalFormatting>
  <conditionalFormatting sqref="AB57:AC57">
    <cfRule type="iconSet" priority="234">
      <iconSet iconSet="3Symbols2" showValue="0">
        <cfvo type="percent" val="0"/>
        <cfvo type="num" val="0"/>
        <cfvo type="num" val="0"/>
      </iconSet>
    </cfRule>
  </conditionalFormatting>
  <conditionalFormatting sqref="AB59:AC59">
    <cfRule type="iconSet" priority="217">
      <iconSet iconSet="3Symbols2" showValue="0">
        <cfvo type="percent" val="0"/>
        <cfvo type="num" val="0"/>
        <cfvo type="num" val="0"/>
      </iconSet>
    </cfRule>
  </conditionalFormatting>
  <conditionalFormatting sqref="AB60:AC61">
    <cfRule type="iconSet" priority="196">
      <iconSet iconSet="3Symbols2" showValue="0">
        <cfvo type="percent" val="0"/>
        <cfvo type="num" val="0"/>
        <cfvo type="num" val="0"/>
      </iconSet>
    </cfRule>
  </conditionalFormatting>
  <conditionalFormatting sqref="AB62:AC62">
    <cfRule type="iconSet" priority="228">
      <iconSet iconSet="3Symbols2" showValue="0">
        <cfvo type="percent" val="0"/>
        <cfvo type="num" val="0"/>
        <cfvo type="num" val="0"/>
      </iconSet>
    </cfRule>
  </conditionalFormatting>
  <conditionalFormatting sqref="AB64:AC64">
    <cfRule type="iconSet" priority="242">
      <iconSet iconSet="3Symbols2" showValue="0">
        <cfvo type="percent" val="0"/>
        <cfvo type="num" val="0"/>
        <cfvo type="num" val="0"/>
      </iconSet>
    </cfRule>
  </conditionalFormatting>
  <conditionalFormatting sqref="AB65:AC65">
    <cfRule type="iconSet" priority="210">
      <iconSet iconSet="3Symbols2" showValue="0">
        <cfvo type="percent" val="0"/>
        <cfvo type="num" val="0"/>
        <cfvo type="num" val="0"/>
      </iconSet>
    </cfRule>
  </conditionalFormatting>
  <conditionalFormatting sqref="AB66:AC74">
    <cfRule type="iconSet" priority="204">
      <iconSet iconSet="3Symbols2" showValue="0">
        <cfvo type="percent" val="0"/>
        <cfvo type="num" val="0"/>
        <cfvo type="num" val="0"/>
      </iconSet>
    </cfRule>
  </conditionalFormatting>
  <conditionalFormatting sqref="AB75:AC75">
    <cfRule type="iconSet" priority="198">
      <iconSet iconSet="3Symbols2" showValue="0">
        <cfvo type="percent" val="0"/>
        <cfvo type="num" val="0"/>
        <cfvo type="num" val="0"/>
      </iconSet>
    </cfRule>
  </conditionalFormatting>
  <conditionalFormatting sqref="AB76:AC84">
    <cfRule type="iconSet" priority="197">
      <iconSet iconSet="3Symbols2" showValue="0">
        <cfvo type="percent" val="0"/>
        <cfvo type="num" val="0"/>
        <cfvo type="num" val="0"/>
      </iconSet>
    </cfRule>
  </conditionalFormatting>
  <conditionalFormatting sqref="AB85:AC85">
    <cfRule type="iconSet" priority="209">
      <iconSet iconSet="3Symbols2" showValue="0">
        <cfvo type="percent" val="0"/>
        <cfvo type="num" val="0"/>
        <cfvo type="num" val="0"/>
      </iconSet>
    </cfRule>
  </conditionalFormatting>
  <conditionalFormatting sqref="AB86:AC86">
    <cfRule type="iconSet" priority="225">
      <iconSet iconSet="3Symbols2" showValue="0">
        <cfvo type="percent" val="0"/>
        <cfvo type="num" val="0"/>
        <cfvo type="num" val="0"/>
      </iconSet>
    </cfRule>
  </conditionalFormatting>
  <conditionalFormatting sqref="AB87:AC87">
    <cfRule type="iconSet" priority="233">
      <iconSet iconSet="3Symbols2" showValue="0">
        <cfvo type="percent" val="0"/>
        <cfvo type="num" val="0"/>
        <cfvo type="num" val="0"/>
      </iconSet>
    </cfRule>
  </conditionalFormatting>
  <conditionalFormatting sqref="AB98:AC98">
    <cfRule type="iconSet" priority="216">
      <iconSet iconSet="3Symbols2" showValue="0">
        <cfvo type="percent" val="0"/>
        <cfvo type="num" val="0"/>
        <cfvo type="num" val="0"/>
      </iconSet>
    </cfRule>
  </conditionalFormatting>
  <conditionalFormatting sqref="AB99:AC99">
    <cfRule type="iconSet" priority="232">
      <iconSet iconSet="3Symbols2" showValue="0">
        <cfvo type="percent" val="0"/>
        <cfvo type="num" val="0"/>
        <cfvo type="num" val="0"/>
      </iconSet>
    </cfRule>
  </conditionalFormatting>
  <conditionalFormatting sqref="AB100:AC107">
    <cfRule type="iconSet" priority="203">
      <iconSet iconSet="3Symbols2" showValue="0">
        <cfvo type="percent" val="0"/>
        <cfvo type="num" val="0"/>
        <cfvo type="num" val="0"/>
      </iconSet>
    </cfRule>
  </conditionalFormatting>
  <conditionalFormatting sqref="AB108:AC108">
    <cfRule type="iconSet" priority="215">
      <iconSet iconSet="3Symbols2" showValue="0">
        <cfvo type="percent" val="0"/>
        <cfvo type="num" val="0"/>
        <cfvo type="num" val="0"/>
      </iconSet>
    </cfRule>
  </conditionalFormatting>
  <conditionalFormatting sqref="AB109:AC109">
    <cfRule type="iconSet" priority="231">
      <iconSet iconSet="3Symbols2" showValue="0">
        <cfvo type="percent" val="0"/>
        <cfvo type="num" val="0"/>
        <cfvo type="num" val="0"/>
      </iconSet>
    </cfRule>
  </conditionalFormatting>
  <conditionalFormatting sqref="AB110:AC117">
    <cfRule type="iconSet" priority="202">
      <iconSet iconSet="3Symbols2" showValue="0">
        <cfvo type="percent" val="0"/>
        <cfvo type="num" val="0"/>
        <cfvo type="num" val="0"/>
      </iconSet>
    </cfRule>
  </conditionalFormatting>
  <conditionalFormatting sqref="AB118:AC118">
    <cfRule type="iconSet" priority="214">
      <iconSet iconSet="3Symbols2" showValue="0">
        <cfvo type="percent" val="0"/>
        <cfvo type="num" val="0"/>
        <cfvo type="num" val="0"/>
      </iconSet>
    </cfRule>
  </conditionalFormatting>
  <conditionalFormatting sqref="AB119:AC119">
    <cfRule type="iconSet" priority="230">
      <iconSet iconSet="3Symbols2" showValue="0">
        <cfvo type="percent" val="0"/>
        <cfvo type="num" val="0"/>
        <cfvo type="num" val="0"/>
      </iconSet>
    </cfRule>
  </conditionalFormatting>
  <conditionalFormatting sqref="AB127:AC127">
    <cfRule type="iconSet" priority="213">
      <iconSet iconSet="3Symbols2" showValue="0">
        <cfvo type="percent" val="0"/>
        <cfvo type="num" val="0"/>
        <cfvo type="num" val="0"/>
      </iconSet>
    </cfRule>
  </conditionalFormatting>
  <conditionalFormatting sqref="AB128:AC128">
    <cfRule type="iconSet" priority="229">
      <iconSet iconSet="3Symbols2" showValue="0">
        <cfvo type="percent" val="0"/>
        <cfvo type="num" val="0"/>
        <cfvo type="num" val="0"/>
      </iconSet>
    </cfRule>
  </conditionalFormatting>
  <conditionalFormatting sqref="AB129:AC136">
    <cfRule type="iconSet" priority="201">
      <iconSet iconSet="3Symbols2" showValue="0">
        <cfvo type="percent" val="0"/>
        <cfvo type="num" val="0"/>
        <cfvo type="num" val="0"/>
      </iconSet>
    </cfRule>
  </conditionalFormatting>
  <conditionalFormatting sqref="AB137:AC137">
    <cfRule type="iconSet" priority="212">
      <iconSet iconSet="3Symbols2" showValue="0">
        <cfvo type="percent" val="0"/>
        <cfvo type="num" val="0"/>
        <cfvo type="num" val="0"/>
      </iconSet>
    </cfRule>
  </conditionalFormatting>
  <conditionalFormatting sqref="AB138:AC138">
    <cfRule type="iconSet" priority="227">
      <iconSet iconSet="3Symbols2" showValue="0">
        <cfvo type="percent" val="0"/>
        <cfvo type="num" val="0"/>
        <cfvo type="num" val="0"/>
      </iconSet>
    </cfRule>
  </conditionalFormatting>
  <conditionalFormatting sqref="AB139:AC151">
    <cfRule type="iconSet" priority="200">
      <iconSet iconSet="3Symbols2" showValue="0">
        <cfvo type="percent" val="0"/>
        <cfvo type="num" val="0"/>
        <cfvo type="num" val="0"/>
      </iconSet>
    </cfRule>
  </conditionalFormatting>
  <conditionalFormatting sqref="AB152:AC152">
    <cfRule type="iconSet" priority="211">
      <iconSet iconSet="3Symbols2" showValue="0">
        <cfvo type="percent" val="0"/>
        <cfvo type="num" val="0"/>
        <cfvo type="num" val="0"/>
      </iconSet>
    </cfRule>
  </conditionalFormatting>
  <conditionalFormatting sqref="AB153:AC153">
    <cfRule type="iconSet" priority="226">
      <iconSet iconSet="3Symbols2" showValue="0">
        <cfvo type="percent" val="0"/>
        <cfvo type="num" val="0"/>
        <cfvo type="num" val="0"/>
      </iconSet>
    </cfRule>
  </conditionalFormatting>
  <conditionalFormatting sqref="AB154:AC160">
    <cfRule type="iconSet" priority="199">
      <iconSet iconSet="3Symbols2" showValue="0">
        <cfvo type="percent" val="0"/>
        <cfvo type="num" val="0"/>
        <cfvo type="num" val="0"/>
      </iconSet>
    </cfRule>
  </conditionalFormatting>
  <conditionalFormatting sqref="AD1:AE5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AD6:AE8 AD10:AE10 AD42:AE42 AD58:AE58 AD88:AE97 AD120:AE126 AD161:AE1048576">
    <cfRule type="iconSet" priority="193">
      <iconSet iconSet="3Symbols2" showValue="0">
        <cfvo type="percent" val="0"/>
        <cfvo type="num" val="0"/>
        <cfvo type="num" val="0"/>
      </iconSet>
    </cfRule>
  </conditionalFormatting>
  <conditionalFormatting sqref="AD9:AE9">
    <cfRule type="iconSet" priority="192">
      <iconSet iconSet="3Symbols2" showValue="0">
        <cfvo type="percent" val="0"/>
        <cfvo type="num" val="0"/>
        <cfvo type="num" val="0"/>
      </iconSet>
    </cfRule>
  </conditionalFormatting>
  <conditionalFormatting sqref="AD11:AE11">
    <cfRule type="iconSet" priority="175">
      <iconSet iconSet="3Symbols2" showValue="0">
        <cfvo type="percent" val="0"/>
        <cfvo type="num" val="0"/>
        <cfvo type="num" val="0"/>
      </iconSet>
    </cfRule>
  </conditionalFormatting>
  <conditionalFormatting sqref="AD12:AE12">
    <cfRule type="iconSet" priority="191">
      <iconSet iconSet="3Symbols2" showValue="0">
        <cfvo type="percent" val="0"/>
        <cfvo type="num" val="0"/>
        <cfvo type="num" val="0"/>
      </iconSet>
    </cfRule>
  </conditionalFormatting>
  <conditionalFormatting sqref="AD13:AE23">
    <cfRule type="iconSet" priority="160">
      <iconSet iconSet="3Symbols2" showValue="0">
        <cfvo type="percent" val="0"/>
        <cfvo type="num" val="0"/>
        <cfvo type="num" val="0"/>
      </iconSet>
    </cfRule>
  </conditionalFormatting>
  <conditionalFormatting sqref="AD24:AE24">
    <cfRule type="iconSet" priority="174">
      <iconSet iconSet="3Symbols2" showValue="0">
        <cfvo type="percent" val="0"/>
        <cfvo type="num" val="0"/>
        <cfvo type="num" val="0"/>
      </iconSet>
    </cfRule>
  </conditionalFormatting>
  <conditionalFormatting sqref="AD25:AE25">
    <cfRule type="iconSet" priority="190">
      <iconSet iconSet="3Symbols2" showValue="0">
        <cfvo type="percent" val="0"/>
        <cfvo type="num" val="0"/>
        <cfvo type="num" val="0"/>
      </iconSet>
    </cfRule>
  </conditionalFormatting>
  <conditionalFormatting sqref="AD26:AE26">
    <cfRule type="iconSet" priority="159">
      <iconSet iconSet="3Symbols2" showValue="0">
        <cfvo type="percent" val="0"/>
        <cfvo type="num" val="0"/>
        <cfvo type="num" val="0"/>
      </iconSet>
    </cfRule>
  </conditionalFormatting>
  <conditionalFormatting sqref="AD27:AE27">
    <cfRule type="iconSet" priority="173">
      <iconSet iconSet="3Symbols2" showValue="0">
        <cfvo type="percent" val="0"/>
        <cfvo type="num" val="0"/>
        <cfvo type="num" val="0"/>
      </iconSet>
    </cfRule>
  </conditionalFormatting>
  <conditionalFormatting sqref="AD28:AE28">
    <cfRule type="iconSet" priority="189">
      <iconSet iconSet="3Symbols2" showValue="0">
        <cfvo type="percent" val="0"/>
        <cfvo type="num" val="0"/>
        <cfvo type="num" val="0"/>
      </iconSet>
    </cfRule>
  </conditionalFormatting>
  <conditionalFormatting sqref="AD29:AE39">
    <cfRule type="iconSet" priority="158">
      <iconSet iconSet="3Symbols2" showValue="0">
        <cfvo type="percent" val="0"/>
        <cfvo type="num" val="0"/>
        <cfvo type="num" val="0"/>
      </iconSet>
    </cfRule>
  </conditionalFormatting>
  <conditionalFormatting sqref="AD40:AE40">
    <cfRule type="iconSet" priority="172">
      <iconSet iconSet="3Symbols2" showValue="0">
        <cfvo type="percent" val="0"/>
        <cfvo type="num" val="0"/>
        <cfvo type="num" val="0"/>
      </iconSet>
    </cfRule>
  </conditionalFormatting>
  <conditionalFormatting sqref="AD41:AE41">
    <cfRule type="iconSet" priority="188">
      <iconSet iconSet="3Symbols2" showValue="0">
        <cfvo type="percent" val="0"/>
        <cfvo type="num" val="0"/>
        <cfvo type="num" val="0"/>
      </iconSet>
    </cfRule>
  </conditionalFormatting>
  <conditionalFormatting sqref="AD43:AE43">
    <cfRule type="iconSet" priority="171">
      <iconSet iconSet="3Symbols2" showValue="0">
        <cfvo type="percent" val="0"/>
        <cfvo type="num" val="0"/>
        <cfvo type="num" val="0"/>
      </iconSet>
    </cfRule>
  </conditionalFormatting>
  <conditionalFormatting sqref="AD44:AE44">
    <cfRule type="iconSet" priority="187">
      <iconSet iconSet="3Symbols2" showValue="0">
        <cfvo type="percent" val="0"/>
        <cfvo type="num" val="0"/>
        <cfvo type="num" val="0"/>
      </iconSet>
    </cfRule>
  </conditionalFormatting>
  <conditionalFormatting sqref="AD45:AE51 AD53:AE55 AD63:AE63">
    <cfRule type="iconSet" priority="157">
      <iconSet iconSet="3Symbols2" showValue="0">
        <cfvo type="percent" val="0"/>
        <cfvo type="num" val="0"/>
        <cfvo type="num" val="0"/>
      </iconSet>
    </cfRule>
  </conditionalFormatting>
  <conditionalFormatting sqref="AD52:AE52">
    <cfRule type="iconSet" priority="147">
      <iconSet iconSet="3Symbols2" showValue="0">
        <cfvo type="percent" val="0"/>
        <cfvo type="num" val="0"/>
        <cfvo type="num" val="0"/>
      </iconSet>
    </cfRule>
  </conditionalFormatting>
  <conditionalFormatting sqref="AD56:AE56">
    <cfRule type="iconSet" priority="170">
      <iconSet iconSet="3Symbols2" showValue="0">
        <cfvo type="percent" val="0"/>
        <cfvo type="num" val="0"/>
        <cfvo type="num" val="0"/>
      </iconSet>
    </cfRule>
  </conditionalFormatting>
  <conditionalFormatting sqref="AD57:AE57">
    <cfRule type="iconSet" priority="186">
      <iconSet iconSet="3Symbols2" showValue="0">
        <cfvo type="percent" val="0"/>
        <cfvo type="num" val="0"/>
        <cfvo type="num" val="0"/>
      </iconSet>
    </cfRule>
  </conditionalFormatting>
  <conditionalFormatting sqref="AD59:AE59">
    <cfRule type="iconSet" priority="169">
      <iconSet iconSet="3Symbols2" showValue="0">
        <cfvo type="percent" val="0"/>
        <cfvo type="num" val="0"/>
        <cfvo type="num" val="0"/>
      </iconSet>
    </cfRule>
  </conditionalFormatting>
  <conditionalFormatting sqref="AD60:AE61">
    <cfRule type="iconSet" priority="148">
      <iconSet iconSet="3Symbols2" showValue="0">
        <cfvo type="percent" val="0"/>
        <cfvo type="num" val="0"/>
        <cfvo type="num" val="0"/>
      </iconSet>
    </cfRule>
  </conditionalFormatting>
  <conditionalFormatting sqref="AD62:AE62">
    <cfRule type="iconSet" priority="180">
      <iconSet iconSet="3Symbols2" showValue="0">
        <cfvo type="percent" val="0"/>
        <cfvo type="num" val="0"/>
        <cfvo type="num" val="0"/>
      </iconSet>
    </cfRule>
  </conditionalFormatting>
  <conditionalFormatting sqref="AD64:AE64">
    <cfRule type="iconSet" priority="194">
      <iconSet iconSet="3Symbols2" showValue="0">
        <cfvo type="percent" val="0"/>
        <cfvo type="num" val="0"/>
        <cfvo type="num" val="0"/>
      </iconSet>
    </cfRule>
  </conditionalFormatting>
  <conditionalFormatting sqref="AD65:AE65">
    <cfRule type="iconSet" priority="162">
      <iconSet iconSet="3Symbols2" showValue="0">
        <cfvo type="percent" val="0"/>
        <cfvo type="num" val="0"/>
        <cfvo type="num" val="0"/>
      </iconSet>
    </cfRule>
  </conditionalFormatting>
  <conditionalFormatting sqref="AD66:AE74">
    <cfRule type="iconSet" priority="156">
      <iconSet iconSet="3Symbols2" showValue="0">
        <cfvo type="percent" val="0"/>
        <cfvo type="num" val="0"/>
        <cfvo type="num" val="0"/>
      </iconSet>
    </cfRule>
  </conditionalFormatting>
  <conditionalFormatting sqref="AD75:AE75">
    <cfRule type="iconSet" priority="150">
      <iconSet iconSet="3Symbols2" showValue="0">
        <cfvo type="percent" val="0"/>
        <cfvo type="num" val="0"/>
        <cfvo type="num" val="0"/>
      </iconSet>
    </cfRule>
  </conditionalFormatting>
  <conditionalFormatting sqref="AD76:AE84">
    <cfRule type="iconSet" priority="149">
      <iconSet iconSet="3Symbols2" showValue="0">
        <cfvo type="percent" val="0"/>
        <cfvo type="num" val="0"/>
        <cfvo type="num" val="0"/>
      </iconSet>
    </cfRule>
  </conditionalFormatting>
  <conditionalFormatting sqref="AD85:AE85">
    <cfRule type="iconSet" priority="161">
      <iconSet iconSet="3Symbols2" showValue="0">
        <cfvo type="percent" val="0"/>
        <cfvo type="num" val="0"/>
        <cfvo type="num" val="0"/>
      </iconSet>
    </cfRule>
  </conditionalFormatting>
  <conditionalFormatting sqref="AD86:AE86">
    <cfRule type="iconSet" priority="177">
      <iconSet iconSet="3Symbols2" showValue="0">
        <cfvo type="percent" val="0"/>
        <cfvo type="num" val="0"/>
        <cfvo type="num" val="0"/>
      </iconSet>
    </cfRule>
  </conditionalFormatting>
  <conditionalFormatting sqref="AD87:AE87">
    <cfRule type="iconSet" priority="185">
      <iconSet iconSet="3Symbols2" showValue="0">
        <cfvo type="percent" val="0"/>
        <cfvo type="num" val="0"/>
        <cfvo type="num" val="0"/>
      </iconSet>
    </cfRule>
  </conditionalFormatting>
  <conditionalFormatting sqref="AD98:AE98">
    <cfRule type="iconSet" priority="168">
      <iconSet iconSet="3Symbols2" showValue="0">
        <cfvo type="percent" val="0"/>
        <cfvo type="num" val="0"/>
        <cfvo type="num" val="0"/>
      </iconSet>
    </cfRule>
  </conditionalFormatting>
  <conditionalFormatting sqref="AD99:AE99">
    <cfRule type="iconSet" priority="184">
      <iconSet iconSet="3Symbols2" showValue="0">
        <cfvo type="percent" val="0"/>
        <cfvo type="num" val="0"/>
        <cfvo type="num" val="0"/>
      </iconSet>
    </cfRule>
  </conditionalFormatting>
  <conditionalFormatting sqref="AD100:AE107">
    <cfRule type="iconSet" priority="155">
      <iconSet iconSet="3Symbols2" showValue="0">
        <cfvo type="percent" val="0"/>
        <cfvo type="num" val="0"/>
        <cfvo type="num" val="0"/>
      </iconSet>
    </cfRule>
  </conditionalFormatting>
  <conditionalFormatting sqref="AD108:AE108">
    <cfRule type="iconSet" priority="167">
      <iconSet iconSet="3Symbols2" showValue="0">
        <cfvo type="percent" val="0"/>
        <cfvo type="num" val="0"/>
        <cfvo type="num" val="0"/>
      </iconSet>
    </cfRule>
  </conditionalFormatting>
  <conditionalFormatting sqref="AD109:AE109">
    <cfRule type="iconSet" priority="183">
      <iconSet iconSet="3Symbols2" showValue="0">
        <cfvo type="percent" val="0"/>
        <cfvo type="num" val="0"/>
        <cfvo type="num" val="0"/>
      </iconSet>
    </cfRule>
  </conditionalFormatting>
  <conditionalFormatting sqref="AD110:AE117">
    <cfRule type="iconSet" priority="154">
      <iconSet iconSet="3Symbols2" showValue="0">
        <cfvo type="percent" val="0"/>
        <cfvo type="num" val="0"/>
        <cfvo type="num" val="0"/>
      </iconSet>
    </cfRule>
  </conditionalFormatting>
  <conditionalFormatting sqref="AD118:AE118">
    <cfRule type="iconSet" priority="166">
      <iconSet iconSet="3Symbols2" showValue="0">
        <cfvo type="percent" val="0"/>
        <cfvo type="num" val="0"/>
        <cfvo type="num" val="0"/>
      </iconSet>
    </cfRule>
  </conditionalFormatting>
  <conditionalFormatting sqref="AD119:AE119">
    <cfRule type="iconSet" priority="182">
      <iconSet iconSet="3Symbols2" showValue="0">
        <cfvo type="percent" val="0"/>
        <cfvo type="num" val="0"/>
        <cfvo type="num" val="0"/>
      </iconSet>
    </cfRule>
  </conditionalFormatting>
  <conditionalFormatting sqref="AD127:AE127">
    <cfRule type="iconSet" priority="165">
      <iconSet iconSet="3Symbols2" showValue="0">
        <cfvo type="percent" val="0"/>
        <cfvo type="num" val="0"/>
        <cfvo type="num" val="0"/>
      </iconSet>
    </cfRule>
  </conditionalFormatting>
  <conditionalFormatting sqref="AD128:AE128">
    <cfRule type="iconSet" priority="181">
      <iconSet iconSet="3Symbols2" showValue="0">
        <cfvo type="percent" val="0"/>
        <cfvo type="num" val="0"/>
        <cfvo type="num" val="0"/>
      </iconSet>
    </cfRule>
  </conditionalFormatting>
  <conditionalFormatting sqref="AD129:AE136">
    <cfRule type="iconSet" priority="153">
      <iconSet iconSet="3Symbols2" showValue="0">
        <cfvo type="percent" val="0"/>
        <cfvo type="num" val="0"/>
        <cfvo type="num" val="0"/>
      </iconSet>
    </cfRule>
  </conditionalFormatting>
  <conditionalFormatting sqref="AD137:AE137">
    <cfRule type="iconSet" priority="164">
      <iconSet iconSet="3Symbols2" showValue="0">
        <cfvo type="percent" val="0"/>
        <cfvo type="num" val="0"/>
        <cfvo type="num" val="0"/>
      </iconSet>
    </cfRule>
  </conditionalFormatting>
  <conditionalFormatting sqref="AD138:AE138">
    <cfRule type="iconSet" priority="179">
      <iconSet iconSet="3Symbols2" showValue="0">
        <cfvo type="percent" val="0"/>
        <cfvo type="num" val="0"/>
        <cfvo type="num" val="0"/>
      </iconSet>
    </cfRule>
  </conditionalFormatting>
  <conditionalFormatting sqref="AD139:AE151">
    <cfRule type="iconSet" priority="152">
      <iconSet iconSet="3Symbols2" showValue="0">
        <cfvo type="percent" val="0"/>
        <cfvo type="num" val="0"/>
        <cfvo type="num" val="0"/>
      </iconSet>
    </cfRule>
  </conditionalFormatting>
  <conditionalFormatting sqref="AD152:AE152">
    <cfRule type="iconSet" priority="163">
      <iconSet iconSet="3Symbols2" showValue="0">
        <cfvo type="percent" val="0"/>
        <cfvo type="num" val="0"/>
        <cfvo type="num" val="0"/>
      </iconSet>
    </cfRule>
  </conditionalFormatting>
  <conditionalFormatting sqref="AD153:AE153">
    <cfRule type="iconSet" priority="178">
      <iconSet iconSet="3Symbols2" showValue="0">
        <cfvo type="percent" val="0"/>
        <cfvo type="num" val="0"/>
        <cfvo type="num" val="0"/>
      </iconSet>
    </cfRule>
  </conditionalFormatting>
  <conditionalFormatting sqref="AD154:AE160">
    <cfRule type="iconSet" priority="151">
      <iconSet iconSet="3Symbols2" showValue="0">
        <cfvo type="percent" val="0"/>
        <cfvo type="num" val="0"/>
        <cfvo type="num" val="0"/>
      </iconSet>
    </cfRule>
  </conditionalFormatting>
  <conditionalFormatting sqref="AF1:AG5">
    <cfRule type="iconSet" priority="128">
      <iconSet iconSet="3Symbols2" showValue="0">
        <cfvo type="percent" val="0"/>
        <cfvo type="num" val="0"/>
        <cfvo type="num" val="1"/>
      </iconSet>
    </cfRule>
  </conditionalFormatting>
  <conditionalFormatting sqref="AF6:AG8 AF10:AG10 AF42:AG42 AF58:AG58 AF88:AG97 AF120:AG126 AF161:AG1048576">
    <cfRule type="iconSet" priority="145">
      <iconSet iconSet="3Symbols2" showValue="0">
        <cfvo type="percent" val="0"/>
        <cfvo type="num" val="0"/>
        <cfvo type="num" val="0"/>
      </iconSet>
    </cfRule>
  </conditionalFormatting>
  <conditionalFormatting sqref="AF9:AG9">
    <cfRule type="iconSet" priority="144">
      <iconSet iconSet="3Symbols2" showValue="0">
        <cfvo type="percent" val="0"/>
        <cfvo type="num" val="0"/>
        <cfvo type="num" val="0"/>
      </iconSet>
    </cfRule>
  </conditionalFormatting>
  <conditionalFormatting sqref="AF11:AG11">
    <cfRule type="iconSet" priority="127">
      <iconSet iconSet="3Symbols2" showValue="0">
        <cfvo type="percent" val="0"/>
        <cfvo type="num" val="0"/>
        <cfvo type="num" val="0"/>
      </iconSet>
    </cfRule>
  </conditionalFormatting>
  <conditionalFormatting sqref="AF12:AG12">
    <cfRule type="iconSet" priority="143">
      <iconSet iconSet="3Symbols2" showValue="0">
        <cfvo type="percent" val="0"/>
        <cfvo type="num" val="0"/>
        <cfvo type="num" val="0"/>
      </iconSet>
    </cfRule>
  </conditionalFormatting>
  <conditionalFormatting sqref="AF13:AG23">
    <cfRule type="iconSet" priority="112">
      <iconSet iconSet="3Symbols2" showValue="0">
        <cfvo type="percent" val="0"/>
        <cfvo type="num" val="0"/>
        <cfvo type="num" val="0"/>
      </iconSet>
    </cfRule>
  </conditionalFormatting>
  <conditionalFormatting sqref="AF24:AG24">
    <cfRule type="iconSet" priority="126">
      <iconSet iconSet="3Symbols2" showValue="0">
        <cfvo type="percent" val="0"/>
        <cfvo type="num" val="0"/>
        <cfvo type="num" val="0"/>
      </iconSet>
    </cfRule>
  </conditionalFormatting>
  <conditionalFormatting sqref="AF25:AG25">
    <cfRule type="iconSet" priority="142">
      <iconSet iconSet="3Symbols2" showValue="0">
        <cfvo type="percent" val="0"/>
        <cfvo type="num" val="0"/>
        <cfvo type="num" val="0"/>
      </iconSet>
    </cfRule>
  </conditionalFormatting>
  <conditionalFormatting sqref="AF26:AG26">
    <cfRule type="iconSet" priority="111">
      <iconSet iconSet="3Symbols2" showValue="0">
        <cfvo type="percent" val="0"/>
        <cfvo type="num" val="0"/>
        <cfvo type="num" val="0"/>
      </iconSet>
    </cfRule>
  </conditionalFormatting>
  <conditionalFormatting sqref="AF27:AG27">
    <cfRule type="iconSet" priority="125">
      <iconSet iconSet="3Symbols2" showValue="0">
        <cfvo type="percent" val="0"/>
        <cfvo type="num" val="0"/>
        <cfvo type="num" val="0"/>
      </iconSet>
    </cfRule>
  </conditionalFormatting>
  <conditionalFormatting sqref="AF28:AG28">
    <cfRule type="iconSet" priority="141">
      <iconSet iconSet="3Symbols2" showValue="0">
        <cfvo type="percent" val="0"/>
        <cfvo type="num" val="0"/>
        <cfvo type="num" val="0"/>
      </iconSet>
    </cfRule>
  </conditionalFormatting>
  <conditionalFormatting sqref="AF29:AG39">
    <cfRule type="iconSet" priority="110">
      <iconSet iconSet="3Symbols2" showValue="0">
        <cfvo type="percent" val="0"/>
        <cfvo type="num" val="0"/>
        <cfvo type="num" val="0"/>
      </iconSet>
    </cfRule>
  </conditionalFormatting>
  <conditionalFormatting sqref="AF40:AG40">
    <cfRule type="iconSet" priority="124">
      <iconSet iconSet="3Symbols2" showValue="0">
        <cfvo type="percent" val="0"/>
        <cfvo type="num" val="0"/>
        <cfvo type="num" val="0"/>
      </iconSet>
    </cfRule>
  </conditionalFormatting>
  <conditionalFormatting sqref="AF41:AG41">
    <cfRule type="iconSet" priority="140">
      <iconSet iconSet="3Symbols2" showValue="0">
        <cfvo type="percent" val="0"/>
        <cfvo type="num" val="0"/>
        <cfvo type="num" val="0"/>
      </iconSet>
    </cfRule>
  </conditionalFormatting>
  <conditionalFormatting sqref="AF43:AG43">
    <cfRule type="iconSet" priority="123">
      <iconSet iconSet="3Symbols2" showValue="0">
        <cfvo type="percent" val="0"/>
        <cfvo type="num" val="0"/>
        <cfvo type="num" val="0"/>
      </iconSet>
    </cfRule>
  </conditionalFormatting>
  <conditionalFormatting sqref="AF44:AG44">
    <cfRule type="iconSet" priority="139">
      <iconSet iconSet="3Symbols2" showValue="0">
        <cfvo type="percent" val="0"/>
        <cfvo type="num" val="0"/>
        <cfvo type="num" val="0"/>
      </iconSet>
    </cfRule>
  </conditionalFormatting>
  <conditionalFormatting sqref="AF45:AG51 AF53:AG55 AF63:AG63">
    <cfRule type="iconSet" priority="109">
      <iconSet iconSet="3Symbols2" showValue="0">
        <cfvo type="percent" val="0"/>
        <cfvo type="num" val="0"/>
        <cfvo type="num" val="0"/>
      </iconSet>
    </cfRule>
  </conditionalFormatting>
  <conditionalFormatting sqref="AF52:AG52">
    <cfRule type="iconSet" priority="99">
      <iconSet iconSet="3Symbols2" showValue="0">
        <cfvo type="percent" val="0"/>
        <cfvo type="num" val="0"/>
        <cfvo type="num" val="0"/>
      </iconSet>
    </cfRule>
  </conditionalFormatting>
  <conditionalFormatting sqref="AF56:AG56">
    <cfRule type="iconSet" priority="122">
      <iconSet iconSet="3Symbols2" showValue="0">
        <cfvo type="percent" val="0"/>
        <cfvo type="num" val="0"/>
        <cfvo type="num" val="0"/>
      </iconSet>
    </cfRule>
  </conditionalFormatting>
  <conditionalFormatting sqref="AF57:AG57">
    <cfRule type="iconSet" priority="138">
      <iconSet iconSet="3Symbols2" showValue="0">
        <cfvo type="percent" val="0"/>
        <cfvo type="num" val="0"/>
        <cfvo type="num" val="0"/>
      </iconSet>
    </cfRule>
  </conditionalFormatting>
  <conditionalFormatting sqref="AF59:AG59">
    <cfRule type="iconSet" priority="121">
      <iconSet iconSet="3Symbols2" showValue="0">
        <cfvo type="percent" val="0"/>
        <cfvo type="num" val="0"/>
        <cfvo type="num" val="0"/>
      </iconSet>
    </cfRule>
  </conditionalFormatting>
  <conditionalFormatting sqref="AF60:AG61">
    <cfRule type="iconSet" priority="100">
      <iconSet iconSet="3Symbols2" showValue="0">
        <cfvo type="percent" val="0"/>
        <cfvo type="num" val="0"/>
        <cfvo type="num" val="0"/>
      </iconSet>
    </cfRule>
  </conditionalFormatting>
  <conditionalFormatting sqref="AF62:AG62">
    <cfRule type="iconSet" priority="132">
      <iconSet iconSet="3Symbols2" showValue="0">
        <cfvo type="percent" val="0"/>
        <cfvo type="num" val="0"/>
        <cfvo type="num" val="0"/>
      </iconSet>
    </cfRule>
  </conditionalFormatting>
  <conditionalFormatting sqref="AF64:AG64">
    <cfRule type="iconSet" priority="146">
      <iconSet iconSet="3Symbols2" showValue="0">
        <cfvo type="percent" val="0"/>
        <cfvo type="num" val="0"/>
        <cfvo type="num" val="0"/>
      </iconSet>
    </cfRule>
  </conditionalFormatting>
  <conditionalFormatting sqref="AF65:AG65">
    <cfRule type="iconSet" priority="114">
      <iconSet iconSet="3Symbols2" showValue="0">
        <cfvo type="percent" val="0"/>
        <cfvo type="num" val="0"/>
        <cfvo type="num" val="0"/>
      </iconSet>
    </cfRule>
  </conditionalFormatting>
  <conditionalFormatting sqref="AF66:AG74">
    <cfRule type="iconSet" priority="108">
      <iconSet iconSet="3Symbols2" showValue="0">
        <cfvo type="percent" val="0"/>
        <cfvo type="num" val="0"/>
        <cfvo type="num" val="0"/>
      </iconSet>
    </cfRule>
  </conditionalFormatting>
  <conditionalFormatting sqref="AF75:AG75">
    <cfRule type="iconSet" priority="102">
      <iconSet iconSet="3Symbols2" showValue="0">
        <cfvo type="percent" val="0"/>
        <cfvo type="num" val="0"/>
        <cfvo type="num" val="0"/>
      </iconSet>
    </cfRule>
  </conditionalFormatting>
  <conditionalFormatting sqref="AF76:AG84">
    <cfRule type="iconSet" priority="101">
      <iconSet iconSet="3Symbols2" showValue="0">
        <cfvo type="percent" val="0"/>
        <cfvo type="num" val="0"/>
        <cfvo type="num" val="0"/>
      </iconSet>
    </cfRule>
  </conditionalFormatting>
  <conditionalFormatting sqref="AF85:AG85">
    <cfRule type="iconSet" priority="113">
      <iconSet iconSet="3Symbols2" showValue="0">
        <cfvo type="percent" val="0"/>
        <cfvo type="num" val="0"/>
        <cfvo type="num" val="0"/>
      </iconSet>
    </cfRule>
  </conditionalFormatting>
  <conditionalFormatting sqref="AF86:AG86">
    <cfRule type="iconSet" priority="129">
      <iconSet iconSet="3Symbols2" showValue="0">
        <cfvo type="percent" val="0"/>
        <cfvo type="num" val="0"/>
        <cfvo type="num" val="0"/>
      </iconSet>
    </cfRule>
  </conditionalFormatting>
  <conditionalFormatting sqref="AF87:AG87">
    <cfRule type="iconSet" priority="137">
      <iconSet iconSet="3Symbols2" showValue="0">
        <cfvo type="percent" val="0"/>
        <cfvo type="num" val="0"/>
        <cfvo type="num" val="0"/>
      </iconSet>
    </cfRule>
  </conditionalFormatting>
  <conditionalFormatting sqref="AF98:AG98">
    <cfRule type="iconSet" priority="120">
      <iconSet iconSet="3Symbols2" showValue="0">
        <cfvo type="percent" val="0"/>
        <cfvo type="num" val="0"/>
        <cfvo type="num" val="0"/>
      </iconSet>
    </cfRule>
  </conditionalFormatting>
  <conditionalFormatting sqref="AF99:AG99">
    <cfRule type="iconSet" priority="136">
      <iconSet iconSet="3Symbols2" showValue="0">
        <cfvo type="percent" val="0"/>
        <cfvo type="num" val="0"/>
        <cfvo type="num" val="0"/>
      </iconSet>
    </cfRule>
  </conditionalFormatting>
  <conditionalFormatting sqref="AF100:AG107">
    <cfRule type="iconSet" priority="107">
      <iconSet iconSet="3Symbols2" showValue="0">
        <cfvo type="percent" val="0"/>
        <cfvo type="num" val="0"/>
        <cfvo type="num" val="0"/>
      </iconSet>
    </cfRule>
  </conditionalFormatting>
  <conditionalFormatting sqref="AF108:AG108">
    <cfRule type="iconSet" priority="119">
      <iconSet iconSet="3Symbols2" showValue="0">
        <cfvo type="percent" val="0"/>
        <cfvo type="num" val="0"/>
        <cfvo type="num" val="0"/>
      </iconSet>
    </cfRule>
  </conditionalFormatting>
  <conditionalFormatting sqref="AF109:AG109">
    <cfRule type="iconSet" priority="135">
      <iconSet iconSet="3Symbols2" showValue="0">
        <cfvo type="percent" val="0"/>
        <cfvo type="num" val="0"/>
        <cfvo type="num" val="0"/>
      </iconSet>
    </cfRule>
  </conditionalFormatting>
  <conditionalFormatting sqref="AF110:AG117">
    <cfRule type="iconSet" priority="106">
      <iconSet iconSet="3Symbols2" showValue="0">
        <cfvo type="percent" val="0"/>
        <cfvo type="num" val="0"/>
        <cfvo type="num" val="0"/>
      </iconSet>
    </cfRule>
  </conditionalFormatting>
  <conditionalFormatting sqref="AF118:AG118">
    <cfRule type="iconSet" priority="118">
      <iconSet iconSet="3Symbols2" showValue="0">
        <cfvo type="percent" val="0"/>
        <cfvo type="num" val="0"/>
        <cfvo type="num" val="0"/>
      </iconSet>
    </cfRule>
  </conditionalFormatting>
  <conditionalFormatting sqref="AF119:AG119">
    <cfRule type="iconSet" priority="134">
      <iconSet iconSet="3Symbols2" showValue="0">
        <cfvo type="percent" val="0"/>
        <cfvo type="num" val="0"/>
        <cfvo type="num" val="0"/>
      </iconSet>
    </cfRule>
  </conditionalFormatting>
  <conditionalFormatting sqref="AF127:AG127">
    <cfRule type="iconSet" priority="117">
      <iconSet iconSet="3Symbols2" showValue="0">
        <cfvo type="percent" val="0"/>
        <cfvo type="num" val="0"/>
        <cfvo type="num" val="0"/>
      </iconSet>
    </cfRule>
  </conditionalFormatting>
  <conditionalFormatting sqref="AF128:AG128">
    <cfRule type="iconSet" priority="133">
      <iconSet iconSet="3Symbols2" showValue="0">
        <cfvo type="percent" val="0"/>
        <cfvo type="num" val="0"/>
        <cfvo type="num" val="0"/>
      </iconSet>
    </cfRule>
  </conditionalFormatting>
  <conditionalFormatting sqref="AF129:AG136">
    <cfRule type="iconSet" priority="105">
      <iconSet iconSet="3Symbols2" showValue="0">
        <cfvo type="percent" val="0"/>
        <cfvo type="num" val="0"/>
        <cfvo type="num" val="0"/>
      </iconSet>
    </cfRule>
  </conditionalFormatting>
  <conditionalFormatting sqref="AF137:AG137">
    <cfRule type="iconSet" priority="116">
      <iconSet iconSet="3Symbols2" showValue="0">
        <cfvo type="percent" val="0"/>
        <cfvo type="num" val="0"/>
        <cfvo type="num" val="0"/>
      </iconSet>
    </cfRule>
  </conditionalFormatting>
  <conditionalFormatting sqref="AF138:AG138">
    <cfRule type="iconSet" priority="131">
      <iconSet iconSet="3Symbols2" showValue="0">
        <cfvo type="percent" val="0"/>
        <cfvo type="num" val="0"/>
        <cfvo type="num" val="0"/>
      </iconSet>
    </cfRule>
  </conditionalFormatting>
  <conditionalFormatting sqref="AF139:AG151">
    <cfRule type="iconSet" priority="104">
      <iconSet iconSet="3Symbols2" showValue="0">
        <cfvo type="percent" val="0"/>
        <cfvo type="num" val="0"/>
        <cfvo type="num" val="0"/>
      </iconSet>
    </cfRule>
  </conditionalFormatting>
  <conditionalFormatting sqref="AF152:AG152">
    <cfRule type="iconSet" priority="115">
      <iconSet iconSet="3Symbols2" showValue="0">
        <cfvo type="percent" val="0"/>
        <cfvo type="num" val="0"/>
        <cfvo type="num" val="0"/>
      </iconSet>
    </cfRule>
  </conditionalFormatting>
  <conditionalFormatting sqref="AF153:AG153">
    <cfRule type="iconSet" priority="130">
      <iconSet iconSet="3Symbols2" showValue="0">
        <cfvo type="percent" val="0"/>
        <cfvo type="num" val="0"/>
        <cfvo type="num" val="0"/>
      </iconSet>
    </cfRule>
  </conditionalFormatting>
  <conditionalFormatting sqref="AF154:AG160">
    <cfRule type="iconSet" priority="103">
      <iconSet iconSet="3Symbols2" showValue="0">
        <cfvo type="percent" val="0"/>
        <cfvo type="num" val="0"/>
        <cfvo type="num" val="0"/>
      </iconSet>
    </cfRule>
  </conditionalFormatting>
  <conditionalFormatting sqref="AH1:AI5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AH6:AI8 AH10:AI10 AH42:AI42 AH58:AI58 AH88:AI97 AH120:AI126 AH161:AI1048576">
    <cfRule type="iconSet" priority="97">
      <iconSet iconSet="3Symbols2" showValue="0">
        <cfvo type="percent" val="0"/>
        <cfvo type="num" val="0"/>
        <cfvo type="num" val="0"/>
      </iconSet>
    </cfRule>
  </conditionalFormatting>
  <conditionalFormatting sqref="AH9:AI9">
    <cfRule type="iconSet" priority="96">
      <iconSet iconSet="3Symbols2" showValue="0">
        <cfvo type="percent" val="0"/>
        <cfvo type="num" val="0"/>
        <cfvo type="num" val="0"/>
      </iconSet>
    </cfRule>
  </conditionalFormatting>
  <conditionalFormatting sqref="AH11:AI11">
    <cfRule type="iconSet" priority="79">
      <iconSet iconSet="3Symbols2" showValue="0">
        <cfvo type="percent" val="0"/>
        <cfvo type="num" val="0"/>
        <cfvo type="num" val="0"/>
      </iconSet>
    </cfRule>
  </conditionalFormatting>
  <conditionalFormatting sqref="AH12:AI12">
    <cfRule type="iconSet" priority="95">
      <iconSet iconSet="3Symbols2" showValue="0">
        <cfvo type="percent" val="0"/>
        <cfvo type="num" val="0"/>
        <cfvo type="num" val="0"/>
      </iconSet>
    </cfRule>
  </conditionalFormatting>
  <conditionalFormatting sqref="AH13:AI23">
    <cfRule type="iconSet" priority="64">
      <iconSet iconSet="3Symbols2" showValue="0">
        <cfvo type="percent" val="0"/>
        <cfvo type="num" val="0"/>
        <cfvo type="num" val="0"/>
      </iconSet>
    </cfRule>
  </conditionalFormatting>
  <conditionalFormatting sqref="AH24:AI24">
    <cfRule type="iconSet" priority="78">
      <iconSet iconSet="3Symbols2" showValue="0">
        <cfvo type="percent" val="0"/>
        <cfvo type="num" val="0"/>
        <cfvo type="num" val="0"/>
      </iconSet>
    </cfRule>
  </conditionalFormatting>
  <conditionalFormatting sqref="AH25:AI25">
    <cfRule type="iconSet" priority="94">
      <iconSet iconSet="3Symbols2" showValue="0">
        <cfvo type="percent" val="0"/>
        <cfvo type="num" val="0"/>
        <cfvo type="num" val="0"/>
      </iconSet>
    </cfRule>
  </conditionalFormatting>
  <conditionalFormatting sqref="AH26:AI26">
    <cfRule type="iconSet" priority="63">
      <iconSet iconSet="3Symbols2" showValue="0">
        <cfvo type="percent" val="0"/>
        <cfvo type="num" val="0"/>
        <cfvo type="num" val="0"/>
      </iconSet>
    </cfRule>
  </conditionalFormatting>
  <conditionalFormatting sqref="AH27:AI27">
    <cfRule type="iconSet" priority="77">
      <iconSet iconSet="3Symbols2" showValue="0">
        <cfvo type="percent" val="0"/>
        <cfvo type="num" val="0"/>
        <cfvo type="num" val="0"/>
      </iconSet>
    </cfRule>
  </conditionalFormatting>
  <conditionalFormatting sqref="AH28:AI28">
    <cfRule type="iconSet" priority="93">
      <iconSet iconSet="3Symbols2" showValue="0">
        <cfvo type="percent" val="0"/>
        <cfvo type="num" val="0"/>
        <cfvo type="num" val="0"/>
      </iconSet>
    </cfRule>
  </conditionalFormatting>
  <conditionalFormatting sqref="AH29:AI39">
    <cfRule type="iconSet" priority="62">
      <iconSet iconSet="3Symbols2" showValue="0">
        <cfvo type="percent" val="0"/>
        <cfvo type="num" val="0"/>
        <cfvo type="num" val="0"/>
      </iconSet>
    </cfRule>
  </conditionalFormatting>
  <conditionalFormatting sqref="AH40:AI40">
    <cfRule type="iconSet" priority="76">
      <iconSet iconSet="3Symbols2" showValue="0">
        <cfvo type="percent" val="0"/>
        <cfvo type="num" val="0"/>
        <cfvo type="num" val="0"/>
      </iconSet>
    </cfRule>
  </conditionalFormatting>
  <conditionalFormatting sqref="AH41:AI41">
    <cfRule type="iconSet" priority="92">
      <iconSet iconSet="3Symbols2" showValue="0">
        <cfvo type="percent" val="0"/>
        <cfvo type="num" val="0"/>
        <cfvo type="num" val="0"/>
      </iconSet>
    </cfRule>
  </conditionalFormatting>
  <conditionalFormatting sqref="AH43:AI43">
    <cfRule type="iconSet" priority="75">
      <iconSet iconSet="3Symbols2" showValue="0">
        <cfvo type="percent" val="0"/>
        <cfvo type="num" val="0"/>
        <cfvo type="num" val="0"/>
      </iconSet>
    </cfRule>
  </conditionalFormatting>
  <conditionalFormatting sqref="AH44:AI44">
    <cfRule type="iconSet" priority="91">
      <iconSet iconSet="3Symbols2" showValue="0">
        <cfvo type="percent" val="0"/>
        <cfvo type="num" val="0"/>
        <cfvo type="num" val="0"/>
      </iconSet>
    </cfRule>
  </conditionalFormatting>
  <conditionalFormatting sqref="AH45:AI51 AH53:AI55 AH63:AI63">
    <cfRule type="iconSet" priority="61">
      <iconSet iconSet="3Symbols2" showValue="0">
        <cfvo type="percent" val="0"/>
        <cfvo type="num" val="0"/>
        <cfvo type="num" val="0"/>
      </iconSet>
    </cfRule>
  </conditionalFormatting>
  <conditionalFormatting sqref="AH52:AI52">
    <cfRule type="iconSet" priority="51">
      <iconSet iconSet="3Symbols2" showValue="0">
        <cfvo type="percent" val="0"/>
        <cfvo type="num" val="0"/>
        <cfvo type="num" val="0"/>
      </iconSet>
    </cfRule>
  </conditionalFormatting>
  <conditionalFormatting sqref="AH56:AI56">
    <cfRule type="iconSet" priority="74">
      <iconSet iconSet="3Symbols2" showValue="0">
        <cfvo type="percent" val="0"/>
        <cfvo type="num" val="0"/>
        <cfvo type="num" val="0"/>
      </iconSet>
    </cfRule>
  </conditionalFormatting>
  <conditionalFormatting sqref="AH57:AI57">
    <cfRule type="iconSet" priority="90">
      <iconSet iconSet="3Symbols2" showValue="0">
        <cfvo type="percent" val="0"/>
        <cfvo type="num" val="0"/>
        <cfvo type="num" val="0"/>
      </iconSet>
    </cfRule>
  </conditionalFormatting>
  <conditionalFormatting sqref="AH59:AI59">
    <cfRule type="iconSet" priority="73">
      <iconSet iconSet="3Symbols2" showValue="0">
        <cfvo type="percent" val="0"/>
        <cfvo type="num" val="0"/>
        <cfvo type="num" val="0"/>
      </iconSet>
    </cfRule>
  </conditionalFormatting>
  <conditionalFormatting sqref="AH60:AI61">
    <cfRule type="iconSet" priority="52">
      <iconSet iconSet="3Symbols2" showValue="0">
        <cfvo type="percent" val="0"/>
        <cfvo type="num" val="0"/>
        <cfvo type="num" val="0"/>
      </iconSet>
    </cfRule>
  </conditionalFormatting>
  <conditionalFormatting sqref="AH62:AI62">
    <cfRule type="iconSet" priority="84">
      <iconSet iconSet="3Symbols2" showValue="0">
        <cfvo type="percent" val="0"/>
        <cfvo type="num" val="0"/>
        <cfvo type="num" val="0"/>
      </iconSet>
    </cfRule>
  </conditionalFormatting>
  <conditionalFormatting sqref="AH64:AI64">
    <cfRule type="iconSet" priority="98">
      <iconSet iconSet="3Symbols2" showValue="0">
        <cfvo type="percent" val="0"/>
        <cfvo type="num" val="0"/>
        <cfvo type="num" val="0"/>
      </iconSet>
    </cfRule>
  </conditionalFormatting>
  <conditionalFormatting sqref="AH65:AI65">
    <cfRule type="iconSet" priority="66">
      <iconSet iconSet="3Symbols2" showValue="0">
        <cfvo type="percent" val="0"/>
        <cfvo type="num" val="0"/>
        <cfvo type="num" val="0"/>
      </iconSet>
    </cfRule>
  </conditionalFormatting>
  <conditionalFormatting sqref="AH66:AI74">
    <cfRule type="iconSet" priority="60">
      <iconSet iconSet="3Symbols2" showValue="0">
        <cfvo type="percent" val="0"/>
        <cfvo type="num" val="0"/>
        <cfvo type="num" val="0"/>
      </iconSet>
    </cfRule>
  </conditionalFormatting>
  <conditionalFormatting sqref="AH75:AI75">
    <cfRule type="iconSet" priority="54">
      <iconSet iconSet="3Symbols2" showValue="0">
        <cfvo type="percent" val="0"/>
        <cfvo type="num" val="0"/>
        <cfvo type="num" val="0"/>
      </iconSet>
    </cfRule>
  </conditionalFormatting>
  <conditionalFormatting sqref="AH76:AI84">
    <cfRule type="iconSet" priority="53">
      <iconSet iconSet="3Symbols2" showValue="0">
        <cfvo type="percent" val="0"/>
        <cfvo type="num" val="0"/>
        <cfvo type="num" val="0"/>
      </iconSet>
    </cfRule>
  </conditionalFormatting>
  <conditionalFormatting sqref="AH85:AI85">
    <cfRule type="iconSet" priority="65">
      <iconSet iconSet="3Symbols2" showValue="0">
        <cfvo type="percent" val="0"/>
        <cfvo type="num" val="0"/>
        <cfvo type="num" val="0"/>
      </iconSet>
    </cfRule>
  </conditionalFormatting>
  <conditionalFormatting sqref="AH86:AI86">
    <cfRule type="iconSet" priority="81">
      <iconSet iconSet="3Symbols2" showValue="0">
        <cfvo type="percent" val="0"/>
        <cfvo type="num" val="0"/>
        <cfvo type="num" val="0"/>
      </iconSet>
    </cfRule>
  </conditionalFormatting>
  <conditionalFormatting sqref="AH87:AI87">
    <cfRule type="iconSet" priority="89">
      <iconSet iconSet="3Symbols2" showValue="0">
        <cfvo type="percent" val="0"/>
        <cfvo type="num" val="0"/>
        <cfvo type="num" val="0"/>
      </iconSet>
    </cfRule>
  </conditionalFormatting>
  <conditionalFormatting sqref="AH98:AI98">
    <cfRule type="iconSet" priority="72">
      <iconSet iconSet="3Symbols2" showValue="0">
        <cfvo type="percent" val="0"/>
        <cfvo type="num" val="0"/>
        <cfvo type="num" val="0"/>
      </iconSet>
    </cfRule>
  </conditionalFormatting>
  <conditionalFormatting sqref="AH99:AI99">
    <cfRule type="iconSet" priority="88">
      <iconSet iconSet="3Symbols2" showValue="0">
        <cfvo type="percent" val="0"/>
        <cfvo type="num" val="0"/>
        <cfvo type="num" val="0"/>
      </iconSet>
    </cfRule>
  </conditionalFormatting>
  <conditionalFormatting sqref="AH100:AI107">
    <cfRule type="iconSet" priority="59">
      <iconSet iconSet="3Symbols2" showValue="0">
        <cfvo type="percent" val="0"/>
        <cfvo type="num" val="0"/>
        <cfvo type="num" val="0"/>
      </iconSet>
    </cfRule>
  </conditionalFormatting>
  <conditionalFormatting sqref="AH108:AI108">
    <cfRule type="iconSet" priority="71">
      <iconSet iconSet="3Symbols2" showValue="0">
        <cfvo type="percent" val="0"/>
        <cfvo type="num" val="0"/>
        <cfvo type="num" val="0"/>
      </iconSet>
    </cfRule>
  </conditionalFormatting>
  <conditionalFormatting sqref="AH109:AI109">
    <cfRule type="iconSet" priority="87">
      <iconSet iconSet="3Symbols2" showValue="0">
        <cfvo type="percent" val="0"/>
        <cfvo type="num" val="0"/>
        <cfvo type="num" val="0"/>
      </iconSet>
    </cfRule>
  </conditionalFormatting>
  <conditionalFormatting sqref="AH110:AI117">
    <cfRule type="iconSet" priority="58">
      <iconSet iconSet="3Symbols2" showValue="0">
        <cfvo type="percent" val="0"/>
        <cfvo type="num" val="0"/>
        <cfvo type="num" val="0"/>
      </iconSet>
    </cfRule>
  </conditionalFormatting>
  <conditionalFormatting sqref="AH118:AI118">
    <cfRule type="iconSet" priority="70">
      <iconSet iconSet="3Symbols2" showValue="0">
        <cfvo type="percent" val="0"/>
        <cfvo type="num" val="0"/>
        <cfvo type="num" val="0"/>
      </iconSet>
    </cfRule>
  </conditionalFormatting>
  <conditionalFormatting sqref="AH119:AI119">
    <cfRule type="iconSet" priority="86">
      <iconSet iconSet="3Symbols2" showValue="0">
        <cfvo type="percent" val="0"/>
        <cfvo type="num" val="0"/>
        <cfvo type="num" val="0"/>
      </iconSet>
    </cfRule>
  </conditionalFormatting>
  <conditionalFormatting sqref="AH127:AI127">
    <cfRule type="iconSet" priority="69">
      <iconSet iconSet="3Symbols2" showValue="0">
        <cfvo type="percent" val="0"/>
        <cfvo type="num" val="0"/>
        <cfvo type="num" val="0"/>
      </iconSet>
    </cfRule>
  </conditionalFormatting>
  <conditionalFormatting sqref="AH128:AI128">
    <cfRule type="iconSet" priority="85">
      <iconSet iconSet="3Symbols2" showValue="0">
        <cfvo type="percent" val="0"/>
        <cfvo type="num" val="0"/>
        <cfvo type="num" val="0"/>
      </iconSet>
    </cfRule>
  </conditionalFormatting>
  <conditionalFormatting sqref="AH129:AI136">
    <cfRule type="iconSet" priority="57">
      <iconSet iconSet="3Symbols2" showValue="0">
        <cfvo type="percent" val="0"/>
        <cfvo type="num" val="0"/>
        <cfvo type="num" val="0"/>
      </iconSet>
    </cfRule>
  </conditionalFormatting>
  <conditionalFormatting sqref="AH137:AI137">
    <cfRule type="iconSet" priority="68">
      <iconSet iconSet="3Symbols2" showValue="0">
        <cfvo type="percent" val="0"/>
        <cfvo type="num" val="0"/>
        <cfvo type="num" val="0"/>
      </iconSet>
    </cfRule>
  </conditionalFormatting>
  <conditionalFormatting sqref="AH138:AI138">
    <cfRule type="iconSet" priority="83">
      <iconSet iconSet="3Symbols2" showValue="0">
        <cfvo type="percent" val="0"/>
        <cfvo type="num" val="0"/>
        <cfvo type="num" val="0"/>
      </iconSet>
    </cfRule>
  </conditionalFormatting>
  <conditionalFormatting sqref="AH139:AI151">
    <cfRule type="iconSet" priority="56">
      <iconSet iconSet="3Symbols2" showValue="0">
        <cfvo type="percent" val="0"/>
        <cfvo type="num" val="0"/>
        <cfvo type="num" val="0"/>
      </iconSet>
    </cfRule>
  </conditionalFormatting>
  <conditionalFormatting sqref="AH152:AI152">
    <cfRule type="iconSet" priority="67">
      <iconSet iconSet="3Symbols2" showValue="0">
        <cfvo type="percent" val="0"/>
        <cfvo type="num" val="0"/>
        <cfvo type="num" val="0"/>
      </iconSet>
    </cfRule>
  </conditionalFormatting>
  <conditionalFormatting sqref="AH153:AI153">
    <cfRule type="iconSet" priority="82">
      <iconSet iconSet="3Symbols2" showValue="0">
        <cfvo type="percent" val="0"/>
        <cfvo type="num" val="0"/>
        <cfvo type="num" val="0"/>
      </iconSet>
    </cfRule>
  </conditionalFormatting>
  <conditionalFormatting sqref="AH154:AI160">
    <cfRule type="iconSet" priority="55">
      <iconSet iconSet="3Symbols2" showValue="0">
        <cfvo type="percent" val="0"/>
        <cfvo type="num" val="0"/>
        <cfvo type="num" val="0"/>
      </iconSet>
    </cfRule>
  </conditionalFormatting>
  <conditionalFormatting sqref="AJ1:AK5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AJ6:AK8 AJ10:AK10 AJ42:AK42 AJ58:AK58 AJ88:AK97 AJ120:AK126 AJ161:AK1048576">
    <cfRule type="iconSet" priority="49">
      <iconSet iconSet="3Symbols2" showValue="0">
        <cfvo type="percent" val="0"/>
        <cfvo type="num" val="0"/>
        <cfvo type="num" val="0"/>
      </iconSet>
    </cfRule>
  </conditionalFormatting>
  <conditionalFormatting sqref="AJ9:AK9">
    <cfRule type="iconSet" priority="48">
      <iconSet iconSet="3Symbols2" showValue="0">
        <cfvo type="percent" val="0"/>
        <cfvo type="num" val="0"/>
        <cfvo type="num" val="0"/>
      </iconSet>
    </cfRule>
  </conditionalFormatting>
  <conditionalFormatting sqref="AJ11:AK11">
    <cfRule type="iconSet" priority="31">
      <iconSet iconSet="3Symbols2" showValue="0">
        <cfvo type="percent" val="0"/>
        <cfvo type="num" val="0"/>
        <cfvo type="num" val="0"/>
      </iconSet>
    </cfRule>
  </conditionalFormatting>
  <conditionalFormatting sqref="AJ12:AK12">
    <cfRule type="iconSet" priority="47">
      <iconSet iconSet="3Symbols2" showValue="0">
        <cfvo type="percent" val="0"/>
        <cfvo type="num" val="0"/>
        <cfvo type="num" val="0"/>
      </iconSet>
    </cfRule>
  </conditionalFormatting>
  <conditionalFormatting sqref="AJ13:AK23">
    <cfRule type="iconSet" priority="16">
      <iconSet iconSet="3Symbols2" showValue="0">
        <cfvo type="percent" val="0"/>
        <cfvo type="num" val="0"/>
        <cfvo type="num" val="0"/>
      </iconSet>
    </cfRule>
  </conditionalFormatting>
  <conditionalFormatting sqref="AJ24:AK24">
    <cfRule type="iconSet" priority="30">
      <iconSet iconSet="3Symbols2" showValue="0">
        <cfvo type="percent" val="0"/>
        <cfvo type="num" val="0"/>
        <cfvo type="num" val="0"/>
      </iconSet>
    </cfRule>
  </conditionalFormatting>
  <conditionalFormatting sqref="AJ25:AK25">
    <cfRule type="iconSet" priority="46">
      <iconSet iconSet="3Symbols2" showValue="0">
        <cfvo type="percent" val="0"/>
        <cfvo type="num" val="0"/>
        <cfvo type="num" val="0"/>
      </iconSet>
    </cfRule>
  </conditionalFormatting>
  <conditionalFormatting sqref="AJ26:AK26">
    <cfRule type="iconSet" priority="15">
      <iconSet iconSet="3Symbols2" showValue="0">
        <cfvo type="percent" val="0"/>
        <cfvo type="num" val="0"/>
        <cfvo type="num" val="0"/>
      </iconSet>
    </cfRule>
  </conditionalFormatting>
  <conditionalFormatting sqref="AJ27:AK27">
    <cfRule type="iconSet" priority="29">
      <iconSet iconSet="3Symbols2" showValue="0">
        <cfvo type="percent" val="0"/>
        <cfvo type="num" val="0"/>
        <cfvo type="num" val="0"/>
      </iconSet>
    </cfRule>
  </conditionalFormatting>
  <conditionalFormatting sqref="AJ28:AK28">
    <cfRule type="iconSet" priority="45">
      <iconSet iconSet="3Symbols2" showValue="0">
        <cfvo type="percent" val="0"/>
        <cfvo type="num" val="0"/>
        <cfvo type="num" val="0"/>
      </iconSet>
    </cfRule>
  </conditionalFormatting>
  <conditionalFormatting sqref="AJ29:AK39">
    <cfRule type="iconSet" priority="14">
      <iconSet iconSet="3Symbols2" showValue="0">
        <cfvo type="percent" val="0"/>
        <cfvo type="num" val="0"/>
        <cfvo type="num" val="0"/>
      </iconSet>
    </cfRule>
  </conditionalFormatting>
  <conditionalFormatting sqref="AJ40:AK40">
    <cfRule type="iconSet" priority="28">
      <iconSet iconSet="3Symbols2" showValue="0">
        <cfvo type="percent" val="0"/>
        <cfvo type="num" val="0"/>
        <cfvo type="num" val="0"/>
      </iconSet>
    </cfRule>
  </conditionalFormatting>
  <conditionalFormatting sqref="AJ41:AK41">
    <cfRule type="iconSet" priority="44">
      <iconSet iconSet="3Symbols2" showValue="0">
        <cfvo type="percent" val="0"/>
        <cfvo type="num" val="0"/>
        <cfvo type="num" val="0"/>
      </iconSet>
    </cfRule>
  </conditionalFormatting>
  <conditionalFormatting sqref="AJ43:AK43">
    <cfRule type="iconSet" priority="27">
      <iconSet iconSet="3Symbols2" showValue="0">
        <cfvo type="percent" val="0"/>
        <cfvo type="num" val="0"/>
        <cfvo type="num" val="0"/>
      </iconSet>
    </cfRule>
  </conditionalFormatting>
  <conditionalFormatting sqref="AJ44:AK44">
    <cfRule type="iconSet" priority="43">
      <iconSet iconSet="3Symbols2" showValue="0">
        <cfvo type="percent" val="0"/>
        <cfvo type="num" val="0"/>
        <cfvo type="num" val="0"/>
      </iconSet>
    </cfRule>
  </conditionalFormatting>
  <conditionalFormatting sqref="AJ45:AK51 AJ53:AK55 AJ63:AK63">
    <cfRule type="iconSet" priority="13">
      <iconSet iconSet="3Symbols2" showValue="0">
        <cfvo type="percent" val="0"/>
        <cfvo type="num" val="0"/>
        <cfvo type="num" val="0"/>
      </iconSet>
    </cfRule>
  </conditionalFormatting>
  <conditionalFormatting sqref="AJ52:AK52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J56:AK56">
    <cfRule type="iconSet" priority="26">
      <iconSet iconSet="3Symbols2" showValue="0">
        <cfvo type="percent" val="0"/>
        <cfvo type="num" val="0"/>
        <cfvo type="num" val="0"/>
      </iconSet>
    </cfRule>
  </conditionalFormatting>
  <conditionalFormatting sqref="AJ57:AK57">
    <cfRule type="iconSet" priority="42">
      <iconSet iconSet="3Symbols2" showValue="0">
        <cfvo type="percent" val="0"/>
        <cfvo type="num" val="0"/>
        <cfvo type="num" val="0"/>
      </iconSet>
    </cfRule>
  </conditionalFormatting>
  <conditionalFormatting sqref="AJ59:AK59">
    <cfRule type="iconSet" priority="25">
      <iconSet iconSet="3Symbols2" showValue="0">
        <cfvo type="percent" val="0"/>
        <cfvo type="num" val="0"/>
        <cfvo type="num" val="0"/>
      </iconSet>
    </cfRule>
  </conditionalFormatting>
  <conditionalFormatting sqref="AJ60:AK61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J62:AK62">
    <cfRule type="iconSet" priority="36">
      <iconSet iconSet="3Symbols2" showValue="0">
        <cfvo type="percent" val="0"/>
        <cfvo type="num" val="0"/>
        <cfvo type="num" val="0"/>
      </iconSet>
    </cfRule>
  </conditionalFormatting>
  <conditionalFormatting sqref="AJ64:AK64">
    <cfRule type="iconSet" priority="50">
      <iconSet iconSet="3Symbols2" showValue="0">
        <cfvo type="percent" val="0"/>
        <cfvo type="num" val="0"/>
        <cfvo type="num" val="0"/>
      </iconSet>
    </cfRule>
  </conditionalFormatting>
  <conditionalFormatting sqref="AJ65:AK65">
    <cfRule type="iconSet" priority="18">
      <iconSet iconSet="3Symbols2" showValue="0">
        <cfvo type="percent" val="0"/>
        <cfvo type="num" val="0"/>
        <cfvo type="num" val="0"/>
      </iconSet>
    </cfRule>
  </conditionalFormatting>
  <conditionalFormatting sqref="AJ66:AK74">
    <cfRule type="iconSet" priority="12">
      <iconSet iconSet="3Symbols2" showValue="0">
        <cfvo type="percent" val="0"/>
        <cfvo type="num" val="0"/>
        <cfvo type="num" val="0"/>
      </iconSet>
    </cfRule>
  </conditionalFormatting>
  <conditionalFormatting sqref="AJ75:AK75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J76:AK84">
    <cfRule type="iconSet" priority="5">
      <iconSet iconSet="3Symbols2" showValue="0">
        <cfvo type="percent" val="0"/>
        <cfvo type="num" val="0"/>
        <cfvo type="num" val="0"/>
      </iconSet>
    </cfRule>
  </conditionalFormatting>
  <conditionalFormatting sqref="AJ85:AK85">
    <cfRule type="iconSet" priority="17">
      <iconSet iconSet="3Symbols2" showValue="0">
        <cfvo type="percent" val="0"/>
        <cfvo type="num" val="0"/>
        <cfvo type="num" val="0"/>
      </iconSet>
    </cfRule>
  </conditionalFormatting>
  <conditionalFormatting sqref="AJ86:AK86">
    <cfRule type="iconSet" priority="33">
      <iconSet iconSet="3Symbols2" showValue="0">
        <cfvo type="percent" val="0"/>
        <cfvo type="num" val="0"/>
        <cfvo type="num" val="0"/>
      </iconSet>
    </cfRule>
  </conditionalFormatting>
  <conditionalFormatting sqref="AJ87:AK87">
    <cfRule type="iconSet" priority="41">
      <iconSet iconSet="3Symbols2" showValue="0">
        <cfvo type="percent" val="0"/>
        <cfvo type="num" val="0"/>
        <cfvo type="num" val="0"/>
      </iconSet>
    </cfRule>
  </conditionalFormatting>
  <conditionalFormatting sqref="AJ98:AK98">
    <cfRule type="iconSet" priority="24">
      <iconSet iconSet="3Symbols2" showValue="0">
        <cfvo type="percent" val="0"/>
        <cfvo type="num" val="0"/>
        <cfvo type="num" val="0"/>
      </iconSet>
    </cfRule>
  </conditionalFormatting>
  <conditionalFormatting sqref="AJ99:AK99">
    <cfRule type="iconSet" priority="40">
      <iconSet iconSet="3Symbols2" showValue="0">
        <cfvo type="percent" val="0"/>
        <cfvo type="num" val="0"/>
        <cfvo type="num" val="0"/>
      </iconSet>
    </cfRule>
  </conditionalFormatting>
  <conditionalFormatting sqref="AJ100:AK107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AJ108:AK108">
    <cfRule type="iconSet" priority="23">
      <iconSet iconSet="3Symbols2" showValue="0">
        <cfvo type="percent" val="0"/>
        <cfvo type="num" val="0"/>
        <cfvo type="num" val="0"/>
      </iconSet>
    </cfRule>
  </conditionalFormatting>
  <conditionalFormatting sqref="AJ109:AK109">
    <cfRule type="iconSet" priority="39">
      <iconSet iconSet="3Symbols2" showValue="0">
        <cfvo type="percent" val="0"/>
        <cfvo type="num" val="0"/>
        <cfvo type="num" val="0"/>
      </iconSet>
    </cfRule>
  </conditionalFormatting>
  <conditionalFormatting sqref="AJ110:AK117">
    <cfRule type="iconSet" priority="10">
      <iconSet iconSet="3Symbols2" showValue="0">
        <cfvo type="percent" val="0"/>
        <cfvo type="num" val="0"/>
        <cfvo type="num" val="0"/>
      </iconSet>
    </cfRule>
  </conditionalFormatting>
  <conditionalFormatting sqref="AJ118:AK118">
    <cfRule type="iconSet" priority="22">
      <iconSet iconSet="3Symbols2" showValue="0">
        <cfvo type="percent" val="0"/>
        <cfvo type="num" val="0"/>
        <cfvo type="num" val="0"/>
      </iconSet>
    </cfRule>
  </conditionalFormatting>
  <conditionalFormatting sqref="AJ119:AK119">
    <cfRule type="iconSet" priority="38">
      <iconSet iconSet="3Symbols2" showValue="0">
        <cfvo type="percent" val="0"/>
        <cfvo type="num" val="0"/>
        <cfvo type="num" val="0"/>
      </iconSet>
    </cfRule>
  </conditionalFormatting>
  <conditionalFormatting sqref="AJ127:AK127">
    <cfRule type="iconSet" priority="21">
      <iconSet iconSet="3Symbols2" showValue="0">
        <cfvo type="percent" val="0"/>
        <cfvo type="num" val="0"/>
        <cfvo type="num" val="0"/>
      </iconSet>
    </cfRule>
  </conditionalFormatting>
  <conditionalFormatting sqref="AJ128:AK128">
    <cfRule type="iconSet" priority="37">
      <iconSet iconSet="3Symbols2" showValue="0">
        <cfvo type="percent" val="0"/>
        <cfvo type="num" val="0"/>
        <cfvo type="num" val="0"/>
      </iconSet>
    </cfRule>
  </conditionalFormatting>
  <conditionalFormatting sqref="AJ129:AK136">
    <cfRule type="iconSet" priority="9">
      <iconSet iconSet="3Symbols2" showValue="0">
        <cfvo type="percent" val="0"/>
        <cfvo type="num" val="0"/>
        <cfvo type="num" val="0"/>
      </iconSet>
    </cfRule>
  </conditionalFormatting>
  <conditionalFormatting sqref="AJ137:AK137">
    <cfRule type="iconSet" priority="20">
      <iconSet iconSet="3Symbols2" showValue="0">
        <cfvo type="percent" val="0"/>
        <cfvo type="num" val="0"/>
        <cfvo type="num" val="0"/>
      </iconSet>
    </cfRule>
  </conditionalFormatting>
  <conditionalFormatting sqref="AJ138:AK138">
    <cfRule type="iconSet" priority="35">
      <iconSet iconSet="3Symbols2" showValue="0">
        <cfvo type="percent" val="0"/>
        <cfvo type="num" val="0"/>
        <cfvo type="num" val="0"/>
      </iconSet>
    </cfRule>
  </conditionalFormatting>
  <conditionalFormatting sqref="AJ139:AK151">
    <cfRule type="iconSet" priority="8">
      <iconSet iconSet="3Symbols2" showValue="0">
        <cfvo type="percent" val="0"/>
        <cfvo type="num" val="0"/>
        <cfvo type="num" val="0"/>
      </iconSet>
    </cfRule>
  </conditionalFormatting>
  <conditionalFormatting sqref="AJ152:AK152">
    <cfRule type="iconSet" priority="19">
      <iconSet iconSet="3Symbols2" showValue="0">
        <cfvo type="percent" val="0"/>
        <cfvo type="num" val="0"/>
        <cfvo type="num" val="0"/>
      </iconSet>
    </cfRule>
  </conditionalFormatting>
  <conditionalFormatting sqref="AJ153:AK153">
    <cfRule type="iconSet" priority="34">
      <iconSet iconSet="3Symbols2" showValue="0">
        <cfvo type="percent" val="0"/>
        <cfvo type="num" val="0"/>
        <cfvo type="num" val="0"/>
      </iconSet>
    </cfRule>
  </conditionalFormatting>
  <conditionalFormatting sqref="AJ154:AK160">
    <cfRule type="iconSet" priority="7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ID xmlns="49aa8661-6080-4b43-bc71-085039b820b1" xsi:nil="true"/>
    <SharedWithUsers xmlns="1c3b6138-399c-48b0-9249-b80d30773e06">
      <UserInfo>
        <DisplayName>Intern Cpmo</DisplayName>
        <AccountId>640</AccountId>
        <AccountType/>
      </UserInfo>
      <UserInfo>
        <DisplayName>Undavalli Suresh</DisplayName>
        <AccountId>1641</AccountId>
        <AccountType/>
      </UserInfo>
    </SharedWithUsers>
    <lcf76f155ced4ddcb4097134ff3c332f xmlns="49aa8661-6080-4b43-bc71-085039b820b1">
      <Terms xmlns="http://schemas.microsoft.com/office/infopath/2007/PartnerControls"/>
    </lcf76f155ced4ddcb4097134ff3c332f>
    <TaxCatchAll xmlns="1c3b6138-399c-48b0-9249-b80d30773e06" xsi:nil="true"/>
    <Date xmlns="49aa8661-6080-4b43-bc71-085039b820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897DA54605B49B405063084F36B18" ma:contentTypeVersion="20" ma:contentTypeDescription="Create a new document." ma:contentTypeScope="" ma:versionID="8e49a77346c11593ab61173684718027">
  <xsd:schema xmlns:xsd="http://www.w3.org/2001/XMLSchema" xmlns:xs="http://www.w3.org/2001/XMLSchema" xmlns:p="http://schemas.microsoft.com/office/2006/metadata/properties" xmlns:ns2="49aa8661-6080-4b43-bc71-085039b820b1" xmlns:ns3="1c3b6138-399c-48b0-9249-b80d30773e06" targetNamespace="http://schemas.microsoft.com/office/2006/metadata/properties" ma:root="true" ma:fieldsID="09eda505c641c40898b9000e5b821d33" ns2:_="" ns3:_="">
    <xsd:import namespace="49aa8661-6080-4b43-bc71-085039b820b1"/>
    <xsd:import namespace="1c3b6138-399c-48b0-9249-b80d30773e06"/>
    <xsd:element name="properties">
      <xsd:complexType>
        <xsd:sequence>
          <xsd:element name="documentManagement">
            <xsd:complexType>
              <xsd:all>
                <xsd:element ref="ns2:Project_x0020_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a8661-6080-4b43-bc71-085039b820b1" elementFormDefault="qualified">
    <xsd:import namespace="http://schemas.microsoft.com/office/2006/documentManagement/types"/>
    <xsd:import namespace="http://schemas.microsoft.com/office/infopath/2007/PartnerControls"/>
    <xsd:element name="Project_x0020_ID" ma:index="8" nillable="true" ma:displayName="Project ID" ma:description="Choose the project this file belongs to." ma:format="Dropdown" ma:internalName="Project_x0020_ID">
      <xsd:simpleType>
        <xsd:restriction base="dms:Choice">
          <xsd:enumeration value="0053"/>
          <xsd:enumeration value="53P2"/>
          <xsd:enumeration value="0056"/>
          <xsd:enumeration value="0057"/>
          <xsd:enumeration value="0059"/>
          <xsd:enumeration value="0063"/>
          <xsd:enumeration value="0064"/>
          <xsd:enumeration value="0065"/>
          <xsd:enumeration value="0066"/>
          <xsd:enumeration value="0068"/>
          <xsd:enumeration value="0072"/>
          <xsd:enumeration value="0072P2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7A6D57-C275-4E2C-923D-F4DA147A8FF6}">
  <ds:schemaRefs>
    <ds:schemaRef ds:uri="http://schemas.microsoft.com/office/2006/metadata/properties"/>
    <ds:schemaRef ds:uri="http://schemas.microsoft.com/office/infopath/2007/PartnerControls"/>
    <ds:schemaRef ds:uri="49aa8661-6080-4b43-bc71-085039b820b1"/>
    <ds:schemaRef ds:uri="1c3b6138-399c-48b0-9249-b80d30773e06"/>
  </ds:schemaRefs>
</ds:datastoreItem>
</file>

<file path=customXml/itemProps2.xml><?xml version="1.0" encoding="utf-8"?>
<ds:datastoreItem xmlns:ds="http://schemas.openxmlformats.org/officeDocument/2006/customXml" ds:itemID="{07B51EE0-0FDF-4F89-8149-E751F8B26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9C9F6A-10AA-4932-B1FB-A7E4C3B59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Design Fee</vt:lpstr>
      <vt:lpstr>AR | Drawing List</vt:lpstr>
      <vt:lpstr>ST | Drawing List</vt:lpstr>
      <vt:lpstr>MEP | Drawing List</vt:lpstr>
      <vt:lpstr>LS | Drawing List</vt:lpstr>
      <vt:lpstr>BOQ COST</vt:lpstr>
      <vt:lpstr>old LS</vt:lpstr>
      <vt:lpstr>'Design Fee'!Print_Area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 Sagar</dc:creator>
  <cp:keywords/>
  <dc:description/>
  <cp:lastModifiedBy>Shiyam Shankar C</cp:lastModifiedBy>
  <cp:revision/>
  <dcterms:created xsi:type="dcterms:W3CDTF">2019-10-13T06:20:14Z</dcterms:created>
  <dcterms:modified xsi:type="dcterms:W3CDTF">2026-06-29T12:24:16Z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0x010100FDD897DA54605B49B405063084F36B18</vt:lpwstr>
  </property>
  <property fmtid="{D5CDD505-2E9C-101B-9397-08002B2CF9AE}" pid="3" name="MediaServiceImageTags">
    <vt:lpwstr/>
  </property>
</Properties>
</file>