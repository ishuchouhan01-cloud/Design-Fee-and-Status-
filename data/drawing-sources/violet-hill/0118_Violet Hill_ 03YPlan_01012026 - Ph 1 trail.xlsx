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otalenvmt-my.sharepoint.com/personal/ishu_chouhan_total-environment_com/Documents/Documents/"/>
    </mc:Choice>
  </mc:AlternateContent>
  <xr:revisionPtr revIDLastSave="0" documentId="8_{E1AC01C2-C7FD-4103-B24F-25478580D60A}" xr6:coauthVersionLast="47" xr6:coauthVersionMax="47" xr10:uidLastSave="{00000000-0000-0000-0000-000000000000}"/>
  <bookViews>
    <workbookView xWindow="-120" yWindow="-120" windowWidth="20730" windowHeight="11040" firstSheet="1" activeTab="4" xr2:uid="{71FAF4A8-6EF2-4B18-A76A-C552A82CDA2C}"/>
  </bookViews>
  <sheets>
    <sheet name="Assumption Cost" sheetId="20" r:id="rId1"/>
    <sheet name="Design Fee" sheetId="23" r:id="rId2"/>
    <sheet name="Packages deliverables" sheetId="25" r:id="rId3"/>
    <sheet name="BOQ cost" sheetId="26" r:id="rId4"/>
    <sheet name="Drawing list | MP &amp; AR" sheetId="27" r:id="rId5"/>
    <sheet name="Drawing list | ST" sheetId="28" r:id="rId6"/>
    <sheet name="Drawing list | MEP" sheetId="29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\0">#REF!</definedName>
    <definedName name="\a">#N/A</definedName>
    <definedName name="\E">#REF!</definedName>
    <definedName name="\f">#N/A</definedName>
    <definedName name="\g">#REF!</definedName>
    <definedName name="\h">#REF!</definedName>
    <definedName name="\i">#REF!</definedName>
    <definedName name="\j">#REF!</definedName>
    <definedName name="\l">#REF!</definedName>
    <definedName name="\M">#REF!</definedName>
    <definedName name="\n">#REF!</definedName>
    <definedName name="\p">#N/A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#N/A</definedName>
    <definedName name="\z">#N/A</definedName>
    <definedName name="_" localSheetId="1" hidden="1">'[1]Rate Analysis'!#REF!</definedName>
    <definedName name="_" localSheetId="6" hidden="1">'[1]Rate Analysis'!#REF!</definedName>
    <definedName name="_" localSheetId="4" hidden="1">'[1]Rate Analysis'!#REF!</definedName>
    <definedName name="_" localSheetId="5" hidden="1">'[1]Rate Analysis'!#REF!</definedName>
    <definedName name="_" localSheetId="2" hidden="1">'[1]Rate Analysis'!#REF!</definedName>
    <definedName name="_" hidden="1">#REF!</definedName>
    <definedName name="__">#REF!</definedName>
    <definedName name="__________________________________New1">#REF!</definedName>
    <definedName name="__________________________________sep97">#REF!</definedName>
    <definedName name="__________________________________sht1">#REF!</definedName>
    <definedName name="_________________________________Grp12">#REF!</definedName>
    <definedName name="_________________________________Grp13">#REF!</definedName>
    <definedName name="_________________________________Grp14">#REF!</definedName>
    <definedName name="_________________________________Grp15">#REF!</definedName>
    <definedName name="_________________________________Grp2">#REF!</definedName>
    <definedName name="_________________________________New1">#REF!</definedName>
    <definedName name="_________________________________sep97">#REF!</definedName>
    <definedName name="_________________________________sht1">#REF!</definedName>
    <definedName name="________________________________FST1">#REF!</definedName>
    <definedName name="________________________________Grp12">#REF!</definedName>
    <definedName name="________________________________Grp13">#REF!</definedName>
    <definedName name="________________________________Grp14">#REF!</definedName>
    <definedName name="________________________________Grp15">#REF!</definedName>
    <definedName name="________________________________Grp2">#REF!</definedName>
    <definedName name="________________________________ILT1">#REF!</definedName>
    <definedName name="________________________________New1">#REF!</definedName>
    <definedName name="________________________________sep97">#REF!</definedName>
    <definedName name="________________________________sht1">#REF!</definedName>
    <definedName name="________________________________ST1">#REF!</definedName>
    <definedName name="________________________________TLT1">#REF!</definedName>
    <definedName name="________________________________TOT1">#REF!</definedName>
    <definedName name="________________________________UER1">#REF!</definedName>
    <definedName name="_______________________________FST1">#REF!</definedName>
    <definedName name="_______________________________Grp12">#REF!</definedName>
    <definedName name="_______________________________Grp13">#REF!</definedName>
    <definedName name="_______________________________Grp14">#REF!</definedName>
    <definedName name="_______________________________Grp15">#REF!</definedName>
    <definedName name="_______________________________Grp2">#REF!</definedName>
    <definedName name="_______________________________ILT1">#REF!</definedName>
    <definedName name="_______________________________New1">#REF!</definedName>
    <definedName name="_______________________________sep97">#REF!</definedName>
    <definedName name="_______________________________sht1">#REF!</definedName>
    <definedName name="_______________________________ST1">#REF!</definedName>
    <definedName name="_______________________________TLT1">#REF!</definedName>
    <definedName name="_______________________________TOT1">#REF!</definedName>
    <definedName name="_______________________________UER1">#REF!</definedName>
    <definedName name="______________________________FST1">#REF!</definedName>
    <definedName name="______________________________Grp12">#REF!</definedName>
    <definedName name="______________________________Grp13">#REF!</definedName>
    <definedName name="______________________________Grp14">#REF!</definedName>
    <definedName name="______________________________Grp15">#REF!</definedName>
    <definedName name="______________________________Grp2">#REF!</definedName>
    <definedName name="______________________________ILT1">#REF!</definedName>
    <definedName name="______________________________New1">#REF!</definedName>
    <definedName name="______________________________sep97">#REF!</definedName>
    <definedName name="______________________________sht1">#REF!</definedName>
    <definedName name="______________________________ST1">#REF!</definedName>
    <definedName name="______________________________TLT1">#REF!</definedName>
    <definedName name="______________________________TOT1">#REF!</definedName>
    <definedName name="______________________________UER1">#REF!</definedName>
    <definedName name="_____________________________FST1">#REF!</definedName>
    <definedName name="_____________________________Grp12">#REF!</definedName>
    <definedName name="_____________________________Grp13">#REF!</definedName>
    <definedName name="_____________________________Grp14">#REF!</definedName>
    <definedName name="_____________________________Grp15">#REF!</definedName>
    <definedName name="_____________________________Grp2">#REF!</definedName>
    <definedName name="_____________________________ILT1">#REF!</definedName>
    <definedName name="_____________________________New1">#REF!</definedName>
    <definedName name="_____________________________sep97">#REF!</definedName>
    <definedName name="_____________________________sht1">#REF!</definedName>
    <definedName name="_____________________________ST1">#REF!</definedName>
    <definedName name="_____________________________TLT1">#REF!</definedName>
    <definedName name="_____________________________TOT1">#REF!</definedName>
    <definedName name="_____________________________UER1">#REF!</definedName>
    <definedName name="____________________________FST1">#REF!</definedName>
    <definedName name="____________________________Grp12">#REF!</definedName>
    <definedName name="____________________________Grp13">#REF!</definedName>
    <definedName name="____________________________Grp14">#REF!</definedName>
    <definedName name="____________________________Grp15">#REF!</definedName>
    <definedName name="____________________________Grp2">#REF!</definedName>
    <definedName name="____________________________ILT1">#REF!</definedName>
    <definedName name="____________________________New1">#REF!</definedName>
    <definedName name="____________________________sep97">#REF!</definedName>
    <definedName name="____________________________sht1">#REF!</definedName>
    <definedName name="____________________________ST1">#REF!</definedName>
    <definedName name="____________________________TLT1">#REF!</definedName>
    <definedName name="____________________________TOT1">#REF!</definedName>
    <definedName name="____________________________UER1">#REF!</definedName>
    <definedName name="___________________________FST1">#REF!</definedName>
    <definedName name="___________________________Grp12">#REF!</definedName>
    <definedName name="___________________________Grp13">#REF!</definedName>
    <definedName name="___________________________Grp14">#REF!</definedName>
    <definedName name="___________________________Grp15">#REF!</definedName>
    <definedName name="___________________________Grp2">#REF!</definedName>
    <definedName name="___________________________ILT1">#REF!</definedName>
    <definedName name="___________________________New1">#REF!</definedName>
    <definedName name="___________________________sep97">#REF!</definedName>
    <definedName name="___________________________sht1">#REF!</definedName>
    <definedName name="___________________________ST1">#REF!</definedName>
    <definedName name="___________________________TLT1">#REF!</definedName>
    <definedName name="___________________________TOT1">#REF!</definedName>
    <definedName name="___________________________UER1">#REF!</definedName>
    <definedName name="__________________________FST1">#REF!</definedName>
    <definedName name="__________________________Grp12">#REF!</definedName>
    <definedName name="__________________________Grp13">#REF!</definedName>
    <definedName name="__________________________Grp14">#REF!</definedName>
    <definedName name="__________________________Grp15">#REF!</definedName>
    <definedName name="__________________________Grp2">#REF!</definedName>
    <definedName name="__________________________ILT1">#REF!</definedName>
    <definedName name="__________________________New1">#REF!</definedName>
    <definedName name="__________________________sep97">#REF!</definedName>
    <definedName name="__________________________sht1">#REF!</definedName>
    <definedName name="__________________________ST1">#REF!</definedName>
    <definedName name="__________________________TLT1">#REF!</definedName>
    <definedName name="__________________________TOT1">#REF!</definedName>
    <definedName name="__________________________UER1">#REF!</definedName>
    <definedName name="_________________________FST1">#REF!</definedName>
    <definedName name="_________________________Grp12">#REF!</definedName>
    <definedName name="_________________________Grp13">#REF!</definedName>
    <definedName name="_________________________Grp14">#REF!</definedName>
    <definedName name="_________________________Grp15">#REF!</definedName>
    <definedName name="_________________________Grp2">#REF!</definedName>
    <definedName name="_________________________ILT1">#REF!</definedName>
    <definedName name="_________________________New1">#REF!</definedName>
    <definedName name="_________________________sep97">#REF!</definedName>
    <definedName name="_________________________sht1">#REF!</definedName>
    <definedName name="_________________________ST1">#REF!</definedName>
    <definedName name="_________________________TLT1">#REF!</definedName>
    <definedName name="_________________________TOT1">#REF!</definedName>
    <definedName name="_________________________UER1">#REF!</definedName>
    <definedName name="________________________FST1">#REF!</definedName>
    <definedName name="________________________Grp12">#REF!</definedName>
    <definedName name="________________________Grp13">#REF!</definedName>
    <definedName name="________________________Grp14">#REF!</definedName>
    <definedName name="________________________Grp15">#REF!</definedName>
    <definedName name="________________________Grp2">#REF!</definedName>
    <definedName name="________________________ILT1">#REF!</definedName>
    <definedName name="________________________New1">#REF!</definedName>
    <definedName name="________________________sep97">#REF!</definedName>
    <definedName name="________________________sht1">#REF!</definedName>
    <definedName name="________________________ST1">#REF!</definedName>
    <definedName name="________________________TLT1">#REF!</definedName>
    <definedName name="________________________TOT1">#REF!</definedName>
    <definedName name="________________________UER1">#REF!</definedName>
    <definedName name="_______________________FST1">#REF!</definedName>
    <definedName name="_______________________Grp12">#REF!</definedName>
    <definedName name="_______________________Grp13">#REF!</definedName>
    <definedName name="_______________________Grp14">#REF!</definedName>
    <definedName name="_______________________Grp15">#REF!</definedName>
    <definedName name="_______________________Grp2">#REF!</definedName>
    <definedName name="_______________________ILT1">#REF!</definedName>
    <definedName name="_______________________New1">#REF!</definedName>
    <definedName name="_______________________sep97">#REF!</definedName>
    <definedName name="_______________________sht1">#REF!</definedName>
    <definedName name="_______________________ST1">#REF!</definedName>
    <definedName name="_______________________SV251005">#REF!</definedName>
    <definedName name="_______________________TAX0708">#REF!</definedName>
    <definedName name="_______________________TLT1">#REF!</definedName>
    <definedName name="_______________________TOT1">#REF!</definedName>
    <definedName name="_______________________UER1">#REF!</definedName>
    <definedName name="______________________FST1">#REF!</definedName>
    <definedName name="______________________Grp12">#REF!</definedName>
    <definedName name="______________________Grp13">#REF!</definedName>
    <definedName name="______________________Grp14">#REF!</definedName>
    <definedName name="______________________Grp15">#REF!</definedName>
    <definedName name="______________________Grp2">#REF!</definedName>
    <definedName name="______________________ILT1">#REF!</definedName>
    <definedName name="______________________New1">#REF!</definedName>
    <definedName name="______________________sep97">#REF!</definedName>
    <definedName name="______________________sht1">#REF!</definedName>
    <definedName name="______________________ST1">#REF!</definedName>
    <definedName name="______________________SV251005">#REF!</definedName>
    <definedName name="______________________TAX0708">#REF!</definedName>
    <definedName name="______________________TLT1">#REF!</definedName>
    <definedName name="______________________TOT1">#REF!</definedName>
    <definedName name="______________________UER1">#REF!</definedName>
    <definedName name="_____________________FST1">#REF!</definedName>
    <definedName name="_____________________Grp12">#REF!</definedName>
    <definedName name="_____________________Grp13">#REF!</definedName>
    <definedName name="_____________________Grp14">#REF!</definedName>
    <definedName name="_____________________Grp15">#REF!</definedName>
    <definedName name="_____________________Grp2">#REF!</definedName>
    <definedName name="_____________________ILT1">#REF!</definedName>
    <definedName name="_____________________New1">#REF!</definedName>
    <definedName name="_____________________sep97">#REF!</definedName>
    <definedName name="_____________________sht1">#REF!</definedName>
    <definedName name="_____________________ST1">#REF!</definedName>
    <definedName name="_____________________SV251005">#REF!</definedName>
    <definedName name="_____________________TAX0708">#REF!</definedName>
    <definedName name="_____________________TLT1">#REF!</definedName>
    <definedName name="_____________________TOT1">#REF!</definedName>
    <definedName name="_____________________UER1">#REF!</definedName>
    <definedName name="____________________FST1">#REF!</definedName>
    <definedName name="____________________Grp12">#REF!</definedName>
    <definedName name="____________________Grp13">#REF!</definedName>
    <definedName name="____________________Grp14">#REF!</definedName>
    <definedName name="____________________Grp15">#REF!</definedName>
    <definedName name="____________________Grp2">#REF!</definedName>
    <definedName name="____________________ILT1">#REF!</definedName>
    <definedName name="____________________New1">#REF!</definedName>
    <definedName name="____________________sep97">#REF!</definedName>
    <definedName name="____________________sht1">#REF!</definedName>
    <definedName name="____________________ST1">#REF!</definedName>
    <definedName name="____________________SV251005">#REF!</definedName>
    <definedName name="____________________TAX0708">#REF!</definedName>
    <definedName name="____________________TLT1">#REF!</definedName>
    <definedName name="____________________TOT1">#REF!</definedName>
    <definedName name="____________________UER1">#REF!</definedName>
    <definedName name="___________________FST1">#REF!</definedName>
    <definedName name="___________________Grp12">#REF!</definedName>
    <definedName name="___________________Grp13">#REF!</definedName>
    <definedName name="___________________Grp14">#REF!</definedName>
    <definedName name="___________________Grp15">#REF!</definedName>
    <definedName name="___________________Grp2">#REF!</definedName>
    <definedName name="___________________ILT1">#REF!</definedName>
    <definedName name="___________________New1">#REF!</definedName>
    <definedName name="___________________sep97">#REF!</definedName>
    <definedName name="___________________sht1">#REF!</definedName>
    <definedName name="___________________ST1">#REF!</definedName>
    <definedName name="___________________SV251005">#REF!</definedName>
    <definedName name="___________________TAX0708">#REF!</definedName>
    <definedName name="___________________TLT1">#REF!</definedName>
    <definedName name="___________________TOT1">#REF!</definedName>
    <definedName name="___________________UER1">#REF!</definedName>
    <definedName name="__________________FST1">#REF!</definedName>
    <definedName name="__________________Grp12">#REF!</definedName>
    <definedName name="__________________Grp13">#REF!</definedName>
    <definedName name="__________________Grp14">#REF!</definedName>
    <definedName name="__________________Grp15">#REF!</definedName>
    <definedName name="__________________Grp2">#REF!</definedName>
    <definedName name="__________________ILT1">#REF!</definedName>
    <definedName name="__________________New1">#REF!</definedName>
    <definedName name="__________________sep97">#REF!</definedName>
    <definedName name="__________________sht1">#REF!</definedName>
    <definedName name="__________________ST1">#REF!</definedName>
    <definedName name="__________________SV251005">#REF!</definedName>
    <definedName name="__________________TAX0708">#REF!</definedName>
    <definedName name="__________________TLT1">#REF!</definedName>
    <definedName name="__________________TOT1">#REF!</definedName>
    <definedName name="__________________UER1">#REF!</definedName>
    <definedName name="_________________FST1">#REF!</definedName>
    <definedName name="_________________Grp12">#REF!</definedName>
    <definedName name="_________________Grp13">#REF!</definedName>
    <definedName name="_________________Grp14">#REF!</definedName>
    <definedName name="_________________Grp15">#REF!</definedName>
    <definedName name="_________________Grp2">#REF!</definedName>
    <definedName name="_________________ILT1">#REF!</definedName>
    <definedName name="_________________New1">#REF!</definedName>
    <definedName name="_________________sep97">#REF!</definedName>
    <definedName name="_________________sht1">#REF!</definedName>
    <definedName name="_________________ST1">#REF!</definedName>
    <definedName name="_________________SV251005">#REF!</definedName>
    <definedName name="_________________TAX0708">#REF!</definedName>
    <definedName name="_________________TLT1">#REF!</definedName>
    <definedName name="_________________TOT1">#REF!</definedName>
    <definedName name="_________________UER1">#REF!</definedName>
    <definedName name="________________FST1">#REF!</definedName>
    <definedName name="________________Grp12">#REF!</definedName>
    <definedName name="________________Grp13">#REF!</definedName>
    <definedName name="________________Grp14">#REF!</definedName>
    <definedName name="________________Grp15">#REF!</definedName>
    <definedName name="________________Grp2">#REF!</definedName>
    <definedName name="________________ILT1">#REF!</definedName>
    <definedName name="________________New1">#REF!</definedName>
    <definedName name="________________sep97">#REF!</definedName>
    <definedName name="________________sht1">#REF!</definedName>
    <definedName name="________________ST1">#REF!</definedName>
    <definedName name="________________SV251005">#REF!</definedName>
    <definedName name="________________TAX0708">#REF!</definedName>
    <definedName name="________________TLT1">#REF!</definedName>
    <definedName name="________________TOT1">#REF!</definedName>
    <definedName name="________________UER1">#REF!</definedName>
    <definedName name="_______________FST1">#REF!</definedName>
    <definedName name="_______________Grp12">#REF!</definedName>
    <definedName name="_______________Grp13">#REF!</definedName>
    <definedName name="_______________Grp14">#REF!</definedName>
    <definedName name="_______________Grp15">#REF!</definedName>
    <definedName name="_______________Grp2">#REF!</definedName>
    <definedName name="_______________ILT1">#REF!</definedName>
    <definedName name="_______________New1">#REF!</definedName>
    <definedName name="_______________sep97">#REF!</definedName>
    <definedName name="_______________sht1">#REF!</definedName>
    <definedName name="_______________ST1">#REF!</definedName>
    <definedName name="_______________SV251005">#REF!</definedName>
    <definedName name="_______________TAX0708">#REF!</definedName>
    <definedName name="_______________TLT1">#REF!</definedName>
    <definedName name="_______________TOT1">#REF!</definedName>
    <definedName name="_______________UER1">#REF!</definedName>
    <definedName name="______________FST1">#REF!</definedName>
    <definedName name="______________Grp12">#REF!</definedName>
    <definedName name="______________Grp13">#REF!</definedName>
    <definedName name="______________Grp14">#REF!</definedName>
    <definedName name="______________Grp15">#REF!</definedName>
    <definedName name="______________Grp2">#REF!</definedName>
    <definedName name="______________ILT1">#REF!</definedName>
    <definedName name="______________New1">#REF!</definedName>
    <definedName name="______________sep97">#REF!</definedName>
    <definedName name="______________sht1">#REF!</definedName>
    <definedName name="______________ST1">#REF!</definedName>
    <definedName name="______________SV251005">#REF!</definedName>
    <definedName name="______________TAX0708">#REF!</definedName>
    <definedName name="______________TLT1">#REF!</definedName>
    <definedName name="______________TOT1">#REF!</definedName>
    <definedName name="______________UER1">#REF!</definedName>
    <definedName name="_____________FST1">#REF!</definedName>
    <definedName name="_____________Grp12">#REF!</definedName>
    <definedName name="_____________Grp13">#REF!</definedName>
    <definedName name="_____________Grp14">#REF!</definedName>
    <definedName name="_____________Grp15">#REF!</definedName>
    <definedName name="_____________Grp2">#REF!</definedName>
    <definedName name="_____________ILT1">#REF!</definedName>
    <definedName name="_____________New1">#REF!</definedName>
    <definedName name="_____________sep97">#REF!</definedName>
    <definedName name="_____________sht1">#REF!</definedName>
    <definedName name="_____________ST1">#REF!</definedName>
    <definedName name="_____________SV251005">#REF!</definedName>
    <definedName name="_____________TAX0708">#REF!</definedName>
    <definedName name="_____________TLT1">#REF!</definedName>
    <definedName name="_____________TOT1">#REF!</definedName>
    <definedName name="_____________UER1">#REF!</definedName>
    <definedName name="____________FST1">#REF!</definedName>
    <definedName name="____________Grp12">#REF!</definedName>
    <definedName name="____________Grp13">#REF!</definedName>
    <definedName name="____________Grp14">#REF!</definedName>
    <definedName name="____________Grp15">#REF!</definedName>
    <definedName name="____________Grp2">#REF!</definedName>
    <definedName name="____________ILT1">#REF!</definedName>
    <definedName name="____________New1">#REF!</definedName>
    <definedName name="____________sep97">#REF!</definedName>
    <definedName name="____________sht1">#REF!</definedName>
    <definedName name="____________ST1">#REF!</definedName>
    <definedName name="____________SV251005">#REF!</definedName>
    <definedName name="____________TAX0708">#REF!</definedName>
    <definedName name="____________TLT1">#REF!</definedName>
    <definedName name="____________TOT1">#REF!</definedName>
    <definedName name="____________UER1">#REF!</definedName>
    <definedName name="___________FST1">#REF!</definedName>
    <definedName name="___________Grp12">#REF!</definedName>
    <definedName name="___________Grp13">#REF!</definedName>
    <definedName name="___________Grp14">#REF!</definedName>
    <definedName name="___________Grp15">#REF!</definedName>
    <definedName name="___________Grp2">#REF!</definedName>
    <definedName name="___________ILT1">#REF!</definedName>
    <definedName name="___________New1">#REF!</definedName>
    <definedName name="___________sep97">#REF!</definedName>
    <definedName name="___________sht1">#REF!</definedName>
    <definedName name="___________ST1">#REF!</definedName>
    <definedName name="___________SV251005">#REF!</definedName>
    <definedName name="___________TAX0708">#REF!</definedName>
    <definedName name="___________TLT1">#REF!</definedName>
    <definedName name="___________TOT1">#REF!</definedName>
    <definedName name="___________UER1">#REF!</definedName>
    <definedName name="__________FST1">#REF!</definedName>
    <definedName name="__________Grp12">#REF!</definedName>
    <definedName name="__________Grp13">#REF!</definedName>
    <definedName name="__________Grp14">#REF!</definedName>
    <definedName name="__________Grp15">#REF!</definedName>
    <definedName name="__________Grp2">#REF!</definedName>
    <definedName name="__________ILT1">#REF!</definedName>
    <definedName name="__________New1">#REF!</definedName>
    <definedName name="__________sep97">#REF!</definedName>
    <definedName name="__________sht1">#REF!</definedName>
    <definedName name="__________ST1">#REF!</definedName>
    <definedName name="__________SV251005">#REF!</definedName>
    <definedName name="__________TAX0708">#REF!</definedName>
    <definedName name="__________TLT1">#REF!</definedName>
    <definedName name="__________TOT1">#REF!</definedName>
    <definedName name="__________UER1">#REF!</definedName>
    <definedName name="_________FST1">#REF!</definedName>
    <definedName name="_________Grp12">#REF!</definedName>
    <definedName name="_________Grp13">#REF!</definedName>
    <definedName name="_________Grp14">#REF!</definedName>
    <definedName name="_________Grp15">#REF!</definedName>
    <definedName name="_________Grp2">#REF!</definedName>
    <definedName name="_________ILT1">#REF!</definedName>
    <definedName name="_________New1">#REF!</definedName>
    <definedName name="_________sep97">#REF!</definedName>
    <definedName name="_________sht1">#REF!</definedName>
    <definedName name="_________ST1">#REF!</definedName>
    <definedName name="_________SV251005">#REF!</definedName>
    <definedName name="_________TAX0708">#REF!</definedName>
    <definedName name="_________TLT1">#REF!</definedName>
    <definedName name="_________TOT1">#REF!</definedName>
    <definedName name="_________UER1">#REF!</definedName>
    <definedName name="________FST1">#REF!</definedName>
    <definedName name="________Grp12">#REF!</definedName>
    <definedName name="________Grp13">#REF!</definedName>
    <definedName name="________Grp14">#REF!</definedName>
    <definedName name="________Grp15">#REF!</definedName>
    <definedName name="________Grp2">#REF!</definedName>
    <definedName name="________ILT1">#REF!</definedName>
    <definedName name="________New1">#REF!</definedName>
    <definedName name="________sep97">#REF!</definedName>
    <definedName name="________sht1">#REF!</definedName>
    <definedName name="________ST1">#REF!</definedName>
    <definedName name="________SV251005">#REF!</definedName>
    <definedName name="________TAX0708">#REF!</definedName>
    <definedName name="________TLT1">#REF!</definedName>
    <definedName name="________TOT1">#REF!</definedName>
    <definedName name="________UER1">#REF!</definedName>
    <definedName name="_______FST1">#REF!</definedName>
    <definedName name="_______Grp12">#REF!</definedName>
    <definedName name="_______Grp13">#REF!</definedName>
    <definedName name="_______Grp14">#REF!</definedName>
    <definedName name="_______Grp15">#REF!</definedName>
    <definedName name="_______Grp2">#REF!</definedName>
    <definedName name="_______ILT1">#REF!</definedName>
    <definedName name="_______New1">#REF!</definedName>
    <definedName name="_______sep97">#REF!</definedName>
    <definedName name="_______sht1">#REF!</definedName>
    <definedName name="_______ST1">#REF!</definedName>
    <definedName name="_______SV251005">#REF!</definedName>
    <definedName name="_______TAX0708">#REF!</definedName>
    <definedName name="_______TLT1">#REF!</definedName>
    <definedName name="_______TOT1">#REF!</definedName>
    <definedName name="_______UER1">#REF!</definedName>
    <definedName name="______cc1">#REF!</definedName>
    <definedName name="______FST1">#REF!</definedName>
    <definedName name="______Grp12">#REF!</definedName>
    <definedName name="______Grp13">#REF!</definedName>
    <definedName name="______Grp14">#REF!</definedName>
    <definedName name="______Grp15">#REF!</definedName>
    <definedName name="______Grp2">#REF!</definedName>
    <definedName name="______ILT1">#REF!</definedName>
    <definedName name="______New1">#REF!</definedName>
    <definedName name="______sep97">#REF!</definedName>
    <definedName name="______sht1">#REF!</definedName>
    <definedName name="______ST1">#REF!</definedName>
    <definedName name="______SV251005">#REF!</definedName>
    <definedName name="______TAX0708">#REF!</definedName>
    <definedName name="______TLT1">#REF!</definedName>
    <definedName name="______TOT1">#REF!</definedName>
    <definedName name="______UER1">#REF!</definedName>
    <definedName name="_____cc1">#REF!</definedName>
    <definedName name="_____FST1">#REF!</definedName>
    <definedName name="_____Grp12">#REF!</definedName>
    <definedName name="_____Grp13">#REF!</definedName>
    <definedName name="_____Grp14">#REF!</definedName>
    <definedName name="_____Grp15">#REF!</definedName>
    <definedName name="_____Grp2">#REF!</definedName>
    <definedName name="_____ILT1">#REF!</definedName>
    <definedName name="_____New1">#REF!</definedName>
    <definedName name="_____sep97">#REF!</definedName>
    <definedName name="_____sht1">#REF!</definedName>
    <definedName name="_____ST1">#REF!</definedName>
    <definedName name="_____SV251005">#REF!</definedName>
    <definedName name="_____TAX0708">#REF!</definedName>
    <definedName name="_____TLT1">#REF!</definedName>
    <definedName name="_____TOT1">#REF!</definedName>
    <definedName name="_____UER1">#REF!</definedName>
    <definedName name="____cc1">#REF!</definedName>
    <definedName name="____FST1">#REF!</definedName>
    <definedName name="____Grp12">#REF!</definedName>
    <definedName name="____Grp13">#REF!</definedName>
    <definedName name="____Grp14">#REF!</definedName>
    <definedName name="____Grp15">#REF!</definedName>
    <definedName name="____Grp2">#REF!</definedName>
    <definedName name="____ILT1">#REF!</definedName>
    <definedName name="____New1">#REF!</definedName>
    <definedName name="____sep97">#REF!</definedName>
    <definedName name="____sht1">#REF!</definedName>
    <definedName name="____ST1">#REF!</definedName>
    <definedName name="____SV251005">#REF!</definedName>
    <definedName name="____TAX0708">#REF!</definedName>
    <definedName name="____TLT1">#REF!</definedName>
    <definedName name="____TOT1">#REF!</definedName>
    <definedName name="____UER1">#REF!</definedName>
    <definedName name="___C">#REF!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cc1">#REF!</definedName>
    <definedName name="___FST1">#REF!</definedName>
    <definedName name="___Grp12">#REF!</definedName>
    <definedName name="___Grp13">#REF!</definedName>
    <definedName name="___Grp14">#REF!</definedName>
    <definedName name="___Grp15">#REF!</definedName>
    <definedName name="___Grp2">#REF!</definedName>
    <definedName name="___ILT1">#REF!</definedName>
    <definedName name="___INDEX_SHEET___ASAP_Utilities">#REF!</definedName>
    <definedName name="___New1">#REF!</definedName>
    <definedName name="___Sch10">#REF!</definedName>
    <definedName name="___Sch11">#REF!</definedName>
    <definedName name="___Sch12">#REF!</definedName>
    <definedName name="___Sch13">#REF!</definedName>
    <definedName name="___Sch14">#REF!</definedName>
    <definedName name="___Sch15">#REF!</definedName>
    <definedName name="___Sch2">#REF!</definedName>
    <definedName name="___Sch4">#REF!</definedName>
    <definedName name="___Sch5">#REF!</definedName>
    <definedName name="___Sch6">#REF!</definedName>
    <definedName name="___Sch7">#REF!</definedName>
    <definedName name="___Sch8">#REF!</definedName>
    <definedName name="___Sch9">#REF!</definedName>
    <definedName name="___sep97">#REF!</definedName>
    <definedName name="___sht1">#REF!</definedName>
    <definedName name="___ST1">#REF!</definedName>
    <definedName name="___SV251005">#REF!</definedName>
    <definedName name="___TAX0708">#REF!</definedName>
    <definedName name="___TLT1">#REF!</definedName>
    <definedName name="___TOT1">#REF!</definedName>
    <definedName name="___UER1">#REF!</definedName>
    <definedName name="__1_115JAA">#REF!</definedName>
    <definedName name="__123Graph_A" localSheetId="1" hidden="1">[2]TB!#REF!</definedName>
    <definedName name="__123Graph_A" localSheetId="6" hidden="1">[2]TB!#REF!</definedName>
    <definedName name="__123Graph_A" localSheetId="4" hidden="1">[2]TB!#REF!</definedName>
    <definedName name="__123Graph_A" localSheetId="5" hidden="1">[2]TB!#REF!</definedName>
    <definedName name="__123Graph_A" localSheetId="2" hidden="1">[2]TB!#REF!</definedName>
    <definedName name="__123Graph_A" hidden="1">#REF!</definedName>
    <definedName name="__123Graph_AIRR_EQ" hidden="1">#REF!</definedName>
    <definedName name="__123Graph_B" localSheetId="1" hidden="1">'[1]Rate Analysis'!#REF!</definedName>
    <definedName name="__123Graph_B" localSheetId="6" hidden="1">'[1]Rate Analysis'!#REF!</definedName>
    <definedName name="__123Graph_B" localSheetId="4" hidden="1">'[1]Rate Analysis'!#REF!</definedName>
    <definedName name="__123Graph_B" localSheetId="5" hidden="1">'[1]Rate Analysis'!#REF!</definedName>
    <definedName name="__123Graph_B" localSheetId="2" hidden="1">'[1]Rate Analysis'!#REF!</definedName>
    <definedName name="__123Graph_B" hidden="1">#REF!</definedName>
    <definedName name="__123Graph_C" localSheetId="1" hidden="1">'[1]Rate Analysis'!#REF!</definedName>
    <definedName name="__123Graph_C" localSheetId="6" hidden="1">'[1]Rate Analysis'!#REF!</definedName>
    <definedName name="__123Graph_C" localSheetId="4" hidden="1">'[1]Rate Analysis'!#REF!</definedName>
    <definedName name="__123Graph_C" localSheetId="5" hidden="1">'[1]Rate Analysis'!#REF!</definedName>
    <definedName name="__123Graph_C" localSheetId="2" hidden="1">'[1]Rate Analysis'!#REF!</definedName>
    <definedName name="__123Graph_C" hidden="1">#REF!</definedName>
    <definedName name="__123Graph_D" localSheetId="1" hidden="1">'[3]vb 9&amp;10'!#REF!</definedName>
    <definedName name="__123Graph_D" localSheetId="6" hidden="1">'[3]vb 9&amp;10'!#REF!</definedName>
    <definedName name="__123Graph_D" localSheetId="4" hidden="1">'[3]vb 9&amp;10'!#REF!</definedName>
    <definedName name="__123Graph_D" localSheetId="5" hidden="1">'[3]vb 9&amp;10'!#REF!</definedName>
    <definedName name="__123Graph_D" localSheetId="2" hidden="1">'[3]vb 9&amp;10'!#REF!</definedName>
    <definedName name="__123Graph_D" hidden="1">#REF!</definedName>
    <definedName name="__123Graph_E" localSheetId="1" hidden="1">'[1]Rate Analysis'!#REF!</definedName>
    <definedName name="__123Graph_E" localSheetId="6" hidden="1">'[1]Rate Analysis'!#REF!</definedName>
    <definedName name="__123Graph_E" localSheetId="4" hidden="1">'[1]Rate Analysis'!#REF!</definedName>
    <definedName name="__123Graph_E" localSheetId="5" hidden="1">'[1]Rate Analysis'!#REF!</definedName>
    <definedName name="__123Graph_E" localSheetId="2" hidden="1">'[1]Rate Analysis'!#REF!</definedName>
    <definedName name="__123Graph_E" hidden="1">#REF!</definedName>
    <definedName name="__123Graph_F" localSheetId="1" hidden="1">'[1]Rate Analysis'!#REF!</definedName>
    <definedName name="__123Graph_F" localSheetId="6" hidden="1">'[1]Rate Analysis'!#REF!</definedName>
    <definedName name="__123Graph_F" localSheetId="4" hidden="1">'[1]Rate Analysis'!#REF!</definedName>
    <definedName name="__123Graph_F" localSheetId="5" hidden="1">'[1]Rate Analysis'!#REF!</definedName>
    <definedName name="__123Graph_F" localSheetId="2" hidden="1">'[1]Rate Analysis'!#REF!</definedName>
    <definedName name="__123Graph_F" hidden="1">#REF!</definedName>
    <definedName name="__123Graph_X" localSheetId="1" hidden="1">[2]TB!#REF!</definedName>
    <definedName name="__123Graph_X" localSheetId="6" hidden="1">[2]TB!#REF!</definedName>
    <definedName name="__123Graph_X" localSheetId="4" hidden="1">[2]TB!#REF!</definedName>
    <definedName name="__123Graph_X" localSheetId="5" hidden="1">[2]TB!#REF!</definedName>
    <definedName name="__123Graph_X" localSheetId="2" hidden="1">[2]TB!#REF!</definedName>
    <definedName name="__123Graph_X" hidden="1">#REF!</definedName>
    <definedName name="__123Graph_XIRR_EQ" hidden="1">#REF!</definedName>
    <definedName name="__2_29B_STT2">#REF!</definedName>
    <definedName name="__3_35_2AA">#REF!</definedName>
    <definedName name="__4_35_2AB_SUMM">#REF!</definedName>
    <definedName name="__Actuals_for_total_of_12_Time_selections_Ledger_1" hidden="1">#REF!</definedName>
    <definedName name="__bs1">#N/A</definedName>
    <definedName name="__C">#REF!</definedName>
    <definedName name="__cc1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DS_HYPERLINK_TOGGLE_STATE__" hidden="1">"ON"</definedName>
    <definedName name="__FST1">#REF!</definedName>
    <definedName name="__Grp12">#REF!</definedName>
    <definedName name="__Grp13">#REF!</definedName>
    <definedName name="__Grp14">#REF!</definedName>
    <definedName name="__Grp15">#REF!</definedName>
    <definedName name="__Grp2">#REF!</definedName>
    <definedName name="__ILT1">#REF!</definedName>
    <definedName name="__IntlFixup" hidden="1">TRUE</definedName>
    <definedName name="__JAI1">#REF!</definedName>
    <definedName name="__JAI2">#REF!</definedName>
    <definedName name="__JAI3">#REF!</definedName>
    <definedName name="__KJ1">#REF!</definedName>
    <definedName name="__KJ2">#REF!</definedName>
    <definedName name="__KJ3">#REF!</definedName>
    <definedName name="__KJ4">#REF!</definedName>
    <definedName name="__KJ5">#REF!</definedName>
    <definedName name="__New1">#REF!</definedName>
    <definedName name="__PG10">#REF!</definedName>
    <definedName name="__PG11">#REF!</definedName>
    <definedName name="__PG13">#REF!</definedName>
    <definedName name="__PG2">#REF!</definedName>
    <definedName name="__PG3">#REF!</definedName>
    <definedName name="__PG4">#REF!</definedName>
    <definedName name="__PG5">#REF!</definedName>
    <definedName name="__PG6">#REF!</definedName>
    <definedName name="__PG7">#REF!</definedName>
    <definedName name="__PG8">#REF!</definedName>
    <definedName name="__Sch10">#REF!</definedName>
    <definedName name="__Sch11">#REF!</definedName>
    <definedName name="__Sch12">#REF!</definedName>
    <definedName name="__Sch13">#REF!</definedName>
    <definedName name="__Sch14">#REF!</definedName>
    <definedName name="__Sch15">#REF!</definedName>
    <definedName name="__Sch2">#REF!</definedName>
    <definedName name="__Sch4">#REF!</definedName>
    <definedName name="__Sch5">#REF!</definedName>
    <definedName name="__Sch6">#REF!</definedName>
    <definedName name="__Sch7">#REF!</definedName>
    <definedName name="__Sch8">#REF!</definedName>
    <definedName name="__Sch9">#REF!</definedName>
    <definedName name="__sep97">#REF!</definedName>
    <definedName name="__sht1">#REF!</definedName>
    <definedName name="__ST1">#REF!</definedName>
    <definedName name="__SV251005">#REF!</definedName>
    <definedName name="__TAX0708">#REF!</definedName>
    <definedName name="__TB2004">#REF!</definedName>
    <definedName name="__TLT1">#REF!</definedName>
    <definedName name="__TOT1">#REF!</definedName>
    <definedName name="__UER1">#REF!</definedName>
    <definedName name="__xlnm._FilterDatabase_3">#REF!</definedName>
    <definedName name="_1_?">#REF!</definedName>
    <definedName name="_1_115JAA">#REF!</definedName>
    <definedName name="_10_0_0MIS_C">#REF!</definedName>
    <definedName name="_11_0_0PLANJBM">#REF!</definedName>
    <definedName name="_115JAA">#REF!</definedName>
    <definedName name="_1ANNEX_C_1">#REF!</definedName>
    <definedName name="_2_??">#REF!</definedName>
    <definedName name="_2_29B_STT2">#REF!</definedName>
    <definedName name="_23_07_2008">#REF!</definedName>
    <definedName name="_2B_9">#REF!</definedName>
    <definedName name="_3_???">#REF!</definedName>
    <definedName name="_3_35_2AA">#REF!</definedName>
    <definedName name="_4_????">#REF!</definedName>
    <definedName name="_4_35_2AB_SUMM">#REF!</definedName>
    <definedName name="_5_?????????">#REF!</definedName>
    <definedName name="_5ANNEX_C_1">#REF!</definedName>
    <definedName name="_5CAP_GAIN">#REF!</definedName>
    <definedName name="_6_??_???">#REF!</definedName>
    <definedName name="_6CAP_GAIN">#REF!</definedName>
    <definedName name="_6FORM_29B">#REF!</definedName>
    <definedName name="_7_?_??">#REF!</definedName>
    <definedName name="_7FORM_29B">#REF!</definedName>
    <definedName name="_7PAGE_4">#REF!</definedName>
    <definedName name="_80HHC">#REF!</definedName>
    <definedName name="_99_00">#N/A</definedName>
    <definedName name="_a">#REF!</definedName>
    <definedName name="_ACK1">#REF!</definedName>
    <definedName name="_ake1">#REF!</definedName>
    <definedName name="_ake2">#REF!</definedName>
    <definedName name="_ake3">#REF!</definedName>
    <definedName name="_AMT13502">#N/A</definedName>
    <definedName name="_AMT41301">#N/A</definedName>
    <definedName name="_AMT85116">#N/A</definedName>
    <definedName name="_AMT85125">#N/A</definedName>
    <definedName name="_AMT86106">#N/A</definedName>
    <definedName name="_Box35">#REF!</definedName>
    <definedName name="_bs1">#N/A</definedName>
    <definedName name="_c">#REF!</definedName>
    <definedName name="_C10">#REF!</definedName>
    <definedName name="_C6">#REF!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cc1">#REF!</definedName>
    <definedName name="_Closing_Balance_for_Branch" hidden="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localSheetId="1" hidden="1">'Design Fee'!#REF!</definedName>
    <definedName name="_Dist_Bin" hidden="1">#REF!</definedName>
    <definedName name="_Dist_Values" localSheetId="1" hidden="1">'Design Fee'!#REF!</definedName>
    <definedName name="_Dist_Values" hidden="1">#REF!</definedName>
    <definedName name="_Fill" localSheetId="1" hidden="1">#REF!</definedName>
    <definedName name="_Fill" hidden="1">#REF!</definedName>
    <definedName name="_Fill1" hidden="1">#REF!</definedName>
    <definedName name="_xlnm._FilterDatabase" localSheetId="1" hidden="1">'Design Fee'!$F$4:$F$50</definedName>
    <definedName name="_xlnm._FilterDatabase" localSheetId="6" hidden="1">'Drawing list | MEP'!$B$1:$W$3</definedName>
    <definedName name="_xlnm._FilterDatabase" localSheetId="4" hidden="1">'Drawing list | MP &amp; AR'!$B$1:$W$24</definedName>
    <definedName name="_xlnm._FilterDatabase" localSheetId="5" hidden="1">'Drawing list | ST'!$B$1:$W$3</definedName>
    <definedName name="_xlnm._FilterDatabase" localSheetId="2" hidden="1">'[4]SP Break Up'!$A$6:$I$39</definedName>
    <definedName name="_xlnm._FilterDatabase" hidden="1">#REF!</definedName>
    <definedName name="_FST1">#REF!</definedName>
    <definedName name="_G20">#REF!</definedName>
    <definedName name="_Grp12">#REF!</definedName>
    <definedName name="_Grp13">#REF!</definedName>
    <definedName name="_Grp14">#REF!</definedName>
    <definedName name="_Grp15">#REF!</definedName>
    <definedName name="_Grp2">#REF!</definedName>
    <definedName name="_ILT1">#REF!</definedName>
    <definedName name="_inv1">#REF!</definedName>
    <definedName name="_inv2">#REF!</definedName>
    <definedName name="_JAI1">#REF!</definedName>
    <definedName name="_JAI2">#REF!</definedName>
    <definedName name="_JAI3">#REF!</definedName>
    <definedName name="_Key1" localSheetId="1" hidden="1">'Design Fee'!#REF!</definedName>
    <definedName name="_Key1" hidden="1">#REF!</definedName>
    <definedName name="_Key2" localSheetId="1" hidden="1">'[5]#REF'!$A$9</definedName>
    <definedName name="_Key2" localSheetId="6" hidden="1">'[5]#REF'!$A$9</definedName>
    <definedName name="_Key2" localSheetId="4" hidden="1">'[5]#REF'!$A$9</definedName>
    <definedName name="_Key2" localSheetId="5" hidden="1">'[5]#REF'!$A$9</definedName>
    <definedName name="_Key2" localSheetId="2" hidden="1">'[5]#REF'!$A$9</definedName>
    <definedName name="_Key2" hidden="1">#REF!</definedName>
    <definedName name="_KJ1">#REF!</definedName>
    <definedName name="_KJ2">#REF!</definedName>
    <definedName name="_KJ3">#REF!</definedName>
    <definedName name="_KJ4">#REF!</definedName>
    <definedName name="_KJ5">#REF!</definedName>
    <definedName name="_LN1">#REF!</definedName>
    <definedName name="_LN2">#N/A</definedName>
    <definedName name="_m124">#REF!</definedName>
    <definedName name="_m125">#REF!</definedName>
    <definedName name="_m126">#REF!</definedName>
    <definedName name="_m127">#REF!</definedName>
    <definedName name="_m128">#REF!</definedName>
    <definedName name="_m129">#REF!</definedName>
    <definedName name="_m130">#REF!</definedName>
    <definedName name="_m131">#REF!</definedName>
    <definedName name="_m132">#REF!</definedName>
    <definedName name="_m133">#REF!</definedName>
    <definedName name="_m134">#REF!</definedName>
    <definedName name="_m135">#REF!</definedName>
    <definedName name="_m136">#REF!</definedName>
    <definedName name="_MA1">#REF!</definedName>
    <definedName name="_MA10">#REF!</definedName>
    <definedName name="_MA11">#REF!</definedName>
    <definedName name="_MA12">#REF!</definedName>
    <definedName name="_MA13">#REF!</definedName>
    <definedName name="_MA14">#REF!</definedName>
    <definedName name="_MA15">#REF!</definedName>
    <definedName name="_MA16">#REF!</definedName>
    <definedName name="_MA17">#REF!</definedName>
    <definedName name="_MA18">#REF!</definedName>
    <definedName name="_MA19">#REF!</definedName>
    <definedName name="_MA2">#REF!</definedName>
    <definedName name="_MA20">#REF!</definedName>
    <definedName name="_ma200">#REF!</definedName>
    <definedName name="_ma201">#REF!</definedName>
    <definedName name="_ma202">#REF!</definedName>
    <definedName name="_ma203">#REF!</definedName>
    <definedName name="_ma204">#REF!</definedName>
    <definedName name="_ma205">#REF!</definedName>
    <definedName name="_ma206">#REF!</definedName>
    <definedName name="_ma207">#REF!</definedName>
    <definedName name="_ma208">#REF!</definedName>
    <definedName name="_MA21">#REF!</definedName>
    <definedName name="_ma220">#REF!</definedName>
    <definedName name="_ma221">#REF!</definedName>
    <definedName name="_ma222">#REF!</definedName>
    <definedName name="_ma2227">#REF!</definedName>
    <definedName name="_ma223">#REF!</definedName>
    <definedName name="_ma224">#REF!</definedName>
    <definedName name="_ma225">#REF!</definedName>
    <definedName name="_ma226">#REF!</definedName>
    <definedName name="_ma228">#REF!</definedName>
    <definedName name="_ma229">#REF!</definedName>
    <definedName name="_MA23">#REF!</definedName>
    <definedName name="_ma230">#REF!</definedName>
    <definedName name="_ma231">#REF!</definedName>
    <definedName name="_ma232">#REF!</definedName>
    <definedName name="_ma233">#REF!</definedName>
    <definedName name="_ma234">#REF!</definedName>
    <definedName name="_ma235">#REF!</definedName>
    <definedName name="_ma240">#REF!</definedName>
    <definedName name="_ma241">#REF!</definedName>
    <definedName name="_ma242">#REF!</definedName>
    <definedName name="_ma243">#REF!</definedName>
    <definedName name="_ma244">#REF!</definedName>
    <definedName name="_ma245">#REF!</definedName>
    <definedName name="_ma246">#REF!</definedName>
    <definedName name="_ma247">#REF!</definedName>
    <definedName name="_ma248">#REF!</definedName>
    <definedName name="_ma249">#REF!</definedName>
    <definedName name="_ma25">#REF!</definedName>
    <definedName name="_ma250">#REF!</definedName>
    <definedName name="_ma252">#REF!</definedName>
    <definedName name="_ma253">#REF!</definedName>
    <definedName name="_ma254">#REF!</definedName>
    <definedName name="_ma255">#REF!</definedName>
    <definedName name="_ma256">#REF!</definedName>
    <definedName name="_ma257">#REF!</definedName>
    <definedName name="_MA3">#REF!</definedName>
    <definedName name="_MA4">#REF!</definedName>
    <definedName name="_MA5">#REF!</definedName>
    <definedName name="_MA7">#REF!</definedName>
    <definedName name="_MA8">#REF!</definedName>
    <definedName name="_MA9">#REF!</definedName>
    <definedName name="_mbr1">#REF!</definedName>
    <definedName name="_mbr3">#REF!</definedName>
    <definedName name="_mbr7">#REF!</definedName>
    <definedName name="_N10">#REF!</definedName>
    <definedName name="_New1">#REF!</definedName>
    <definedName name="_Order1" hidden="1">255</definedName>
    <definedName name="_Order2">255</definedName>
    <definedName name="_OUT13300">#N/A</definedName>
    <definedName name="_OUT13502">#N/A</definedName>
    <definedName name="_OUT41301">#N/A</definedName>
    <definedName name="_OUT85116">#N/A</definedName>
    <definedName name="_OUT85125">#N/A</definedName>
    <definedName name="_OUT86106">#N/A</definedName>
    <definedName name="_P1">#REF!</definedName>
    <definedName name="_Parse_In" localSheetId="1" hidden="1">[6]sum!#REF!</definedName>
    <definedName name="_Parse_In" localSheetId="6" hidden="1">[6]sum!#REF!</definedName>
    <definedName name="_Parse_In" localSheetId="4" hidden="1">[6]sum!#REF!</definedName>
    <definedName name="_Parse_In" localSheetId="5" hidden="1">[6]sum!#REF!</definedName>
    <definedName name="_Parse_In" localSheetId="2" hidden="1">[6]sum!#REF!</definedName>
    <definedName name="_Parse_In" hidden="1">#REF!</definedName>
    <definedName name="_Parse_Out" localSheetId="1" hidden="1">'Design Fee'!#REF!</definedName>
    <definedName name="_Parse_Out" hidden="1">#REF!</definedName>
    <definedName name="_pcSlicerSheet_Slicer1" hidden="1">#REF!</definedName>
    <definedName name="_pcSlicerSheet1_Slicer1" hidden="1">#REF!</definedName>
    <definedName name="_pcSlicerSheet1_Slicer2" hidden="1">#REF!</definedName>
    <definedName name="_PG1">#REF!</definedName>
    <definedName name="_PG10">#REF!</definedName>
    <definedName name="_PG11">#REF!</definedName>
    <definedName name="_pg12">#REF!</definedName>
    <definedName name="_PG13">#REF!</definedName>
    <definedName name="_pg14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Regression_Int" hidden="1">1</definedName>
    <definedName name="_Sch10">#REF!</definedName>
    <definedName name="_Sch11">#REF!</definedName>
    <definedName name="_Sch12">#REF!</definedName>
    <definedName name="_Sch13">#REF!</definedName>
    <definedName name="_Sch14">#REF!</definedName>
    <definedName name="_Sch15">#REF!</definedName>
    <definedName name="_Sch2">#REF!</definedName>
    <definedName name="_Sch4">#REF!</definedName>
    <definedName name="_Sch5">#REF!</definedName>
    <definedName name="_Sch6">#REF!</definedName>
    <definedName name="_Sch7">#REF!</definedName>
    <definedName name="_Sch8">#REF!</definedName>
    <definedName name="_Sch9">#REF!</definedName>
    <definedName name="_sep97">#REF!</definedName>
    <definedName name="_sht1">#REF!</definedName>
    <definedName name="_Sort" localSheetId="1" hidden="1">'Design Fee'!#REF!</definedName>
    <definedName name="_Sort" hidden="1">#REF!</definedName>
    <definedName name="_ST1">#REF!</definedName>
    <definedName name="_SV251005">#REF!</definedName>
    <definedName name="_Table2_In1" localSheetId="1" hidden="1">'Design Fee'!#REF!</definedName>
    <definedName name="_Table2_In1" hidden="1">#REF!</definedName>
    <definedName name="_Table2_In2" localSheetId="1" hidden="1">#REF!</definedName>
    <definedName name="_Table2_In2" hidden="1">#REF!</definedName>
    <definedName name="_Table2_Out" localSheetId="1" hidden="1">#REF!</definedName>
    <definedName name="_Table2_Out" hidden="1">#REF!</definedName>
    <definedName name="_Table3_In2" localSheetId="1" hidden="1">#REF!</definedName>
    <definedName name="_Table3_In2" hidden="1">#REF!</definedName>
    <definedName name="_TAX0708">#REF!</definedName>
    <definedName name="_TAX1">#REF!</definedName>
    <definedName name="_TB2004">#REF!</definedName>
    <definedName name="_TLT1">#REF!</definedName>
    <definedName name="_TOT1">#REF!</definedName>
    <definedName name="_UER1">#REF!</definedName>
    <definedName name="_VAR13300">#N/A</definedName>
    <definedName name="_VAR13502">#N/A</definedName>
    <definedName name="_z1">#REF!</definedName>
    <definedName name="a" localSheetId="1">[7]Units!#REF!</definedName>
    <definedName name="a" localSheetId="2">[7]Units!#REF!</definedName>
    <definedName name="a">#REF!</definedName>
    <definedName name="A_name">#REF!</definedName>
    <definedName name="a654645454545">#REF!</definedName>
    <definedName name="a654645454545_1">#REF!</definedName>
    <definedName name="a654645454545_2">#REF!</definedName>
    <definedName name="aa">#REF!</definedName>
    <definedName name="aaaa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aaaaa" hidden="1">{"EVA",#N/A,FALSE,"EVA";"WACC",#N/A,FALSE,"WACC"}</definedName>
    <definedName name="aaaaaa" hidden="1">{"mult96",#N/A,FALSE,"PETCOMP";"est96",#N/A,FALSE,"PETCOMP";"mult95",#N/A,FALSE,"PETCOMP";"est95",#N/A,FALSE,"PETCOMP";"multltm",#N/A,FALSE,"PETCOMP";"resultltm",#N/A,FALSE,"PETCOMP"}</definedName>
    <definedName name="AAAAAA00000" hidden="1">{"EVA",#N/A,FALSE,"EVA";"WACC",#N/A,FALSE,"WACC"}</definedName>
    <definedName name="AAAAAAAA">#REF!</definedName>
    <definedName name="AAAAASS" hidden="1">{"DCF","UPSIDE CASE",FALSE,"Sheet1";"DCF","BASE CASE",FALSE,"Sheet1";"DCF","DOWNSIDE CASE",FALSE,"Sheet1"}</definedName>
    <definedName name="ab">#REF!</definedName>
    <definedName name="ABC">#REF!</definedName>
    <definedName name="abstract">#N/A</definedName>
    <definedName name="AC">#REF!</definedName>
    <definedName name="AC267AC270" localSheetId="1">[8]Customer!#REF!</definedName>
    <definedName name="AC267AC270">[8]Customer!#REF!</definedName>
    <definedName name="acc">#REF!</definedName>
    <definedName name="AccessDatabase" hidden="1">"W:\2000-01 Srb\March 2001\Lease Payments\outstanding lease.mdb"</definedName>
    <definedName name="ACCOUNT">#REF!</definedName>
    <definedName name="Account_Balance">#REF!</definedName>
    <definedName name="ACCT_CODE">#N/A</definedName>
    <definedName name="ACK">#REF!</definedName>
    <definedName name="ACTEOH">#N/A</definedName>
    <definedName name="ActiveBldgIDNumbers">#REF!</definedName>
    <definedName name="actual">#REF!</definedName>
    <definedName name="AD">#REF!</definedName>
    <definedName name="ADDRESS">#REF!</definedName>
    <definedName name="Adm.Selling">#REF!</definedName>
    <definedName name="adrga">#REF!</definedName>
    <definedName name="adssa" hidden="1">6</definedName>
    <definedName name="advance">#REF!</definedName>
    <definedName name="advancetax">#REF!</definedName>
    <definedName name="aey">#REF!</definedName>
    <definedName name="aeyae">#REF!</definedName>
    <definedName name="aeyrq">#REF!</definedName>
    <definedName name="aeyt">#REF!</definedName>
    <definedName name="AF258AE295" localSheetId="1">[8]Customer!#REF!</definedName>
    <definedName name="AF258AE295">[8]Customer!#REF!</definedName>
    <definedName name="afd">#REF!</definedName>
    <definedName name="ag">#REF!</definedName>
    <definedName name="AGR">#REF!</definedName>
    <definedName name="AHC">#REF!</definedName>
    <definedName name="AJ">#REF!</definedName>
    <definedName name="ak">#REF!</definedName>
    <definedName name="AK257AK257" localSheetId="1">[8]Customer!#REF!</definedName>
    <definedName name="AK257AK257">[8]Customer!#REF!</definedName>
    <definedName name="ak258ak258" localSheetId="1">[7]Units!#REF!</definedName>
    <definedName name="ak258ak258">[7]Units!#REF!</definedName>
    <definedName name="AL">#REF!</definedName>
    <definedName name="alksfj">#N/A</definedName>
    <definedName name="all">#REF!</definedName>
    <definedName name="ALM">#REF!</definedName>
    <definedName name="ALupro" localSheetId="1" hidden="1">{"BSSCHA4",#N/A,FALSE,"sch bs"}</definedName>
    <definedName name="ALupro" localSheetId="6" hidden="1">{"BSSCHA4",#N/A,FALSE,"sch bs"}</definedName>
    <definedName name="ALupro" localSheetId="4" hidden="1">{"BSSCHA4",#N/A,FALSE,"sch bs"}</definedName>
    <definedName name="ALupro" localSheetId="5" hidden="1">{"BSSCHA4",#N/A,FALSE,"sch bs"}</definedName>
    <definedName name="ALupro" localSheetId="2" hidden="1">{"BSSCHA4",#N/A,FALSE,"sch bs"}</definedName>
    <definedName name="ALupro" hidden="1">{"BSSCHA4",#N/A,FALSE,"sch bs"}</definedName>
    <definedName name="ALupro0" hidden="1">{"BSSCHA4",#N/A,FALSE,"sch bs"}</definedName>
    <definedName name="AnnA">#REF!</definedName>
    <definedName name="ANNEX">#REF!</definedName>
    <definedName name="ANNEXA">#REF!</definedName>
    <definedName name="annexure" localSheetId="1" hidden="1">{"BSSCHA4",#N/A,FALSE,"sch bs"}</definedName>
    <definedName name="annexure" localSheetId="6" hidden="1">{"BSSCHA4",#N/A,FALSE,"sch bs"}</definedName>
    <definedName name="annexure" localSheetId="4" hidden="1">{"BSSCHA4",#N/A,FALSE,"sch bs"}</definedName>
    <definedName name="annexure" localSheetId="5" hidden="1">{"BSSCHA4",#N/A,FALSE,"sch bs"}</definedName>
    <definedName name="annexure" localSheetId="2" hidden="1">{"BSSCHA4",#N/A,FALSE,"sch bs"}</definedName>
    <definedName name="annexure" hidden="1">{"BSSCHA4",#N/A,FALSE,"sch bs"}</definedName>
    <definedName name="annexure_1" hidden="1">{"BSSCHA4",#N/A,FALSE,"sch bs"}</definedName>
    <definedName name="ANNEXURE1">#REF!</definedName>
    <definedName name="AnnII">#REF!</definedName>
    <definedName name="AnnIIIa">#REF!</definedName>
    <definedName name="AnnIIIb">#REF!</definedName>
    <definedName name="AnnIIIc">#REF!</definedName>
    <definedName name="annn" hidden="1">{"EVA",#N/A,FALSE,"EVA";"WACC",#N/A,FALSE,"WACC"}</definedName>
    <definedName name="AnnVIIa">#REF!</definedName>
    <definedName name="AnnVIII">#REF!</definedName>
    <definedName name="AnnX">#REF!</definedName>
    <definedName name="AnnXI">#REF!</definedName>
    <definedName name="AnnXIc">#REF!</definedName>
    <definedName name="AnnXIIb">#REF!</definedName>
    <definedName name="AnnXIIc">#REF!</definedName>
    <definedName name="AnnXIV">#REF!</definedName>
    <definedName name="AnnXV">#REF!</definedName>
    <definedName name="anx">#REF!</definedName>
    <definedName name="ARA_Threshold">#REF!</definedName>
    <definedName name="Area">#REF!</definedName>
    <definedName name="areya">#REF!</definedName>
    <definedName name="arga">#REF!</definedName>
    <definedName name="ARP_Threshold">#REF!</definedName>
    <definedName name="aryaey">#REF!</definedName>
    <definedName name="AS">#N/A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fsd">#REF!</definedName>
    <definedName name="asd">#REF!</definedName>
    <definedName name="asdf" hidden="1">'[4]SP Break Up'!$A$6:$I$39</definedName>
    <definedName name="asfsdf" hidden="1">{#N/A,#N/A,FALSE,"COMP"}</definedName>
    <definedName name="ass" hidden="1">{#N/A,#N/A,FALSE,"COMP"}</definedName>
    <definedName name="Assumptions_Network">#REF!</definedName>
    <definedName name="atul">#REF!</definedName>
    <definedName name="Audiochannel" localSheetId="1">'[9]B-Items'!#REF!</definedName>
    <definedName name="Audiochannel">'[9]B-Items'!#REF!</definedName>
    <definedName name="AUST">#REF!</definedName>
    <definedName name="AUSTRALIA">#REF!</definedName>
    <definedName name="AUSTRIA">#REF!</definedName>
    <definedName name="avgot">#REF!</definedName>
    <definedName name="avneeep" hidden="1">{"A4BS",#N/A,FALSE,"bs"}</definedName>
    <definedName name="avneeep_1" hidden="1">{"A4BS",#N/A,FALSE,"bs"}</definedName>
    <definedName name="AY">#REF!</definedName>
    <definedName name="b">#REF!</definedName>
    <definedName name="BABL">#REF!</definedName>
    <definedName name="back">#REF!</definedName>
    <definedName name="Balance_Sheet">#REF!</definedName>
    <definedName name="BalanceSheet">#REF!</definedName>
    <definedName name="BALSHEET">#REF!</definedName>
    <definedName name="BASIC">#REF!</definedName>
    <definedName name="bb">#REF!</definedName>
    <definedName name="BBHHH" hidden="1">{"DCF","UPSIDE CASE",FALSE,"Sheet1";"DCF","BASE CASE",FALSE,"Sheet1";"DCF","DOWNSIDE CASE",FALSE,"Sheet1"}</definedName>
    <definedName name="BE416BD422" localSheetId="1">[8]Customer!#REF!</definedName>
    <definedName name="BE416BD422">[8]Customer!#REF!</definedName>
    <definedName name="Beg_Bal">#REF!</definedName>
    <definedName name="BEGIN">#REF!</definedName>
    <definedName name="Beurteilung">#REF!</definedName>
    <definedName name="Beurteilung_1">#REF!</definedName>
    <definedName name="Beurteilung_2">#REF!</definedName>
    <definedName name="BG_Del" hidden="1">15</definedName>
    <definedName name="BG_Ins" hidden="1">4</definedName>
    <definedName name="BG_Mod" hidden="1">6</definedName>
    <definedName name="BGL">#REF!</definedName>
    <definedName name="bgt" hidden="1">{"DCF","UPSIDE CASE",FALSE,"Sheet1";"DCF","BASE CASE",FALSE,"Sheet1";"DCF","DOWNSIDE CASE",FALSE,"Sheet1"}</definedName>
    <definedName name="bi">#REF!</definedName>
    <definedName name="big">#REF!</definedName>
    <definedName name="BIMAl">#REF!</definedName>
    <definedName name="BJ48BJ47" localSheetId="1">[8]Customer!#REF!</definedName>
    <definedName name="BJ48BJ47">[8]Customer!#REF!</definedName>
    <definedName name="BK52BJ115" localSheetId="1">[8]Customer!#REF!</definedName>
    <definedName name="BK52BJ115">[8]Customer!#REF!</definedName>
    <definedName name="Blanket">#REF!</definedName>
    <definedName name="Block_1_7_Area_1">#REF!</definedName>
    <definedName name="Block_1_7_FAR_Area_1">#REF!</definedName>
    <definedName name="Block_1_7_Lift_Area_1">#REF!</definedName>
    <definedName name="BLPH1" localSheetId="1" hidden="1">'Design Fee'!#REF!</definedName>
    <definedName name="BLPH1" hidden="1">#REF!</definedName>
    <definedName name="BOB_P_M">#REF!</definedName>
    <definedName name="BOD_CEIP">#REF!</definedName>
    <definedName name="BOD_OEQP">#REF!</definedName>
    <definedName name="BOH_UC">#N/A</definedName>
    <definedName name="BOHAMT">#N/A</definedName>
    <definedName name="BOHQTY">#N/A</definedName>
    <definedName name="boxes">#REF!,#REF!</definedName>
    <definedName name="BRanch__Sales___Aug">#REF!</definedName>
    <definedName name="BSgpg_1">#REF!</definedName>
    <definedName name="BSgrouping_1">#REF!</definedName>
    <definedName name="BSgrouuping_2">#REF!</definedName>
    <definedName name="BUD2_DETAILS">#REF!</definedName>
    <definedName name="BUD2_GL">#REF!</definedName>
    <definedName name="Budget" hidden="1">{"DCF","UPSIDE CASE",FALSE,"Sheet1";"DCF","BASE CASE",FALSE,"Sheet1";"DCF","DOWNSIDE CASE",FALSE,"Sheet1"}</definedName>
    <definedName name="BUDGETCURRENCYCODE1">#REF!</definedName>
    <definedName name="BUDGETNAME1">#REF!</definedName>
    <definedName name="BUDGETORG1">#REF!</definedName>
    <definedName name="BUIL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__0___0___0___0___0___0">#REF!</definedName>
    <definedName name="BuiltIn_Print_Area___0___0___0___0___0___0___0___0___0___0___0___0___0___0___0___0">#REF!</definedName>
    <definedName name="BuiltIn_Print_Area___0___0___0___0___0___0___0___0___0___0___0___0___0___0___0___0___0">#REF!</definedName>
    <definedName name="BuiltIn_Print_Area___0___0___0___0___0___0___0___0___0___0___0___0___0___0___0___0___0___0">#REF!</definedName>
    <definedName name="BuiltIn_Print_Area___0___0___0___0___0___0___0___0___0___0___0___0___0___0___0___0___0___0___0">#REF!</definedName>
    <definedName name="BuiltIn_Print_Area___0___0___0___0___0___0___0___0___0___0___0___0___0___0___0___0___0___0___0___0">#REF!</definedName>
    <definedName name="BuiltIn_Print_Area___0___0___0___0___0___0___0___0___0___0___0___0___0___0___0___0___0___0___0___0___0___0">#REF!</definedName>
    <definedName name="BuiltIn_Print_Area___0___0___0___0___0___0___0___0___0___0___0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1___1">#REF!</definedName>
    <definedName name="bullshit">#REF!</definedName>
    <definedName name="BusMGT">#REF!</definedName>
    <definedName name="BY150BU155" localSheetId="1">[8]Customer!#REF!</definedName>
    <definedName name="BY150BU155">[8]Customer!#REF!</definedName>
    <definedName name="C_">#N/A</definedName>
    <definedName name="calculations">#REF!</definedName>
    <definedName name="CAN">#REF!</definedName>
    <definedName name="CAP">#N/A</definedName>
    <definedName name="Cap.wip">#REF!</definedName>
    <definedName name="CAPBOH">#N/A</definedName>
    <definedName name="CAPEOH">#N/A</definedName>
    <definedName name="capgains">#REF!</definedName>
    <definedName name="capital">#REF!</definedName>
    <definedName name="CapxMKFirstHalf">#REF!</definedName>
    <definedName name="cars_comp">#REF!</definedName>
    <definedName name="cash">#REF!</definedName>
    <definedName name="Cash.Bank">#REF!</definedName>
    <definedName name="cashaccr">#REF!</definedName>
    <definedName name="cashamort">#REF!</definedName>
    <definedName name="cashcag">#REF!</definedName>
    <definedName name="casheq">#REF!</definedName>
    <definedName name="cashpaid">#REF!</definedName>
    <definedName name="cashpurch">#REF!</definedName>
    <definedName name="cashugl">#REF!</definedName>
    <definedName name="CC">#REF!</definedName>
    <definedName name="CCT">#REF!</definedName>
    <definedName name="CD">#REF!</definedName>
    <definedName name="CDATE">#REF!</definedName>
    <definedName name="CDOTDATE">#REF!</definedName>
    <definedName name="CDPG1">#REF!</definedName>
    <definedName name="CDPG5">#REF!</definedName>
    <definedName name="cellbimuserBD4A0782C0A65601C790BCB3" comment="Vikas Local">1704775849786</definedName>
    <definedName name="cellmo">#REF!</definedName>
    <definedName name="celltips_area">#REF!</definedName>
    <definedName name="CF" hidden="1">{"DCF","UPSIDE CASE",FALSE,"Sheet1";"DCF","BASE CASE",FALSE,"Sheet1";"DCF","DOWNSIDE CASE",FALSE,"Sheet1"}</definedName>
    <definedName name="CHA">#REF!</definedName>
    <definedName name="challan">#REF!</definedName>
    <definedName name="CHANGE">#REF!</definedName>
    <definedName name="chart_balance">OFFSET(#REF!,2,0,#REF!,1)</definedName>
    <definedName name="chart_balance_noextra">#N/A</definedName>
    <definedName name="chart_date">OFFSET(#REF!,2,0,#REF!,1)</definedName>
    <definedName name="chart_nper">#N/A</definedName>
    <definedName name="cipta" hidden="1">{"DCF","UPSIDE CASE",FALSE,"Sheet1";"DCF","BASE CASE",FALSE,"Sheet1";"DCF","DOWNSIDE CASE",FALSE,"Sheet1"}</definedName>
    <definedName name="cipta2008" hidden="1">{"EVA",#N/A,FALSE,"EVA";"WACC",#N/A,FALSE,"WACC"}</definedName>
    <definedName name="CIQWBGuid" hidden="1">"e353c960-9a20-40e3-8480-874cea54de8e"</definedName>
    <definedName name="clause10">#REF!</definedName>
    <definedName name="CLAUSE13">#REF!</definedName>
    <definedName name="CLAUSE13b">#REF!</definedName>
    <definedName name="clause14">#REF!</definedName>
    <definedName name="clause14d">#REF!</definedName>
    <definedName name="clause15">#REF!</definedName>
    <definedName name="clause16b">#REF!</definedName>
    <definedName name="clause17a">#REF!</definedName>
    <definedName name="clause17B">#REF!</definedName>
    <definedName name="clause17C">#REF!</definedName>
    <definedName name="CLAUSE17D">#REF!</definedName>
    <definedName name="clause17E">#REF!</definedName>
    <definedName name="clause17F">#REF!</definedName>
    <definedName name="clause17h">#REF!</definedName>
    <definedName name="clause17K">#REF!</definedName>
    <definedName name="clause18">#REF!</definedName>
    <definedName name="CLAUSE20">#REF!</definedName>
    <definedName name="clause21">#REF!</definedName>
    <definedName name="CLAUSE22A">#REF!</definedName>
    <definedName name="CLAUSE22B">#REF!</definedName>
    <definedName name="clause23">#REF!</definedName>
    <definedName name="clause24">#REF!</definedName>
    <definedName name="clause24b">#REF!</definedName>
    <definedName name="clause25">#REF!</definedName>
    <definedName name="clause26">#REF!</definedName>
    <definedName name="clause27">#REF!</definedName>
    <definedName name="clause28">#REF!</definedName>
    <definedName name="clause28b">#REF!</definedName>
    <definedName name="clkj">#REF!</definedName>
    <definedName name="CO">#REF!</definedName>
    <definedName name="coba" hidden="1">{"EVA",#N/A,FALSE,"EVA";"WACC",#N/A,FALSE,"WACC"}</definedName>
    <definedName name="COM">#REF!</definedName>
    <definedName name="Commercial" hidden="1">#REF!</definedName>
    <definedName name="commit">#REF!</definedName>
    <definedName name="COMP">#REF!</definedName>
    <definedName name="Comp_AT">#REF!</definedName>
    <definedName name="Comp_AV">#REF!</definedName>
    <definedName name="Comp_GGM">#REF!</definedName>
    <definedName name="Comp_JR">#REF!</definedName>
    <definedName name="Comp_UJ">#REF!</definedName>
    <definedName name="Comp_VJ">#REF!</definedName>
    <definedName name="COMP0203">#REF!</definedName>
    <definedName name="comp1">#REF!</definedName>
    <definedName name="COMPANY">#REF!</definedName>
    <definedName name="computation">#REF!</definedName>
    <definedName name="COMPUTATION_OF_INTEREST_UNDER_SECTION_234_C">#REF!</definedName>
    <definedName name="Computers">#REF!</definedName>
    <definedName name="Conflict">#REF!</definedName>
    <definedName name="Consolidation">#REF!</definedName>
    <definedName name="consumables">#REF!</definedName>
    <definedName name="CONTINUE">#REF!</definedName>
    <definedName name="Conv.Chgs">#REF!</definedName>
    <definedName name="COPM">#REF!</definedName>
    <definedName name="COS_UC">#N/A</definedName>
    <definedName name="cost">#REF!</definedName>
    <definedName name="COVER">#REF!</definedName>
    <definedName name="CPEcost">#REF!</definedName>
    <definedName name="CQA">#REF!</definedName>
    <definedName name="CR">#REF!</definedName>
    <definedName name="cr_knnl_mrbc_ron">#REF!</definedName>
    <definedName name="CR3RTDK">#REF!</definedName>
    <definedName name="CR5RTDK">#REF!</definedName>
    <definedName name="CRO">#REF!</definedName>
    <definedName name="CS">#REF!</definedName>
    <definedName name="Cum_Int">#REF!</definedName>
    <definedName name="CURADIA">#REF!</definedName>
    <definedName name="Curr.Liab">#REF!</definedName>
    <definedName name="Currency">#REF!</definedName>
    <definedName name="Custasmp">#REF!</definedName>
    <definedName name="CWIP">#REF!</definedName>
    <definedName name="d">#REF!</definedName>
    <definedName name="DA">#REF!</definedName>
    <definedName name="DABREVISED220207">#REF!</definedName>
    <definedName name="Data">#REF!</definedName>
    <definedName name="data1">#REF!</definedName>
    <definedName name="data10">#REF!</definedName>
    <definedName name="data100">#REF!</definedName>
    <definedName name="data101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e">#REF!</definedName>
    <definedName name="DATE1">#REF!</definedName>
    <definedName name="Date2">#REF!</definedName>
    <definedName name="DATE3">#REF!</definedName>
    <definedName name="db">#REF!</definedName>
    <definedName name="DBNAME1">#REF!</definedName>
    <definedName name="DDD">#N/A</definedName>
    <definedName name="dddd" hidden="1">{"mult96",#N/A,FALSE,"PETCOMP";"est96",#N/A,FALSE,"PETCOMP";"mult95",#N/A,FALSE,"PETCOMP";"est95",#N/A,FALSE,"PETCOMP";"multltm",#N/A,FALSE,"PETCOMP";"resultltm",#N/A,FALSE,"PETCOMP"}</definedName>
    <definedName name="dde" hidden="1">#REF!</definedName>
    <definedName name="Def.Tax">#REF!</definedName>
    <definedName name="DeferredTax">#REF!</definedName>
    <definedName name="DefTax.PL">#REF!</definedName>
    <definedName name="dep">#REF!</definedName>
    <definedName name="depit">#REF!</definedName>
    <definedName name="depn" localSheetId="1" hidden="1">'Design Fee'!#REF!</definedName>
    <definedName name="depn" hidden="1">#REF!</definedName>
    <definedName name="Depn.Exp">#REF!</definedName>
    <definedName name="Depn.Res">#REF!</definedName>
    <definedName name="depn_CO">#REF!</definedName>
    <definedName name="depn_IT">#REF!</definedName>
    <definedName name="Depreciation">#REF!</definedName>
    <definedName name="depsched">#REF!</definedName>
    <definedName name="det">#REF!</definedName>
    <definedName name="DET_ITM_3_4">#REF!</definedName>
    <definedName name="DETAIL">#REF!</definedName>
    <definedName name="details">#REF!</definedName>
    <definedName name="DEVICE">#N/A</definedName>
    <definedName name="dfghsfdgfdgfd">#REF!</definedName>
    <definedName name="dfngkfd">#REF!</definedName>
    <definedName name="dgae">#REF!</definedName>
    <definedName name="dgfdgfd">#REF!</definedName>
    <definedName name="DGNMKTG">#REF!</definedName>
    <definedName name="DIFF">#REF!</definedName>
    <definedName name="Difference">#REF!</definedName>
    <definedName name="dir" hidden="1">{#N/A,#N/A,FALSE,"COMP"}</definedName>
    <definedName name="dirannpay">#REF!</definedName>
    <definedName name="direct_expenses">#REF!</definedName>
    <definedName name="dirmopay">#REF!</definedName>
    <definedName name="Disaggregations">#REF!</definedName>
    <definedName name="disbursements">#REF!</definedName>
    <definedName name="display_area_2">#REF!</definedName>
    <definedName name="Disruptive">#REF!</definedName>
    <definedName name="DIVIDEND">#REF!</definedName>
    <definedName name="DME_Dirty" hidden="1">"False"</definedName>
    <definedName name="DME_LocalFile" hidden="1">"True"</definedName>
    <definedName name="DOM_SALE">#N/A</definedName>
    <definedName name="DOMSALE">#N/A</definedName>
    <definedName name="DRA">#REF!</definedName>
    <definedName name="DRA_CQA_IPR_CP">#REF!</definedName>
    <definedName name="draft">#REF!</definedName>
    <definedName name="drgarhy">#REF!</definedName>
    <definedName name="DRUCKBEREI03">#REF!</definedName>
    <definedName name="dsfafdsf">#REF!</definedName>
    <definedName name="DSM">#REF!</definedName>
    <definedName name="dtbsmar03">#REF!</definedName>
    <definedName name="dtu">#REF!</definedName>
    <definedName name="dwfw">#N/A</definedName>
    <definedName name="DX">35.5796</definedName>
    <definedName name="E">#REF!,#REF!,#REF!</definedName>
    <definedName name="e23d">#REF!</definedName>
    <definedName name="eay">#REF!</definedName>
    <definedName name="EBO">#REF!,#REF!,#REF!</definedName>
    <definedName name="ED">#REF!</definedName>
    <definedName name="eew">#REF!</definedName>
    <definedName name="EGCF" hidden="1">{"mult96",#N/A,FALSE,"PETCOMP";"est96",#N/A,FALSE,"PETCOMP";"mult95",#N/A,FALSE,"PETCOMP";"est95",#N/A,FALSE,"PETCOMP";"multltm",#N/A,FALSE,"PETCOMP";"resultltm",#N/A,FALSE,"PETCOMP"}</definedName>
    <definedName name="egdywmk" hidden="1">{"A4depsch",#N/A,FALSE,"fa&amp;dep"}</definedName>
    <definedName name="egdywmk_1" hidden="1">{"A4depsch",#N/A,FALSE,"fa&amp;dep"}</definedName>
    <definedName name="egfdgdfgfdgfdgfdgfdg">#REF!</definedName>
    <definedName name="ei">#REF!</definedName>
    <definedName name="EIGHT">#N/A</definedName>
    <definedName name="ele">#REF!</definedName>
    <definedName name="ELEVEN">#N/A</definedName>
    <definedName name="Elim">#REF!</definedName>
    <definedName name="ELK">#REF!</definedName>
    <definedName name="Empty" localSheetId="1" hidden="1">'Design Fee'!#REF!</definedName>
    <definedName name="Empty" hidden="1">#REF!</definedName>
    <definedName name="Empty1" localSheetId="1" hidden="1">'Design Fee'!#REF!</definedName>
    <definedName name="Empty1" hidden="1">#REF!</definedName>
    <definedName name="Empty2" localSheetId="1" hidden="1">#REF!</definedName>
    <definedName name="Empty2" hidden="1">#REF!</definedName>
    <definedName name="Empty3">#REF!</definedName>
    <definedName name="Empty4">#REF!</definedName>
    <definedName name="End_Bal">#REF!</definedName>
    <definedName name="ENDMKT">#REF!</definedName>
    <definedName name="ENDUSER">#REF!</definedName>
    <definedName name="ENGL">#REF!</definedName>
    <definedName name="ENGLAND">#REF!</definedName>
    <definedName name="Entitywise_Collection_Flash">#REF!</definedName>
    <definedName name="EOH_UC">#N/A</definedName>
    <definedName name="EOHAMT">#N/A</definedName>
    <definedName name="EOHQTY">#N/A</definedName>
    <definedName name="EssAliasTable">"default"</definedName>
    <definedName name="EssLatest">"M03"</definedName>
    <definedName name="etc" localSheetId="1" hidden="1">#REF!</definedName>
    <definedName name="etc" hidden="1">#REF!</definedName>
    <definedName name="etu">#REF!</definedName>
    <definedName name="EUHQ">#REF!</definedName>
    <definedName name="EUROPEAN_HQ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EVIS">#REF!</definedName>
    <definedName name="EWGFEWg">#REF!</definedName>
    <definedName name="EX_INDIA">#REF!</definedName>
    <definedName name="Excel_BuiltIn__FilterDatabase_1">"$#REF!.$F$4:$F$80"</definedName>
    <definedName name="Excel_BuiltIn__FilterDatabase_2">"$#REF!.$A$3:$L$34"</definedName>
    <definedName name="Excel_BuiltIn__FilterDatabase_4">#REF!</definedName>
    <definedName name="Excel_BuiltIn_Print_Area_0___0">"$#REF!.$#REF!$#REF!:$#REF!$#REF!"</definedName>
    <definedName name="Excel_BuiltIn_Print_Area_11">"$#REF!.$A$1:$L$37"</definedName>
    <definedName name="Excel_BuiltIn_Print_Area_14">#REF!</definedName>
    <definedName name="Excel_BuiltIn_Print_Area_21">"$#REF!.$#REF!$#REF!:$#REF!$#REF!"</definedName>
    <definedName name="Excel_BuiltIn_Print_Area_5">"$#REF!.$A$1:$L$39"</definedName>
    <definedName name="Excel_BuiltIn_Print_Titles_1_1">#REF!,#REF!</definedName>
    <definedName name="Excel_BuiltIn_Print_Titles_1_1_1">#REF!,#REF!</definedName>
    <definedName name="Excel_BuiltIn_Print_Titles_2">#REF!</definedName>
    <definedName name="ExchRate">#REF!</definedName>
    <definedName name="EXEC">#REF!</definedName>
    <definedName name="Exel" hidden="1">{"EVA",#N/A,FALSE,"EVA";"WACC",#N/A,FALSE,"WACC"}</definedName>
    <definedName name="Exp_direct">#REF!</definedName>
    <definedName name="Exp_indirect">#REF!</definedName>
    <definedName name="EXP_SALE">#N/A</definedName>
    <definedName name="Expected_balance">#REF!</definedName>
    <definedName name="Extra_Pay">#REF!</definedName>
    <definedName name="f">#REF!</definedName>
    <definedName name="f.asset">#REF!</definedName>
    <definedName name="F_F">#REF!</definedName>
    <definedName name="FA" localSheetId="1" hidden="1">'[10]grp '!#REF!</definedName>
    <definedName name="FA" localSheetId="6" hidden="1">'[10]grp '!#REF!</definedName>
    <definedName name="FA" localSheetId="4" hidden="1">'[10]grp '!#REF!</definedName>
    <definedName name="FA" localSheetId="5" hidden="1">'[10]grp '!#REF!</definedName>
    <definedName name="FA" localSheetId="2" hidden="1">'[10]grp '!#REF!</definedName>
    <definedName name="FA" hidden="1">#REF!</definedName>
    <definedName name="FAB">#N/A</definedName>
    <definedName name="FAREG0405">#REF!</definedName>
    <definedName name="fbt">#REF!</definedName>
    <definedName name="fdf">#REF!</definedName>
    <definedName name="fees">#REF!</definedName>
    <definedName name="feqraq" hidden="1">{#N/A,#N/A,FALSE,"Aging Summary";#N/A,#N/A,FALSE,"Ratio Analysis";#N/A,#N/A,FALSE,"Test 120 Day Accts";#N/A,#N/A,FALSE,"Tickmarks"}</definedName>
    <definedName name="FF">#REF!</definedName>
    <definedName name="ffff" hidden="1">#REF!</definedName>
    <definedName name="fffffffffffffffffffffffffffjjjjjj" localSheetId="1" hidden="1">'Design Fee'!#REF!</definedName>
    <definedName name="fffffffffffffffffffffffffffjjjjjj" hidden="1">#REF!</definedName>
    <definedName name="fg">#REF!</definedName>
    <definedName name="fgfg" localSheetId="1" hidden="1">[2]TB!#REF!</definedName>
    <definedName name="fgfg" localSheetId="6" hidden="1">[2]TB!#REF!</definedName>
    <definedName name="fgfg" localSheetId="4" hidden="1">[2]TB!#REF!</definedName>
    <definedName name="fgfg" localSheetId="5" hidden="1">[2]TB!#REF!</definedName>
    <definedName name="fgfg" localSheetId="2" hidden="1">[2]TB!#REF!</definedName>
    <definedName name="fgfg" hidden="1">#REF!</definedName>
    <definedName name="FGR53C11R63C11TB3RTCN">#REF!</definedName>
    <definedName name="FGR6C8R8C8TB4RTCN">#REF!</definedName>
    <definedName name="FGR6C9R8C9TB3RTCN">#REF!</definedName>
    <definedName name="FGSOUTMP">#N/A</definedName>
    <definedName name="FGSOUTPP">#N/A</definedName>
    <definedName name="fi">#REF!</definedName>
    <definedName name="Fiber">#REF!</definedName>
    <definedName name="fieldtools">#REF!</definedName>
    <definedName name="FILE">#REF!</definedName>
    <definedName name="FIVE">#N/A</definedName>
    <definedName name="Fixed_assets">#REF!</definedName>
    <definedName name="FixedAssets">#REF!</definedName>
    <definedName name="fORM" hidden="1">{#N/A,#N/A,FALSE,"COMP"}</definedName>
    <definedName name="Form_10ccac">#REF!</definedName>
    <definedName name="Form_10ccac1">#REF!</definedName>
    <definedName name="form_3cd1">#REF!</definedName>
    <definedName name="form_3cd2">#REF!</definedName>
    <definedName name="form_3cd3">#REF!</definedName>
    <definedName name="form_3cd4">#REF!</definedName>
    <definedName name="form_3cd5">#REF!</definedName>
    <definedName name="form3cd" localSheetId="1" hidden="1">'[11]EAW Final Accounts - 99'!$M$175:$M$189</definedName>
    <definedName name="form3cd" localSheetId="6" hidden="1">'[11]EAW Final Accounts - 99'!$M$175:$M$189</definedName>
    <definedName name="form3cd" localSheetId="4" hidden="1">'[11]EAW Final Accounts - 99'!$M$175:$M$189</definedName>
    <definedName name="form3cd" localSheetId="5" hidden="1">'[11]EAW Final Accounts - 99'!$M$175:$M$189</definedName>
    <definedName name="form3cd" localSheetId="2" hidden="1">'[11]EAW Final Accounts - 99'!$M$175:$M$189</definedName>
    <definedName name="form3cd" hidden="1">#REF!</definedName>
    <definedName name="Format">#REF!</definedName>
    <definedName name="FOUR">#N/A</definedName>
    <definedName name="fpdate">#REF!</definedName>
    <definedName name="fr" hidden="1">{"DCF","UPSIDE CASE",FALSE,"Sheet1";"DCF","BASE CASE",FALSE,"Sheet1";"DCF","DOWNSIDE CASE",FALSE,"Sheet1"}</definedName>
    <definedName name="FRAN">#REF!</definedName>
    <definedName name="FRANCE">#REF!</definedName>
    <definedName name="frequency">{"Annually";"Semi-Annually";"Quarterly";"Bi-Monthly";"Monthly";"Semi-Monthly";"Bi-Weekly"}</definedName>
    <definedName name="FST">#REF!</definedName>
    <definedName name="FST_1">#REF!</definedName>
    <definedName name="FST_2">#REF!</definedName>
    <definedName name="fuckface">#REF!</definedName>
    <definedName name="Full_Print">#REF!</definedName>
    <definedName name="Furnitures">#REF!</definedName>
    <definedName name="g" hidden="1">#REF!</definedName>
    <definedName name="G_ý_P_">#N/A</definedName>
    <definedName name="ga">#REF!</definedName>
    <definedName name="GAAPB_S">#REF!</definedName>
    <definedName name="GAAPCF">#REF!</definedName>
    <definedName name="GAAPP_L">#REF!</definedName>
    <definedName name="GAAPSCH">#REF!</definedName>
    <definedName name="gallup" localSheetId="1" hidden="1">{"a4p&amp;L",#N/A,FALSE,"tr &amp; pl"}</definedName>
    <definedName name="gallup" localSheetId="6" hidden="1">{"a4p&amp;L",#N/A,FALSE,"tr &amp; pl"}</definedName>
    <definedName name="gallup" localSheetId="4" hidden="1">{"a4p&amp;L",#N/A,FALSE,"tr &amp; pl"}</definedName>
    <definedName name="gallup" localSheetId="5" hidden="1">{"a4p&amp;L",#N/A,FALSE,"tr &amp; pl"}</definedName>
    <definedName name="gallup" localSheetId="2" hidden="1">{"a4p&amp;L",#N/A,FALSE,"tr &amp; pl"}</definedName>
    <definedName name="gallup" hidden="1">{"a4p&amp;L",#N/A,FALSE,"tr &amp; pl"}</definedName>
    <definedName name="gallup_1" hidden="1">{"a4p&amp;L",#N/A,FALSE,"tr &amp; pl"}</definedName>
    <definedName name="gb">#REF!</definedName>
    <definedName name="GBL">#REF!</definedName>
    <definedName name="GDF" hidden="1">{#N/A,#N/A,FALSE,"COMP"}</definedName>
    <definedName name="GERM">#REF!</definedName>
    <definedName name="GERMANY">#REF!</definedName>
    <definedName name="gfjf">#REF!</definedName>
    <definedName name="gggg" hidden="1">{"EVA",#N/A,FALSE,"EVA";"WACC",#N/A,FALSE,"WACC"}</definedName>
    <definedName name="GHY">#REF!</definedName>
    <definedName name="gjygj" hidden="1">{#N/A,#N/A,FALSE,"COMP"}</definedName>
    <definedName name="Global_Sales_Entitywise">#REF!</definedName>
    <definedName name="Global_Sales_Month">#REF!</definedName>
    <definedName name="Global_Sales_Ytd">#REF!</definedName>
    <definedName name="goatrial">#REF!</definedName>
    <definedName name="Grand_Total">#REF!</definedName>
    <definedName name="GRATUITY">#REF!</definedName>
    <definedName name="GRATUTIY">#REF!</definedName>
    <definedName name="gross">#REF!</definedName>
    <definedName name="GROSSPFT">#REF!</definedName>
    <definedName name="Group4">#N/A</definedName>
    <definedName name="GWEEygera">#REF!</definedName>
    <definedName name="gytuy">#REF!</definedName>
    <definedName name="h">#REF!</definedName>
    <definedName name="ha">#REF!</definedName>
    <definedName name="Harsh">#REF!</definedName>
    <definedName name="hb">#REF!</definedName>
    <definedName name="hdg">#REF!</definedName>
    <definedName name="HDP">#REF!</definedName>
    <definedName name="Header">#REF!</definedName>
    <definedName name="Header_Row">ROW(#REF!)</definedName>
    <definedName name="hemanth" hidden="1">{"SchN1",#N/A,FALSE,"Schedules"}</definedName>
    <definedName name="hgfhtr" hidden="1">{#N/A,#N/A,FALSE,"COMP"}</definedName>
    <definedName name="hgkh" localSheetId="1" hidden="1">{#N/A,#N/A,FALSE,"Aging Summary";#N/A,#N/A,FALSE,"Ratio Analysis";#N/A,#N/A,FALSE,"Test 120 Day Accts";#N/A,#N/A,FALSE,"Tickmarks"}</definedName>
    <definedName name="hgkh" localSheetId="6" hidden="1">{#N/A,#N/A,FALSE,"Aging Summary";#N/A,#N/A,FALSE,"Ratio Analysis";#N/A,#N/A,FALSE,"Test 120 Day Accts";#N/A,#N/A,FALSE,"Tickmarks"}</definedName>
    <definedName name="hgkh" localSheetId="4" hidden="1">{#N/A,#N/A,FALSE,"Aging Summary";#N/A,#N/A,FALSE,"Ratio Analysis";#N/A,#N/A,FALSE,"Test 120 Day Accts";#N/A,#N/A,FALSE,"Tickmarks"}</definedName>
    <definedName name="hgkh" localSheetId="5" hidden="1">{#N/A,#N/A,FALSE,"Aging Summary";#N/A,#N/A,FALSE,"Ratio Analysis";#N/A,#N/A,FALSE,"Test 120 Day Accts";#N/A,#N/A,FALSE,"Tickmarks"}</definedName>
    <definedName name="hgkh" localSheetId="2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hhhhh" hidden="1">{"DCF","UPSIDE CASE",FALSE,"Sheet1";"DCF","BASE CASE",FALSE,"Sheet1";"DCF","DOWNSIDE CASE",FALSE,"Sheet1"}</definedName>
    <definedName name="hi">#REF!</definedName>
    <definedName name="Highlights">#REF!</definedName>
    <definedName name="hn">#REF!</definedName>
    <definedName name="HOLL">#REF!</definedName>
    <definedName name="HOLLAND">#REF!</definedName>
    <definedName name="Hotel" hidden="1">{"DCF","UPSIDE CASE",FALSE,"Sheet1";"DCF","BASE CASE",FALSE,"Sheet1";"DCF","DOWNSIDE CASE",FALSE,"Sheet1"}</definedName>
    <definedName name="hpm">#REF!</definedName>
    <definedName name="hpy">#REF!</definedName>
    <definedName name="HQOTHER">#REF!</definedName>
    <definedName name="HR">#N/A</definedName>
    <definedName name="HRA">#REF!</definedName>
    <definedName name="HTML_CodePage" hidden="1">1252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hubperinst">#REF!</definedName>
    <definedName name="i">#REF!</definedName>
    <definedName name="IAHCCHOTEL" hidden="1">{"adj95mult",#N/A,FALSE,"COMPCO";"adj95est",#N/A,FALSE,"COMPCO"}</definedName>
    <definedName name="icannpay">#REF!</definedName>
    <definedName name="ichrpay">#REF!</definedName>
    <definedName name="icotpr">#REF!</definedName>
    <definedName name="IK">#REF!</definedName>
    <definedName name="IK_1">#REF!</definedName>
    <definedName name="IK_2">#REF!</definedName>
    <definedName name="IL">#REF!</definedName>
    <definedName name="ILCL">#REF!</definedName>
    <definedName name="ILT">#REF!</definedName>
    <definedName name="ILT_1">#REF!</definedName>
    <definedName name="ILT_2">#REF!</definedName>
    <definedName name="IN_TOTAL">#N/A</definedName>
    <definedName name="IN_TQTY">#N/A</definedName>
    <definedName name="IN_UC">#N/A</definedName>
    <definedName name="INAMT">#N/A</definedName>
    <definedName name="INCBUD">#REF!</definedName>
    <definedName name="income">#REF!</definedName>
    <definedName name="IND">#REF!</definedName>
    <definedName name="INDEX_ANNEXURE">#REF!</definedName>
    <definedName name="INDEX_GLANCE">#REF!</definedName>
    <definedName name="indirect_expenses">#REF!</definedName>
    <definedName name="INPUT">#REF!</definedName>
    <definedName name="Input1">#REF!</definedName>
    <definedName name="insurance">#REF!</definedName>
    <definedName name="Int">#REF!</definedName>
    <definedName name="Inter">#REF!</definedName>
    <definedName name="interest">#REF!</definedName>
    <definedName name="Interest.Exp">#REF!</definedName>
    <definedName name="Interest_Rate">#REF!</definedName>
    <definedName name="INTEREST1">#REF!</definedName>
    <definedName name="intexp">#REF!</definedName>
    <definedName name="intinc">#REF!</definedName>
    <definedName name="intrec">#REF!</definedName>
    <definedName name="Inventories">#REF!</definedName>
    <definedName name="Investments">#REF!</definedName>
    <definedName name="invy">#N/A</definedName>
    <definedName name="IPR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42223.6254861111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RA">#REF!</definedName>
    <definedName name="IT">#REF!</definedName>
    <definedName name="IT_DEP_NEW">#N/A</definedName>
    <definedName name="ITAL">#REF!</definedName>
    <definedName name="ITALY">#REF!</definedName>
    <definedName name="iuw5i">#REF!</definedName>
    <definedName name="J">#REF!</definedName>
    <definedName name="JA">#REF!</definedName>
    <definedName name="JAPA">#REF!</definedName>
    <definedName name="JAPAN">#REF!</definedName>
    <definedName name="jay" hidden="1">#REF!</definedName>
    <definedName name="jh" hidden="1">{"DCF","UPSIDE CASE",FALSE,"Sheet1";"DCF","BASE CASE",FALSE,"Sheet1";"DCF","DOWNSIDE CASE",FALSE,"Sheet1"}</definedName>
    <definedName name="jhjj" hidden="1">{"adj95mult",#N/A,FALSE,"COMPCO";"adj95est",#N/A,FALSE,"COMPCO"}</definedName>
    <definedName name="jj">#REF!</definedName>
    <definedName name="jjjjk" hidden="1">{"mult96",#N/A,FALSE,"PETCOMP";"est96",#N/A,FALSE,"PETCOMP";"mult95",#N/A,FALSE,"PETCOMP";"est95",#N/A,FALSE,"PETCOMP";"multltm",#N/A,FALSE,"PETCOMP";"resultltm",#N/A,FALSE,"PETCOMP"}</definedName>
    <definedName name="jjjk" hidden="1">{"mult96",#N/A,FALSE,"PETCOMP";"est96",#N/A,FALSE,"PETCOMP";"mult95",#N/A,FALSE,"PETCOMP";"est95",#N/A,FALSE,"PETCOMP";"multltm",#N/A,FALSE,"PETCOMP";"resultltm",#N/A,FALSE,"PETCOMP"}</definedName>
    <definedName name="JM">#REF!</definedName>
    <definedName name="johnny_6_is_alive">#REF!</definedName>
    <definedName name="JRcomp">#REF!</definedName>
    <definedName name="JVs_Subsidiaries_Sales_Local_Currency">#REF!</definedName>
    <definedName name="JVs_Subsidiaries_Sales_US___000">#REF!</definedName>
    <definedName name="JYBUD">#REF!</definedName>
    <definedName name="KA">#REF!</definedName>
    <definedName name="kb">#REF!</definedName>
    <definedName name="kfndg">#REF!</definedName>
    <definedName name="kh">#REF!</definedName>
    <definedName name="khjkk" hidden="1">{"adj95mult",#N/A,FALSE,"COMPCO";"adj95est",#N/A,FALSE,"COMPCO"}</definedName>
    <definedName name="khkh">#REF!</definedName>
    <definedName name="KI_Dev_QA">#REF!</definedName>
    <definedName name="kmg">#REF!</definedName>
    <definedName name="KMGA">#REF!</definedName>
    <definedName name="KMGS">#REF!</definedName>
    <definedName name="KRRP">#REF!</definedName>
    <definedName name="KRRPC">#REF!</definedName>
    <definedName name="krrps">#REF!</definedName>
    <definedName name="ksjgfd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ND">#REF!</definedName>
    <definedName name="laptopcost">#REF!</definedName>
    <definedName name="Last_Row">#N/A</definedName>
    <definedName name="Leasehold">#REF!</definedName>
    <definedName name="lf">#REF!</definedName>
    <definedName name="list">#REF!</definedName>
    <definedName name="ljkjkhk" hidden="1">{"mult96",#N/A,FALSE,"PETCOMP";"est96",#N/A,FALSE,"PETCOMP";"mult95",#N/A,FALSE,"PETCOMP";"est95",#N/A,FALSE,"PETCOMP";"multltm",#N/A,FALSE,"PETCOMP";"resultltm",#N/A,FALSE,"PETCOMP"}</definedName>
    <definedName name="lllll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llsdlasdk" hidden="1">{"SchK1",#N/A,FALSE,"Schedules";"SchK2",#N/A,FALSE,"Schedules"}</definedName>
    <definedName name="Loan_Amount">#REF!</definedName>
    <definedName name="Loan_Start">#REF!</definedName>
    <definedName name="Loan_Years">#REF!</definedName>
    <definedName name="Loan1" hidden="1">{"adj95mult",#N/A,FALSE,"COMPCO";"adj95est",#N/A,FALSE,"COMPCO"}</definedName>
    <definedName name="Loans.Advances">#REF!</definedName>
    <definedName name="Lowk">#REF!</definedName>
    <definedName name="LP">#REF!</definedName>
    <definedName name="LP_1">#REF!</definedName>
    <definedName name="LP_2">#REF!</definedName>
    <definedName name="lpg">#REF!</definedName>
    <definedName name="LTA">#REF!</definedName>
    <definedName name="ltaccr">#REF!</definedName>
    <definedName name="ltamort">#REF!</definedName>
    <definedName name="ltinvest">#REF!</definedName>
    <definedName name="ltpaid">#REF!</definedName>
    <definedName name="ltpurch">#REF!</definedName>
    <definedName name="ltugl">#REF!</definedName>
    <definedName name="ltunreal">#REF!</definedName>
    <definedName name="M" localSheetId="1" hidden="1">#REF!</definedName>
    <definedName name="M" hidden="1">#REF!</definedName>
    <definedName name="Magix_Sales___JFM_2001">#REF!</definedName>
    <definedName name="mahesh">#REF!</definedName>
    <definedName name="MAINCOMP">#REF!</definedName>
    <definedName name="manufacturing">#REF!</definedName>
    <definedName name="Marketing_managerwise_Global_Sales">#REF!</definedName>
    <definedName name="ma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t.Cons">#REF!</definedName>
    <definedName name="matcomp">#REF!</definedName>
    <definedName name="MATERIALS_SENT_UNDER_57_F_3__CHALLAN">#REF!</definedName>
    <definedName name="matnotes">#REF!</definedName>
    <definedName name="MBD">#REF!</definedName>
    <definedName name="mbr10b">#REF!</definedName>
    <definedName name="mbr2a">#REF!</definedName>
    <definedName name="mbr2b">#REF!</definedName>
    <definedName name="mbr5a">#REF!</definedName>
    <definedName name="mbr5b">#REF!</definedName>
    <definedName name="mbr6a">#REF!</definedName>
    <definedName name="mbr6b">#REF!</definedName>
    <definedName name="mbr6c">#REF!</definedName>
    <definedName name="mbrA">#REF!</definedName>
    <definedName name="mbrB">#REF!</definedName>
    <definedName name="mda">#REF!</definedName>
    <definedName name="MELO">#REF!</definedName>
    <definedName name="mgrannpay">#REF!</definedName>
    <definedName name="mgrmopay">#REF!</definedName>
    <definedName name="Misc.Exp">#REF!</definedName>
    <definedName name="MODEL">#N/A</definedName>
    <definedName name="Module">#REF!</definedName>
    <definedName name="Monetary_Precision">#REF!</definedName>
    <definedName name="MONTH">#REF!</definedName>
    <definedName name="months_per_period">#N/A</definedName>
    <definedName name="Motar_Car">#REF!</definedName>
    <definedName name="mp">#REF!</definedName>
    <definedName name="MPBOH">#N/A</definedName>
    <definedName name="MPEOH">#N/A</definedName>
    <definedName name="N">#REF!</definedName>
    <definedName name="NAL">#REF!</definedName>
    <definedName name="Name">#REF!</definedName>
    <definedName name="NAR">#REF!</definedName>
    <definedName name="NEUC">#REF!</definedName>
    <definedName name="NEUCHATEL">#REF!</definedName>
    <definedName name="New">#REF!</definedName>
    <definedName name="newack2">#REF!</definedName>
    <definedName name="NICER">#REF!</definedName>
    <definedName name="NINE">#N/A</definedName>
    <definedName name="NO">#REF!</definedName>
    <definedName name="NOTE_1">#REF!</definedName>
    <definedName name="NOTE_1_4">#REF!</definedName>
    <definedName name="Note_10_12">#REF!</definedName>
    <definedName name="note_2">#REF!</definedName>
    <definedName name="NOTE_3">#REF!</definedName>
    <definedName name="NOTE_4">#REF!</definedName>
    <definedName name="NOTE_5_7">#REF!</definedName>
    <definedName name="Note_7_9">#REF!</definedName>
    <definedName name="Note_GGM">#REF!</definedName>
    <definedName name="Note1JR">#REF!</definedName>
    <definedName name="Note2JR">#REF!</definedName>
    <definedName name="Note3JR">#REF!</definedName>
    <definedName name="Notes">#REF!</definedName>
    <definedName name="Notes_1_6">#REF!</definedName>
    <definedName name="NOTEs_AT">#REF!</definedName>
    <definedName name="NOTEs_AT1">#REF!</definedName>
    <definedName name="NOTEs_AV">#REF!</definedName>
    <definedName name="NOTEs_AV1">#REF!</definedName>
    <definedName name="NOTEs_AV2">#REF!</definedName>
    <definedName name="NOTES_MAINCOMP">#REF!</definedName>
    <definedName name="NOTES_UJ">#REF!</definedName>
    <definedName name="NOTES_VJ">#REF!</definedName>
    <definedName name="notes1">#REF!</definedName>
    <definedName name="nper">#N/A</definedName>
    <definedName name="NTG_GG_G_GGG\">#REF!</definedName>
    <definedName name="Num_Pmt_Per_Year">#REF!</definedName>
    <definedName name="NUMBER">#REF!</definedName>
    <definedName name="Number_of_Payments">MATCH(0.01,End_Bal,-1)+1</definedName>
    <definedName name="OE">#REF!</definedName>
    <definedName name="OEQP">#REF!</definedName>
    <definedName name="Office_Equipments">#REF!</definedName>
    <definedName name="OHMKAccounts">#REF!</definedName>
    <definedName name="OHMKDepartmentCode">#REF!</definedName>
    <definedName name="OHMKFirstHalf">#REF!</definedName>
    <definedName name="OHMKSecondHalf">#REF!</definedName>
    <definedName name="OK">#REF!,#REF!</definedName>
    <definedName name="old">#REF!</definedName>
    <definedName name="OldDate">#REF!</definedName>
    <definedName name="ONE">#N/A</definedName>
    <definedName name="Operations">#REF!</definedName>
    <definedName name="osddapsdl" hidden="1">{"SchM1",#N/A,FALSE,"Schedules";"SchM2",#N/A,FALSE,"Schedules"}</definedName>
    <definedName name="OTHAMT">#N/A</definedName>
    <definedName name="OTHBOH">#N/A</definedName>
    <definedName name="OTHEOH">#N/A</definedName>
    <definedName name="OTHER">#N/A</definedName>
    <definedName name="Other.Inc">#REF!</definedName>
    <definedName name="others">#REF!</definedName>
    <definedName name="otpr">#REF!</definedName>
    <definedName name="OUTAMT">#N/A</definedName>
    <definedName name="OUTQTY">#N/A</definedName>
    <definedName name="P_area">#REF!</definedName>
    <definedName name="P_LA_C">#REF!</definedName>
    <definedName name="P_M_AC">#REF!</definedName>
    <definedName name="P7M_COMP">#REF!</definedName>
    <definedName name="pa">#REF!</definedName>
    <definedName name="PAG">#REF!</definedName>
    <definedName name="PAGE">#REF!</definedName>
    <definedName name="PAGE_1">#REF!</definedName>
    <definedName name="PAGE_2">#REF!</definedName>
    <definedName name="PAGE_3">#REF!</definedName>
    <definedName name="PAGE_4">#REF!</definedName>
    <definedName name="Page_6">#REF!</definedName>
    <definedName name="PAGE1">#REF!</definedName>
    <definedName name="PAGE2">#REF!</definedName>
    <definedName name="PAGE22">#REF!</definedName>
    <definedName name="PAGE3">#REF!</definedName>
    <definedName name="paid">#REF!</definedName>
    <definedName name="pan">#REF!</definedName>
    <definedName name="Pay_Date">#REF!</definedName>
    <definedName name="Pay_Num">#REF!</definedName>
    <definedName name="payment">#REF!</definedName>
    <definedName name="Payment_Date">#N/A</definedName>
    <definedName name="Payment_Number">ROW()-#REF!</definedName>
    <definedName name="Payroll_Statement">#REF!</definedName>
    <definedName name="PBC_Memberwise_Global_Sales">#REF!</definedName>
    <definedName name="PDATE">#REF!</definedName>
    <definedName name="PDOTDATE">#REF!</definedName>
    <definedName name="periods_per_year">#N/A</definedName>
    <definedName name="PG">#REF!</definedName>
    <definedName name="PG_2">#REF!</definedName>
    <definedName name="PG_4">#REF!</definedName>
    <definedName name="PG_5">#REF!</definedName>
    <definedName name="pg10a">#REF!</definedName>
    <definedName name="pg1a">#REF!</definedName>
    <definedName name="PG2A">#REF!</definedName>
    <definedName name="PG2B">#REF!</definedName>
    <definedName name="PG8A">#REF!</definedName>
    <definedName name="PG8B">#REF!</definedName>
    <definedName name="PG8C">#REF!</definedName>
    <definedName name="PG8D">#REF!</definedName>
    <definedName name="PG8E">#REF!</definedName>
    <definedName name="PHARMA">#REF!</definedName>
    <definedName name="PL" hidden="1">{"mult96",#N/A,FALSE,"PETCOMP";"est96",#N/A,FALSE,"PETCOMP";"mult95",#N/A,FALSE,"PETCOMP";"est95",#N/A,FALSE,"PETCOMP";"multltm",#N/A,FALSE,"PETCOMP";"resultltm",#N/A,FALSE,"PETCOMP"}</definedName>
    <definedName name="Plant">#REF!</definedName>
    <definedName name="PM">#REF!</definedName>
    <definedName name="PMD">#REF!</definedName>
    <definedName name="PMI">#REF!</definedName>
    <definedName name="PowerFuel">#REF!</definedName>
    <definedName name="PPEOH">#N/A</definedName>
    <definedName name="prativa">#REF!</definedName>
    <definedName name="pravin">#REF!</definedName>
    <definedName name="Pravin1">#REF!</definedName>
    <definedName name="Pravin2">#REF!</definedName>
    <definedName name="Pravin3">#REF!</definedName>
    <definedName name="Pravin4">#REF!</definedName>
    <definedName name="Pravin5">#REF!</definedName>
    <definedName name="Pravin6">#REF!</definedName>
    <definedName name="Pravin7">#REF!</definedName>
    <definedName name="Pravin8">#REF!</definedName>
    <definedName name="premises">#REF!</definedName>
    <definedName name="Princ">#REF!</definedName>
    <definedName name="Print">#REF!</definedName>
    <definedName name="_xlnm.Print_Area" localSheetId="1">'Design Fee'!$B$2:$D$45</definedName>
    <definedName name="_xlnm.Print_Area">#REF!</definedName>
    <definedName name="print_area_m2">#REF!</definedName>
    <definedName name="Print_Area_MI">#REF!</definedName>
    <definedName name="Print_Area_MI_1">#REF!</definedName>
    <definedName name="Print_Area_MI_2">#REF!</definedName>
    <definedName name="Print_Area_Reset">OFFSET(Full_Print,0,0,Last_Row)</definedName>
    <definedName name="Print_Area1">#REF!</definedName>
    <definedName name="Print_Area2">#REF!</definedName>
    <definedName name="Print_Area22">#REF!</definedName>
    <definedName name="_xlnm.Print_Titles" localSheetId="1">'Design Fee'!$2:$9</definedName>
    <definedName name="_xlnm.Print_Titles">#N/A</definedName>
    <definedName name="PRINT_TITLES_MI">#REF!</definedName>
    <definedName name="Print_titles22">#REF!</definedName>
    <definedName name="PROD">#N/A</definedName>
    <definedName name="PRODSALES">#REF!</definedName>
    <definedName name="product">#REF!</definedName>
    <definedName name="Prof" localSheetId="1" hidden="1">'Design Fee'!#REF!</definedName>
    <definedName name="Prof" hidden="1">#REF!</definedName>
    <definedName name="Profit.Reco">#REF!</definedName>
    <definedName name="profit_Loss_Grouping1">#REF!</definedName>
    <definedName name="profit_Loss_Grouping2">#REF!</definedName>
    <definedName name="ProfitLoss">#REF!</definedName>
    <definedName name="Prov.Tax">#REF!</definedName>
    <definedName name="Provisions">#REF!</definedName>
    <definedName name="purch">#REF!</definedName>
    <definedName name="PY">#REF!</definedName>
    <definedName name="q" localSheetId="1" hidden="1">'[1]Rate Analysis'!#REF!</definedName>
    <definedName name="q" localSheetId="6" hidden="1">'[1]Rate Analysis'!#REF!</definedName>
    <definedName name="q" localSheetId="4" hidden="1">'[1]Rate Analysis'!#REF!</definedName>
    <definedName name="q" localSheetId="5" hidden="1">'[1]Rate Analysis'!#REF!</definedName>
    <definedName name="q" localSheetId="2" hidden="1">'[1]Rate Analysis'!#REF!</definedName>
    <definedName name="q" hidden="1">#REF!</definedName>
    <definedName name="qqqq">#REF!</definedName>
    <definedName name="QRABOH">#N/A</definedName>
    <definedName name="QRAEOH">#N/A</definedName>
    <definedName name="qregt3yg">#REF!</definedName>
    <definedName name="qty">#REF!</definedName>
    <definedName name="qwerrt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33">#REF!</definedName>
    <definedName name="qzqzqz34">#REF!</definedName>
    <definedName name="qzqzqz35">#REF!</definedName>
    <definedName name="qzqzqz36">#REF!</definedName>
    <definedName name="qzqzqz37">#REF!</definedName>
    <definedName name="qzqzqz38">#REF!</definedName>
    <definedName name="qzqzqz39">#REF!</definedName>
    <definedName name="qzqzqz40">#REF!</definedName>
    <definedName name="qzqzqz41">#REF!</definedName>
    <definedName name="qzqzqz42">#REF!</definedName>
    <definedName name="qzqzqz43">#REF!</definedName>
    <definedName name="qzqzqz44">#REF!</definedName>
    <definedName name="qzqzqz45">#REF!</definedName>
    <definedName name="qzqzqz46">#REF!</definedName>
    <definedName name="qzqzqz47">#REF!</definedName>
    <definedName name="qzqzqz48">#REF!</definedName>
    <definedName name="qzqzqz49">#REF!</definedName>
    <definedName name="qzqzqz50">#REF!</definedName>
    <definedName name="qzqzqz51">#REF!</definedName>
    <definedName name="qzqzqz52">#REF!</definedName>
    <definedName name="qzqzqz53">#REF!</definedName>
    <definedName name="qzqzqz54">#REF!</definedName>
    <definedName name="qzqzqz55">#REF!</definedName>
    <definedName name="qzqzqz56">#REF!</definedName>
    <definedName name="qzqzqz57">#REF!</definedName>
    <definedName name="qzqzqz58">#REF!</definedName>
    <definedName name="qzqzqz59">#REF!</definedName>
    <definedName name="qzqzqz6">#REF!</definedName>
    <definedName name="qzqzqz60">#REF!</definedName>
    <definedName name="qzqzqz61">#REF!</definedName>
    <definedName name="qzqzqz7">#REF!</definedName>
    <definedName name="qzqzqz8">#REF!</definedName>
    <definedName name="qzqzqz9">#REF!</definedName>
    <definedName name="R_D">#REF!</definedName>
    <definedName name="R_Factor">#REF!</definedName>
    <definedName name="rate">#REF!</definedName>
    <definedName name="ratebyname">#REF!</definedName>
    <definedName name="Rates">#REF!</definedName>
    <definedName name="RawData">#REF!</definedName>
    <definedName name="RawHeader">#REF!</definedName>
    <definedName name="RD_PROFILE">#REF!</definedName>
    <definedName name="RDN">#REF!</definedName>
    <definedName name="re">#REF!</definedName>
    <definedName name="receipts">#REF!</definedName>
    <definedName name="recon">#REF!</definedName>
    <definedName name="RECONCILIATION_IN_PBIT">#REF!</definedName>
    <definedName name="_xlnm.Recorder">#REF!</definedName>
    <definedName name="Ref_2">#REF!</definedName>
    <definedName name="Ref_3">#REF!</definedName>
    <definedName name="Ref_6">#REF!</definedName>
    <definedName name="Ref_8">#REF!</definedName>
    <definedName name="Ref_9">#REF!</definedName>
    <definedName name="Refer_Schedule_31">#REF!</definedName>
    <definedName name="Refer_Schedule_32">#REF!</definedName>
    <definedName name="Refund">#REF!</definedName>
    <definedName name="refunds">#REF!</definedName>
    <definedName name="rego">#REF!</definedName>
    <definedName name="Rent">23</definedName>
    <definedName name="Rep.Maint">#REF!</definedName>
    <definedName name="Res.Surp">#REF!</definedName>
    <definedName name="Residual_difference">#REF!</definedName>
    <definedName name="ressurp">#REF!</definedName>
    <definedName name="RFCL">#REF!</definedName>
    <definedName name="RMIN">#N/A</definedName>
    <definedName name="RMREOH">#N/A</definedName>
    <definedName name="RMRNOT">#N/A</definedName>
    <definedName name="RNDBOH">#N/A</definedName>
    <definedName name="RNDEOH">#N/A</definedName>
    <definedName name="RTIN">#N/A</definedName>
    <definedName name="rty" hidden="1">{"mult96",#N/A,FALSE,"PETCOMP";"est96",#N/A,FALSE,"PETCOMP";"mult95",#N/A,FALSE,"PETCOMP";"est95",#N/A,FALSE,"PETCOMP";"multltm",#N/A,FALSE,"PETCOMP";"resultltm",#N/A,FALSE,"PETCOMP"}</definedName>
    <definedName name="ry">#REF!</definedName>
    <definedName name="s">#REF!</definedName>
    <definedName name="S.Debtors">#REF!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LSRange3">#REF!</definedName>
    <definedName name="S_LSRange3Balance">#REF!</definedName>
    <definedName name="S_LSRange3Balance1">#REF!</definedName>
    <definedName name="S_LSRange3Balance2">#REF!</definedName>
    <definedName name="S_LSRange3Balance3">#REF!</definedName>
    <definedName name="S_LSRange4">#REF!</definedName>
    <definedName name="S_LSRange4Balance">#REF!</definedName>
    <definedName name="S_LSRange4Balance1">#REF!</definedName>
    <definedName name="S_LSRange4Balance2">#REF!</definedName>
    <definedName name="S_LSRange4Balance3">#REF!</definedName>
    <definedName name="S_LSRange5">#REF!</definedName>
    <definedName name="S_LSRange5Balance">#REF!</definedName>
    <definedName name="S_LSRange5Balance1">#REF!</definedName>
    <definedName name="S_LSRange5Balance2">#REF!</definedName>
    <definedName name="S_LSRange5Balance3">#REF!</definedName>
    <definedName name="S_LSRange6">#REF!</definedName>
    <definedName name="S_LSRange6Balance">#REF!</definedName>
    <definedName name="S_LSRange6Balance1">#REF!</definedName>
    <definedName name="S_LSRange6Balance2">#REF!</definedName>
    <definedName name="S_LSRange6Balance3">#REF!</definedName>
    <definedName name="S_LSRange7">#REF!</definedName>
    <definedName name="S_LSRange7Balance">#REF!</definedName>
    <definedName name="S_LSRange7Balance1">#REF!</definedName>
    <definedName name="S_LSRange7Balance2">#REF!</definedName>
    <definedName name="S_LSRange7Balance3">#REF!</definedName>
    <definedName name="S_LSRange8">#REF!</definedName>
    <definedName name="S_LSRange8Balance">#REF!</definedName>
    <definedName name="S_LSRange8Balance1">#REF!</definedName>
    <definedName name="S_LSRange8Balance2">#REF!</definedName>
    <definedName name="S_LSRange8Balance3">#REF!</definedName>
    <definedName name="S_LSRange9">#REF!</definedName>
    <definedName name="S_LSRange9Balance">#REF!</definedName>
    <definedName name="S_LSRange9Balance1">#REF!</definedName>
    <definedName name="S_LSRange9Balance2">#REF!</definedName>
    <definedName name="S_LSRange9Balance3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otal1">#REF!</definedName>
    <definedName name="S_Total2">#REF!</definedName>
    <definedName name="S_Total3">#REF!</definedName>
    <definedName name="sa">#REF!</definedName>
    <definedName name="sad">#REF!</definedName>
    <definedName name="sadasd">#REF!</definedName>
    <definedName name="sadsadsad" hidden="1">{#N/A,#N/A,FALSE,"COMP"}</definedName>
    <definedName name="sag">#REF!</definedName>
    <definedName name="Sal.Wages">#REF!</definedName>
    <definedName name="salaries">#REF!</definedName>
    <definedName name="Salary_Worksheets">#REF!</definedName>
    <definedName name="SALE">#N/A</definedName>
    <definedName name="SALEBOH">#N/A</definedName>
    <definedName name="salect2">#REF!</definedName>
    <definedName name="SALEEOH">#N/A</definedName>
    <definedName name="Sales">#REF!</definedName>
    <definedName name="sales1" hidden="1">{#N/A,#N/A,FALSE,"OPSTATE";#N/A,#N/A,FALSE,"BSLIABILITY";#N/A,#N/A,FALSE,"BSASSETS";#N/A,#N/A,FALSE,"Sheet1"}</definedName>
    <definedName name="salesdata">#REF!</definedName>
    <definedName name="salsum">#REF!</definedName>
    <definedName name="salws2" hidden="1">{"A4depsch",#N/A,FALSE,"fa&amp;dep"}</definedName>
    <definedName name="SAMBOH">#N/A</definedName>
    <definedName name="SAMEOH">#N/A</definedName>
    <definedName name="SAPBEXdnldView" hidden="1">"431YL7QMJN6KP6IQEL77FEM9L"</definedName>
    <definedName name="SAPBEXsysID" hidden="1">"BP1"</definedName>
    <definedName name="sary">#REF!</definedName>
    <definedName name="SaveWorkbookNo">#N/A</definedName>
    <definedName name="SaveWorkbookYes">#N/A</definedName>
    <definedName name="sb">#REF!</definedName>
    <definedName name="Sch_to_Bs">#REF!</definedName>
    <definedName name="SCH_WH_TAX">#REF!</definedName>
    <definedName name="Sched_Pay">#REF!</definedName>
    <definedName name="SCHEDULE____5">#REF!</definedName>
    <definedName name="SCHEDULE___9">#REF!</definedName>
    <definedName name="SCHEDULE_1">#REF!</definedName>
    <definedName name="Schedule_31">#REF!</definedName>
    <definedName name="Schedule_32">#REF!</definedName>
    <definedName name="Scheduled_Extra_Payments">#REF!</definedName>
    <definedName name="Scheduled_Interest_Rate">#REF!</definedName>
    <definedName name="Scheduled_Monthly_Payment">#REF!</definedName>
    <definedName name="Schedules">#REF!</definedName>
    <definedName name="SCRBOH">#N/A</definedName>
    <definedName name="SCREOH">#N/A</definedName>
    <definedName name="SD">#REF!</definedName>
    <definedName name="SDASD">#REF!</definedName>
    <definedName name="sdfsd">#REF!</definedName>
    <definedName name="sdsd">#REF!</definedName>
    <definedName name="sdu">#REF!</definedName>
    <definedName name="Sec.Loans">#REF!</definedName>
    <definedName name="SECURED_LOAN">#REF!</definedName>
    <definedName name="SEMIIN">#N/A</definedName>
    <definedName name="semua" hidden="1">{"adj95mult",#N/A,FALSE,"COMPCO";"adj95est",#N/A,FALSE,"COMPCO"}</definedName>
    <definedName name="sencount" hidden="1">1</definedName>
    <definedName name="SETHIA">#REF!</definedName>
    <definedName name="SETOFBOOKSNAME1">#REF!</definedName>
    <definedName name="SEVEN">#N/A</definedName>
    <definedName name="sf">#REF!</definedName>
    <definedName name="sfa">#REF!</definedName>
    <definedName name="SFDGD">#REF!</definedName>
    <definedName name="sfg">{"Annually";"Semi-Annually";"Quarterly";"Bi-Monthly";"Monthly";"Semi-Monthly";"Bi-Weekly"}</definedName>
    <definedName name="SGQERVY">#REF!</definedName>
    <definedName name="SH">#REF!</definedName>
    <definedName name="sha">#REF!</definedName>
    <definedName name="ShareCapital">#REF!</definedName>
    <definedName name="shcap">#REF!</definedName>
    <definedName name="SHEDULE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8">#REF!</definedName>
    <definedName name="Sheet9">#REF!</definedName>
    <definedName name="shp" localSheetId="1" hidden="1">'[1]Rate Analysis'!#REF!</definedName>
    <definedName name="shp" localSheetId="6" hidden="1">'[1]Rate Analysis'!#REF!</definedName>
    <definedName name="shp" localSheetId="4" hidden="1">'[1]Rate Analysis'!#REF!</definedName>
    <definedName name="shp" localSheetId="5" hidden="1">'[1]Rate Analysis'!#REF!</definedName>
    <definedName name="shp" localSheetId="2" hidden="1">'[1]Rate Analysis'!#REF!</definedName>
    <definedName name="shp" hidden="1">#REF!</definedName>
    <definedName name="SHT">#REF!</definedName>
    <definedName name="SHT_1">#REF!</definedName>
    <definedName name="SHT_2">#REF!</definedName>
    <definedName name="siannpay">#REF!</definedName>
    <definedName name="sihrpay">#REF!</definedName>
    <definedName name="siotpr">#REF!</definedName>
    <definedName name="SIX">#REF!</definedName>
    <definedName name="SKGR">#REF!</definedName>
    <definedName name="slip">#REF!</definedName>
    <definedName name="SOAD.Sheet">#REF!</definedName>
    <definedName name="SOADs">#REF!</definedName>
    <definedName name="SONEOH">#N/A</definedName>
    <definedName name="SORT1" localSheetId="1" hidden="1">'[12]#REF'!#REF!</definedName>
    <definedName name="SORT1" localSheetId="6" hidden="1">'[12]#REF'!#REF!</definedName>
    <definedName name="SORT1" localSheetId="4" hidden="1">'[12]#REF'!#REF!</definedName>
    <definedName name="SORT1" localSheetId="5" hidden="1">'[12]#REF'!#REF!</definedName>
    <definedName name="SORT1" localSheetId="2" hidden="1">'[12]#REF'!#REF!</definedName>
    <definedName name="SORT1" hidden="1">#REF!</definedName>
    <definedName name="SP">#REF!</definedName>
    <definedName name="SPAIN">#REF!</definedName>
    <definedName name="SPAN">#REF!</definedName>
    <definedName name="SRIDHAR">#REF!</definedName>
    <definedName name="sss" hidden="1">{#N/A,#N/A,FALSE,"COMP"}</definedName>
    <definedName name="ssssssss">#REF!</definedName>
    <definedName name="ST">#REF!</definedName>
    <definedName name="ST_1">#REF!</definedName>
    <definedName name="ST_2">#REF!</definedName>
    <definedName name="staccr">#REF!</definedName>
    <definedName name="staff">#REF!</definedName>
    <definedName name="stamort">#REF!</definedName>
    <definedName name="STFTR">#REF!</definedName>
    <definedName name="sti">#REF!</definedName>
    <definedName name="stinvest">#REF!</definedName>
    <definedName name="stk">#REF!</definedName>
    <definedName name="stock_status2001">#REF!</definedName>
    <definedName name="stockdata">#REF!</definedName>
    <definedName name="stpaid">#REF!</definedName>
    <definedName name="stpurch">#REF!</definedName>
    <definedName name="stugl">#REF!</definedName>
    <definedName name="stunreal">#REF!</definedName>
    <definedName name="STX">#REF!</definedName>
    <definedName name="sub">#REF!</definedName>
    <definedName name="subcat">#REF!</definedName>
    <definedName name="SUM_MIL">#REF!</definedName>
    <definedName name="Summary">#REF!</definedName>
    <definedName name="Summary_FA">#REF!</definedName>
    <definedName name="SUMMARY_OF_EXPO">#REF!</definedName>
    <definedName name="SUNDAR">#REF!</definedName>
    <definedName name="Sundry_Crs">#REF!</definedName>
    <definedName name="sundry_Drs">#REF!</definedName>
    <definedName name="superannpay">#REF!</definedName>
    <definedName name="supermopay">#REF!</definedName>
    <definedName name="Support">#REF!</definedName>
    <definedName name="surtu">#REF!</definedName>
    <definedName name="SWED">#REF!</definedName>
    <definedName name="SWEDEN">#REF!</definedName>
    <definedName name="SWIT">#REF!</definedName>
    <definedName name="SWITZERLAND">#REF!</definedName>
    <definedName name="T">#REF!</definedName>
    <definedName name="T_BLARKY">"$"</definedName>
    <definedName name="T_BLCCKY">"$"</definedName>
    <definedName name="T_BLCLBAL">"$"</definedName>
    <definedName name="T_BLCLCR">"$"</definedName>
    <definedName name="T_BLCLDR">"$"</definedName>
    <definedName name="T_BLCRRS">"$"</definedName>
    <definedName name="T_BLDRRS">"$"</definedName>
    <definedName name="T_BLDVKY">"$"</definedName>
    <definedName name="T_BLDVNM">"$"</definedName>
    <definedName name="T_BLENDT">"$"</definedName>
    <definedName name="T_BLGLACTY">"$"</definedName>
    <definedName name="T_BLGLKY">"$"</definedName>
    <definedName name="T_BLGLTY">"$"</definedName>
    <definedName name="T_BLMEMCR">"$"</definedName>
    <definedName name="T_BLMEMDR">"$"</definedName>
    <definedName name="T_BLNM">"$"</definedName>
    <definedName name="T_BLOPBAL">"$"</definedName>
    <definedName name="T_BLOPCR">"$"</definedName>
    <definedName name="T_BLOPDR">"$"</definedName>
    <definedName name="T_BLSHRT">"$"</definedName>
    <definedName name="T_BLSLKY">"$"</definedName>
    <definedName name="T_BLSLNM">"$"</definedName>
    <definedName name="T_BLSLSHRT">"$"</definedName>
    <definedName name="T_BLSLTY">"$"</definedName>
    <definedName name="T_BLSTDT">"$"</definedName>
    <definedName name="ta">#REF!</definedName>
    <definedName name="TAXCOMP1">#REF!</definedName>
    <definedName name="tb17.04">#REF!</definedName>
    <definedName name="tberd">#REF!</definedName>
    <definedName name="TBFINAL">#REF!</definedName>
    <definedName name="td">#REF!</definedName>
    <definedName name="TDS">#REF!</definedName>
    <definedName name="TDSCERTICATES">#REF!</definedName>
    <definedName name="TEN">#N/A</definedName>
    <definedName name="tens">#REF!</definedName>
    <definedName name="term">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RefCopyRangeCount" hidden="1">17</definedName>
    <definedName name="tg" hidden="1">{"DCF","UPSIDE CASE",FALSE,"Sheet1";"DCF","BASE CASE",FALSE,"Sheet1";"DCF","DOWNSIDE CASE",FALSE,"Sheet1"}</definedName>
    <definedName name="the" hidden="1">{#N/A,#N/A,FALSE,"COMP"}</definedName>
    <definedName name="THREE">#N/A</definedName>
    <definedName name="Threshold">#REF!</definedName>
    <definedName name="TLT">#REF!</definedName>
    <definedName name="TLT_1">#REF!</definedName>
    <definedName name="TLT_2">#REF!</definedName>
    <definedName name="TOPEX">#REF!</definedName>
    <definedName name="TOT">#REF!</definedName>
    <definedName name="TOT_1">#REF!</definedName>
    <definedName name="TOT_2">#REF!</definedName>
    <definedName name="Total">#REF!</definedName>
    <definedName name="Total_Interest">#REF!</definedName>
    <definedName name="Total_Pay">#REF!</definedName>
    <definedName name="TotLiab">#REF!</definedName>
    <definedName name="TOTOHBUD">#REF!</definedName>
    <definedName name="totsum">#REF!</definedName>
    <definedName name="tou">#REF!</definedName>
    <definedName name="TOYEN">#REF!</definedName>
    <definedName name="TPS">#REF!</definedName>
    <definedName name="trdut">#REF!</definedName>
    <definedName name="TREASURY">#REF!</definedName>
    <definedName name="TRIA">#REF!</definedName>
    <definedName name="trial1">#REF!</definedName>
    <definedName name="trucklease">#REF!</definedName>
    <definedName name="trust">#REF!</definedName>
    <definedName name="TS">#REF!</definedName>
    <definedName name="TTL_SALE">#N/A</definedName>
    <definedName name="TTL_UC">#N/A</definedName>
    <definedName name="TTLSALE">#N/A</definedName>
    <definedName name="TWO">#N/A</definedName>
    <definedName name="U">#REF!</definedName>
    <definedName name="UER">#REF!</definedName>
    <definedName name="UER_1">#REF!</definedName>
    <definedName name="UER_2">#REF!</definedName>
    <definedName name="UFPrn20020207093333">#REF!</definedName>
    <definedName name="UFPrn20020306135041">#REF!</definedName>
    <definedName name="UFPrn20020306135450">#REF!</definedName>
    <definedName name="UFPrn20020403164117">#REF!</definedName>
    <definedName name="UFPrn20020403195652">#REF!</definedName>
    <definedName name="UFPrn20020403195719">#REF!</definedName>
    <definedName name="UFPrn20020510090511">#REF!</definedName>
    <definedName name="UFPrn20020601105928">#REF!</definedName>
    <definedName name="UFPrn20020629092327">#REF!</definedName>
    <definedName name="UFPrn20020629092416">#REF!</definedName>
    <definedName name="UFPrn20020629092455">#REF!</definedName>
    <definedName name="UFPrn20020629092523">#REF!</definedName>
    <definedName name="UFPrn20020629101152">#REF!</definedName>
    <definedName name="UFPrn20020629101228">#REF!</definedName>
    <definedName name="UFPrn20020805094058">#REF!</definedName>
    <definedName name="UFPrn20020805094236">#REF!</definedName>
    <definedName name="UFPrn20020805094317">#REF!</definedName>
    <definedName name="UFPrn20020805102257">#REF!</definedName>
    <definedName name="UFPrn20020805102334">#REF!</definedName>
    <definedName name="UFPrn20020902142234">#REF!</definedName>
    <definedName name="UFPrn20021018092816">#REF!</definedName>
    <definedName name="UFPrn20021018112713">#REF!</definedName>
    <definedName name="UFPrn20021021093624">#REF!</definedName>
    <definedName name="UFPrn20030102155427">#REF!</definedName>
    <definedName name="UIISALMAY05">#REF!</definedName>
    <definedName name="units">#REF!</definedName>
    <definedName name="unnamed">#REF!</definedName>
    <definedName name="unnamed_0">#REF!</definedName>
    <definedName name="Unsec.Loans">#REF!</definedName>
    <definedName name="uti">#REF!</definedName>
    <definedName name="v" localSheetId="1" hidden="1">[13]Grouping!$A$1:$A$65536,[13]Grouping!$A$6:$IV$6</definedName>
    <definedName name="v" localSheetId="6" hidden="1">[13]Grouping!$A$1:$A$65536,[13]Grouping!$A$6:$IV$6</definedName>
    <definedName name="v" localSheetId="4" hidden="1">[13]Grouping!$A$1:$A$65536,[13]Grouping!$A$6:$IV$6</definedName>
    <definedName name="v" localSheetId="5" hidden="1">[13]Grouping!$A$1:$A$65536,[13]Grouping!$A$6:$IV$6</definedName>
    <definedName name="v" localSheetId="2" hidden="1">[14]Grouping!$A$1:$A$65536,[14]Grouping!$A$6:$IV$6</definedName>
    <definedName name="v" hidden="1">#REF!,#REF!</definedName>
    <definedName name="V.THIYAGARAJAN">#REF!</definedName>
    <definedName name="value">#REF!</definedName>
    <definedName name="Values_Entered">IF(Loan_Amount*Interest_Rate*Loan_Years*Loan_Start&gt;0,1,0)</definedName>
    <definedName name="VARAMT">#N/A</definedName>
    <definedName name="VAREOH">#N/A</definedName>
    <definedName name="VEH">#REF!</definedName>
    <definedName name="vivek1" localSheetId="1" hidden="1">'Design Fee'!#REF!</definedName>
    <definedName name="vivek1" hidden="1">#REF!</definedName>
    <definedName name="vivek11" localSheetId="1" hidden="1">'Design Fee'!#REF!</definedName>
    <definedName name="vivek11" hidden="1">#REF!</definedName>
    <definedName name="vivek12" localSheetId="1" hidden="1">'Design Fee'!#REF!</definedName>
    <definedName name="vivek12" hidden="1">#REF!</definedName>
    <definedName name="vivek13" localSheetId="1" hidden="1">#REF!</definedName>
    <definedName name="vivek13" hidden="1">#REF!</definedName>
    <definedName name="vivek17" localSheetId="1" hidden="1">#REF!</definedName>
    <definedName name="vivek17" hidden="1">#REF!</definedName>
    <definedName name="vivek18" localSheetId="1" hidden="1">#REF!</definedName>
    <definedName name="vivek18" hidden="1">#REF!</definedName>
    <definedName name="vivek2" localSheetId="1" hidden="1">#REF!</definedName>
    <definedName name="vivek2" hidden="1">#REF!</definedName>
    <definedName name="vivek220" localSheetId="1" hidden="1">#REF!</definedName>
    <definedName name="vivek220" hidden="1">#REF!</definedName>
    <definedName name="vivek288888" localSheetId="1" hidden="1">#REF!</definedName>
    <definedName name="vivek288888" hidden="1">#REF!</definedName>
    <definedName name="vivek2dddddddddddddddd" localSheetId="1" hidden="1">#REF!</definedName>
    <definedName name="vivek2dddddddddddddddd" hidden="1">#REF!</definedName>
    <definedName name="vivek2oooooooooooooooo" localSheetId="1" hidden="1">#REF!</definedName>
    <definedName name="vivek2oooooooooooooooo" hidden="1">#REF!</definedName>
    <definedName name="vivek3" localSheetId="1" hidden="1">#REF!</definedName>
    <definedName name="vivek3" hidden="1">#REF!</definedName>
    <definedName name="vivek4" localSheetId="1" hidden="1">#REF!</definedName>
    <definedName name="vivek4" hidden="1">#REF!</definedName>
    <definedName name="vivek444" localSheetId="1" hidden="1">#REF!</definedName>
    <definedName name="vivek444" hidden="1">#REF!</definedName>
    <definedName name="vivek5" localSheetId="1" hidden="1">#REF!</definedName>
    <definedName name="vivek5" hidden="1">#REF!</definedName>
    <definedName name="vivek6" localSheetId="1" hidden="1">#REF!</definedName>
    <definedName name="vivek6" hidden="1">#REF!</definedName>
    <definedName name="vivek6666" localSheetId="1" hidden="1">#REF!</definedName>
    <definedName name="vivek6666" hidden="1">#REF!</definedName>
    <definedName name="vivek9" localSheetId="1" hidden="1">#REF!</definedName>
    <definedName name="vivek9" hidden="1">#REF!</definedName>
    <definedName name="vpannpay">#REF!</definedName>
    <definedName name="vpmopay">#REF!</definedName>
    <definedName name="W">#REF!</definedName>
    <definedName name="w5y">#REF!</definedName>
    <definedName name="wa">#REF!</definedName>
    <definedName name="wat">#REF!</definedName>
    <definedName name="wb">#REF!</definedName>
    <definedName name="we_9" localSheetId="1">[8]Customer!#REF!</definedName>
    <definedName name="we_9">[8]Customer!#REF!</definedName>
    <definedName name="wee">#REF!</definedName>
    <definedName name="WGJDFHJ">#REF!</definedName>
    <definedName name="WIP">#REF!</definedName>
    <definedName name="words">#REF!</definedName>
    <definedName name="WORKER">#REF!</definedName>
    <definedName name="WORKING">#REF!</definedName>
    <definedName name="wr" hidden="1">{#N/A,#N/A,FALSE,"COMP"}</definedName>
    <definedName name="WRI" hidden="1">{#N/A,#N/A,FALSE,"COMP"}</definedName>
    <definedName name="wrn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A4BSSCH." localSheetId="1" hidden="1">{"BSSCHA4",#N/A,FALSE,"sch bs"}</definedName>
    <definedName name="wrn.A4BSSCH." localSheetId="6" hidden="1">{"BSSCHA4",#N/A,FALSE,"sch bs"}</definedName>
    <definedName name="wrn.A4BSSCH." localSheetId="4" hidden="1">{"BSSCHA4",#N/A,FALSE,"sch bs"}</definedName>
    <definedName name="wrn.A4BSSCH." localSheetId="5" hidden="1">{"BSSCHA4",#N/A,FALSE,"sch bs"}</definedName>
    <definedName name="wrn.A4BSSCH." localSheetId="2" hidden="1">{"BSSCHA4",#N/A,FALSE,"sch bs"}</definedName>
    <definedName name="wrn.A4BSSCH." hidden="1">{"BSSCHA4",#N/A,FALSE,"sch bs"}</definedName>
    <definedName name="wrn.A4BSSCH._1" hidden="1">{"BSSCHA4",#N/A,FALSE,"sch bs"}</definedName>
    <definedName name="wrn.A4PL." localSheetId="1" hidden="1">{"a4p&amp;L",#N/A,FALSE,"tr &amp; pl"}</definedName>
    <definedName name="wrn.A4PL." localSheetId="6" hidden="1">{"a4p&amp;L",#N/A,FALSE,"tr &amp; pl"}</definedName>
    <definedName name="wrn.A4PL." localSheetId="4" hidden="1">{"a4p&amp;L",#N/A,FALSE,"tr &amp; pl"}</definedName>
    <definedName name="wrn.A4PL." localSheetId="5" hidden="1">{"a4p&amp;L",#N/A,FALSE,"tr &amp; pl"}</definedName>
    <definedName name="wrn.A4PL." localSheetId="2" hidden="1">{"a4p&amp;L",#N/A,FALSE,"tr &amp; pl"}</definedName>
    <definedName name="wrn.A4PL." hidden="1">{"a4p&amp;L",#N/A,FALSE,"tr &amp; pl"}</definedName>
    <definedName name="wrn.A4PL._1" hidden="1">{"a4p&amp;L",#N/A,FALSE,"tr &amp; pl"}</definedName>
    <definedName name="WRN.ad97" hidden="1">{"adj95mult",#N/A,FALSE,"COMPCO";"adj95est",#N/A,FALSE,"COMPCO"}</definedName>
    <definedName name="wrn.adj95." hidden="1">{"adj95mult",#N/A,FALSE,"COMPCO";"adj95est",#N/A,FALSE,"COMPCO"}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1" hidden="1">{#N/A,#N/A,FALSE,"OPSTATE";#N/A,#N/A,FALSE,"BSLIABILITY";#N/A,#N/A,FALSE,"BSASSETS";#N/A,#N/A,FALSE,"Sheet1"}</definedName>
    <definedName name="wrn.AkrutiCMA." localSheetId="6" hidden="1">{#N/A,#N/A,FALSE,"OPSTATE";#N/A,#N/A,FALSE,"BSLIABILITY";#N/A,#N/A,FALSE,"BSASSETS";#N/A,#N/A,FALSE,"Sheet1"}</definedName>
    <definedName name="wrn.AkrutiCMA." localSheetId="4" hidden="1">{#N/A,#N/A,FALSE,"OPSTATE";#N/A,#N/A,FALSE,"BSLIABILITY";#N/A,#N/A,FALSE,"BSASSETS";#N/A,#N/A,FALSE,"Sheet1"}</definedName>
    <definedName name="wrn.AkrutiCMA." localSheetId="5" hidden="1">{#N/A,#N/A,FALSE,"OPSTATE";#N/A,#N/A,FALSE,"BSLIABILITY";#N/A,#N/A,FALSE,"BSASSETS";#N/A,#N/A,FALSE,"Sheet1"}</definedName>
    <definedName name="wrn.AkrutiCMA." localSheetId="2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1" hidden="1">{"A4BS",#N/A,FALSE,"bs"}</definedName>
    <definedName name="wrn.BSA4." localSheetId="6" hidden="1">{"A4BS",#N/A,FALSE,"bs"}</definedName>
    <definedName name="wrn.BSA4." localSheetId="4" hidden="1">{"A4BS",#N/A,FALSE,"bs"}</definedName>
    <definedName name="wrn.BSA4." localSheetId="5" hidden="1">{"A4BS",#N/A,FALSE,"bs"}</definedName>
    <definedName name="wrn.BSA4." localSheetId="2" hidden="1">{"A4BS",#N/A,FALSE,"bs"}</definedName>
    <definedName name="wrn.BSA4." hidden="1">{"A4BS",#N/A,FALSE,"bs"}</definedName>
    <definedName name="wrn.BSA4._1" hidden="1">{"A4BS",#N/A,FALSE,"bs"}</definedName>
    <definedName name="wrn.capA4." localSheetId="1" hidden="1">{"capA4",#N/A,FALSE,"capt"}</definedName>
    <definedName name="wrn.capA4." localSheetId="6" hidden="1">{"capA4",#N/A,FALSE,"capt"}</definedName>
    <definedName name="wrn.capA4." localSheetId="4" hidden="1">{"capA4",#N/A,FALSE,"capt"}</definedName>
    <definedName name="wrn.capA4." localSheetId="5" hidden="1">{"capA4",#N/A,FALSE,"capt"}</definedName>
    <definedName name="wrn.capA4." localSheetId="2" hidden="1">{"capA4",#N/A,FALSE,"capt"}</definedName>
    <definedName name="wrn.capA4." hidden="1">{"capA4",#N/A,FALSE,"capt"}</definedName>
    <definedName name="wrn.capA4._1" hidden="1">{"capA4",#N/A,FALSE,"capt"}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depschA4." localSheetId="1" hidden="1">{"A4depsch",#N/A,FALSE,"fa&amp;dep"}</definedName>
    <definedName name="wrn.depschA4." localSheetId="6" hidden="1">{"A4depsch",#N/A,FALSE,"fa&amp;dep"}</definedName>
    <definedName name="wrn.depschA4." localSheetId="4" hidden="1">{"A4depsch",#N/A,FALSE,"fa&amp;dep"}</definedName>
    <definedName name="wrn.depschA4." localSheetId="5" hidden="1">{"A4depsch",#N/A,FALSE,"fa&amp;dep"}</definedName>
    <definedName name="wrn.depschA4." localSheetId="2" hidden="1">{"A4depsch",#N/A,FALSE,"fa&amp;dep"}</definedName>
    <definedName name="wrn.depschA4." hidden="1">{"A4depsch",#N/A,FALSE,"fa&amp;dep"}</definedName>
    <definedName name="wrn.depschA4._1" hidden="1">{"A4depsch",#N/A,FALSE,"fa&amp;dep"}</definedName>
    <definedName name="wrn.Economic._.Value._.Added._.Analysis." hidden="1">{"EVA",#N/A,FALSE,"EVA";"WACC",#N/A,FALSE,"WACC"}</definedName>
    <definedName name="wrn.EVEREST." localSheetId="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6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4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5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ORM1." hidden="1">{#N/A,#N/A,FALSE,"COMP"}</definedName>
    <definedName name="wrn.Full._.Financials." localSheetId="1" hidden="1">{#N/A,#N/A,TRUE,"Financials";#N/A,#N/A,TRUE,"Operating Statistics";#N/A,#N/A,TRUE,"Capex &amp; Depreciation";#N/A,#N/A,TRUE,"Debt"}</definedName>
    <definedName name="wrn.Full._.Financials." localSheetId="6" hidden="1">{#N/A,#N/A,TRUE,"Financials";#N/A,#N/A,TRUE,"Operating Statistics";#N/A,#N/A,TRUE,"Capex &amp; Depreciation";#N/A,#N/A,TRUE,"Debt"}</definedName>
    <definedName name="wrn.Full._.Financials." localSheetId="4" hidden="1">{#N/A,#N/A,TRUE,"Financials";#N/A,#N/A,TRUE,"Operating Statistics";#N/A,#N/A,TRUE,"Capex &amp; Depreciation";#N/A,#N/A,TRUE,"Debt"}</definedName>
    <definedName name="wrn.Full._.Financials." localSheetId="5" hidden="1">{#N/A,#N/A,TRUE,"Financials";#N/A,#N/A,TRUE,"Operating Statistics";#N/A,#N/A,TRUE,"Capex &amp; Depreciation";#N/A,#N/A,TRUE,"Debt"}</definedName>
    <definedName name="wrn.Full._.Financials." localSheetId="2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One._.Pager._.plus._.Technicals." localSheetId="1" hidden="1">{#N/A,#N/A,FALSE,"One Pager";#N/A,#N/A,FALSE,"Technical"}</definedName>
    <definedName name="wrn.One._.Pager._.plus._.Technicals." localSheetId="6" hidden="1">{#N/A,#N/A,FALSE,"One Pager";#N/A,#N/A,FALSE,"Technical"}</definedName>
    <definedName name="wrn.One._.Pager._.plus._.Technicals." localSheetId="4" hidden="1">{#N/A,#N/A,FALSE,"One Pager";#N/A,#N/A,FALSE,"Technical"}</definedName>
    <definedName name="wrn.One._.Pager._.plus._.Technicals." localSheetId="5" hidden="1">{#N/A,#N/A,FALSE,"One Pager";#N/A,#N/A,FALSE,"Technical"}</definedName>
    <definedName name="wrn.One._.Pager._.plus._.Technicals." localSheetId="2" hidden="1">{#N/A,#N/A,FALSE,"One Pager";#N/A,#N/A,FALSE,"Technical"}</definedName>
    <definedName name="wrn.One._.Pager._.plus._.Technicals." hidden="1">{#N/A,#N/A,FALSE,"One Pager";#N/A,#N/A,FALSE,"Technical"}</definedName>
    <definedName name="wrn.OUTPUT." hidden="1">{"DCF","UPSIDE CASE",FALSE,"Sheet1";"DCF","BASE CASE",FALSE,"Sheet1";"DCF","DOWNSIDE CASE",FALSE,"Sheet1"}</definedName>
    <definedName name="wrn.PLSCHA4." localSheetId="1" hidden="1">{"A4PLSCH",#N/A,FALSE,"sch pl"}</definedName>
    <definedName name="wrn.PLSCHA4." localSheetId="6" hidden="1">{"A4PLSCH",#N/A,FALSE,"sch pl"}</definedName>
    <definedName name="wrn.PLSCHA4." localSheetId="4" hidden="1">{"A4PLSCH",#N/A,FALSE,"sch pl"}</definedName>
    <definedName name="wrn.PLSCHA4." localSheetId="5" hidden="1">{"A4PLSCH",#N/A,FALSE,"sch pl"}</definedName>
    <definedName name="wrn.PLSCHA4." localSheetId="2" hidden="1">{"A4PLSCH",#N/A,FALSE,"sch pl"}</definedName>
    <definedName name="wrn.PLSCHA4." hidden="1">{"A4PLSCH",#N/A,FALSE,"sch pl"}</definedName>
    <definedName name="wrn.PLSCHA4._1" hidden="1">{"A4PLSCH",#N/A,FALSE,"sch pl"}</definedName>
    <definedName name="wrn.Print." localSheetId="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6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4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5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_.All._.Schedules.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;"SchO1",#N/A,FALSE,"Schedules"}</definedName>
    <definedName name="wrn.Print._.SchA." hidden="1">{"SchA1",#N/A,FALSE,"Schedules";"SchA2",#N/A,FALSE,"Schedules"}</definedName>
    <definedName name="wrn.Print._.SchB." hidden="1">{"SchB1",#N/A,FALSE,"Schedules";"SchB2",#N/A,FALSE,"Schedules"}</definedName>
    <definedName name="wrn.Print._.SchC." hidden="1">{"SchC1",#N/A,FALSE,"Schedules";"SchC2",#N/A,FALSE,"Schedules"}</definedName>
    <definedName name="wrn.Print._.SchD." hidden="1">{"SchD1",#N/A,FALSE,"Schedules";"SchD2",#N/A,FALSE,"Schedules"}</definedName>
    <definedName name="wrn.Print._.SchE." hidden="1">{"SchE1",#N/A,FALSE,"Schedules";"SchE2",#N/A,FALSE,"Schedules"}</definedName>
    <definedName name="wrn.Print._.SchF." hidden="1">{"SchF1",#N/A,FALSE,"Schedules";"SchF2",#N/A,FALSE,"Schedules"}</definedName>
    <definedName name="wrn.Print._.SchG." hidden="1">{"SchG1",#N/A,FALSE,"Schedules";"SchG2",#N/A,FALSE,"Schedules"}</definedName>
    <definedName name="wrn.Print._.SchH." hidden="1">{"SchH1",#N/A,FALSE,"Schedules";"SchH2",#N/A,FALSE,"Schedules"}</definedName>
    <definedName name="wrn.Print._.SchI." hidden="1">{"SchI1",#N/A,FALSE,"Schedules";"SchI2",#N/A,FALSE,"Schedules"}</definedName>
    <definedName name="wrn.Print._.SchJ." hidden="1">{"SchJ1",#N/A,FALSE,"Schedules";"SchJ2",#N/A,FALSE,"Schedules"}</definedName>
    <definedName name="wrn.Print._.SchK." hidden="1">{"SchK1",#N/A,FALSE,"Schedules";"SchK2",#N/A,FALSE,"Schedules"}</definedName>
    <definedName name="wrn.Print._.SchL." hidden="1">{"SchL1",#N/A,FALSE,"Schedules";"SchL2",#N/A,FALSE,"Schedules"}</definedName>
    <definedName name="wrn.Print._.SchM." hidden="1">{"SchM1",#N/A,FALSE,"Schedules";"SchM2",#N/A,FALSE,"Schedules"}</definedName>
    <definedName name="wrn.Print._.SchN." hidden="1">{"SchN1",#N/A,FALSE,"Schedules"}</definedName>
    <definedName name="wrn.Print._.SchO." hidden="1">{"SchO1",#N/A,FALSE,"Schedules"}</definedName>
    <definedName name="wrn.Print._.Summary." hidden="1">{"Summ1",#N/A,FALSE,"Summary"}</definedName>
    <definedName name="wrn.PrintShort." localSheetId="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6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5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6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4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5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6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4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5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6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4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5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TR">#REF!</definedName>
    <definedName name="wwsss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WW">#REF!</definedName>
    <definedName name="X">#REF!</definedName>
    <definedName name="X2DefTax">#REF!</definedName>
    <definedName name="XREF_COLUMN_2" localSheetId="1" hidden="1">[15]BS!#REF!</definedName>
    <definedName name="XREF_COLUMN_2" localSheetId="6" hidden="1">[15]BS!#REF!</definedName>
    <definedName name="XREF_COLUMN_2" localSheetId="4" hidden="1">[15]BS!#REF!</definedName>
    <definedName name="XREF_COLUMN_2" localSheetId="5" hidden="1">[15]BS!#REF!</definedName>
    <definedName name="XREF_COLUMN_2" localSheetId="2" hidden="1">[15]BS!#REF!</definedName>
    <definedName name="XREF_COLUMN_2" hidden="1">#REF!</definedName>
    <definedName name="XREF_COLUMN_3" localSheetId="1" hidden="1">[15]FA!#REF!</definedName>
    <definedName name="XREF_COLUMN_3" localSheetId="6" hidden="1">[15]FA!#REF!</definedName>
    <definedName name="XREF_COLUMN_3" localSheetId="4" hidden="1">[15]FA!#REF!</definedName>
    <definedName name="XREF_COLUMN_3" localSheetId="5" hidden="1">[15]FA!#REF!</definedName>
    <definedName name="XREF_COLUMN_3" localSheetId="2" hidden="1">[15]FA!#REF!</definedName>
    <definedName name="XREF_COLUMN_3" hidden="1">#REF!</definedName>
    <definedName name="XREF_COLUMN_4" localSheetId="1" hidden="1">[15]FA!#REF!</definedName>
    <definedName name="XREF_COLUMN_4" localSheetId="6" hidden="1">[15]FA!#REF!</definedName>
    <definedName name="XREF_COLUMN_4" localSheetId="4" hidden="1">[15]FA!#REF!</definedName>
    <definedName name="XREF_COLUMN_4" localSheetId="5" hidden="1">[15]FA!#REF!</definedName>
    <definedName name="XREF_COLUMN_4" localSheetId="2" hidden="1">[15]FA!#REF!</definedName>
    <definedName name="XREF_COLUMN_4" hidden="1">#REF!</definedName>
    <definedName name="XREF_COLUMN_5" localSheetId="1" hidden="1">[15]FA!#REF!</definedName>
    <definedName name="XREF_COLUMN_5" localSheetId="6" hidden="1">[15]FA!#REF!</definedName>
    <definedName name="XREF_COLUMN_5" localSheetId="4" hidden="1">[15]FA!#REF!</definedName>
    <definedName name="XREF_COLUMN_5" localSheetId="5" hidden="1">[15]FA!#REF!</definedName>
    <definedName name="XREF_COLUMN_5" localSheetId="2" hidden="1">[15]FA!#REF!</definedName>
    <definedName name="XREF_COLUMN_5" hidden="1">#REF!</definedName>
    <definedName name="XREF_COLUMN_6" localSheetId="1" hidden="1">[15]FA!#REF!</definedName>
    <definedName name="XREF_COLUMN_6" localSheetId="6" hidden="1">[15]FA!#REF!</definedName>
    <definedName name="XREF_COLUMN_6" localSheetId="4" hidden="1">[15]FA!#REF!</definedName>
    <definedName name="XREF_COLUMN_6" localSheetId="5" hidden="1">[15]FA!#REF!</definedName>
    <definedName name="XREF_COLUMN_6" localSheetId="2" hidden="1">[15]FA!#REF!</definedName>
    <definedName name="XREF_COLUMN_6" hidden="1">#REF!</definedName>
    <definedName name="XREF_COLUMN_7" localSheetId="1" hidden="1">[15]FA!#REF!</definedName>
    <definedName name="XREF_COLUMN_7" localSheetId="6" hidden="1">[15]FA!#REF!</definedName>
    <definedName name="XREF_COLUMN_7" localSheetId="4" hidden="1">[15]FA!#REF!</definedName>
    <definedName name="XREF_COLUMN_7" localSheetId="5" hidden="1">[15]FA!#REF!</definedName>
    <definedName name="XREF_COLUMN_7" localSheetId="2" hidden="1">[15]FA!#REF!</definedName>
    <definedName name="XREF_COLUMN_7" hidden="1">#REF!</definedName>
    <definedName name="XREF_COLUMN_8" localSheetId="1" hidden="1">[15]FA!#REF!</definedName>
    <definedName name="XREF_COLUMN_8" localSheetId="6" hidden="1">[15]FA!#REF!</definedName>
    <definedName name="XREF_COLUMN_8" localSheetId="4" hidden="1">[15]FA!#REF!</definedName>
    <definedName name="XREF_COLUMN_8" localSheetId="5" hidden="1">[15]FA!#REF!</definedName>
    <definedName name="XREF_COLUMN_8" localSheetId="2" hidden="1">[15]FA!#REF!</definedName>
    <definedName name="XREF_COLUMN_8" hidden="1">#REF!</definedName>
    <definedName name="XREF_COLUMN_9" localSheetId="1" hidden="1">[15]FA!#REF!</definedName>
    <definedName name="XREF_COLUMN_9" localSheetId="6" hidden="1">[15]FA!#REF!</definedName>
    <definedName name="XREF_COLUMN_9" localSheetId="4" hidden="1">[15]FA!#REF!</definedName>
    <definedName name="XREF_COLUMN_9" localSheetId="5" hidden="1">[15]FA!#REF!</definedName>
    <definedName name="XREF_COLUMN_9" localSheetId="2" hidden="1">[15]FA!#REF!</definedName>
    <definedName name="XREF_COLUMN_9" hidden="1">#REF!</definedName>
    <definedName name="XRefColumnsCount" hidden="1">5</definedName>
    <definedName name="XRefCopyRangeCount" hidden="1">6</definedName>
    <definedName name="XRefPasteRangeCount" hidden="1">4</definedName>
    <definedName name="xta???92.?TBr13c7r41c30TBr1">#REF!</definedName>
    <definedName name="xta92??.?TBr23c13r23c36TBr13">#REF!</definedName>
    <definedName name="xta92경전.서TBr23c13r23c36TBr13">#REF!</definedName>
    <definedName name="xta경영계92.서TBr13c7r41c30TBr1">#REF!</definedName>
    <definedName name="xx">#REF!</definedName>
    <definedName name="xxx">#REF!</definedName>
    <definedName name="xxxx">#REF!</definedName>
    <definedName name="XYZ" localSheetId="1" hidden="1">[16]Grouping!$A$1:$A$65536,[16]Grouping!$A$6:$IV$6</definedName>
    <definedName name="XYZ" localSheetId="6" hidden="1">[16]Grouping!$A$1:$A$65536,[16]Grouping!$A$6:$IV$6</definedName>
    <definedName name="XYZ" localSheetId="4" hidden="1">[16]Grouping!$A$1:$A$65536,[16]Grouping!$A$6:$IV$6</definedName>
    <definedName name="XYZ" localSheetId="5" hidden="1">[16]Grouping!$A$1:$A$65536,[16]Grouping!$A$6:$IV$6</definedName>
    <definedName name="XYZ" localSheetId="2" hidden="1">[16]Grouping!$A$1:$A$65536,[16]Grouping!$A$6:$IV$6</definedName>
    <definedName name="XYZ" hidden="1">#REF!,#REF!</definedName>
    <definedName name="xyzsales">#REF!</definedName>
    <definedName name="Y">#REF!</definedName>
    <definedName name="ya5y">#REF!</definedName>
    <definedName name="yg">#REF!</definedName>
    <definedName name="ytruy">#REF!</definedName>
    <definedName name="Z">#REF!</definedName>
    <definedName name="Z_0185ADC1_3830_11D3_88E4_00104B2D4E50_.wvu.FilterData" localSheetId="1" hidden="1">'Design Fee'!#REF!</definedName>
    <definedName name="Z_0185ADC1_3830_11D3_88E4_00104B2D4E50_.wvu.FilterData" hidden="1">#REF!</definedName>
    <definedName name="Z_0185ADC2_3830_11D3_88E4_00104B2D4E50_.wvu.FilterData" localSheetId="1" hidden="1">'Design Fee'!#REF!</definedName>
    <definedName name="Z_0185ADC2_3830_11D3_88E4_00104B2D4E50_.wvu.FilterData" hidden="1">#REF!</definedName>
    <definedName name="Z_020243C4_4FC9_11D3_88E5_00104B2D4E50_.wvu.FilterData" localSheetId="1" hidden="1">#REF!</definedName>
    <definedName name="Z_020243C4_4FC9_11D3_88E5_00104B2D4E50_.wvu.FilterData" hidden="1">#REF!</definedName>
    <definedName name="Z_020243C5_4FC9_11D3_88E5_00104B2D4E50_.wvu.FilterData" localSheetId="1" hidden="1">#REF!</definedName>
    <definedName name="Z_020243C5_4FC9_11D3_88E5_00104B2D4E50_.wvu.FilterData" hidden="1">#REF!</definedName>
    <definedName name="Z_020243D6_4FC9_11D3_88E5_00104B2D4E50_.wvu.FilterData" localSheetId="1" hidden="1">#REF!</definedName>
    <definedName name="Z_020243D6_4FC9_11D3_88E5_00104B2D4E50_.wvu.FilterData" hidden="1">#REF!</definedName>
    <definedName name="Z_020243D9_4FC9_11D3_88E5_00104B2D4E50_.wvu.FilterData" localSheetId="1" hidden="1">#REF!</definedName>
    <definedName name="Z_020243D9_4FC9_11D3_88E5_00104B2D4E50_.wvu.FilterData" hidden="1">#REF!</definedName>
    <definedName name="Z_18E867C2_363F_11D3_B384_00104B203064_.wvu.Cols" localSheetId="1" hidden="1">#REF!</definedName>
    <definedName name="Z_18E867C2_363F_11D3_B384_00104B203064_.wvu.Cols" hidden="1">#REF!</definedName>
    <definedName name="Z_18E867C2_363F_11D3_B384_00104B203064_.wvu.FilterData" localSheetId="1" hidden="1">#REF!</definedName>
    <definedName name="Z_18E867C2_363F_11D3_B384_00104B203064_.wvu.FilterData" hidden="1">#REF!</definedName>
    <definedName name="Z_18E867C6_363F_11D3_B384_00104B203064_.wvu.FilterData" localSheetId="1" hidden="1">#REF!</definedName>
    <definedName name="Z_18E867C6_363F_11D3_B384_00104B203064_.wvu.FilterData" hidden="1">#REF!</definedName>
    <definedName name="Z_2529F30F_675A_11D3_88E6_00104B2D4E50_.wvu.FilterData" localSheetId="1" hidden="1">#REF!</definedName>
    <definedName name="Z_2529F30F_675A_11D3_88E6_00104B2D4E50_.wvu.FilterData" hidden="1">#REF!</definedName>
    <definedName name="Z_37C90060_2018_11D3_9FEA_008048EE1BB3_.wvu.Cols" localSheetId="1" hidden="1">#REF!</definedName>
    <definedName name="Z_37C90060_2018_11D3_9FEA_008048EE1BB3_.wvu.Cols" hidden="1">#REF!</definedName>
    <definedName name="Z_37C90060_2018_11D3_9FEA_008048EE1BB3_.wvu.FilterData" localSheetId="1" hidden="1">#REF!</definedName>
    <definedName name="Z_37C90060_2018_11D3_9FEA_008048EE1BB3_.wvu.FilterData" hidden="1">#REF!</definedName>
    <definedName name="Z_37C90061_2018_11D3_9FEA_008048EE1BB3_.wvu.FilterData" localSheetId="1" hidden="1">#REF!</definedName>
    <definedName name="Z_37C90061_2018_11D3_9FEA_008048EE1BB3_.wvu.FilterData" hidden="1">#REF!</definedName>
    <definedName name="Z_37C90063_2018_11D3_9FEA_008048EE1BB3_.wvu.FilterData" localSheetId="1" hidden="1">#REF!</definedName>
    <definedName name="Z_37C90063_2018_11D3_9FEA_008048EE1BB3_.wvu.FilterData" hidden="1">#REF!</definedName>
    <definedName name="Z_42177D60_3622_11D3_B2D2_008048EE2662_.wvu.FilterData" localSheetId="1" hidden="1">#REF!</definedName>
    <definedName name="Z_42177D60_3622_11D3_B2D2_008048EE2662_.wvu.FilterData" hidden="1">#REF!</definedName>
    <definedName name="Z_87846904_F246_11D2_88E4_00104B2D4E50_.wvu.PrintTitles" localSheetId="1" hidden="1">#REF!,#REF!</definedName>
    <definedName name="Z_87846904_F246_11D2_88E4_00104B2D4E50_.wvu.PrintTitles" hidden="1">#REF!,#REF!</definedName>
    <definedName name="Z_9C36B7A0_8E17_11D3_B2D2_008048EE2662_.wvu.Rows" localSheetId="1" hidden="1">#REF!,#REF!,#REF!</definedName>
    <definedName name="Z_9C36B7A0_8E17_11D3_B2D2_008048EE2662_.wvu.Rows" hidden="1">#REF!,#REF!,#REF!</definedName>
    <definedName name="Z_AF67EA27_37A9_11D3_88E4_00104B2D4E50_.wvu.FilterData" localSheetId="1" hidden="1">#REF!</definedName>
    <definedName name="Z_AF67EA27_37A9_11D3_88E4_00104B2D4E50_.wvu.FilterData" hidden="1">#REF!</definedName>
    <definedName name="Z_CC26C000_67A6_11D3_B801_444553540000_.wvu.FilterData" localSheetId="1" hidden="1">#REF!</definedName>
    <definedName name="Z_CC26C000_67A6_11D3_B801_444553540000_.wvu.FilterData" hidden="1">#REF!</definedName>
    <definedName name="Z_D840F8B1_668B_11D3_88E6_00104B2D4E50_.wvu.FilterData" localSheetId="1" hidden="1">#REF!</definedName>
    <definedName name="Z_D840F8B1_668B_11D3_88E6_00104B2D4E50_.wvu.FilterData" hidden="1">#REF!</definedName>
    <definedName name="Z_F0339D6F_2232_11D3_88E4_00104B2D4E50_.wvu.FilterData" localSheetId="1" hidden="1">#REF!</definedName>
    <definedName name="Z_F0339D6F_2232_11D3_88E4_00104B2D4E50_.wvu.FilterData" hidden="1">#REF!</definedName>
    <definedName name="zfgha">#REF!</definedName>
    <definedName name="zz">#REF!</definedName>
    <definedName name="단위_백만원">#REF!</definedName>
    <definedName name="매출">#REF!</definedName>
    <definedName name="월_판매">#REF!</definedName>
    <definedName name="전장">#REF!</definedName>
    <definedName name="제원">#REF!</definedName>
    <definedName name="제조원가">#REF!</definedName>
    <definedName name="표지">#REF!</definedName>
    <definedName name="ㅏㅏㅏ">#REF!</definedName>
    <definedName name="ㅠ">#REF!</definedName>
    <definedName name="折旧日1">#REF!</definedName>
    <definedName name="現代綜合商事經由分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27" l="1"/>
  <c r="E30" i="27"/>
  <c r="I29" i="27"/>
  <c r="E29" i="27"/>
  <c r="I28" i="27"/>
  <c r="E28" i="27"/>
  <c r="I27" i="27"/>
  <c r="I26" i="27"/>
  <c r="E9" i="20"/>
  <c r="F14" i="23"/>
  <c r="K15" i="20"/>
  <c r="I19" i="28" l="1"/>
  <c r="E19" i="28"/>
  <c r="I18" i="28"/>
  <c r="E18" i="28"/>
  <c r="I8" i="28"/>
  <c r="E8" i="28"/>
  <c r="I7" i="28"/>
  <c r="E7" i="28"/>
  <c r="I6" i="28"/>
  <c r="E6" i="28"/>
  <c r="I5" i="28"/>
  <c r="E5" i="28"/>
  <c r="I38" i="27"/>
  <c r="E38" i="27"/>
  <c r="I37" i="27"/>
  <c r="E37" i="27"/>
  <c r="I36" i="27"/>
  <c r="E36" i="27"/>
  <c r="I35" i="27"/>
  <c r="E35" i="27"/>
  <c r="I34" i="27"/>
  <c r="E34" i="27"/>
  <c r="I33" i="27"/>
  <c r="E33" i="27"/>
  <c r="I32" i="27"/>
  <c r="E32" i="27"/>
  <c r="I6" i="29"/>
  <c r="E6" i="29"/>
  <c r="I14" i="29"/>
  <c r="E14" i="29"/>
  <c r="I13" i="29"/>
  <c r="E13" i="29"/>
  <c r="I12" i="29"/>
  <c r="E12" i="29"/>
  <c r="I11" i="29"/>
  <c r="E11" i="29"/>
  <c r="I10" i="29"/>
  <c r="E10" i="29"/>
  <c r="I9" i="29"/>
  <c r="E9" i="29"/>
  <c r="I8" i="29"/>
  <c r="E8" i="29"/>
  <c r="I7" i="29"/>
  <c r="E7" i="29"/>
  <c r="I5" i="29"/>
  <c r="E5" i="29"/>
  <c r="I17" i="29"/>
  <c r="E17" i="29"/>
  <c r="I16" i="29"/>
  <c r="E16" i="29"/>
  <c r="AG2" i="29"/>
  <c r="AF2" i="29"/>
  <c r="AE2" i="29"/>
  <c r="AD2" i="29"/>
  <c r="AB2" i="29"/>
  <c r="AA2" i="29"/>
  <c r="Z2" i="29"/>
  <c r="Y2" i="29"/>
  <c r="X2" i="29"/>
  <c r="V2" i="29"/>
  <c r="U2" i="29"/>
  <c r="T2" i="29"/>
  <c r="S2" i="29"/>
  <c r="Q2" i="29"/>
  <c r="P2" i="29"/>
  <c r="O2" i="29"/>
  <c r="N2" i="29"/>
  <c r="M2" i="29"/>
  <c r="I5" i="27"/>
  <c r="I24" i="28"/>
  <c r="E24" i="28"/>
  <c r="I23" i="28"/>
  <c r="E23" i="28"/>
  <c r="I22" i="28"/>
  <c r="E22" i="28"/>
  <c r="I21" i="28"/>
  <c r="E21" i="28"/>
  <c r="I20" i="28"/>
  <c r="E20" i="28"/>
  <c r="I15" i="28"/>
  <c r="E15" i="28"/>
  <c r="I13" i="28"/>
  <c r="E13" i="28"/>
  <c r="I12" i="28"/>
  <c r="E12" i="28"/>
  <c r="I11" i="28"/>
  <c r="E11" i="28"/>
  <c r="I10" i="28"/>
  <c r="E10" i="28"/>
  <c r="I14" i="28"/>
  <c r="E14" i="28"/>
  <c r="I17" i="28"/>
  <c r="E17" i="28"/>
  <c r="I16" i="28"/>
  <c r="E16" i="28"/>
  <c r="AG2" i="28"/>
  <c r="AF2" i="28"/>
  <c r="AE2" i="28"/>
  <c r="AD2" i="28"/>
  <c r="AB2" i="28"/>
  <c r="AA2" i="28"/>
  <c r="Z2" i="28"/>
  <c r="Y2" i="28"/>
  <c r="X2" i="28"/>
  <c r="V2" i="28"/>
  <c r="U2" i="28"/>
  <c r="T2" i="28"/>
  <c r="S2" i="28"/>
  <c r="Q2" i="28"/>
  <c r="P2" i="28"/>
  <c r="O2" i="28"/>
  <c r="N2" i="28"/>
  <c r="M2" i="28"/>
  <c r="AG2" i="27"/>
  <c r="AF2" i="27"/>
  <c r="AE2" i="27"/>
  <c r="AD2" i="27"/>
  <c r="AB2" i="27"/>
  <c r="AA2" i="27"/>
  <c r="Z2" i="27"/>
  <c r="Y2" i="27"/>
  <c r="X2" i="27"/>
  <c r="V2" i="27"/>
  <c r="U2" i="27"/>
  <c r="T2" i="27"/>
  <c r="S2" i="27"/>
  <c r="Q2" i="27"/>
  <c r="P2" i="27"/>
  <c r="O2" i="27"/>
  <c r="N2" i="27"/>
  <c r="M2" i="27"/>
  <c r="I58" i="27"/>
  <c r="E58" i="27"/>
  <c r="I57" i="27"/>
  <c r="E57" i="27"/>
  <c r="I56" i="27"/>
  <c r="E56" i="27"/>
  <c r="I55" i="27"/>
  <c r="E55" i="27"/>
  <c r="I54" i="27"/>
  <c r="E54" i="27"/>
  <c r="I53" i="27"/>
  <c r="E53" i="27"/>
  <c r="I52" i="27"/>
  <c r="E52" i="27"/>
  <c r="I51" i="27"/>
  <c r="E51" i="27"/>
  <c r="I50" i="27"/>
  <c r="E50" i="27"/>
  <c r="I49" i="27"/>
  <c r="E49" i="27"/>
  <c r="I48" i="27"/>
  <c r="E48" i="27"/>
  <c r="I47" i="27"/>
  <c r="E47" i="27"/>
  <c r="I46" i="27"/>
  <c r="E46" i="27"/>
  <c r="I45" i="27"/>
  <c r="E45" i="27"/>
  <c r="I44" i="27"/>
  <c r="E44" i="27"/>
  <c r="I43" i="27"/>
  <c r="E43" i="27"/>
  <c r="I42" i="27"/>
  <c r="E42" i="27"/>
  <c r="I41" i="27"/>
  <c r="E41" i="27"/>
  <c r="I40" i="27"/>
  <c r="E40" i="27"/>
  <c r="I60" i="27"/>
  <c r="E60" i="27"/>
  <c r="I24" i="27"/>
  <c r="E24" i="27"/>
  <c r="I23" i="27"/>
  <c r="E23" i="27"/>
  <c r="I22" i="27"/>
  <c r="E22" i="27"/>
  <c r="I21" i="27"/>
  <c r="E21" i="27"/>
  <c r="I20" i="27"/>
  <c r="E20" i="27"/>
  <c r="I19" i="27"/>
  <c r="E19" i="27"/>
  <c r="I18" i="27"/>
  <c r="E18" i="27"/>
  <c r="I17" i="27"/>
  <c r="E17" i="27"/>
  <c r="I16" i="27"/>
  <c r="E16" i="27"/>
  <c r="I15" i="27"/>
  <c r="E15" i="27"/>
  <c r="I14" i="27"/>
  <c r="E14" i="27"/>
  <c r="I13" i="27"/>
  <c r="E13" i="27"/>
  <c r="I12" i="27"/>
  <c r="I11" i="27"/>
  <c r="I10" i="27"/>
  <c r="I9" i="27"/>
  <c r="E12" i="27"/>
  <c r="E11" i="27"/>
  <c r="E10" i="27"/>
  <c r="E9" i="27"/>
  <c r="I8" i="27"/>
  <c r="I7" i="27"/>
  <c r="I6" i="27"/>
  <c r="E8" i="27" l="1"/>
  <c r="E7" i="27"/>
  <c r="E6" i="27"/>
  <c r="E5" i="27"/>
  <c r="L32" i="23"/>
  <c r="L31" i="23"/>
  <c r="L30" i="23"/>
  <c r="L29" i="23"/>
  <c r="L28" i="23"/>
  <c r="L27" i="23"/>
  <c r="L26" i="23"/>
  <c r="L25" i="23"/>
  <c r="L24" i="23"/>
  <c r="L23" i="23"/>
  <c r="L22" i="23"/>
  <c r="L21" i="23"/>
  <c r="N14" i="23"/>
  <c r="M14" i="23"/>
  <c r="F14" i="20"/>
  <c r="I8" i="26"/>
  <c r="H8" i="26"/>
  <c r="G8" i="26"/>
  <c r="F8" i="26"/>
  <c r="K10" i="26"/>
  <c r="L10" i="26"/>
  <c r="M10" i="26"/>
  <c r="N10" i="26"/>
  <c r="K11" i="26"/>
  <c r="L11" i="26"/>
  <c r="M11" i="26"/>
  <c r="N11" i="26"/>
  <c r="K12" i="26"/>
  <c r="L12" i="26"/>
  <c r="M12" i="26"/>
  <c r="N12" i="26"/>
  <c r="N9" i="26"/>
  <c r="M9" i="26"/>
  <c r="L9" i="26"/>
  <c r="K9" i="26"/>
  <c r="J6" i="26" l="1"/>
  <c r="F14" i="26"/>
  <c r="E23" i="20"/>
  <c r="F23" i="20" s="1"/>
  <c r="E24" i="20"/>
  <c r="F24" i="20"/>
  <c r="K24" i="20" s="1"/>
  <c r="E25" i="20"/>
  <c r="F25" i="20" s="1"/>
  <c r="E8" i="20"/>
  <c r="F8" i="20" s="1"/>
  <c r="F9" i="20"/>
  <c r="K9" i="20" s="1"/>
  <c r="E10" i="20"/>
  <c r="F10" i="20" s="1"/>
  <c r="E11" i="20"/>
  <c r="F11" i="20"/>
  <c r="N11" i="20" s="1"/>
  <c r="I11" i="20" s="1"/>
  <c r="E12" i="20"/>
  <c r="F12" i="20" s="1"/>
  <c r="S58" i="25"/>
  <c r="T58" i="25" s="1"/>
  <c r="A1" i="25"/>
  <c r="K20" i="23"/>
  <c r="I20" i="23"/>
  <c r="G20" i="23"/>
  <c r="E20" i="23"/>
  <c r="M11" i="20" l="1"/>
  <c r="H11" i="20" s="1"/>
  <c r="L11" i="20"/>
  <c r="G11" i="20" s="1"/>
  <c r="K11" i="20"/>
  <c r="N14" i="26"/>
  <c r="M14" i="26"/>
  <c r="K14" i="26"/>
  <c r="L14" i="26"/>
  <c r="N16" i="26"/>
  <c r="K16" i="26"/>
  <c r="M16" i="26"/>
  <c r="L16" i="26"/>
  <c r="K15" i="26"/>
  <c r="N15" i="26"/>
  <c r="I14" i="26" s="1"/>
  <c r="M15" i="26"/>
  <c r="L15" i="26"/>
  <c r="N17" i="26"/>
  <c r="M17" i="26"/>
  <c r="L17" i="26"/>
  <c r="K17" i="26"/>
  <c r="L25" i="20"/>
  <c r="G25" i="20" s="1"/>
  <c r="K25" i="20"/>
  <c r="M25" i="20"/>
  <c r="H25" i="20" s="1"/>
  <c r="N25" i="20"/>
  <c r="I25" i="20" s="1"/>
  <c r="K23" i="20"/>
  <c r="L23" i="20"/>
  <c r="G23" i="20" s="1"/>
  <c r="M23" i="20"/>
  <c r="H23" i="20" s="1"/>
  <c r="N23" i="20"/>
  <c r="I23" i="20" s="1"/>
  <c r="N24" i="20"/>
  <c r="I24" i="20" s="1"/>
  <c r="M24" i="20"/>
  <c r="H24" i="20" s="1"/>
  <c r="L24" i="20"/>
  <c r="G24" i="20" s="1"/>
  <c r="L8" i="20"/>
  <c r="G8" i="20" s="1"/>
  <c r="K8" i="20"/>
  <c r="M8" i="20"/>
  <c r="H8" i="20" s="1"/>
  <c r="N8" i="20"/>
  <c r="I8" i="20" s="1"/>
  <c r="L12" i="20"/>
  <c r="G12" i="20" s="1"/>
  <c r="K12" i="20"/>
  <c r="M12" i="20"/>
  <c r="H12" i="20" s="1"/>
  <c r="N12" i="20"/>
  <c r="I12" i="20" s="1"/>
  <c r="L10" i="20"/>
  <c r="G10" i="20" s="1"/>
  <c r="K10" i="20"/>
  <c r="M10" i="20"/>
  <c r="H10" i="20" s="1"/>
  <c r="N10" i="20"/>
  <c r="I10" i="20" s="1"/>
  <c r="N9" i="20"/>
  <c r="I9" i="20" s="1"/>
  <c r="M9" i="20"/>
  <c r="H9" i="20" s="1"/>
  <c r="L9" i="20"/>
  <c r="G9" i="20" s="1"/>
  <c r="G14" i="26" l="1"/>
  <c r="H14" i="26"/>
  <c r="F6" i="26"/>
  <c r="K8" i="26"/>
  <c r="K6" i="26" s="1"/>
  <c r="M8" i="26"/>
  <c r="H6" i="26" s="1"/>
  <c r="L8" i="26"/>
  <c r="G6" i="26" s="1"/>
  <c r="N8" i="26"/>
  <c r="I6" i="26" s="1"/>
  <c r="N16" i="20"/>
  <c r="N15" i="20"/>
  <c r="M16" i="20"/>
  <c r="M15" i="20"/>
  <c r="L16" i="20"/>
  <c r="K16" i="20"/>
  <c r="L15" i="20"/>
  <c r="N6" i="26" l="1"/>
  <c r="M6" i="26"/>
  <c r="L6" i="26"/>
  <c r="M13" i="23"/>
  <c r="F24" i="23"/>
  <c r="F23" i="23"/>
  <c r="F22" i="23"/>
  <c r="F32" i="23"/>
  <c r="F31" i="23"/>
  <c r="F30" i="23"/>
  <c r="F26" i="23"/>
  <c r="F29" i="23"/>
  <c r="F28" i="23"/>
  <c r="F27" i="23"/>
  <c r="F25" i="23"/>
  <c r="H25" i="23"/>
  <c r="H24" i="23"/>
  <c r="H23" i="23"/>
  <c r="H21" i="23"/>
  <c r="H32" i="23"/>
  <c r="H31" i="23"/>
  <c r="H30" i="23"/>
  <c r="H29" i="23"/>
  <c r="H28" i="23"/>
  <c r="H26" i="23"/>
  <c r="H27" i="23"/>
  <c r="J26" i="23"/>
  <c r="J25" i="23"/>
  <c r="J24" i="23"/>
  <c r="J23" i="23"/>
  <c r="J22" i="23"/>
  <c r="J28" i="23"/>
  <c r="J32" i="23"/>
  <c r="J31" i="23"/>
  <c r="J30" i="23"/>
  <c r="J29" i="23"/>
  <c r="J27" i="23"/>
  <c r="N15" i="23"/>
  <c r="N13" i="23"/>
  <c r="M15" i="23"/>
  <c r="F21" i="23"/>
  <c r="H22" i="23"/>
  <c r="F35" i="23"/>
  <c r="F36" i="23"/>
  <c r="F37" i="23"/>
  <c r="F38" i="23"/>
  <c r="F34" i="23"/>
  <c r="H38" i="23"/>
  <c r="H37" i="23"/>
  <c r="H36" i="23"/>
  <c r="H34" i="23"/>
  <c r="J21" i="23"/>
  <c r="J35" i="23"/>
  <c r="J36" i="23"/>
  <c r="J38" i="23"/>
  <c r="J34" i="23"/>
  <c r="L35" i="23"/>
  <c r="L36" i="23"/>
  <c r="L37" i="23"/>
  <c r="K33" i="23"/>
  <c r="L33" i="23" s="1"/>
  <c r="I33" i="23"/>
  <c r="J33" i="23" s="1"/>
  <c r="G33" i="23"/>
  <c r="H33" i="23" s="1"/>
  <c r="E33" i="23"/>
  <c r="F33" i="23" s="1"/>
  <c r="K4" i="23"/>
  <c r="I4" i="23"/>
  <c r="G4" i="23"/>
  <c r="J20" i="23" l="1"/>
  <c r="H20" i="23"/>
  <c r="L20" i="23"/>
  <c r="E4" i="23"/>
  <c r="F20" i="23"/>
  <c r="D14" i="20" l="1"/>
  <c r="E14" i="20" s="1"/>
  <c r="N14" i="20" l="1"/>
  <c r="L14" i="20"/>
  <c r="K14" i="20"/>
  <c r="M14" i="20"/>
  <c r="J6" i="20"/>
  <c r="E16" i="20"/>
  <c r="E15" i="20"/>
  <c r="I14" i="20" l="1"/>
  <c r="G14" i="20"/>
  <c r="H14" i="20"/>
  <c r="H15" i="20"/>
  <c r="G15" i="20"/>
  <c r="I15" i="20"/>
  <c r="H16" i="20"/>
  <c r="G16" i="20"/>
  <c r="I16" i="20"/>
  <c r="E21" i="20" l="1"/>
  <c r="F21" i="20" s="1"/>
  <c r="E20" i="20"/>
  <c r="F20" i="20" s="1"/>
  <c r="E19" i="20"/>
  <c r="F19" i="20" s="1"/>
  <c r="E18" i="20"/>
  <c r="F18" i="20" s="1"/>
  <c r="F6" i="20" l="1"/>
  <c r="N20" i="20"/>
  <c r="K20" i="20"/>
  <c r="M20" i="20"/>
  <c r="L20" i="20"/>
  <c r="M21" i="20"/>
  <c r="H21" i="20" s="1"/>
  <c r="N21" i="20"/>
  <c r="I21" i="20" s="1"/>
  <c r="L21" i="20"/>
  <c r="G21" i="20" s="1"/>
  <c r="K21" i="20"/>
  <c r="N18" i="20"/>
  <c r="I18" i="20" s="1"/>
  <c r="M18" i="20"/>
  <c r="H18" i="20" s="1"/>
  <c r="L18" i="20"/>
  <c r="G18" i="20" s="1"/>
  <c r="K18" i="20"/>
  <c r="K19" i="20"/>
  <c r="N19" i="20"/>
  <c r="M19" i="20"/>
  <c r="L19" i="20"/>
  <c r="K6" i="20" l="1"/>
  <c r="L6" i="20"/>
  <c r="H42" i="23" s="1"/>
  <c r="M6" i="20"/>
  <c r="J15" i="23" s="1"/>
  <c r="N6" i="20"/>
  <c r="I19" i="20"/>
  <c r="G20" i="20"/>
  <c r="G19" i="20"/>
  <c r="H19" i="20"/>
  <c r="H20" i="20"/>
  <c r="I20" i="20"/>
  <c r="F42" i="23" l="1"/>
  <c r="I6" i="20"/>
  <c r="L42" i="23"/>
  <c r="L17" i="23"/>
  <c r="J42" i="23"/>
  <c r="G6" i="20"/>
  <c r="L15" i="23"/>
  <c r="L16" i="23"/>
  <c r="L13" i="23"/>
  <c r="L10" i="23"/>
  <c r="L14" i="23"/>
  <c r="J10" i="23"/>
  <c r="J14" i="23"/>
  <c r="J13" i="23"/>
  <c r="J16" i="23"/>
  <c r="H10" i="23"/>
  <c r="H15" i="23"/>
  <c r="H13" i="23"/>
  <c r="H16" i="23"/>
  <c r="F17" i="23"/>
  <c r="F13" i="23"/>
  <c r="F15" i="23"/>
  <c r="F10" i="23"/>
  <c r="F12" i="23"/>
  <c r="F16" i="23"/>
  <c r="H6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tc={A8F9B4C6-CB38-45F5-9EBF-0D231A78A53B}</author>
    <author>tc={E0112168-CE4E-4B14-B4D2-EAECE2BC25FD}</author>
    <author>tc={C430A781-E7D7-41D2-AFDC-1C2E39976A57}</author>
    <author>tc={0E1BB082-2240-4880-8DCB-63793BED47FB}</author>
    <author>tc={77A714F2-E080-4331-A463-20A0A9C3600F}</author>
  </authors>
  <commentList>
    <comment ref="D24" authorId="0" shapeId="0" xr:uid="{A8F9B4C6-CB38-45F5-9EBF-0D231A78A53B}">
      <text>
        <t>[Threaded comment]
Your version of Excel allows you to read this threaded comment; however, any edits to it will get removed if the file is opened in a newer version of Excel. Learn more: https://go.microsoft.com/fwlink/?linkid=870924
Comment:
    Inputs for Tree Transplantation from LDS</t>
      </text>
    </comment>
    <comment ref="F53" authorId="1" shapeId="0" xr:uid="{E0112168-CE4E-4B14-B4D2-EAECE2BC25FD}">
      <text>
        <t>[Threaded comment]
Your version of Excel allows you to read this threaded comment; however, any edits to it will get removed if the file is opened in a newer version of Excel. Learn more: https://go.microsoft.com/fwlink/?linkid=870924
Comment:
    Inputs from Electrical.</t>
      </text>
    </comment>
    <comment ref="J70" authorId="2" shapeId="0" xr:uid="{C430A781-E7D7-41D2-AFDC-1C2E39976A57}">
      <text>
        <t>[Threaded comment]
Your version of Excel allows you to read this threaded comment; however, any edits to it will get removed if the file is opened in a newer version of Excel. Learn more: https://go.microsoft.com/fwlink/?linkid=870924
Comment:
    Inputs from MP Team</t>
      </text>
    </comment>
    <comment ref="F71" authorId="3" shapeId="0" xr:uid="{0E1BB082-2240-4880-8DCB-63793BED47FB}">
      <text>
        <t>[Threaded comment]
Your version of Excel allows you to read this threaded comment; however, any edits to it will get removed if the file is opened in a newer version of Excel. Learn more: https://go.microsoft.com/fwlink/?linkid=870924
Comment:
    Inputs from Electrical.</t>
      </text>
    </comment>
    <comment ref="J78" authorId="4" shapeId="0" xr:uid="{77A714F2-E080-4331-A463-20A0A9C3600F}">
      <text>
        <t>[Threaded comment]
Your version of Excel allows you to read this threaded comment; however, any edits to it will get removed if the file is opened in a newer version of Excel. Learn more: https://go.microsoft.com/fwlink/?linkid=870924
Comment:
    Inputs from MP Team</t>
      </text>
    </comment>
  </commentList>
</comments>
</file>

<file path=xl/sharedStrings.xml><?xml version="1.0" encoding="utf-8"?>
<sst xmlns="http://schemas.openxmlformats.org/spreadsheetml/2006/main" count="1216" uniqueCount="455">
  <si>
    <t>Residential</t>
  </si>
  <si>
    <t>Apartments</t>
  </si>
  <si>
    <t>Townhouses</t>
  </si>
  <si>
    <t>Villas</t>
  </si>
  <si>
    <t>Amenities</t>
  </si>
  <si>
    <t>Plotted development</t>
  </si>
  <si>
    <t>Commercial</t>
  </si>
  <si>
    <t>Tower - Office</t>
  </si>
  <si>
    <t>Health + Wellness</t>
  </si>
  <si>
    <t>Hospitality (Resort)</t>
  </si>
  <si>
    <t>Festival centre</t>
  </si>
  <si>
    <t>Education - School</t>
  </si>
  <si>
    <t>MEP</t>
  </si>
  <si>
    <t>Clubhouse + Amenities</t>
  </si>
  <si>
    <t>Landscaping</t>
  </si>
  <si>
    <t>Architectural</t>
  </si>
  <si>
    <t>Structural</t>
  </si>
  <si>
    <t>AR</t>
  </si>
  <si>
    <t>ST</t>
  </si>
  <si>
    <t>LS</t>
  </si>
  <si>
    <t>Plotted Development</t>
  </si>
  <si>
    <t>Project Name - [Code] (Fee calculations)</t>
  </si>
  <si>
    <t>Cost</t>
  </si>
  <si>
    <t>Fee</t>
  </si>
  <si>
    <t>Total Construction cost</t>
  </si>
  <si>
    <t>Construction</t>
  </si>
  <si>
    <t>Construction cost to be punched in D4</t>
  </si>
  <si>
    <t>Total</t>
  </si>
  <si>
    <t>%</t>
  </si>
  <si>
    <t>Punch values in F15 and 16 respectively for Plotted land and Amenities</t>
  </si>
  <si>
    <t>A</t>
  </si>
  <si>
    <t>B</t>
  </si>
  <si>
    <t>Plotted Land</t>
  </si>
  <si>
    <t>C</t>
  </si>
  <si>
    <t>D</t>
  </si>
  <si>
    <t>Landscape</t>
  </si>
  <si>
    <t>DESIGN CONCEPT</t>
  </si>
  <si>
    <t>MP</t>
  </si>
  <si>
    <t>DC 01</t>
  </si>
  <si>
    <t>Contract + Design Brief</t>
  </si>
  <si>
    <t>DC 02</t>
  </si>
  <si>
    <t>Schematic Concept</t>
  </si>
  <si>
    <t>DC 03</t>
  </si>
  <si>
    <t>Approvals</t>
  </si>
  <si>
    <t>DC 04</t>
  </si>
  <si>
    <t>Pre Construction Set</t>
  </si>
  <si>
    <t>DC 05</t>
  </si>
  <si>
    <t>Project Experience</t>
  </si>
  <si>
    <t>DC 06</t>
  </si>
  <si>
    <t>Marketing and Sales</t>
  </si>
  <si>
    <t>CONSTRUCTION DOCUMENTS</t>
  </si>
  <si>
    <t>Master Plan</t>
  </si>
  <si>
    <t>MP 01</t>
  </si>
  <si>
    <t>MP 02</t>
  </si>
  <si>
    <t>Site Development</t>
  </si>
  <si>
    <t>MP 03</t>
  </si>
  <si>
    <t>Site MEP</t>
  </si>
  <si>
    <t>MP 04</t>
  </si>
  <si>
    <t>AM</t>
  </si>
  <si>
    <t>AM 01</t>
  </si>
  <si>
    <t>Clubhouse—Structure and Envelope</t>
  </si>
  <si>
    <t>AM 02</t>
  </si>
  <si>
    <t>Clubhouse—Interiors and Facilities</t>
  </si>
  <si>
    <t>AM 03</t>
  </si>
  <si>
    <t>Clubhouse—Outdoor Spaces and pool</t>
  </si>
  <si>
    <t>AM 04</t>
  </si>
  <si>
    <t>Community spaces [Children play area, Open Park space]</t>
  </si>
  <si>
    <t>AM 05</t>
  </si>
  <si>
    <t>Sporting Facilities</t>
  </si>
  <si>
    <t>POST-CONSTRUCTION</t>
  </si>
  <si>
    <t>MA</t>
  </si>
  <si>
    <t xml:space="preserve">Master Archives </t>
  </si>
  <si>
    <t>Infra - Grading</t>
  </si>
  <si>
    <t>Infra - MEP</t>
  </si>
  <si>
    <t>BOQ &amp; Technical Specifications</t>
  </si>
  <si>
    <t>Infra - Coordinated</t>
  </si>
  <si>
    <t>Structures - Security Cabin and Entrance</t>
  </si>
  <si>
    <t>Infra - Plot Boundary &amp; Enclosures</t>
  </si>
  <si>
    <t>Infra - Signage &amp; Street Lighting</t>
  </si>
  <si>
    <t>Structures - Electrical Room &amp; Toilet Block</t>
  </si>
  <si>
    <t>Structures - UGT</t>
  </si>
  <si>
    <t>Structures - OHT</t>
  </si>
  <si>
    <t>Structures - STP</t>
  </si>
  <si>
    <t>MP 05</t>
  </si>
  <si>
    <t>MP 06</t>
  </si>
  <si>
    <t>MP 07</t>
  </si>
  <si>
    <t>MP 08</t>
  </si>
  <si>
    <t>MP 09</t>
  </si>
  <si>
    <t>MP 10</t>
  </si>
  <si>
    <t>MP 11</t>
  </si>
  <si>
    <t>MP 12</t>
  </si>
  <si>
    <t>Structures - OWC &amp; other structure</t>
  </si>
  <si>
    <t>Package Code</t>
  </si>
  <si>
    <t>Package Description</t>
  </si>
  <si>
    <t>Master Planning</t>
  </si>
  <si>
    <t>Infra Consultants</t>
  </si>
  <si>
    <t>PHE</t>
  </si>
  <si>
    <t>ELE</t>
  </si>
  <si>
    <t>IBMS</t>
  </si>
  <si>
    <t xml:space="preserve"> Master Planning - Schematic</t>
  </si>
  <si>
    <t>Traffic &amp; Transporation</t>
  </si>
  <si>
    <t>Reports</t>
  </si>
  <si>
    <t>Earthworks &amp; Site Grading:</t>
  </si>
  <si>
    <t>Concept Exhibit Drawings</t>
  </si>
  <si>
    <t>Budget Estimate</t>
  </si>
  <si>
    <t>Roadways Engineering:</t>
  </si>
  <si>
    <t>Storm Water Management:</t>
  </si>
  <si>
    <t>Report with Schematic Drawings</t>
  </si>
  <si>
    <t>Public Health Engineering - Infrastructure Services.</t>
  </si>
  <si>
    <t>Schematic for Utilities</t>
  </si>
  <si>
    <t>Construction Documents</t>
  </si>
  <si>
    <t>Batch 01</t>
  </si>
  <si>
    <t>Survey Drawing</t>
  </si>
  <si>
    <t>Road Center Line, Setout Plan &amp; Tables</t>
  </si>
  <si>
    <t>Boundary Wall Details</t>
  </si>
  <si>
    <t>Existing Structure Demolition Plan</t>
  </si>
  <si>
    <t>Road plans &amp; Profile Sections</t>
  </si>
  <si>
    <t>Typical Road Details</t>
  </si>
  <si>
    <t>Area Details &amp; Plot Schedule</t>
  </si>
  <si>
    <t>Isopach Plan</t>
  </si>
  <si>
    <t>Typical Planter Box Details</t>
  </si>
  <si>
    <t>Master Plan - GA</t>
  </si>
  <si>
    <t>Typical Grading Sections</t>
  </si>
  <si>
    <t>Part plans - Plot Set Outs, Tree Transplantation info, Road Set out.</t>
  </si>
  <si>
    <t>Master Plan - Boundary Wall</t>
  </si>
  <si>
    <t>Road Sections - GA</t>
  </si>
  <si>
    <t>Batch 02</t>
  </si>
  <si>
    <t>Junction Details</t>
  </si>
  <si>
    <t>Master Plan - Road Storm Drain Network with Sheet Index</t>
  </si>
  <si>
    <t>Master Plan - Zoning, Equipment and Cable Routing Layout.</t>
  </si>
  <si>
    <t>Site Plan CCTV Layout</t>
  </si>
  <si>
    <t>Storm Water Drain &amp; Chamber Details</t>
  </si>
  <si>
    <t>LDS - 01</t>
  </si>
  <si>
    <t>Plot Entry Ramp Details</t>
  </si>
  <si>
    <t>Storm Drain - Road Plan &amp; Profile Sections, Open space Catch Basin Tap off points.</t>
  </si>
  <si>
    <t>Enlarged plans for Cable Routing</t>
  </si>
  <si>
    <t xml:space="preserve">Standard Details for CCTV </t>
  </si>
  <si>
    <t>Sewage chmaber details</t>
  </si>
  <si>
    <t>General Arrangement Plan</t>
  </si>
  <si>
    <t xml:space="preserve">Cul-de-sac Details </t>
  </si>
  <si>
    <t>Storm Drain Pipe Details</t>
  </si>
  <si>
    <t>Tranformer &amp; DG Yard Details</t>
  </si>
  <si>
    <t>Electrical Chamber Details</t>
  </si>
  <si>
    <t>All Marking Plan</t>
  </si>
  <si>
    <t>Storm Drain Structure Table</t>
  </si>
  <si>
    <t>Feeder Pillar Details</t>
  </si>
  <si>
    <t>Trench Details</t>
  </si>
  <si>
    <t>Material Details</t>
  </si>
  <si>
    <t>Storm Drain Details</t>
  </si>
  <si>
    <t>Site Plan Earthing Layout</t>
  </si>
  <si>
    <t>Irrigation plan</t>
  </si>
  <si>
    <t>Master Plan - Sanitary and Sewer Network</t>
  </si>
  <si>
    <t>Earthing Scheme</t>
  </si>
  <si>
    <t>Tree and Shrub Planting plans</t>
  </si>
  <si>
    <t>Sanitary &amp; Sewer - Road Plan &amp; Profile Sections, including plot connections</t>
  </si>
  <si>
    <t>Earthing layout for tranformer and DG Yrads</t>
  </si>
  <si>
    <t>Sections, Elevations &amp; Details</t>
  </si>
  <si>
    <t>Pipe Table SS network</t>
  </si>
  <si>
    <t>Standard Details for Street Lights</t>
  </si>
  <si>
    <t>Structure Table SS Network</t>
  </si>
  <si>
    <t>Site - Power Disbibution Scheme</t>
  </si>
  <si>
    <t>Sanitary Sewer Details</t>
  </si>
  <si>
    <t>Elctrical Chamber &amp; Pipe Details</t>
  </si>
  <si>
    <t>Master Plan - Water Supply Network</t>
  </si>
  <si>
    <t>Water Supply Network Cover Sheet</t>
  </si>
  <si>
    <t>Roads Water Supply Plans</t>
  </si>
  <si>
    <t>Water Supply Structure Table</t>
  </si>
  <si>
    <t>Water Supply Details</t>
  </si>
  <si>
    <t>Batch 03</t>
  </si>
  <si>
    <t>Design Brief Report</t>
  </si>
  <si>
    <t>BOQ</t>
  </si>
  <si>
    <t>List of Approved Make</t>
  </si>
  <si>
    <t>List of Approved make</t>
  </si>
  <si>
    <t>Technical Specification</t>
  </si>
  <si>
    <t>Material &amp; Finishes Schedule</t>
  </si>
  <si>
    <t>Luminaire Schedule</t>
  </si>
  <si>
    <t>Batch 04</t>
  </si>
  <si>
    <t>Master Plan - Coordinated MEP Layout</t>
  </si>
  <si>
    <t>LDS - 02</t>
  </si>
  <si>
    <t>Coordinated Road Section</t>
  </si>
  <si>
    <t>15 -Std</t>
  </si>
  <si>
    <t>Batch 07</t>
  </si>
  <si>
    <t>Security Cabin &amp; Enterance Details</t>
  </si>
  <si>
    <t>Batch 05</t>
  </si>
  <si>
    <t>Plot Compound wall details</t>
  </si>
  <si>
    <t>Plot Gate Structural Details</t>
  </si>
  <si>
    <t>LDS - 03</t>
  </si>
  <si>
    <t>Plot Gate Details</t>
  </si>
  <si>
    <t>Yard Fencing Details</t>
  </si>
  <si>
    <t>Light Pole Foundation</t>
  </si>
  <si>
    <t>Batch 06</t>
  </si>
  <si>
    <t>Master Plan - Signage</t>
  </si>
  <si>
    <t>Site Plan - External Lighting Layout</t>
  </si>
  <si>
    <t>LDS - 04</t>
  </si>
  <si>
    <t>Signage Details</t>
  </si>
  <si>
    <t>External Lighting Distribution Scheme</t>
  </si>
  <si>
    <t>footing</t>
  </si>
  <si>
    <t>Signage Specification &amp; Schedule</t>
  </si>
  <si>
    <t>Traffic Circulation</t>
  </si>
  <si>
    <t>Master Plan - Street Lighting</t>
  </si>
  <si>
    <t>Street Light details</t>
  </si>
  <si>
    <t>Street Light Schedule</t>
  </si>
  <si>
    <t>Batch 08</t>
  </si>
  <si>
    <t>Electrical Room Details</t>
  </si>
  <si>
    <t>Bus Stop Drawings</t>
  </si>
  <si>
    <t>Toilet Pod Drawings</t>
  </si>
  <si>
    <t>Bus Stop Details</t>
  </si>
  <si>
    <t>Batch 09</t>
  </si>
  <si>
    <t>UGT Layout &amp; Details</t>
  </si>
  <si>
    <t>WTP Layout, Details</t>
  </si>
  <si>
    <t>WTP Electrical Layout</t>
  </si>
  <si>
    <t>Batch 10</t>
  </si>
  <si>
    <t>OHT Layout &amp; Details</t>
  </si>
  <si>
    <t>Batch 11</t>
  </si>
  <si>
    <t>STP Layout, Details</t>
  </si>
  <si>
    <t>STP Electrical Layout</t>
  </si>
  <si>
    <t>Same as Above</t>
  </si>
  <si>
    <t>Batch 12</t>
  </si>
  <si>
    <t>OWC Layout, Details</t>
  </si>
  <si>
    <t>OWC Electrical Layout</t>
  </si>
  <si>
    <t>Culvert Details (if Any)</t>
  </si>
  <si>
    <t>Master General Arrangement Plan</t>
  </si>
  <si>
    <t>Other Details</t>
  </si>
  <si>
    <t>LDS - 06</t>
  </si>
  <si>
    <t>Other Architectural Elements.</t>
  </si>
  <si>
    <t>Elevated Cycling Track</t>
  </si>
  <si>
    <t>Elevated Cycling Track Details</t>
  </si>
  <si>
    <t>Nallah Details</t>
  </si>
  <si>
    <t>Nala Details (If Any)</t>
  </si>
  <si>
    <t>Structures - OWC &amp; Other Structures</t>
  </si>
  <si>
    <t>Utilities</t>
  </si>
  <si>
    <t>BOQ Cost</t>
  </si>
  <si>
    <t>Design Fee</t>
  </si>
  <si>
    <t>Once BOQ is available then use BOQ cost sheet for fee calculation</t>
  </si>
  <si>
    <t>Released Status</t>
  </si>
  <si>
    <t>21.77a Violet Hill - [0118] [Fee calculations]</t>
  </si>
  <si>
    <t>R0</t>
  </si>
  <si>
    <t>0002</t>
  </si>
  <si>
    <t>UD</t>
  </si>
  <si>
    <t>0001</t>
  </si>
  <si>
    <t>4002</t>
  </si>
  <si>
    <t>4001</t>
  </si>
  <si>
    <t>1003</t>
  </si>
  <si>
    <t>1002</t>
  </si>
  <si>
    <t>1001</t>
  </si>
  <si>
    <t>4004</t>
  </si>
  <si>
    <t>4003</t>
  </si>
  <si>
    <t>0004</t>
  </si>
  <si>
    <t>2001</t>
  </si>
  <si>
    <t>0003</t>
  </si>
  <si>
    <t>000</t>
  </si>
  <si>
    <t>GUARD ROOM PLAN</t>
  </si>
  <si>
    <t>SC1</t>
  </si>
  <si>
    <t>4013</t>
  </si>
  <si>
    <t>4006</t>
  </si>
  <si>
    <t>4012</t>
  </si>
  <si>
    <t>4011</t>
  </si>
  <si>
    <t>4010</t>
  </si>
  <si>
    <t>4009</t>
  </si>
  <si>
    <t>4008</t>
  </si>
  <si>
    <t>4007</t>
  </si>
  <si>
    <t>4005</t>
  </si>
  <si>
    <t>3013</t>
  </si>
  <si>
    <t>3012</t>
  </si>
  <si>
    <t>3011</t>
  </si>
  <si>
    <t>0005</t>
  </si>
  <si>
    <t>Q4</t>
  </si>
  <si>
    <t>Q3</t>
  </si>
  <si>
    <t>Q2</t>
  </si>
  <si>
    <t>Q1</t>
  </si>
  <si>
    <t>Plan for Yr 2026</t>
  </si>
  <si>
    <t>Till Dec'25</t>
  </si>
  <si>
    <t>Revision</t>
  </si>
  <si>
    <t>Date of receipt</t>
  </si>
  <si>
    <t>Dwg. No.</t>
  </si>
  <si>
    <t>Sheet No</t>
  </si>
  <si>
    <t>Area of works</t>
  </si>
  <si>
    <t>Discipline</t>
  </si>
  <si>
    <t>Issue in Yr 2026</t>
  </si>
  <si>
    <t>Issue Status</t>
  </si>
  <si>
    <t xml:space="preserve">Batch </t>
  </si>
  <si>
    <t>Batch Code</t>
  </si>
  <si>
    <t>Location</t>
  </si>
  <si>
    <t>DRAWING NAME</t>
  </si>
  <si>
    <t> </t>
  </si>
  <si>
    <t>0118 Violet Hill</t>
  </si>
  <si>
    <t>MASTER PLAN-GENERAL ARRANGEMENT</t>
  </si>
  <si>
    <t>MASTER PLAN-SETTING OUT-PLOTS &amp; ROADS</t>
  </si>
  <si>
    <t>MASTER PLAN-SETTING OUT-SIGNAGE, CCTV, LIGHT POLES</t>
  </si>
  <si>
    <t>MASTER PLAN-PERIPHERAL BOUNDARY WALL</t>
  </si>
  <si>
    <t>P26</t>
  </si>
  <si>
    <t>A26</t>
  </si>
  <si>
    <t>Plan for Yr 2027</t>
  </si>
  <si>
    <t>P27</t>
  </si>
  <si>
    <t>Issue in Yr 2027</t>
  </si>
  <si>
    <t>A27</t>
  </si>
  <si>
    <t>Till Dec'26</t>
  </si>
  <si>
    <t>Sl. No.</t>
  </si>
  <si>
    <t>Drawing No.</t>
  </si>
  <si>
    <t>MASTER PLAN-ROAD GRADING</t>
  </si>
  <si>
    <t>MASTER PLAN-SITE SECTIONS</t>
  </si>
  <si>
    <t>MASTER PLAN-ISOPACH</t>
  </si>
  <si>
    <t>MASTER PLAN-RETAINING WALL</t>
  </si>
  <si>
    <t>GR</t>
  </si>
  <si>
    <t>GFC | INFRA - GRADING</t>
  </si>
  <si>
    <t>ROAD SECTION-R30N SECTION 1</t>
  </si>
  <si>
    <t>ROAD SECTION-R30N SECTION 2</t>
  </si>
  <si>
    <t>ROAD SECTION-R30N SECTION 3</t>
  </si>
  <si>
    <t>ROAD SECTION-R33N SECTION 1</t>
  </si>
  <si>
    <t>ROAD SECTION-R33N SECTION 2</t>
  </si>
  <si>
    <t>ROAD SECTION-R33N SECTION 3</t>
  </si>
  <si>
    <t>ROAD SECTION-R40N SECTION 1</t>
  </si>
  <si>
    <t>ROAD SECTION-R40N SECTION 2</t>
  </si>
  <si>
    <t>ROAD SECTION-R40N SECTION 3</t>
  </si>
  <si>
    <t>ROAD SECTION-R40D SECTION 1</t>
  </si>
  <si>
    <t>ROAD SECTION-R40D SECTION 2</t>
  </si>
  <si>
    <t>ROAD SECTION-R40D SECTION 3</t>
  </si>
  <si>
    <t>RDS</t>
  </si>
  <si>
    <t>3021</t>
  </si>
  <si>
    <t>3022</t>
  </si>
  <si>
    <t>3023</t>
  </si>
  <si>
    <t>3031</t>
  </si>
  <si>
    <t>3032</t>
  </si>
  <si>
    <t>3033</t>
  </si>
  <si>
    <t>3041</t>
  </si>
  <si>
    <t>3042</t>
  </si>
  <si>
    <t>3043</t>
  </si>
  <si>
    <t>GFC | INFRA - PLOT BOUNDARY AND ENCLOSURES</t>
  </si>
  <si>
    <t>TEM</t>
  </si>
  <si>
    <t>MASTER PLAN TEMPORARY BOUNDARY WALL</t>
  </si>
  <si>
    <t>6</t>
  </si>
  <si>
    <t>GFC | STRUCTURES - SECURITY CABIN AND ENTRANCE</t>
  </si>
  <si>
    <t>5</t>
  </si>
  <si>
    <t>SC1- SITE PLAN &amp; SECTION</t>
  </si>
  <si>
    <t>MASONRY AND FLOORING PLAN</t>
  </si>
  <si>
    <t>SECURITY CABIN 1 - ELECTRICAL PLAN</t>
  </si>
  <si>
    <t>SECURITY CABIN 1 - DRAINAGE PLAN</t>
  </si>
  <si>
    <t>ELEVATION &amp; SECTIONS</t>
  </si>
  <si>
    <t>CONTROL ROOM PLAN</t>
  </si>
  <si>
    <t>CIRCULAR SKY LIGHT - TERRACE DETAIL</t>
  </si>
  <si>
    <t>CUTOUT DETAIL</t>
  </si>
  <si>
    <t>STAFF TOILET PLAN</t>
  </si>
  <si>
    <t>FEMALE WASH &amp; SEATING DETAIL</t>
  </si>
  <si>
    <t>MALE WASH &amp; URINAL DETAIL</t>
  </si>
  <si>
    <t>TYPICAL SHOWER DETAIL</t>
  </si>
  <si>
    <t>TYPICAL WC DETAIL</t>
  </si>
  <si>
    <t>STORM DRAIN - RAIN WATER GRATING DETAIL</t>
  </si>
  <si>
    <t>GATE DETAIL</t>
  </si>
  <si>
    <t>EXTERNAL JALLI DETAIL</t>
  </si>
  <si>
    <t>FENESTRATION DETAIL</t>
  </si>
  <si>
    <t>SECURITY CABIN - ELECTRICAL SLD</t>
  </si>
  <si>
    <t>GFC | INFRA - MEP</t>
  </si>
  <si>
    <t>SITE PLAN CCTV LAYOUT</t>
  </si>
  <si>
    <t>SITE PLAN EARTHING LAYOUT</t>
  </si>
  <si>
    <t>TRANSFORMER YARD EARTHING LAYOUT</t>
  </si>
  <si>
    <t>SITE PLAN EARTHING SCHEME</t>
  </si>
  <si>
    <t>SITE PLAN EXTERNAL LIGHTING LAYOUT</t>
  </si>
  <si>
    <t>POWER DISTRIBUTION SCHEME</t>
  </si>
  <si>
    <t>STANDARD NOTES AND FEEDER PILLAR DETAILS</t>
  </si>
  <si>
    <t>ENLARGED VIEW OF TRANSFORMER YARD AND SECTION LAYOUT</t>
  </si>
  <si>
    <t>FEEDER PILLAR LAYOUT</t>
  </si>
  <si>
    <t>SITE PLAN EQUIPMENT AND CABLE ROUTING LAYOUT</t>
  </si>
  <si>
    <t>00</t>
  </si>
  <si>
    <t>TY</t>
  </si>
  <si>
    <t>0031</t>
  </si>
  <si>
    <t>0032</t>
  </si>
  <si>
    <t>0033</t>
  </si>
  <si>
    <t>0041</t>
  </si>
  <si>
    <t>9001</t>
  </si>
  <si>
    <t>9002</t>
  </si>
  <si>
    <t>0021</t>
  </si>
  <si>
    <t>0022</t>
  </si>
  <si>
    <t>2</t>
  </si>
  <si>
    <t>MASTER PLAN-STORM DRAIN SLD</t>
  </si>
  <si>
    <t>MASTER PLAN-STORM DRAIN</t>
  </si>
  <si>
    <t>MASTER PLAN-SANITARY SEWER SLD</t>
  </si>
  <si>
    <t>MASTER PLAN-SANITARY SEWER</t>
  </si>
  <si>
    <t>MASTER PLAN-WATER SUPPLY SLD</t>
  </si>
  <si>
    <t>MASTER PLAN-WATER SUPPLY</t>
  </si>
  <si>
    <t>MASTER PLAN-IRRIGATION SLD</t>
  </si>
  <si>
    <t>SD</t>
  </si>
  <si>
    <t>SS</t>
  </si>
  <si>
    <t>WS</t>
  </si>
  <si>
    <t>S</t>
  </si>
  <si>
    <t>BXX</t>
  </si>
  <si>
    <t>RW0001</t>
  </si>
  <si>
    <t>RW0002</t>
  </si>
  <si>
    <t>RW0003</t>
  </si>
  <si>
    <t>RW0004</t>
  </si>
  <si>
    <t>ROAD RETAINING WALL / INDIVIDUAL PLOT BOUNDARY WALL DETAILS (SHEET-1)</t>
  </si>
  <si>
    <t>ROAD RETAINING WALL / INDIVIDUAL PLOT BOUNDARY WALL DETAILS (SHEET-2)</t>
  </si>
  <si>
    <t>ROAD RETAINING WALL / INDIVIDUAL PLOT BOUNDARY WALL DETAILS (SHEET-3)</t>
  </si>
  <si>
    <t>RETAINING WALL MISCELLANEOUS DETAILS</t>
  </si>
  <si>
    <t>REINFORCEMENT DETAILS OF BEAM 0B1 &amp; 0B2</t>
  </si>
  <si>
    <t>REINFORCEMENT DETAILS OF BEAM 0B3 &amp; 0B4</t>
  </si>
  <si>
    <t>COLUMN REINF. DETAIL</t>
  </si>
  <si>
    <t>FOUNDATION LAYOUT</t>
  </si>
  <si>
    <t>FOOTING REINF. DETAIL</t>
  </si>
  <si>
    <t>FOOTING CF1 REINF. DETAIL</t>
  </si>
  <si>
    <t>FOOTING CF6 REINF. DETAIL</t>
  </si>
  <si>
    <t>FRAMING PLAN AT ROOF LEVEL</t>
  </si>
  <si>
    <t>SLAB BOTTOM REINF. DETAIL</t>
  </si>
  <si>
    <t>BBS FOR SLAB BOTTOM REINF. DETAIL</t>
  </si>
  <si>
    <t>SLAB TOP REINF. DETAIL</t>
  </si>
  <si>
    <t>BBS FOR SLAB TOP REINF. DETAIL</t>
  </si>
  <si>
    <t>SLAB SHEAR REINF. DETAIL AND SECTIONS</t>
  </si>
  <si>
    <t>BEAM B1, B2, B3, &amp; B4 REINFORCEMENT DETAILS</t>
  </si>
  <si>
    <t>BBS OF BEAM B1, B2, B3 &amp; B4</t>
  </si>
  <si>
    <t>BM0001</t>
  </si>
  <si>
    <t>BM0002</t>
  </si>
  <si>
    <t>BM0003</t>
  </si>
  <si>
    <t>BM0004</t>
  </si>
  <si>
    <t>CL0001</t>
  </si>
  <si>
    <t>FD0001</t>
  </si>
  <si>
    <t>FD0002</t>
  </si>
  <si>
    <t>FD0003</t>
  </si>
  <si>
    <t>FD0004</t>
  </si>
  <si>
    <t>FP0001</t>
  </si>
  <si>
    <t>SB0001</t>
  </si>
  <si>
    <t>SB0002</t>
  </si>
  <si>
    <t>SB0003</t>
  </si>
  <si>
    <t>SB0004</t>
  </si>
  <si>
    <t>SB0005</t>
  </si>
  <si>
    <t>SECURITY CABIN ENLARGED TOILET DETAILS DRAINAGE LAYOUT</t>
  </si>
  <si>
    <t>SECURITY CABIN DRAINAGE LAYOUT</t>
  </si>
  <si>
    <t xml:space="preserve"> </t>
  </si>
  <si>
    <t>GFC | STRUCTURES - PROJECT EXPERIENCE</t>
  </si>
  <si>
    <t>AS01</t>
  </si>
  <si>
    <t>FD0101</t>
  </si>
  <si>
    <t>S-AS01-FD0101</t>
  </si>
  <si>
    <t>DC</t>
  </si>
  <si>
    <t>UD-DC-5</t>
  </si>
  <si>
    <t>FD0102</t>
  </si>
  <si>
    <t>S-AS01-FD0102</t>
  </si>
  <si>
    <t>FOOTING &amp; COLUMN BASE CONNECTION DETAILS</t>
  </si>
  <si>
    <t>FRAMING PLAN AT SSL 01</t>
  </si>
  <si>
    <t>CANOPY SECTIONS DETAILS</t>
  </si>
  <si>
    <t>FRAMING PLAN AT SSL 02</t>
  </si>
  <si>
    <t>S-AS01-FP0101</t>
  </si>
  <si>
    <t>S-AS01-FP0102</t>
  </si>
  <si>
    <t>S-AS01-FP0201</t>
  </si>
  <si>
    <t>R2</t>
  </si>
  <si>
    <t>GFC | INFRA - COORDINATED</t>
  </si>
  <si>
    <t>CO</t>
  </si>
  <si>
    <t>MASTER PLAN-CO-ORDINATED UTILITIES</t>
  </si>
  <si>
    <t>=CONCATENATE(B27,"-",C27,"-",D27)</t>
  </si>
  <si>
    <t>=CONCATENATE(B26,"-",C26,"-",D26)</t>
  </si>
  <si>
    <t>3001</t>
  </si>
  <si>
    <t>3002</t>
  </si>
  <si>
    <t>3003</t>
  </si>
  <si>
    <t>3004</t>
  </si>
  <si>
    <t>STREET SECTIONS 1-1', 2-2', 3-3', 4-4'</t>
  </si>
  <si>
    <t>STREET SECTIONS 5-5', 6-6', 7-7', 8-8'</t>
  </si>
  <si>
    <t>STREET SECTIONS 9-9', 10-10', 11-11', 12-12'</t>
  </si>
  <si>
    <t>STREET SECTIONS 13-13', 14-14', 15-15'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</si>
</sst>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_ * #,##0.0_ ;_ * \-#,##0.0_ ;_ * &quot;-&quot;??_ ;_ @_ "/>
    <numFmt numFmtId="167" formatCode="_(* #,##0.00_);_(* \(#,##0.00\);_(* &quot;-&quot;??_);_(@_)"/>
    <numFmt numFmtId="168" formatCode="0%;\-0%;\-;@"/>
    <numFmt numFmtId="169" formatCode="0.0%;\-0.0%;\-;@"/>
  </numFmts>
  <fonts count="62">
    <font>
      <sz val="10"/>
      <color theme="1"/>
      <name val="Meta-Normal"/>
      <family val="2"/>
    </font>
    <font>
      <sz val="11"/>
      <color theme="1"/>
      <name val="Calibri"/>
      <family val="2"/>
      <scheme val="minor"/>
    </font>
    <font>
      <sz val="10"/>
      <color theme="1"/>
      <name val="Meta-Normal"/>
      <family val="2"/>
    </font>
    <font>
      <sz val="8"/>
      <name val="Neo Sans Pro Light"/>
      <family val="2"/>
    </font>
    <font>
      <sz val="11"/>
      <color theme="1"/>
      <name val="Meta normal"/>
    </font>
    <font>
      <b/>
      <sz val="12"/>
      <color theme="1"/>
      <name val="Meta normal"/>
    </font>
    <font>
      <sz val="12"/>
      <color theme="1"/>
      <name val="Meta normal"/>
    </font>
    <font>
      <b/>
      <sz val="11"/>
      <color theme="1"/>
      <name val="Meta normal"/>
    </font>
    <font>
      <sz val="16"/>
      <color theme="0"/>
      <name val="Impact"/>
      <family val="2"/>
    </font>
    <font>
      <sz val="11"/>
      <name val="Meta normal"/>
    </font>
    <font>
      <sz val="8"/>
      <name val="Meta-Normal"/>
      <family val="2"/>
    </font>
    <font>
      <sz val="8"/>
      <color theme="1"/>
      <name val="Meta-Normal"/>
      <family val="2"/>
    </font>
    <font>
      <sz val="11"/>
      <color theme="1"/>
      <name val="Calibri"/>
      <family val="2"/>
      <scheme val="minor"/>
    </font>
    <font>
      <b/>
      <sz val="12"/>
      <color theme="0"/>
      <name val="Meta normal"/>
    </font>
    <font>
      <sz val="12"/>
      <color theme="0"/>
      <name val="Impact"/>
      <family val="2"/>
    </font>
    <font>
      <sz val="11"/>
      <color theme="0"/>
      <name val="Impact"/>
      <family val="2"/>
    </font>
    <font>
      <sz val="12"/>
      <name val="Meta normal"/>
    </font>
    <font>
      <b/>
      <sz val="11"/>
      <name val="Meta normal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sz val="14"/>
      <color theme="0"/>
      <name val="Helvetica Neue"/>
      <family val="2"/>
    </font>
    <font>
      <sz val="10"/>
      <name val="Helvetica Neue"/>
      <family val="2"/>
    </font>
    <font>
      <b/>
      <sz val="10"/>
      <name val="Helvetica Neue"/>
      <family val="2"/>
    </font>
    <font>
      <sz val="14"/>
      <name val="Helvetica Neue"/>
      <family val="2"/>
    </font>
    <font>
      <sz val="24"/>
      <color theme="0"/>
      <name val="Helvetica Neue"/>
      <family val="2"/>
    </font>
    <font>
      <sz val="12"/>
      <color theme="0"/>
      <name val="Helvetica Neue"/>
      <family val="2"/>
    </font>
    <font>
      <sz val="10"/>
      <color theme="0"/>
      <name val="Helvetica Neue"/>
      <family val="2"/>
    </font>
    <font>
      <b/>
      <sz val="12"/>
      <name val="Helvetica Neue"/>
      <family val="2"/>
    </font>
    <font>
      <sz val="9"/>
      <name val="Helvetica Neue"/>
      <family val="2"/>
    </font>
    <font>
      <b/>
      <sz val="9"/>
      <name val="Helvetica Neue"/>
      <family val="2"/>
    </font>
    <font>
      <b/>
      <sz val="9"/>
      <color theme="1"/>
      <name val="Helvetica Neue"/>
      <family val="2"/>
    </font>
    <font>
      <sz val="9"/>
      <color theme="1"/>
      <name val="Helvetica Neue"/>
      <family val="2"/>
    </font>
    <font>
      <b/>
      <sz val="9"/>
      <color theme="1"/>
      <name val="Helvetica Neue"/>
      <family val="2"/>
    </font>
    <font>
      <b/>
      <sz val="12"/>
      <color theme="1"/>
      <name val="Helvetica"/>
    </font>
    <font>
      <b/>
      <sz val="10"/>
      <color theme="0"/>
      <name val="Helvetica"/>
    </font>
    <font>
      <b/>
      <sz val="14"/>
      <color theme="0"/>
      <name val="Helvetica"/>
    </font>
    <font>
      <b/>
      <sz val="16"/>
      <color theme="0"/>
      <name val="Helvetica"/>
    </font>
    <font>
      <b/>
      <sz val="16"/>
      <color theme="1"/>
      <name val="Helvetica"/>
    </font>
    <font>
      <sz val="16"/>
      <color theme="1"/>
      <name val="Helvetica"/>
    </font>
    <font>
      <b/>
      <sz val="11"/>
      <color theme="1"/>
      <name val="Helvetica"/>
    </font>
    <font>
      <b/>
      <sz val="10"/>
      <color theme="1"/>
      <name val="Helvetica"/>
    </font>
    <font>
      <sz val="11"/>
      <color theme="1"/>
      <name val="Helvetica"/>
    </font>
    <font>
      <sz val="11"/>
      <name val="Helvetica"/>
    </font>
    <font>
      <sz val="9"/>
      <color rgb="FF000000"/>
      <name val="Helvetica"/>
    </font>
    <font>
      <sz val="8.9499999999999993"/>
      <color rgb="FF000000"/>
      <name val="Meta-Normal"/>
    </font>
    <font>
      <sz val="11"/>
      <color rgb="FFFF0000"/>
      <name val="Helvetica"/>
    </font>
    <font>
      <sz val="11"/>
      <color rgb="FFC00000"/>
      <name val="Helvetica"/>
    </font>
    <font>
      <b/>
      <sz val="10"/>
      <name val="Helvetica"/>
    </font>
    <font>
      <b/>
      <sz val="11"/>
      <name val="Helvetica"/>
    </font>
    <font>
      <sz val="11"/>
      <color theme="1"/>
      <name val="Helvetica Neue"/>
      <family val="2"/>
    </font>
    <font>
      <sz val="11"/>
      <color theme="1"/>
      <name val="Meta-Normal"/>
    </font>
    <font>
      <sz val="10"/>
      <color theme="1"/>
      <name val="Neo Sans Pro Light"/>
      <family val="2"/>
    </font>
    <font>
      <sz val="9"/>
      <color indexed="8"/>
      <name val="Neo Sans Pro Light"/>
      <family val="2"/>
    </font>
    <font>
      <sz val="10"/>
      <name val="Arial"/>
      <family val="2"/>
    </font>
    <font>
      <sz val="9"/>
      <name val="Times New Roman"/>
      <family val="1"/>
      <charset val="1"/>
    </font>
    <font>
      <sz val="9"/>
      <color indexed="8"/>
      <name val="Helvetica Neue"/>
      <family val="2"/>
    </font>
    <font>
      <sz val="9"/>
      <color indexed="8"/>
      <name val="Meta-Normal"/>
    </font>
    <font>
      <b/>
      <sz val="11"/>
      <color theme="1"/>
      <name val="Helvetica Neue"/>
      <family val="2"/>
    </font>
    <font>
      <b/>
      <sz val="11"/>
      <name val="Helvetica Neue"/>
      <family val="2"/>
    </font>
    <font>
      <sz val="12"/>
      <color theme="1"/>
      <name val="Helvetica Neue"/>
      <family val="2"/>
    </font>
    <font>
      <sz val="9"/>
      <color theme="1"/>
      <name val="Meta-Normal"/>
    </font>
    <font>
      <sz val="9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4B084"/>
        <bgColor indexed="64"/>
      </patternFill>
    </fill>
  </fills>
  <borders count="2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8">
    <xf numFmtId="0" fontId="0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0" fontId="11" fillId="0" borderId="0"/>
    <xf numFmtId="0" fontId="2" fillId="0" borderId="0"/>
    <xf numFmtId="0" fontId="12" fillId="0" borderId="0"/>
    <xf numFmtId="43" fontId="1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9" fontId="52" fillId="0" borderId="0"/>
    <xf numFmtId="0" fontId="53" fillId="0" borderId="0"/>
    <xf numFmtId="0" fontId="54" fillId="0" borderId="0"/>
  </cellStyleXfs>
  <cellXfs count="298">
    <xf numFmtId="0" fontId="0" fillId="0" borderId="0" xfId="0"/>
    <xf numFmtId="0" fontId="9" fillId="4" borderId="0" xfId="4" applyFont="1" applyFill="1" applyAlignment="1">
      <alignment horizontal="left" vertical="center"/>
    </xf>
    <xf numFmtId="0" fontId="9" fillId="4" borderId="0" xfId="4" applyFont="1" applyFill="1" applyAlignment="1">
      <alignment horizontal="center" vertical="center"/>
    </xf>
    <xf numFmtId="43" fontId="4" fillId="0" borderId="0" xfId="2" applyNumberFormat="1" applyFont="1" applyAlignment="1">
      <alignment horizontal="right" vertical="center"/>
    </xf>
    <xf numFmtId="43" fontId="7" fillId="2" borderId="0" xfId="2" applyNumberFormat="1" applyFont="1" applyFill="1" applyAlignment="1">
      <alignment horizontal="center" vertical="center"/>
    </xf>
    <xf numFmtId="0" fontId="13" fillId="4" borderId="0" xfId="4" applyFont="1" applyFill="1" applyAlignment="1">
      <alignment horizontal="left" vertical="center"/>
    </xf>
    <xf numFmtId="0" fontId="8" fillId="4" borderId="1" xfId="5" applyFont="1" applyFill="1" applyBorder="1" applyAlignment="1">
      <alignment vertical="center"/>
    </xf>
    <xf numFmtId="0" fontId="14" fillId="4" borderId="1" xfId="5" applyFont="1" applyFill="1" applyBorder="1" applyAlignment="1">
      <alignment horizontal="left"/>
    </xf>
    <xf numFmtId="0" fontId="8" fillId="4" borderId="1" xfId="5" applyFont="1" applyFill="1" applyBorder="1" applyAlignment="1">
      <alignment horizontal="right" vertical="center"/>
    </xf>
    <xf numFmtId="0" fontId="15" fillId="4" borderId="1" xfId="3" applyNumberFormat="1" applyFont="1" applyFill="1" applyBorder="1" applyAlignment="1">
      <alignment horizontal="right"/>
    </xf>
    <xf numFmtId="0" fontId="4" fillId="10" borderId="0" xfId="2" applyFont="1" applyFill="1" applyAlignment="1">
      <alignment vertical="center"/>
    </xf>
    <xf numFmtId="0" fontId="16" fillId="10" borderId="0" xfId="4" applyFont="1" applyFill="1" applyAlignment="1">
      <alignment horizontal="left" vertical="center"/>
    </xf>
    <xf numFmtId="0" fontId="16" fillId="10" borderId="0" xfId="4" applyFont="1" applyFill="1" applyAlignment="1">
      <alignment horizontal="right" vertical="center"/>
    </xf>
    <xf numFmtId="0" fontId="16" fillId="10" borderId="0" xfId="4" applyFont="1" applyFill="1" applyAlignment="1">
      <alignment horizontal="center" vertical="center"/>
    </xf>
    <xf numFmtId="0" fontId="4" fillId="10" borderId="0" xfId="2" applyFont="1" applyFill="1" applyAlignment="1">
      <alignment horizontal="right" vertical="center"/>
    </xf>
    <xf numFmtId="0" fontId="7" fillId="0" borderId="0" xfId="2" applyFont="1" applyAlignment="1">
      <alignment horizontal="center" vertical="center"/>
    </xf>
    <xf numFmtId="0" fontId="17" fillId="0" borderId="0" xfId="4" applyFont="1" applyAlignment="1">
      <alignment horizontal="left" vertical="center"/>
    </xf>
    <xf numFmtId="43" fontId="17" fillId="7" borderId="0" xfId="9" applyFont="1" applyFill="1" applyBorder="1" applyAlignment="1">
      <alignment horizontal="right" vertical="center"/>
    </xf>
    <xf numFmtId="0" fontId="9" fillId="0" borderId="0" xfId="4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9" fillId="10" borderId="0" xfId="4" applyFont="1" applyFill="1" applyAlignment="1">
      <alignment horizontal="left" vertical="center"/>
    </xf>
    <xf numFmtId="0" fontId="9" fillId="10" borderId="0" xfId="4" applyFont="1" applyFill="1" applyAlignment="1">
      <alignment horizontal="right" vertical="center"/>
    </xf>
    <xf numFmtId="0" fontId="9" fillId="10" borderId="0" xfId="4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17" fillId="2" borderId="0" xfId="4" applyFont="1" applyFill="1" applyAlignment="1">
      <alignment horizontal="left" vertical="center"/>
    </xf>
    <xf numFmtId="0" fontId="4" fillId="4" borderId="0" xfId="2" applyFont="1" applyFill="1" applyAlignment="1">
      <alignment vertical="center"/>
    </xf>
    <xf numFmtId="0" fontId="9" fillId="4" borderId="0" xfId="4" applyFont="1" applyFill="1" applyAlignment="1">
      <alignment horizontal="right" vertical="center"/>
    </xf>
    <xf numFmtId="0" fontId="4" fillId="4" borderId="0" xfId="2" applyFont="1" applyFill="1" applyAlignment="1">
      <alignment horizontal="right" vertical="center"/>
    </xf>
    <xf numFmtId="0" fontId="7" fillId="3" borderId="0" xfId="2" applyFont="1" applyFill="1" applyAlignment="1">
      <alignment horizontal="center" vertical="center"/>
    </xf>
    <xf numFmtId="0" fontId="17" fillId="3" borderId="0" xfId="4" applyFont="1" applyFill="1" applyAlignment="1">
      <alignment horizontal="left" vertical="center"/>
    </xf>
    <xf numFmtId="0" fontId="4" fillId="3" borderId="0" xfId="2" applyFont="1" applyFill="1" applyAlignment="1">
      <alignment horizontal="center" vertical="center"/>
    </xf>
    <xf numFmtId="0" fontId="9" fillId="3" borderId="0" xfId="4" applyFont="1" applyFill="1" applyAlignment="1">
      <alignment horizontal="center" vertical="center"/>
    </xf>
    <xf numFmtId="43" fontId="4" fillId="3" borderId="0" xfId="2" applyNumberFormat="1" applyFont="1" applyFill="1" applyAlignment="1">
      <alignment horizontal="right" vertical="center"/>
    </xf>
    <xf numFmtId="0" fontId="5" fillId="3" borderId="0" xfId="2" applyFont="1" applyFill="1" applyAlignment="1">
      <alignment horizontal="center" vertical="center"/>
    </xf>
    <xf numFmtId="0" fontId="9" fillId="0" borderId="0" xfId="4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0" fontId="4" fillId="4" borderId="0" xfId="2" applyFont="1" applyFill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0" fontId="17" fillId="5" borderId="0" xfId="4" applyFont="1" applyFill="1" applyAlignment="1">
      <alignment horizontal="left" vertical="center"/>
    </xf>
    <xf numFmtId="0" fontId="4" fillId="5" borderId="0" xfId="2" applyFont="1" applyFill="1" applyAlignment="1">
      <alignment horizontal="center" vertical="center"/>
    </xf>
    <xf numFmtId="0" fontId="9" fillId="5" borderId="0" xfId="4" applyFont="1" applyFill="1" applyAlignment="1">
      <alignment horizontal="center" vertical="center"/>
    </xf>
    <xf numFmtId="43" fontId="4" fillId="5" borderId="0" xfId="2" applyNumberFormat="1" applyFont="1" applyFill="1" applyAlignment="1">
      <alignment horizontal="right" vertical="center"/>
    </xf>
    <xf numFmtId="0" fontId="6" fillId="5" borderId="0" xfId="2" applyFont="1" applyFill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7" fillId="6" borderId="0" xfId="2" applyFont="1" applyFill="1" applyAlignment="1">
      <alignment horizontal="center" vertical="center"/>
    </xf>
    <xf numFmtId="0" fontId="17" fillId="6" borderId="0" xfId="4" applyFont="1" applyFill="1" applyAlignment="1">
      <alignment horizontal="left" vertical="center"/>
    </xf>
    <xf numFmtId="0" fontId="4" fillId="6" borderId="0" xfId="2" applyFont="1" applyFill="1" applyAlignment="1">
      <alignment horizontal="center" vertical="center"/>
    </xf>
    <xf numFmtId="0" fontId="9" fillId="6" borderId="0" xfId="4" applyFont="1" applyFill="1" applyAlignment="1">
      <alignment horizontal="center" vertical="center"/>
    </xf>
    <xf numFmtId="43" fontId="4" fillId="6" borderId="0" xfId="2" applyNumberFormat="1" applyFont="1" applyFill="1" applyAlignment="1">
      <alignment horizontal="right" vertical="center"/>
    </xf>
    <xf numFmtId="0" fontId="6" fillId="6" borderId="0" xfId="2" applyFont="1" applyFill="1" applyAlignment="1">
      <alignment horizontal="center" vertical="center"/>
    </xf>
    <xf numFmtId="165" fontId="0" fillId="0" borderId="0" xfId="0" applyNumberFormat="1"/>
    <xf numFmtId="9" fontId="4" fillId="10" borderId="0" xfId="2" applyNumberFormat="1" applyFont="1" applyFill="1" applyAlignment="1">
      <alignment horizontal="right" vertical="center"/>
    </xf>
    <xf numFmtId="10" fontId="4" fillId="10" borderId="0" xfId="2" applyNumberFormat="1" applyFont="1" applyFill="1" applyAlignment="1">
      <alignment horizontal="right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0" fontId="18" fillId="0" borderId="0" xfId="0" applyFont="1" applyAlignment="1">
      <alignment vertical="center" wrapText="1"/>
    </xf>
    <xf numFmtId="168" fontId="18" fillId="0" borderId="0" xfId="3" applyNumberFormat="1" applyFont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19" fillId="11" borderId="2" xfId="0" applyFont="1" applyFill="1" applyBorder="1" applyAlignment="1">
      <alignment horizontal="right" vertical="center"/>
    </xf>
    <xf numFmtId="0" fontId="20" fillId="11" borderId="2" xfId="0" applyFont="1" applyFill="1" applyBorder="1" applyAlignment="1">
      <alignment vertical="center" wrapText="1"/>
    </xf>
    <xf numFmtId="168" fontId="18" fillId="11" borderId="2" xfId="0" applyNumberFormat="1" applyFont="1" applyFill="1" applyBorder="1" applyAlignment="1">
      <alignment horizontal="center" vertical="center"/>
    </xf>
    <xf numFmtId="168" fontId="18" fillId="11" borderId="2" xfId="3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22" fillId="0" borderId="2" xfId="0" applyFont="1" applyBorder="1" applyAlignment="1">
      <alignment horizontal="right" vertical="center"/>
    </xf>
    <xf numFmtId="0" fontId="23" fillId="0" borderId="2" xfId="0" applyFont="1" applyBorder="1" applyAlignment="1">
      <alignment vertical="center" wrapText="1"/>
    </xf>
    <xf numFmtId="168" fontId="18" fillId="0" borderId="2" xfId="3" applyNumberFormat="1" applyFont="1" applyBorder="1" applyAlignment="1">
      <alignment horizontal="center" vertical="center"/>
    </xf>
    <xf numFmtId="0" fontId="24" fillId="4" borderId="3" xfId="0" applyFont="1" applyFill="1" applyBorder="1" applyAlignment="1">
      <alignment vertical="center"/>
    </xf>
    <xf numFmtId="0" fontId="24" fillId="4" borderId="4" xfId="0" applyFont="1" applyFill="1" applyBorder="1" applyAlignment="1">
      <alignment vertical="center"/>
    </xf>
    <xf numFmtId="0" fontId="24" fillId="4" borderId="5" xfId="0" applyFont="1" applyFill="1" applyBorder="1" applyAlignment="1">
      <alignment vertical="center" wrapText="1"/>
    </xf>
    <xf numFmtId="168" fontId="25" fillId="4" borderId="2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4" fillId="4" borderId="0" xfId="0" applyFont="1" applyFill="1" applyAlignment="1">
      <alignment vertical="center"/>
    </xf>
    <xf numFmtId="0" fontId="24" fillId="4" borderId="6" xfId="0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24" fillId="4" borderId="7" xfId="0" applyFont="1" applyFill="1" applyBorder="1" applyAlignment="1">
      <alignment vertical="center"/>
    </xf>
    <xf numFmtId="0" fontId="24" fillId="4" borderId="8" xfId="0" applyFont="1" applyFill="1" applyBorder="1" applyAlignment="1">
      <alignment vertical="center"/>
    </xf>
    <xf numFmtId="0" fontId="24" fillId="4" borderId="9" xfId="0" applyFont="1" applyFill="1" applyBorder="1" applyAlignment="1">
      <alignment vertical="center" wrapText="1"/>
    </xf>
    <xf numFmtId="0" fontId="22" fillId="11" borderId="2" xfId="0" applyFont="1" applyFill="1" applyBorder="1" applyAlignment="1">
      <alignment horizontal="right" vertical="center"/>
    </xf>
    <xf numFmtId="0" fontId="23" fillId="11" borderId="2" xfId="0" applyFont="1" applyFill="1" applyBorder="1" applyAlignment="1">
      <alignment vertical="center" wrapText="1"/>
    </xf>
    <xf numFmtId="0" fontId="27" fillId="0" borderId="2" xfId="0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0" fontId="29" fillId="0" borderId="2" xfId="0" applyFont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vertical="center" wrapText="1"/>
    </xf>
    <xf numFmtId="2" fontId="30" fillId="8" borderId="2" xfId="0" applyNumberFormat="1" applyFont="1" applyFill="1" applyBorder="1" applyAlignment="1">
      <alignment horizontal="center" vertical="center"/>
    </xf>
    <xf numFmtId="168" fontId="30" fillId="8" borderId="2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168" fontId="19" fillId="8" borderId="2" xfId="0" applyNumberFormat="1" applyFont="1" applyFill="1" applyBorder="1" applyAlignment="1">
      <alignment horizontal="center" vertical="center"/>
    </xf>
    <xf numFmtId="1" fontId="21" fillId="0" borderId="2" xfId="0" applyNumberFormat="1" applyFont="1" applyBorder="1" applyAlignment="1">
      <alignment horizontal="right" vertical="center"/>
    </xf>
    <xf numFmtId="1" fontId="28" fillId="12" borderId="2" xfId="0" applyNumberFormat="1" applyFont="1" applyFill="1" applyBorder="1" applyAlignment="1">
      <alignment horizontal="right" vertical="center"/>
    </xf>
    <xf numFmtId="0" fontId="21" fillId="12" borderId="2" xfId="0" applyFont="1" applyFill="1" applyBorder="1" applyAlignment="1">
      <alignment vertical="center" wrapText="1"/>
    </xf>
    <xf numFmtId="168" fontId="31" fillId="12" borderId="2" xfId="3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 wrapText="1"/>
    </xf>
    <xf numFmtId="9" fontId="21" fillId="0" borderId="2" xfId="3" applyFont="1" applyBorder="1" applyAlignment="1">
      <alignment vertical="center"/>
    </xf>
    <xf numFmtId="0" fontId="23" fillId="11" borderId="2" xfId="0" applyFont="1" applyFill="1" applyBorder="1" applyAlignment="1">
      <alignment horizontal="left" vertical="center" wrapText="1"/>
    </xf>
    <xf numFmtId="168" fontId="20" fillId="11" borderId="2" xfId="0" applyNumberFormat="1" applyFont="1" applyFill="1" applyBorder="1" applyAlignment="1">
      <alignment horizontal="left" vertical="center"/>
    </xf>
    <xf numFmtId="9" fontId="18" fillId="0" borderId="0" xfId="3" applyFont="1" applyAlignment="1">
      <alignment vertical="center"/>
    </xf>
    <xf numFmtId="0" fontId="19" fillId="0" borderId="2" xfId="0" applyFont="1" applyBorder="1" applyAlignment="1">
      <alignment horizontal="right" vertical="center"/>
    </xf>
    <xf numFmtId="0" fontId="18" fillId="0" borderId="2" xfId="0" applyFont="1" applyBorder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0" fontId="7" fillId="0" borderId="0" xfId="2" applyFont="1" applyAlignment="1">
      <alignment horizontal="left" vertical="center"/>
    </xf>
    <xf numFmtId="0" fontId="18" fillId="0" borderId="0" xfId="3" applyNumberFormat="1" applyFont="1" applyAlignment="1">
      <alignment vertical="center"/>
    </xf>
    <xf numFmtId="2" fontId="32" fillId="8" borderId="2" xfId="0" applyNumberFormat="1" applyFont="1" applyFill="1" applyBorder="1" applyAlignment="1">
      <alignment horizontal="center" vertical="center"/>
    </xf>
    <xf numFmtId="9" fontId="18" fillId="0" borderId="0" xfId="3" applyFont="1" applyAlignment="1">
      <alignment horizontal="center" vertical="center"/>
    </xf>
    <xf numFmtId="9" fontId="18" fillId="11" borderId="2" xfId="3" applyFont="1" applyFill="1" applyBorder="1" applyAlignment="1">
      <alignment horizontal="center" vertical="center"/>
    </xf>
    <xf numFmtId="9" fontId="18" fillId="0" borderId="2" xfId="3" applyFont="1" applyBorder="1" applyAlignment="1">
      <alignment horizontal="center" vertical="center"/>
    </xf>
    <xf numFmtId="9" fontId="25" fillId="4" borderId="2" xfId="3" applyFont="1" applyFill="1" applyBorder="1" applyAlignment="1">
      <alignment horizontal="center" vertical="center"/>
    </xf>
    <xf numFmtId="9" fontId="19" fillId="0" borderId="2" xfId="3" applyFont="1" applyBorder="1" applyAlignment="1">
      <alignment horizontal="center" vertical="center"/>
    </xf>
    <xf numFmtId="9" fontId="30" fillId="8" borderId="2" xfId="3" applyFont="1" applyFill="1" applyBorder="1" applyAlignment="1">
      <alignment horizontal="center" vertical="center"/>
    </xf>
    <xf numFmtId="9" fontId="19" fillId="8" borderId="2" xfId="3" applyFont="1" applyFill="1" applyBorder="1" applyAlignment="1">
      <alignment horizontal="center" vertical="center"/>
    </xf>
    <xf numFmtId="9" fontId="31" fillId="12" borderId="2" xfId="3" applyFont="1" applyFill="1" applyBorder="1" applyAlignment="1">
      <alignment horizontal="center" vertical="center"/>
    </xf>
    <xf numFmtId="9" fontId="20" fillId="11" borderId="2" xfId="3" applyFont="1" applyFill="1" applyBorder="1" applyAlignment="1">
      <alignment horizontal="left" vertical="center"/>
    </xf>
    <xf numFmtId="0" fontId="35" fillId="9" borderId="14" xfId="13" applyFont="1" applyFill="1" applyBorder="1" applyAlignment="1">
      <alignment vertical="center" wrapText="1"/>
    </xf>
    <xf numFmtId="0" fontId="37" fillId="0" borderId="0" xfId="13" applyFont="1" applyAlignment="1">
      <alignment vertical="center"/>
    </xf>
    <xf numFmtId="0" fontId="35" fillId="9" borderId="12" xfId="13" applyFont="1" applyFill="1" applyBorder="1" applyAlignment="1">
      <alignment vertical="center" wrapText="1"/>
    </xf>
    <xf numFmtId="0" fontId="35" fillId="13" borderId="12" xfId="13" applyFont="1" applyFill="1" applyBorder="1" applyAlignment="1">
      <alignment vertical="center"/>
    </xf>
    <xf numFmtId="0" fontId="36" fillId="13" borderId="12" xfId="13" applyFont="1" applyFill="1" applyBorder="1" applyAlignment="1">
      <alignment vertical="center"/>
    </xf>
    <xf numFmtId="9" fontId="34" fillId="13" borderId="16" xfId="14" applyFont="1" applyFill="1" applyBorder="1" applyAlignment="1">
      <alignment horizontal="center" vertical="center" wrapText="1"/>
    </xf>
    <xf numFmtId="0" fontId="36" fillId="13" borderId="16" xfId="13" applyFont="1" applyFill="1" applyBorder="1" applyAlignment="1">
      <alignment horizontal="center" vertical="center" wrapText="1"/>
    </xf>
    <xf numFmtId="0" fontId="36" fillId="13" borderId="12" xfId="13" applyFont="1" applyFill="1" applyBorder="1" applyAlignment="1">
      <alignment vertical="center" wrapText="1"/>
    </xf>
    <xf numFmtId="0" fontId="39" fillId="12" borderId="12" xfId="13" applyFont="1" applyFill="1" applyBorder="1" applyAlignment="1">
      <alignment vertical="center"/>
    </xf>
    <xf numFmtId="9" fontId="40" fillId="12" borderId="12" xfId="14" applyFont="1" applyFill="1" applyBorder="1" applyAlignment="1">
      <alignment horizontal="right" vertical="center"/>
    </xf>
    <xf numFmtId="0" fontId="41" fillId="12" borderId="12" xfId="13" applyFont="1" applyFill="1" applyBorder="1" applyAlignment="1">
      <alignment vertical="center" wrapText="1"/>
    </xf>
    <xf numFmtId="0" fontId="41" fillId="12" borderId="12" xfId="13" applyFont="1" applyFill="1" applyBorder="1" applyAlignment="1">
      <alignment vertical="center"/>
    </xf>
    <xf numFmtId="0" fontId="38" fillId="0" borderId="0" xfId="13" applyFont="1" applyAlignment="1">
      <alignment vertical="center"/>
    </xf>
    <xf numFmtId="0" fontId="39" fillId="0" borderId="12" xfId="13" applyFont="1" applyBorder="1" applyAlignment="1">
      <alignment vertical="center"/>
    </xf>
    <xf numFmtId="0" fontId="33" fillId="0" borderId="12" xfId="13" applyFont="1" applyBorder="1" applyAlignment="1">
      <alignment vertical="center"/>
    </xf>
    <xf numFmtId="9" fontId="40" fillId="0" borderId="12" xfId="14" applyFont="1" applyBorder="1" applyAlignment="1">
      <alignment horizontal="right" vertical="center"/>
    </xf>
    <xf numFmtId="0" fontId="41" fillId="0" borderId="12" xfId="13" applyFont="1" applyBorder="1" applyAlignment="1">
      <alignment vertical="center" wrapText="1"/>
    </xf>
    <xf numFmtId="0" fontId="41" fillId="0" borderId="12" xfId="13" applyFont="1" applyBorder="1" applyAlignment="1">
      <alignment wrapText="1"/>
    </xf>
    <xf numFmtId="0" fontId="41" fillId="0" borderId="0" xfId="13" applyFont="1" applyAlignment="1">
      <alignment vertical="center"/>
    </xf>
    <xf numFmtId="0" fontId="39" fillId="14" borderId="12" xfId="13" applyFont="1" applyFill="1" applyBorder="1" applyAlignment="1">
      <alignment vertical="center"/>
    </xf>
    <xf numFmtId="9" fontId="40" fillId="14" borderId="12" xfId="14" applyFont="1" applyFill="1" applyBorder="1" applyAlignment="1">
      <alignment horizontal="right" vertical="center"/>
    </xf>
    <xf numFmtId="0" fontId="41" fillId="14" borderId="12" xfId="13" applyFont="1" applyFill="1" applyBorder="1" applyAlignment="1">
      <alignment vertical="center" wrapText="1"/>
    </xf>
    <xf numFmtId="0" fontId="41" fillId="14" borderId="12" xfId="13" applyFont="1" applyFill="1" applyBorder="1" applyAlignment="1">
      <alignment vertical="center"/>
    </xf>
    <xf numFmtId="0" fontId="42" fillId="14" borderId="12" xfId="13" applyFont="1" applyFill="1" applyBorder="1" applyAlignment="1">
      <alignment vertical="center" wrapText="1"/>
    </xf>
    <xf numFmtId="0" fontId="41" fillId="14" borderId="12" xfId="13" applyFont="1" applyFill="1" applyBorder="1" applyAlignment="1">
      <alignment wrapText="1"/>
    </xf>
    <xf numFmtId="0" fontId="39" fillId="15" borderId="12" xfId="13" applyFont="1" applyFill="1" applyBorder="1" applyAlignment="1">
      <alignment vertical="center"/>
    </xf>
    <xf numFmtId="9" fontId="40" fillId="15" borderId="12" xfId="14" applyFont="1" applyFill="1" applyBorder="1" applyAlignment="1">
      <alignment horizontal="right" vertical="center"/>
    </xf>
    <xf numFmtId="0" fontId="41" fillId="15" borderId="12" xfId="13" applyFont="1" applyFill="1" applyBorder="1" applyAlignment="1">
      <alignment vertical="center" wrapText="1"/>
    </xf>
    <xf numFmtId="0" fontId="42" fillId="15" borderId="12" xfId="13" applyFont="1" applyFill="1" applyBorder="1" applyAlignment="1">
      <alignment vertical="center" wrapText="1"/>
    </xf>
    <xf numFmtId="0" fontId="39" fillId="15" borderId="12" xfId="13" applyFont="1" applyFill="1" applyBorder="1" applyAlignment="1">
      <alignment vertical="center" wrapText="1"/>
    </xf>
    <xf numFmtId="0" fontId="41" fillId="15" borderId="12" xfId="13" applyFont="1" applyFill="1" applyBorder="1" applyAlignment="1">
      <alignment vertical="center"/>
    </xf>
    <xf numFmtId="0" fontId="43" fillId="15" borderId="12" xfId="13" applyFont="1" applyFill="1" applyBorder="1"/>
    <xf numFmtId="0" fontId="41" fillId="15" borderId="12" xfId="13" applyFont="1" applyFill="1" applyBorder="1" applyAlignment="1">
      <alignment wrapText="1"/>
    </xf>
    <xf numFmtId="0" fontId="43" fillId="0" borderId="12" xfId="13" applyFont="1" applyBorder="1"/>
    <xf numFmtId="0" fontId="39" fillId="7" borderId="12" xfId="13" applyFont="1" applyFill="1" applyBorder="1" applyAlignment="1">
      <alignment vertical="center"/>
    </xf>
    <xf numFmtId="9" fontId="40" fillId="7" borderId="12" xfId="14" applyFont="1" applyFill="1" applyBorder="1" applyAlignment="1">
      <alignment horizontal="right" vertical="center"/>
    </xf>
    <xf numFmtId="0" fontId="41" fillId="7" borderId="12" xfId="13" applyFont="1" applyFill="1" applyBorder="1" applyAlignment="1">
      <alignment vertical="center" wrapText="1"/>
    </xf>
    <xf numFmtId="0" fontId="44" fillId="0" borderId="0" xfId="13" applyFont="1" applyAlignment="1">
      <alignment vertical="center" wrapText="1"/>
    </xf>
    <xf numFmtId="0" fontId="41" fillId="7" borderId="12" xfId="13" applyFont="1" applyFill="1" applyBorder="1" applyAlignment="1">
      <alignment wrapText="1"/>
    </xf>
    <xf numFmtId="0" fontId="41" fillId="7" borderId="12" xfId="13" applyFont="1" applyFill="1" applyBorder="1" applyAlignment="1">
      <alignment vertical="center"/>
    </xf>
    <xf numFmtId="0" fontId="39" fillId="7" borderId="12" xfId="13" applyFont="1" applyFill="1" applyBorder="1" applyAlignment="1">
      <alignment vertical="center" wrapText="1"/>
    </xf>
    <xf numFmtId="0" fontId="39" fillId="16" borderId="12" xfId="13" applyFont="1" applyFill="1" applyBorder="1" applyAlignment="1">
      <alignment vertical="center"/>
    </xf>
    <xf numFmtId="9" fontId="40" fillId="16" borderId="12" xfId="14" applyFont="1" applyFill="1" applyBorder="1" applyAlignment="1">
      <alignment horizontal="right" vertical="center"/>
    </xf>
    <xf numFmtId="0" fontId="41" fillId="16" borderId="12" xfId="13" applyFont="1" applyFill="1" applyBorder="1" applyAlignment="1">
      <alignment vertical="center" wrapText="1"/>
    </xf>
    <xf numFmtId="0" fontId="33" fillId="0" borderId="12" xfId="13" applyFont="1" applyBorder="1" applyAlignment="1">
      <alignment vertical="center" wrapText="1"/>
    </xf>
    <xf numFmtId="0" fontId="42" fillId="0" borderId="12" xfId="13" applyFont="1" applyBorder="1" applyAlignment="1">
      <alignment vertical="center" wrapText="1"/>
    </xf>
    <xf numFmtId="0" fontId="39" fillId="17" borderId="12" xfId="13" applyFont="1" applyFill="1" applyBorder="1" applyAlignment="1">
      <alignment vertical="center"/>
    </xf>
    <xf numFmtId="9" fontId="40" fillId="17" borderId="12" xfId="14" applyFont="1" applyFill="1" applyBorder="1" applyAlignment="1">
      <alignment horizontal="right" vertical="center"/>
    </xf>
    <xf numFmtId="0" fontId="41" fillId="17" borderId="12" xfId="13" applyFont="1" applyFill="1" applyBorder="1" applyAlignment="1">
      <alignment vertical="center" wrapText="1"/>
    </xf>
    <xf numFmtId="0" fontId="41" fillId="17" borderId="12" xfId="13" applyFont="1" applyFill="1" applyBorder="1" applyAlignment="1">
      <alignment vertical="center"/>
    </xf>
    <xf numFmtId="0" fontId="39" fillId="17" borderId="12" xfId="13" applyFont="1" applyFill="1" applyBorder="1" applyAlignment="1">
      <alignment vertical="center" wrapText="1"/>
    </xf>
    <xf numFmtId="0" fontId="42" fillId="17" borderId="12" xfId="13" applyFont="1" applyFill="1" applyBorder="1" applyAlignment="1">
      <alignment vertical="center" wrapText="1"/>
    </xf>
    <xf numFmtId="0" fontId="45" fillId="17" borderId="12" xfId="13" applyFont="1" applyFill="1" applyBorder="1" applyAlignment="1">
      <alignment wrapText="1"/>
    </xf>
    <xf numFmtId="0" fontId="41" fillId="17" borderId="12" xfId="13" applyFont="1" applyFill="1" applyBorder="1" applyAlignment="1">
      <alignment wrapText="1"/>
    </xf>
    <xf numFmtId="0" fontId="46" fillId="17" borderId="12" xfId="13" applyFont="1" applyFill="1" applyBorder="1" applyAlignment="1">
      <alignment vertical="center" wrapText="1"/>
    </xf>
    <xf numFmtId="0" fontId="39" fillId="16" borderId="12" xfId="13" applyFont="1" applyFill="1" applyBorder="1" applyAlignment="1">
      <alignment vertical="center" wrapText="1"/>
    </xf>
    <xf numFmtId="9" fontId="40" fillId="0" borderId="12" xfId="14" applyFont="1" applyFill="1" applyBorder="1" applyAlignment="1">
      <alignment horizontal="right" vertical="center"/>
    </xf>
    <xf numFmtId="0" fontId="41" fillId="16" borderId="12" xfId="13" applyFont="1" applyFill="1" applyBorder="1" applyAlignment="1">
      <alignment vertical="center"/>
    </xf>
    <xf numFmtId="0" fontId="41" fillId="16" borderId="12" xfId="13" applyFont="1" applyFill="1" applyBorder="1" applyAlignment="1">
      <alignment wrapText="1"/>
    </xf>
    <xf numFmtId="0" fontId="46" fillId="16" borderId="12" xfId="13" applyFont="1" applyFill="1" applyBorder="1" applyAlignment="1">
      <alignment vertical="center" wrapText="1"/>
    </xf>
    <xf numFmtId="0" fontId="42" fillId="16" borderId="12" xfId="13" applyFont="1" applyFill="1" applyBorder="1" applyAlignment="1">
      <alignment vertical="center" wrapText="1"/>
    </xf>
    <xf numFmtId="0" fontId="39" fillId="12" borderId="12" xfId="13" applyFont="1" applyFill="1" applyBorder="1" applyAlignment="1">
      <alignment vertical="center" wrapText="1"/>
    </xf>
    <xf numFmtId="0" fontId="41" fillId="12" borderId="12" xfId="13" applyFont="1" applyFill="1" applyBorder="1" applyAlignment="1">
      <alignment wrapText="1"/>
    </xf>
    <xf numFmtId="0" fontId="46" fillId="12" borderId="12" xfId="13" applyFont="1" applyFill="1" applyBorder="1" applyAlignment="1">
      <alignment vertical="center" wrapText="1"/>
    </xf>
    <xf numFmtId="9" fontId="47" fillId="0" borderId="12" xfId="14" applyFont="1" applyFill="1" applyBorder="1" applyAlignment="1">
      <alignment horizontal="right" vertical="center"/>
    </xf>
    <xf numFmtId="0" fontId="39" fillId="0" borderId="12" xfId="13" applyFont="1" applyBorder="1" applyAlignment="1">
      <alignment vertical="center" wrapText="1"/>
    </xf>
    <xf numFmtId="0" fontId="48" fillId="0" borderId="12" xfId="13" applyFont="1" applyBorder="1" applyAlignment="1">
      <alignment vertical="center" wrapText="1"/>
    </xf>
    <xf numFmtId="0" fontId="39" fillId="8" borderId="12" xfId="13" applyFont="1" applyFill="1" applyBorder="1" applyAlignment="1">
      <alignment vertical="center"/>
    </xf>
    <xf numFmtId="9" fontId="40" fillId="8" borderId="12" xfId="14" applyFont="1" applyFill="1" applyBorder="1" applyAlignment="1">
      <alignment horizontal="right" vertical="center"/>
    </xf>
    <xf numFmtId="0" fontId="41" fillId="8" borderId="12" xfId="13" applyFont="1" applyFill="1" applyBorder="1" applyAlignment="1">
      <alignment vertical="center" wrapText="1"/>
    </xf>
    <xf numFmtId="0" fontId="39" fillId="8" borderId="12" xfId="13" applyFont="1" applyFill="1" applyBorder="1" applyAlignment="1">
      <alignment vertical="center" wrapText="1"/>
    </xf>
    <xf numFmtId="0" fontId="42" fillId="8" borderId="12" xfId="13" applyFont="1" applyFill="1" applyBorder="1" applyAlignment="1">
      <alignment vertical="center" wrapText="1"/>
    </xf>
    <xf numFmtId="0" fontId="45" fillId="8" borderId="12" xfId="13" applyFont="1" applyFill="1" applyBorder="1" applyAlignment="1">
      <alignment vertical="center" wrapText="1"/>
    </xf>
    <xf numFmtId="0" fontId="46" fillId="8" borderId="12" xfId="13" applyFont="1" applyFill="1" applyBorder="1" applyAlignment="1">
      <alignment vertical="center" wrapText="1"/>
    </xf>
    <xf numFmtId="0" fontId="38" fillId="0" borderId="0" xfId="13" applyFont="1" applyAlignment="1">
      <alignment vertical="top"/>
    </xf>
    <xf numFmtId="0" fontId="39" fillId="18" borderId="12" xfId="13" applyFont="1" applyFill="1" applyBorder="1" applyAlignment="1">
      <alignment vertical="top"/>
    </xf>
    <xf numFmtId="9" fontId="40" fillId="18" borderId="12" xfId="14" applyFont="1" applyFill="1" applyBorder="1" applyAlignment="1">
      <alignment horizontal="right" vertical="top"/>
    </xf>
    <xf numFmtId="0" fontId="41" fillId="18" borderId="12" xfId="13" applyFont="1" applyFill="1" applyBorder="1" applyAlignment="1">
      <alignment vertical="top" wrapText="1"/>
    </xf>
    <xf numFmtId="0" fontId="42" fillId="18" borderId="12" xfId="13" applyFont="1" applyFill="1" applyBorder="1" applyAlignment="1">
      <alignment vertical="top" wrapText="1"/>
    </xf>
    <xf numFmtId="0" fontId="41" fillId="0" borderId="0" xfId="13" applyFont="1" applyAlignment="1">
      <alignment vertical="top"/>
    </xf>
    <xf numFmtId="0" fontId="39" fillId="18" borderId="12" xfId="13" applyFont="1" applyFill="1" applyBorder="1" applyAlignment="1">
      <alignment vertical="center"/>
    </xf>
    <xf numFmtId="9" fontId="40" fillId="18" borderId="12" xfId="14" applyFont="1" applyFill="1" applyBorder="1" applyAlignment="1">
      <alignment horizontal="right" vertical="center"/>
    </xf>
    <xf numFmtId="0" fontId="41" fillId="18" borderId="12" xfId="13" applyFont="1" applyFill="1" applyBorder="1" applyAlignment="1">
      <alignment vertical="center" wrapText="1"/>
    </xf>
    <xf numFmtId="0" fontId="41" fillId="18" borderId="12" xfId="13" applyFont="1" applyFill="1" applyBorder="1" applyAlignment="1">
      <alignment wrapText="1"/>
    </xf>
    <xf numFmtId="0" fontId="39" fillId="18" borderId="12" xfId="13" applyFont="1" applyFill="1" applyBorder="1" applyAlignment="1">
      <alignment vertical="center" wrapText="1"/>
    </xf>
    <xf numFmtId="0" fontId="48" fillId="18" borderId="12" xfId="13" applyFont="1" applyFill="1" applyBorder="1" applyAlignment="1">
      <alignment vertical="center" wrapText="1"/>
    </xf>
    <xf numFmtId="0" fontId="42" fillId="18" borderId="12" xfId="13" applyFont="1" applyFill="1" applyBorder="1" applyAlignment="1">
      <alignment vertical="center" wrapText="1"/>
    </xf>
    <xf numFmtId="0" fontId="41" fillId="18" borderId="12" xfId="13" applyFont="1" applyFill="1" applyBorder="1" applyAlignment="1">
      <alignment vertical="center"/>
    </xf>
    <xf numFmtId="0" fontId="46" fillId="18" borderId="12" xfId="13" applyFont="1" applyFill="1" applyBorder="1" applyAlignment="1">
      <alignment vertical="center" wrapText="1"/>
    </xf>
    <xf numFmtId="0" fontId="38" fillId="0" borderId="0" xfId="13" applyFont="1"/>
    <xf numFmtId="0" fontId="41" fillId="0" borderId="0" xfId="13" applyFont="1"/>
    <xf numFmtId="9" fontId="40" fillId="0" borderId="0" xfId="14" applyFont="1" applyAlignment="1">
      <alignment horizontal="right"/>
    </xf>
    <xf numFmtId="2" fontId="18" fillId="0" borderId="0" xfId="0" applyNumberFormat="1" applyFont="1" applyAlignment="1">
      <alignment horizontal="center" vertical="center" wrapText="1"/>
    </xf>
    <xf numFmtId="2" fontId="18" fillId="11" borderId="2" xfId="0" applyNumberFormat="1" applyFont="1" applyFill="1" applyBorder="1" applyAlignment="1">
      <alignment horizontal="center" vertical="center" wrapText="1"/>
    </xf>
    <xf numFmtId="2" fontId="18" fillId="0" borderId="2" xfId="0" applyNumberFormat="1" applyFont="1" applyBorder="1" applyAlignment="1">
      <alignment horizontal="center" vertical="center" wrapText="1"/>
    </xf>
    <xf numFmtId="2" fontId="30" fillId="8" borderId="2" xfId="0" applyNumberFormat="1" applyFont="1" applyFill="1" applyBorder="1" applyAlignment="1">
      <alignment horizontal="center" vertical="center" wrapText="1"/>
    </xf>
    <xf numFmtId="2" fontId="31" fillId="12" borderId="2" xfId="0" applyNumberFormat="1" applyFont="1" applyFill="1" applyBorder="1" applyAlignment="1">
      <alignment horizontal="center" vertical="center" wrapText="1"/>
    </xf>
    <xf numFmtId="2" fontId="20" fillId="11" borderId="2" xfId="0" applyNumberFormat="1" applyFont="1" applyFill="1" applyBorder="1" applyAlignment="1">
      <alignment horizontal="center" vertical="center" wrapText="1"/>
    </xf>
    <xf numFmtId="2" fontId="18" fillId="0" borderId="0" xfId="1" applyNumberFormat="1" applyFont="1" applyAlignment="1">
      <alignment horizontal="center" vertical="center" wrapText="1"/>
    </xf>
    <xf numFmtId="168" fontId="18" fillId="0" borderId="0" xfId="0" applyNumberFormat="1" applyFont="1" applyAlignment="1">
      <alignment horizontal="center" vertical="center" wrapText="1"/>
    </xf>
    <xf numFmtId="168" fontId="18" fillId="11" borderId="2" xfId="0" applyNumberFormat="1" applyFont="1" applyFill="1" applyBorder="1" applyAlignment="1">
      <alignment horizontal="center" vertical="center" wrapText="1"/>
    </xf>
    <xf numFmtId="168" fontId="18" fillId="0" borderId="2" xfId="0" applyNumberFormat="1" applyFont="1" applyBorder="1" applyAlignment="1">
      <alignment horizontal="center" vertical="center" wrapText="1"/>
    </xf>
    <xf numFmtId="169" fontId="31" fillId="12" borderId="2" xfId="0" applyNumberFormat="1" applyFont="1" applyFill="1" applyBorder="1" applyAlignment="1">
      <alignment horizontal="center" vertical="center" wrapText="1"/>
    </xf>
    <xf numFmtId="168" fontId="20" fillId="11" borderId="2" xfId="0" applyNumberFormat="1" applyFont="1" applyFill="1" applyBorder="1" applyAlignment="1">
      <alignment horizontal="center" vertical="center" wrapText="1"/>
    </xf>
    <xf numFmtId="166" fontId="18" fillId="0" borderId="0" xfId="1" applyNumberFormat="1" applyFont="1" applyAlignment="1">
      <alignment horizontal="center" vertical="center" wrapText="1"/>
    </xf>
    <xf numFmtId="9" fontId="15" fillId="4" borderId="1" xfId="3" applyFont="1" applyFill="1" applyBorder="1" applyAlignment="1">
      <alignment horizontal="right"/>
    </xf>
    <xf numFmtId="0" fontId="35" fillId="9" borderId="15" xfId="13" applyFont="1" applyFill="1" applyBorder="1" applyAlignment="1">
      <alignment vertical="center" wrapText="1"/>
    </xf>
    <xf numFmtId="9" fontId="34" fillId="9" borderId="16" xfId="14" applyFont="1" applyFill="1" applyBorder="1" applyAlignment="1">
      <alignment vertical="center" wrapText="1"/>
    </xf>
    <xf numFmtId="0" fontId="41" fillId="0" borderId="12" xfId="13" applyFont="1" applyBorder="1" applyAlignment="1">
      <alignment vertical="center"/>
    </xf>
    <xf numFmtId="0" fontId="39" fillId="19" borderId="12" xfId="13" applyFont="1" applyFill="1" applyBorder="1" applyAlignment="1">
      <alignment vertical="center"/>
    </xf>
    <xf numFmtId="0" fontId="41" fillId="19" borderId="12" xfId="13" applyFont="1" applyFill="1" applyBorder="1" applyAlignment="1">
      <alignment vertical="center" wrapText="1"/>
    </xf>
    <xf numFmtId="9" fontId="40" fillId="19" borderId="12" xfId="14" applyFont="1" applyFill="1" applyBorder="1" applyAlignment="1">
      <alignment horizontal="right" vertical="center"/>
    </xf>
    <xf numFmtId="0" fontId="41" fillId="19" borderId="12" xfId="13" applyFont="1" applyFill="1" applyBorder="1" applyAlignment="1">
      <alignment vertical="center"/>
    </xf>
    <xf numFmtId="1" fontId="19" fillId="0" borderId="0" xfId="0" applyNumberFormat="1" applyFont="1" applyAlignment="1">
      <alignment vertical="center"/>
    </xf>
    <xf numFmtId="0" fontId="1" fillId="0" borderId="0" xfId="13"/>
    <xf numFmtId="0" fontId="49" fillId="0" borderId="0" xfId="13" applyFont="1"/>
    <xf numFmtId="14" fontId="50" fillId="0" borderId="0" xfId="13" applyNumberFormat="1" applyFont="1"/>
    <xf numFmtId="0" fontId="1" fillId="0" borderId="0" xfId="13" applyAlignment="1">
      <alignment horizontal="center" vertical="center"/>
    </xf>
    <xf numFmtId="0" fontId="1" fillId="0" borderId="0" xfId="13" applyAlignment="1">
      <alignment horizontal="left"/>
    </xf>
    <xf numFmtId="0" fontId="1" fillId="0" borderId="0" xfId="13" applyAlignment="1">
      <alignment horizontal="center"/>
    </xf>
    <xf numFmtId="0" fontId="18" fillId="0" borderId="0" xfId="13" applyFont="1" applyAlignment="1">
      <alignment horizontal="center"/>
    </xf>
    <xf numFmtId="0" fontId="18" fillId="21" borderId="0" xfId="13" applyFont="1" applyFill="1" applyAlignment="1">
      <alignment horizontal="center"/>
    </xf>
    <xf numFmtId="49" fontId="55" fillId="0" borderId="1" xfId="15" applyFont="1" applyBorder="1"/>
    <xf numFmtId="49" fontId="56" fillId="0" borderId="1" xfId="15" applyFont="1" applyBorder="1"/>
    <xf numFmtId="49" fontId="55" fillId="0" borderId="1" xfId="15" applyFont="1" applyBorder="1" applyAlignment="1">
      <alignment horizontal="center" vertical="center"/>
    </xf>
    <xf numFmtId="49" fontId="56" fillId="0" borderId="1" xfId="15" applyFont="1" applyBorder="1" applyAlignment="1">
      <alignment horizontal="center" vertical="center"/>
    </xf>
    <xf numFmtId="14" fontId="56" fillId="0" borderId="1" xfId="15" applyNumberFormat="1" applyFont="1" applyBorder="1" applyAlignment="1">
      <alignment horizontal="center" vertical="center"/>
    </xf>
    <xf numFmtId="0" fontId="22" fillId="0" borderId="20" xfId="13" applyFont="1" applyBorder="1" applyAlignment="1">
      <alignment horizontal="center" vertical="center" wrapText="1"/>
    </xf>
    <xf numFmtId="0" fontId="22" fillId="0" borderId="18" xfId="13" applyFont="1" applyBorder="1" applyAlignment="1">
      <alignment horizontal="center" vertical="center" wrapText="1"/>
    </xf>
    <xf numFmtId="0" fontId="22" fillId="0" borderId="18" xfId="13" applyFont="1" applyBorder="1" applyAlignment="1">
      <alignment horizontal="center" vertical="center"/>
    </xf>
    <xf numFmtId="16" fontId="22" fillId="0" borderId="18" xfId="13" applyNumberFormat="1" applyFont="1" applyBorder="1" applyAlignment="1">
      <alignment horizontal="center" vertical="center" wrapText="1"/>
    </xf>
    <xf numFmtId="0" fontId="57" fillId="0" borderId="0" xfId="13" applyFont="1" applyAlignment="1">
      <alignment horizontal="center" vertical="center"/>
    </xf>
    <xf numFmtId="14" fontId="22" fillId="0" borderId="18" xfId="13" applyNumberFormat="1" applyFont="1" applyBorder="1" applyAlignment="1">
      <alignment horizontal="center" vertical="center" wrapText="1"/>
    </xf>
    <xf numFmtId="0" fontId="22" fillId="0" borderId="21" xfId="13" applyFont="1" applyBorder="1" applyAlignment="1">
      <alignment horizontal="center" vertical="center" wrapText="1"/>
    </xf>
    <xf numFmtId="0" fontId="31" fillId="0" borderId="0" xfId="13" applyFont="1"/>
    <xf numFmtId="0" fontId="58" fillId="0" borderId="0" xfId="13" applyFont="1"/>
    <xf numFmtId="0" fontId="22" fillId="20" borderId="0" xfId="13" applyFont="1" applyFill="1" applyAlignment="1">
      <alignment horizontal="left" vertical="center"/>
    </xf>
    <xf numFmtId="0" fontId="27" fillId="20" borderId="22" xfId="13" applyFont="1" applyFill="1" applyBorder="1" applyAlignment="1">
      <alignment vertical="top" wrapText="1"/>
    </xf>
    <xf numFmtId="0" fontId="22" fillId="20" borderId="24" xfId="13" applyFont="1" applyFill="1" applyBorder="1" applyAlignment="1">
      <alignment horizontal="left"/>
    </xf>
    <xf numFmtId="0" fontId="22" fillId="20" borderId="24" xfId="13" applyFont="1" applyFill="1" applyBorder="1"/>
    <xf numFmtId="0" fontId="22" fillId="20" borderId="24" xfId="13" applyFont="1" applyFill="1" applyBorder="1" applyAlignment="1">
      <alignment horizontal="center" vertical="center"/>
    </xf>
    <xf numFmtId="14" fontId="22" fillId="20" borderId="24" xfId="13" applyNumberFormat="1" applyFont="1" applyFill="1" applyBorder="1"/>
    <xf numFmtId="0" fontId="51" fillId="0" borderId="2" xfId="13" applyFont="1" applyBorder="1" applyAlignment="1">
      <alignment horizontal="center" vertical="center"/>
    </xf>
    <xf numFmtId="0" fontId="22" fillId="20" borderId="24" xfId="13" applyFont="1" applyFill="1" applyBorder="1" applyAlignment="1">
      <alignment horizontal="center"/>
    </xf>
    <xf numFmtId="49" fontId="55" fillId="0" borderId="1" xfId="15" applyFont="1" applyBorder="1" applyAlignment="1">
      <alignment horizontal="center"/>
    </xf>
    <xf numFmtId="0" fontId="18" fillId="0" borderId="0" xfId="13" applyFont="1"/>
    <xf numFmtId="0" fontId="18" fillId="21" borderId="0" xfId="13" applyFont="1" applyFill="1" applyAlignment="1">
      <alignment horizontal="left"/>
    </xf>
    <xf numFmtId="0" fontId="49" fillId="21" borderId="0" xfId="13" applyFont="1" applyFill="1" applyAlignment="1">
      <alignment horizontal="center" vertical="center"/>
    </xf>
    <xf numFmtId="14" fontId="49" fillId="21" borderId="0" xfId="13" applyNumberFormat="1" applyFont="1" applyFill="1" applyAlignment="1">
      <alignment horizontal="center" vertical="center"/>
    </xf>
    <xf numFmtId="0" fontId="59" fillId="21" borderId="0" xfId="13" applyFont="1" applyFill="1" applyAlignment="1">
      <alignment horizontal="left"/>
    </xf>
    <xf numFmtId="2" fontId="18" fillId="0" borderId="0" xfId="0" applyNumberFormat="1" applyFont="1" applyAlignment="1">
      <alignment vertical="center"/>
    </xf>
    <xf numFmtId="14" fontId="60" fillId="0" borderId="0" xfId="13" applyNumberFormat="1" applyFont="1" applyAlignment="1">
      <alignment horizontal="center"/>
    </xf>
    <xf numFmtId="0" fontId="31" fillId="0" borderId="0" xfId="13" applyFont="1" applyAlignment="1">
      <alignment horizontal="center"/>
    </xf>
    <xf numFmtId="0" fontId="61" fillId="0" borderId="0" xfId="13" applyFont="1"/>
    <xf numFmtId="0" fontId="31" fillId="0" borderId="0" xfId="13" applyFont="1" applyAlignment="1">
      <alignment horizontal="center" vertical="center"/>
    </xf>
    <xf numFmtId="0" fontId="60" fillId="0" borderId="0" xfId="13" applyFont="1" applyAlignment="1">
      <alignment horizontal="center"/>
    </xf>
    <xf numFmtId="0" fontId="50" fillId="0" borderId="0" xfId="13" applyFont="1"/>
    <xf numFmtId="0" fontId="31" fillId="0" borderId="0" xfId="13" applyFont="1" applyAlignment="1">
      <alignment horizontal="left"/>
    </xf>
    <xf numFmtId="0" fontId="22" fillId="0" borderId="21" xfId="13" applyFont="1" applyBorder="1" applyAlignment="1">
      <alignment horizontal="center" vertical="center" wrapText="1"/>
    </xf>
    <xf numFmtId="0" fontId="22" fillId="0" borderId="19" xfId="13" applyFont="1" applyBorder="1" applyAlignment="1">
      <alignment horizontal="center" vertical="center" wrapText="1"/>
    </xf>
    <xf numFmtId="0" fontId="22" fillId="0" borderId="24" xfId="13" applyFont="1" applyBorder="1" applyAlignment="1">
      <alignment horizontal="center" vertical="center" wrapText="1"/>
    </xf>
    <xf numFmtId="0" fontId="22" fillId="0" borderId="22" xfId="13" applyFont="1" applyBorder="1" applyAlignment="1">
      <alignment horizontal="center" vertical="center" wrapText="1"/>
    </xf>
    <xf numFmtId="0" fontId="22" fillId="0" borderId="21" xfId="13" applyFont="1" applyBorder="1" applyAlignment="1">
      <alignment horizontal="center" vertical="center"/>
    </xf>
    <xf numFmtId="0" fontId="22" fillId="0" borderId="19" xfId="13" applyFont="1" applyBorder="1" applyAlignment="1">
      <alignment horizontal="center" vertical="center"/>
    </xf>
    <xf numFmtId="0" fontId="22" fillId="0" borderId="24" xfId="13" applyFont="1" applyBorder="1" applyAlignment="1">
      <alignment horizontal="center" vertical="center"/>
    </xf>
    <xf numFmtId="0" fontId="22" fillId="0" borderId="23" xfId="13" applyFont="1" applyBorder="1" applyAlignment="1">
      <alignment horizontal="center" vertical="center"/>
    </xf>
    <xf numFmtId="0" fontId="22" fillId="0" borderId="22" xfId="13" applyFont="1" applyBorder="1" applyAlignment="1">
      <alignment horizontal="center" vertical="center"/>
    </xf>
    <xf numFmtId="168" fontId="26" fillId="4" borderId="2" xfId="0" applyNumberFormat="1" applyFont="1" applyFill="1" applyBorder="1" applyAlignment="1">
      <alignment horizontal="center" vertical="center" wrapText="1"/>
    </xf>
    <xf numFmtId="9" fontId="20" fillId="4" borderId="2" xfId="3" applyFont="1" applyFill="1" applyBorder="1" applyAlignment="1">
      <alignment horizontal="center" vertical="center"/>
    </xf>
    <xf numFmtId="168" fontId="20" fillId="4" borderId="2" xfId="0" applyNumberFormat="1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left" vertical="center" wrapText="1"/>
    </xf>
    <xf numFmtId="0" fontId="20" fillId="6" borderId="10" xfId="0" applyFont="1" applyFill="1" applyBorder="1" applyAlignment="1">
      <alignment horizontal="left" vertical="center" wrapText="1"/>
    </xf>
    <xf numFmtId="0" fontId="20" fillId="6" borderId="11" xfId="0" applyFont="1" applyFill="1" applyBorder="1" applyAlignment="1">
      <alignment horizontal="left" vertical="center" wrapText="1"/>
    </xf>
    <xf numFmtId="2" fontId="26" fillId="4" borderId="2" xfId="0" applyNumberFormat="1" applyFont="1" applyFill="1" applyBorder="1" applyAlignment="1">
      <alignment horizontal="center" vertical="center" wrapText="1"/>
    </xf>
    <xf numFmtId="9" fontId="34" fillId="9" borderId="17" xfId="14" applyFont="1" applyFill="1" applyBorder="1" applyAlignment="1">
      <alignment horizontal="center" vertical="center" wrapText="1"/>
    </xf>
    <xf numFmtId="9" fontId="34" fillId="9" borderId="0" xfId="14" applyFont="1" applyFill="1" applyBorder="1" applyAlignment="1">
      <alignment horizontal="center" vertical="center" wrapText="1"/>
    </xf>
    <xf numFmtId="0" fontId="35" fillId="9" borderId="13" xfId="13" applyFont="1" applyFill="1" applyBorder="1" applyAlignment="1">
      <alignment horizontal="center" vertical="center" wrapText="1"/>
    </xf>
    <xf numFmtId="0" fontId="35" fillId="9" borderId="16" xfId="13" applyFont="1" applyFill="1" applyBorder="1" applyAlignment="1">
      <alignment horizontal="center" vertical="center" wrapText="1"/>
    </xf>
    <xf numFmtId="164" fontId="34" fillId="9" borderId="13" xfId="12" applyNumberFormat="1" applyFont="1" applyFill="1" applyBorder="1" applyAlignment="1">
      <alignment horizontal="center" vertical="center" wrapText="1"/>
    </xf>
    <xf numFmtId="164" fontId="34" fillId="9" borderId="16" xfId="12" applyNumberFormat="1" applyFont="1" applyFill="1" applyBorder="1" applyAlignment="1">
      <alignment horizontal="center" vertical="center" wrapText="1"/>
    </xf>
    <xf numFmtId="9" fontId="34" fillId="9" borderId="13" xfId="14" applyFont="1" applyFill="1" applyBorder="1" applyAlignment="1">
      <alignment horizontal="center" vertical="center" wrapText="1"/>
    </xf>
    <xf numFmtId="9" fontId="34" fillId="9" borderId="16" xfId="14" applyFont="1" applyFill="1" applyBorder="1" applyAlignment="1">
      <alignment horizontal="center" vertical="center" wrapText="1"/>
    </xf>
  </cellXfs>
  <cellStyles count="18">
    <cellStyle name="_x0010_" xfId="16" xr:uid="{5ED73515-EEB1-4BAE-8E4A-5FC440B928F4}"/>
    <cellStyle name="Body 2" xfId="15" xr:uid="{E151C372-9205-4E3D-94E7-0DDCB9A2829D}"/>
    <cellStyle name="Comma" xfId="1" builtinId="3"/>
    <cellStyle name="Comma 2" xfId="9" xr:uid="{4EBAED15-4310-4B2A-9AF1-076DA2CBF2B1}"/>
    <cellStyle name="Comma 3" xfId="10" xr:uid="{B5ED0166-7CB2-455D-B338-D3FA7D47CC2E}"/>
    <cellStyle name="Comma 4" xfId="12" xr:uid="{9F2FF931-B261-4FD1-BD7E-276E4589B32B}"/>
    <cellStyle name="Excel Built-in Normal 1" xfId="17" xr:uid="{B6AE9F01-8701-4B8D-89E1-5D25365F9A6C}"/>
    <cellStyle name="Normal" xfId="0" builtinId="0"/>
    <cellStyle name="Normal 2" xfId="7" xr:uid="{BF2075E7-8246-4710-B80E-E5ADFAF31D3E}"/>
    <cellStyle name="Normal 2 2 4" xfId="6" xr:uid="{A80B2DFE-3F6F-465F-8684-F1E11A2BAD95}"/>
    <cellStyle name="Normal 3" xfId="2" xr:uid="{A84400F7-A5CB-4EFB-B12E-2301CCE820E1}"/>
    <cellStyle name="Normal 3 2" xfId="4" xr:uid="{B3AF36BB-8556-4544-8C5D-59305D8505BA}"/>
    <cellStyle name="Normal 3 35" xfId="11" xr:uid="{D15C24CE-BA32-4EF7-817E-31255F57C51E}"/>
    <cellStyle name="Normal 4" xfId="8" xr:uid="{F89DDB42-FE9F-4D91-AB54-BC54D7558897}"/>
    <cellStyle name="Normal 5" xfId="13" xr:uid="{A95A5EF7-21EA-4DDC-8E1D-BD737EEB4F0C}"/>
    <cellStyle name="Normal 6 2 2" xfId="5" xr:uid="{D3B01EB2-AC66-42F0-8DCA-BC726256E144}"/>
    <cellStyle name="Percent" xfId="3" builtinId="5"/>
    <cellStyle name="Percent 2" xfId="14" xr:uid="{A00BD611-355D-488D-BE2B-335AF5926182}"/>
  </cellStyles>
  <dxfs count="9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E3F286"/>
      <color rgb="FFDD9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.sharepoint.com/Users/nithish.bhat/Library/Application%20Support/Microsoft/Office/Office%202011%20AutoRecovery/Rate%20Analysi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.sharepoint.com/Applications/Microsoft%20Office%202011/Microsoft%20Excel.app/Contents/MacOS/SINGHVI_DEV_UNNI/VOL4/STAT/SCARAB/1998-99/SCB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.sharepoint.com/C/Users/nithish.bhat/Dropbox/Sharing%20with%20Nithish/Goal%20Setting%20FY%2015-16/srb_b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.sharepoint.com/C/Users/nithish.bhat/Dropbox/Sharing%20with%20Nithish/Goal%20Setting%20FY%2015-16/FCM-hyd-airport-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.sharepoint.com/Users/nithish.bhat/Dropbox/Corporate%20Goals/Detailed%20Budget%20FY%2015-16/Accounts%20Receivables%20-%2031-01-2004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.sharepoint.com/Users/nithish.bhat/Library/Caches/TemporaryItems/Outlook%20Temp/dep%20co's%20law%20_mar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ustomer%20Tracker-Master%20File-v17.38-7January1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.sharepoint.com/Users/aditi.kulkarni/Downloads/Documents%20and%20Settings/vikash.p/Local%20Settings/Temporary%20Internet%20Files/Content.Outlook/GEY0BQV0/Customer%20Track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.sharepoint.com/Users/aditi.kulkarni/Downloads/Documents%20and%20Settings/vikash.p/Local%20Settings/Temporary%20Internet%20Files/Content.Outlook/GEY0BQV0/Material%20Tracker_TMFT_19Mar2013_v1%2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.sharepoint.com/Users/nithish.bhat/Dropbox/00%20BAG/Goals%20Y19%20I%2015-16/TEMP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.sharepoint.com/C/Users/nithish.bhat/Dropbox/Sharing%20with%20Nithish/Goal%20Setting%20FY%2015-16/EAWFIN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.sharepoint.com/Applications/Microsoft%20Office%202011/Microsoft%20Excel.app/Contents/MacOS/192.168.60.117/c/My%20Documents/ACL/ACL_ACCOUNTS_MAR04/Financials_0304/MIS-wkg/mis_arw_mar04_23-06-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.sharepoint.com/Users/nithish.bhat/Library/Caches/TemporaryItems/Outlook%20Temp/Mfg%20Cost%20Feb%202000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nithish.bhat/Library/Caches/TemporaryItems/Outlook%20Temp/Mfg%20Cost%20Feb%202000.xls" TargetMode="External"/><Relationship Id="rId1" Type="http://schemas.openxmlformats.org/officeDocument/2006/relationships/externalLinkPath" Target="/Users/nithish.bhat/Library/Caches/TemporaryItems/Outlook%20Temp/Mfg%20Cost%20Feb%202000.xls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karthick_dhanasekaran_total-environment_com/Documents/TE%20Projects/2.0%20Business%20Intelligence/2.4%20Business%20Plans/Shared/Cashflow_Review_v20.12.24/Worksheet%20in%202261.1%20Final%20Accounts" TargetMode="External"/><Relationship Id="rId2" Type="http://schemas.microsoft.com/office/2019/04/relationships/externalLinkLongPath" Target="/personal/karthick_dhanasekaran_total-environment_com/Documents/TE%20Projects/2.0%20Business%20Intelligence/2.4%20Business%20Plans/Shared/Cashflow_Review_v20.12.24/Worksheet%20in%202261.1%20Final%20Accounts?AF431777" TargetMode="External"/><Relationship Id="rId1" Type="http://schemas.openxmlformats.org/officeDocument/2006/relationships/externalLinkPath" Target="file:///\\AF431777\Worksheet%20in%202261.1%20Final%20Account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otalenvmt.sharepoint.com/Users/nithish.bhat/Library/Application%20Support/Microsoft/Office/Office%202011%20AutoRecovery/Mfg%20Cost%20March%202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 Analysis"/>
      <sheetName val="IDC"/>
      <sheetName val="Shuttering"/>
      <sheetName val="Misc. points"/>
      <sheetName val="qty abst"/>
      <sheetName val="Programe"/>
      <sheetName val="boq"/>
      <sheetName val="P&amp;M"/>
      <sheetName val="LABOUR"/>
      <sheetName val="histogram"/>
      <sheetName val="basic "/>
      <sheetName val="bua"/>
      <sheetName val="top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b 9&amp;10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 Break Up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DETAILED SUMMARY"/>
      <sheetName val="jan'04"/>
      <sheetName val="Accounts Receivables - 31-01-20"/>
      <sheetName val="gc"/>
      <sheetName val="Sheet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2003-2004Colaw"/>
      <sheetName val="2002-2003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s"/>
      <sheetName val="Graphics-WOYM"/>
      <sheetName val="graphics-TMFT"/>
    </sheetNames>
    <sheetDataSet>
      <sheetData sheetId="0" refreshError="1"/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-Items"/>
      <sheetName val="Summary"/>
      <sheetName val="Main sheet"/>
      <sheetName val="A-Items Input"/>
      <sheetName val="A-Graphs"/>
      <sheetName val="Concealed Items"/>
      <sheetName val="B-Cashflow"/>
      <sheetName val="C-items"/>
      <sheetName val="Assumption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p 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Temp"/>
      <sheetName val="Bud2000"/>
      <sheetName val="FD"/>
      <sheetName val="TB"/>
      <sheetName val="Debtors Ageing "/>
      <sheetName val="fasch"/>
      <sheetName val="notes"/>
      <sheetName val="part-IV"/>
      <sheetName val="BL Staff"/>
      <sheetName val="BS-203"/>
      <sheetName val="PRECAST lightconc-II"/>
      <sheetName val="PRECAST-conc-II"/>
      <sheetName val="Miscellaneous-civil"/>
      <sheetName val="basic"/>
      <sheetName val="GN-ST-10"/>
      <sheetName val="PRECAST lightconc_II"/>
      <sheetName val="Friends"/>
      <sheetName val="College Details"/>
      <sheetName val="Personal "/>
      <sheetName val="Office"/>
      <sheetName val="CF-det"/>
      <sheetName val="Cleaning &amp; Grubbing"/>
      <sheetName val="GN_ST_10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OVER HEADS"/>
      <sheetName val="Cover Sheet"/>
      <sheetName val="BOQ REV A"/>
      <sheetName val="BOQ"/>
      <sheetName val="PTB (IO)"/>
      <sheetName val="BMS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W Final Accounts - 99"/>
      <sheetName val="Customize Your Purchase Order"/>
      <sheetName val="Forecast Sales Model"/>
      <sheetName val="BS-203"/>
      <sheetName val="BL Staff"/>
      <sheetName val="RM-Summary"/>
      <sheetName val="Sched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uping"/>
      <sheetName val="Check list"/>
      <sheetName val="Summary"/>
      <sheetName val="Bal Sheet as per grouping"/>
      <sheetName val="Bal Sheet"/>
      <sheetName val="Sell Exp"/>
      <sheetName val="S&amp;M for Jap Rep"/>
      <sheetName val="comments t suchiya"/>
      <sheetName val="comments"/>
      <sheetName val="mfg fin with .5 adm cost"/>
      <sheetName val="mfg without .5 adm cost"/>
      <sheetName val="Working-Feb 2000"/>
      <sheetName val="Tally Control"/>
      <sheetName val="OSF"/>
      <sheetName val="qty"/>
      <sheetName val="Rev &amp; GP"/>
      <sheetName val="Plant goals"/>
      <sheetName val="Capex &amp; Headcount"/>
      <sheetName val="PL"/>
      <sheetName val="BS"/>
      <sheetName val="COGS"/>
      <sheetName val="Comments (2)"/>
      <sheetName val="WIP"/>
      <sheetName val="Kobayashi Detail"/>
      <sheetName val="Sheet1"/>
      <sheetName val="FA sch as per Jap Rep."/>
      <sheetName val="Sales Summ."/>
      <sheetName val="Prodn.Summ."/>
      <sheetName val="Fin.Summ."/>
      <sheetName val="Half Yrly"/>
      <sheetName val="Control Sheet"/>
      <sheetName val="BS-203"/>
    </sheetNames>
    <sheetDataSet>
      <sheetData sheetId="0" refreshError="1">
        <row r="4">
          <cell r="A4" t="str">
            <v>Consolidation of Branches  for the Month of February 2000</v>
          </cell>
        </row>
        <row r="6">
          <cell r="A6" t="str">
            <v>Particulars</v>
          </cell>
          <cell r="B6" t="str">
            <v>Mumbai-sale</v>
          </cell>
          <cell r="C6" t="str">
            <v>Mumbai-main</v>
          </cell>
          <cell r="D6" t="str">
            <v>Nagpur</v>
          </cell>
          <cell r="E6" t="str">
            <v>Pune</v>
          </cell>
          <cell r="F6" t="str">
            <v>Ahmedabad</v>
          </cell>
          <cell r="G6" t="str">
            <v>Grand Total of West</v>
          </cell>
          <cell r="H6" t="str">
            <v>Delhi</v>
          </cell>
          <cell r="I6" t="str">
            <v>Chandigarh</v>
          </cell>
          <cell r="J6" t="str">
            <v>Ludhiana</v>
          </cell>
          <cell r="K6" t="str">
            <v>Jaipur</v>
          </cell>
          <cell r="L6" t="str">
            <v>Lucknow</v>
          </cell>
          <cell r="M6" t="str">
            <v>Bhuwneshwar</v>
          </cell>
          <cell r="N6" t="str">
            <v>Patna</v>
          </cell>
          <cell r="O6" t="str">
            <v>Calcutta</v>
          </cell>
          <cell r="P6" t="str">
            <v>Faridabad</v>
          </cell>
          <cell r="Q6" t="str">
            <v>Guahatti</v>
          </cell>
          <cell r="R6" t="str">
            <v>Total-n region</v>
          </cell>
          <cell r="S6" t="str">
            <v>Total</v>
          </cell>
          <cell r="T6" t="str">
            <v>Chennai</v>
          </cell>
          <cell r="U6" t="str">
            <v>Bangalore</v>
          </cell>
          <cell r="V6" t="str">
            <v>Hyderabad</v>
          </cell>
          <cell r="W6" t="str">
            <v>Cochin</v>
          </cell>
          <cell r="X6" t="str">
            <v>Coimbatore</v>
          </cell>
          <cell r="Y6" t="str">
            <v>Goa</v>
          </cell>
          <cell r="Z6" t="str">
            <v>Total</v>
          </cell>
          <cell r="AA6" t="str">
            <v>Grand Total</v>
          </cell>
          <cell r="AB6" t="str">
            <v>Indore</v>
          </cell>
          <cell r="AC6" t="str">
            <v>Grand Total wt In</v>
          </cell>
        </row>
        <row r="8">
          <cell r="A8" t="str">
            <v>Fixed Assets</v>
          </cell>
        </row>
        <row r="10">
          <cell r="A10" t="str">
            <v>Investment</v>
          </cell>
        </row>
        <row r="12">
          <cell r="A12" t="str">
            <v>Current Assets</v>
          </cell>
        </row>
        <row r="13">
          <cell r="A13" t="str">
            <v>Debtors</v>
          </cell>
        </row>
        <row r="15">
          <cell r="A15" t="str">
            <v>Cash &amp; Bank balance</v>
          </cell>
        </row>
        <row r="16">
          <cell r="A16" t="str">
            <v>Funds in transit</v>
          </cell>
        </row>
        <row r="17">
          <cell r="A17" t="str">
            <v>Cash in Hand</v>
          </cell>
        </row>
        <row r="18">
          <cell r="A18" t="str">
            <v>Fuji Bank</v>
          </cell>
        </row>
        <row r="19">
          <cell r="A19" t="str">
            <v>Bank IDBI-Collection</v>
          </cell>
        </row>
        <row r="20">
          <cell r="A20" t="str">
            <v>Bank IDBI-Current</v>
          </cell>
        </row>
        <row r="21">
          <cell r="A21" t="str">
            <v>Bank IDBI-C/c</v>
          </cell>
        </row>
        <row r="22">
          <cell r="A22" t="str">
            <v>B O T M</v>
          </cell>
        </row>
        <row r="23">
          <cell r="A23" t="str">
            <v>Sumitomo Bank</v>
          </cell>
        </row>
        <row r="24">
          <cell r="A24" t="str">
            <v>Citi Bank</v>
          </cell>
        </row>
        <row r="25">
          <cell r="A25" t="str">
            <v>Sakura Bank</v>
          </cell>
        </row>
        <row r="26">
          <cell r="A26" t="str">
            <v xml:space="preserve">Fixed Deposit </v>
          </cell>
        </row>
        <row r="27">
          <cell r="A27" t="str">
            <v>State Bank of India</v>
          </cell>
        </row>
        <row r="29">
          <cell r="A29" t="str">
            <v>Loan &amp; Advances</v>
          </cell>
        </row>
        <row r="31">
          <cell r="A31" t="str">
            <v>Security Deposit</v>
          </cell>
        </row>
        <row r="32">
          <cell r="A32" t="str">
            <v>Imprest</v>
          </cell>
        </row>
        <row r="33">
          <cell r="A33" t="str">
            <v>Other Advances</v>
          </cell>
        </row>
        <row r="34">
          <cell r="A34" t="str">
            <v>Advances to suppliers</v>
          </cell>
        </row>
        <row r="35">
          <cell r="A35" t="str">
            <v>Advances to employees</v>
          </cell>
        </row>
        <row r="36">
          <cell r="A36" t="str">
            <v>Rent deposit</v>
          </cell>
        </row>
        <row r="37">
          <cell r="A37" t="str">
            <v>Sales Tax Deposit</v>
          </cell>
        </row>
        <row r="38">
          <cell r="A38" t="str">
            <v>Telephone Deposit</v>
          </cell>
        </row>
        <row r="39">
          <cell r="A39" t="str">
            <v>Interest Receivable</v>
          </cell>
        </row>
        <row r="40">
          <cell r="A40" t="str">
            <v>Prepaid Expenses</v>
          </cell>
        </row>
        <row r="41">
          <cell r="A41" t="str">
            <v>Other Deposits</v>
          </cell>
        </row>
        <row r="42">
          <cell r="A42" t="str">
            <v>T D S 97-98</v>
          </cell>
        </row>
        <row r="43">
          <cell r="A43" t="str">
            <v>T D S 98-99</v>
          </cell>
        </row>
        <row r="44">
          <cell r="A44" t="str">
            <v>T D S 99-2000</v>
          </cell>
        </row>
        <row r="45">
          <cell r="A45" t="str">
            <v>Suspenses</v>
          </cell>
        </row>
        <row r="46">
          <cell r="A46" t="str">
            <v>Inventory</v>
          </cell>
        </row>
        <row r="47">
          <cell r="A47" t="str">
            <v>PLA</v>
          </cell>
        </row>
        <row r="48">
          <cell r="A48" t="str">
            <v>Modvat</v>
          </cell>
        </row>
        <row r="49">
          <cell r="A49" t="str">
            <v>profit &amp; Loss</v>
          </cell>
        </row>
        <row r="50">
          <cell r="A50" t="str">
            <v>Expenses</v>
          </cell>
        </row>
        <row r="51">
          <cell r="A51" t="str">
            <v>Misc Expenses</v>
          </cell>
        </row>
        <row r="52">
          <cell r="A52" t="str">
            <v>Total</v>
          </cell>
        </row>
        <row r="53">
          <cell r="A53" t="str">
            <v>Current Liabilities</v>
          </cell>
        </row>
        <row r="54">
          <cell r="A54" t="str">
            <v>Capital</v>
          </cell>
        </row>
        <row r="55">
          <cell r="A55" t="str">
            <v>ECB</v>
          </cell>
        </row>
        <row r="56">
          <cell r="A56" t="str">
            <v>Short term loan</v>
          </cell>
        </row>
        <row r="57">
          <cell r="A57" t="str">
            <v>Sales &amp; Other Income</v>
          </cell>
        </row>
        <row r="58">
          <cell r="A58" t="str">
            <v>Sales</v>
          </cell>
        </row>
        <row r="59">
          <cell r="A59" t="str">
            <v xml:space="preserve">Interest F D </v>
          </cell>
        </row>
        <row r="60">
          <cell r="A60" t="str">
            <v xml:space="preserve">Interest  I C D </v>
          </cell>
        </row>
        <row r="61">
          <cell r="A61" t="str">
            <v>Other Incomes</v>
          </cell>
        </row>
        <row r="63">
          <cell r="A63" t="str">
            <v>Creditors for Expenses</v>
          </cell>
        </row>
        <row r="64">
          <cell r="A64" t="str">
            <v>Sundry Creditors</v>
          </cell>
        </row>
        <row r="65">
          <cell r="A65" t="str">
            <v>Outstanding Liability</v>
          </cell>
        </row>
        <row r="66">
          <cell r="A66" t="str">
            <v>Provisions</v>
          </cell>
        </row>
        <row r="68">
          <cell r="A68" t="str">
            <v>Govt Dues</v>
          </cell>
        </row>
        <row r="69">
          <cell r="A69" t="str">
            <v>Sales Tax payable</v>
          </cell>
        </row>
        <row r="70">
          <cell r="A70" t="str">
            <v>Service tax</v>
          </cell>
        </row>
        <row r="71">
          <cell r="A71" t="str">
            <v>Profession Tax</v>
          </cell>
        </row>
        <row r="72">
          <cell r="A72" t="str">
            <v>Employee PF</v>
          </cell>
        </row>
        <row r="73">
          <cell r="A73" t="str">
            <v>Octroi</v>
          </cell>
        </row>
        <row r="74">
          <cell r="A74" t="str">
            <v>DIH Policy</v>
          </cell>
        </row>
        <row r="75">
          <cell r="A75" t="str">
            <v>LWF Contribution</v>
          </cell>
        </row>
        <row r="76">
          <cell r="A76" t="str">
            <v>PF Contractors</v>
          </cell>
        </row>
        <row r="77">
          <cell r="A77" t="str">
            <v>LIP-Employees</v>
          </cell>
        </row>
        <row r="78">
          <cell r="A78" t="str">
            <v>TDS</v>
          </cell>
        </row>
        <row r="79">
          <cell r="A79" t="str">
            <v>Account Payable</v>
          </cell>
        </row>
        <row r="80">
          <cell r="A80" t="str">
            <v>Provisions for Dep</v>
          </cell>
        </row>
        <row r="81">
          <cell r="A81" t="str">
            <v>Security Deposit</v>
          </cell>
        </row>
        <row r="83">
          <cell r="A83" t="str">
            <v>Interest Payable</v>
          </cell>
        </row>
        <row r="85">
          <cell r="A85" t="str">
            <v>Branch &amp; Divisions</v>
          </cell>
        </row>
        <row r="86">
          <cell r="A86" t="str">
            <v>H Office-R.O. only</v>
          </cell>
        </row>
        <row r="87">
          <cell r="A87" t="str">
            <v>Inter branches</v>
          </cell>
        </row>
        <row r="88">
          <cell r="A88" t="str">
            <v>Profit &amp; Loss account</v>
          </cell>
        </row>
        <row r="91">
          <cell r="A91" t="str">
            <v>Total</v>
          </cell>
        </row>
        <row r="93">
          <cell r="A93" t="str">
            <v>Assets Total</v>
          </cell>
        </row>
        <row r="95">
          <cell r="A95" t="str">
            <v>Liabilities Total</v>
          </cell>
        </row>
        <row r="97">
          <cell r="A97" t="str">
            <v>Difference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rouping"/>
      <sheetName val="Check list"/>
      <sheetName val="Summary"/>
      <sheetName val="Bal Sheet as per grouping"/>
      <sheetName val="Bal Sheet"/>
      <sheetName val="Sell Exp"/>
      <sheetName val="S&amp;M for Jap Rep"/>
      <sheetName val="comments t suchiya"/>
      <sheetName val="comments"/>
      <sheetName val="mfg fin with .5 adm cost"/>
      <sheetName val="mfg without .5 adm cost"/>
      <sheetName val="Working-Feb 2000"/>
      <sheetName val="Tally Control"/>
      <sheetName val="OSF"/>
      <sheetName val="qty"/>
      <sheetName val="Rev &amp; GP"/>
      <sheetName val="Plant goals"/>
      <sheetName val="Capex &amp; Headcount"/>
      <sheetName val="PL"/>
      <sheetName val="BS"/>
      <sheetName val="COGS"/>
      <sheetName val="Comments (2)"/>
      <sheetName val="WIP"/>
      <sheetName val="Kobayashi Detail"/>
      <sheetName val="Sheet1"/>
      <sheetName val="FA sch as per Jap Rep."/>
      <sheetName val="Sales Summ."/>
      <sheetName val="Prodn.Summ."/>
      <sheetName val="Fin.Summ."/>
      <sheetName val="Half Yrly"/>
      <sheetName val="Control Sheet"/>
      <sheetName val="BS-203"/>
    </sheetNames>
    <sheetDataSet>
      <sheetData sheetId="0" refreshError="1">
        <row r="4">
          <cell r="A4" t="str">
            <v>Consolidation of Branches  for the Month of February 2000</v>
          </cell>
        </row>
        <row r="6">
          <cell r="A6" t="str">
            <v>Particulars</v>
          </cell>
          <cell r="B6" t="str">
            <v>Mumbai-sale</v>
          </cell>
          <cell r="C6" t="str">
            <v>Mumbai-main</v>
          </cell>
          <cell r="D6" t="str">
            <v>Nagpur</v>
          </cell>
          <cell r="E6" t="str">
            <v>Pune</v>
          </cell>
          <cell r="F6" t="str">
            <v>Ahmedabad</v>
          </cell>
          <cell r="G6" t="str">
            <v>Grand Total of West</v>
          </cell>
          <cell r="H6" t="str">
            <v>Delhi</v>
          </cell>
          <cell r="I6" t="str">
            <v>Chandigarh</v>
          </cell>
          <cell r="J6" t="str">
            <v>Ludhiana</v>
          </cell>
          <cell r="K6" t="str">
            <v>Jaipur</v>
          </cell>
          <cell r="L6" t="str">
            <v>Lucknow</v>
          </cell>
          <cell r="M6" t="str">
            <v>Bhuwneshwar</v>
          </cell>
          <cell r="N6" t="str">
            <v>Patna</v>
          </cell>
          <cell r="O6" t="str">
            <v>Calcutta</v>
          </cell>
          <cell r="P6" t="str">
            <v>Faridabad</v>
          </cell>
          <cell r="Q6" t="str">
            <v>Guahatti</v>
          </cell>
          <cell r="R6" t="str">
            <v>Total-n region</v>
          </cell>
          <cell r="S6" t="str">
            <v>Total</v>
          </cell>
          <cell r="T6" t="str">
            <v>Chennai</v>
          </cell>
          <cell r="U6" t="str">
            <v>Bangalore</v>
          </cell>
          <cell r="V6" t="str">
            <v>Hyderabad</v>
          </cell>
          <cell r="W6" t="str">
            <v>Cochin</v>
          </cell>
          <cell r="X6" t="str">
            <v>Coimbatore</v>
          </cell>
          <cell r="Y6" t="str">
            <v>Goa</v>
          </cell>
          <cell r="Z6" t="str">
            <v>Total</v>
          </cell>
          <cell r="AA6" t="str">
            <v>Grand Total</v>
          </cell>
          <cell r="AB6" t="str">
            <v>Indore</v>
          </cell>
          <cell r="AC6" t="str">
            <v>Grand Total wt In</v>
          </cell>
        </row>
        <row r="8">
          <cell r="A8" t="str">
            <v>Fixed Assets</v>
          </cell>
        </row>
        <row r="10">
          <cell r="A10" t="str">
            <v>Investment</v>
          </cell>
        </row>
        <row r="12">
          <cell r="A12" t="str">
            <v>Current Assets</v>
          </cell>
        </row>
        <row r="13">
          <cell r="A13" t="str">
            <v>Debtors</v>
          </cell>
        </row>
        <row r="15">
          <cell r="A15" t="str">
            <v>Cash &amp; Bank balance</v>
          </cell>
        </row>
        <row r="16">
          <cell r="A16" t="str">
            <v>Funds in transit</v>
          </cell>
        </row>
        <row r="17">
          <cell r="A17" t="str">
            <v>Cash in Hand</v>
          </cell>
        </row>
        <row r="18">
          <cell r="A18" t="str">
            <v>Fuji Bank</v>
          </cell>
        </row>
        <row r="19">
          <cell r="A19" t="str">
            <v>Bank IDBI-Collection</v>
          </cell>
        </row>
        <row r="20">
          <cell r="A20" t="str">
            <v>Bank IDBI-Current</v>
          </cell>
        </row>
        <row r="21">
          <cell r="A21" t="str">
            <v>Bank IDBI-C/c</v>
          </cell>
        </row>
        <row r="22">
          <cell r="A22" t="str">
            <v>B O T M</v>
          </cell>
        </row>
        <row r="23">
          <cell r="A23" t="str">
            <v>Sumitomo Bank</v>
          </cell>
        </row>
        <row r="24">
          <cell r="A24" t="str">
            <v>Citi Bank</v>
          </cell>
        </row>
        <row r="25">
          <cell r="A25" t="str">
            <v>Sakura Bank</v>
          </cell>
        </row>
        <row r="26">
          <cell r="A26" t="str">
            <v xml:space="preserve">Fixed Deposit </v>
          </cell>
        </row>
        <row r="27">
          <cell r="A27" t="str">
            <v>State Bank of India</v>
          </cell>
        </row>
        <row r="29">
          <cell r="A29" t="str">
            <v>Loan &amp; Advances</v>
          </cell>
        </row>
        <row r="31">
          <cell r="A31" t="str">
            <v>Security Deposit</v>
          </cell>
        </row>
        <row r="32">
          <cell r="A32" t="str">
            <v>Imprest</v>
          </cell>
        </row>
        <row r="33">
          <cell r="A33" t="str">
            <v>Other Advances</v>
          </cell>
        </row>
        <row r="34">
          <cell r="A34" t="str">
            <v>Advances to suppliers</v>
          </cell>
        </row>
        <row r="35">
          <cell r="A35" t="str">
            <v>Advances to employees</v>
          </cell>
        </row>
        <row r="36">
          <cell r="A36" t="str">
            <v>Rent deposit</v>
          </cell>
        </row>
        <row r="37">
          <cell r="A37" t="str">
            <v>Sales Tax Deposit</v>
          </cell>
        </row>
        <row r="38">
          <cell r="A38" t="str">
            <v>Telephone Deposit</v>
          </cell>
        </row>
        <row r="39">
          <cell r="A39" t="str">
            <v>Interest Receivable</v>
          </cell>
        </row>
        <row r="40">
          <cell r="A40" t="str">
            <v>Prepaid Expenses</v>
          </cell>
        </row>
        <row r="41">
          <cell r="A41" t="str">
            <v>Other Deposits</v>
          </cell>
        </row>
        <row r="42">
          <cell r="A42" t="str">
            <v>T D S 97-98</v>
          </cell>
        </row>
        <row r="43">
          <cell r="A43" t="str">
            <v>T D S 98-99</v>
          </cell>
        </row>
        <row r="44">
          <cell r="A44" t="str">
            <v>T D S 99-2000</v>
          </cell>
        </row>
        <row r="45">
          <cell r="A45" t="str">
            <v>Suspenses</v>
          </cell>
        </row>
        <row r="46">
          <cell r="A46" t="str">
            <v>Inventory</v>
          </cell>
        </row>
        <row r="47">
          <cell r="A47" t="str">
            <v>PLA</v>
          </cell>
        </row>
        <row r="48">
          <cell r="A48" t="str">
            <v>Modvat</v>
          </cell>
        </row>
        <row r="49">
          <cell r="A49" t="str">
            <v>profit &amp; Loss</v>
          </cell>
        </row>
        <row r="50">
          <cell r="A50" t="str">
            <v>Expenses</v>
          </cell>
        </row>
        <row r="51">
          <cell r="A51" t="str">
            <v>Misc Expenses</v>
          </cell>
        </row>
        <row r="52">
          <cell r="A52" t="str">
            <v>Total</v>
          </cell>
        </row>
        <row r="53">
          <cell r="A53" t="str">
            <v>Current Liabilities</v>
          </cell>
        </row>
        <row r="54">
          <cell r="A54" t="str">
            <v>Capital</v>
          </cell>
        </row>
        <row r="55">
          <cell r="A55" t="str">
            <v>ECB</v>
          </cell>
        </row>
        <row r="56">
          <cell r="A56" t="str">
            <v>Short term loan</v>
          </cell>
        </row>
        <row r="57">
          <cell r="A57" t="str">
            <v>Sales &amp; Other Income</v>
          </cell>
        </row>
        <row r="58">
          <cell r="A58" t="str">
            <v>Sales</v>
          </cell>
        </row>
        <row r="59">
          <cell r="A59" t="str">
            <v xml:space="preserve">Interest F D </v>
          </cell>
        </row>
        <row r="60">
          <cell r="A60" t="str">
            <v xml:space="preserve">Interest  I C D </v>
          </cell>
        </row>
        <row r="61">
          <cell r="A61" t="str">
            <v>Other Incomes</v>
          </cell>
        </row>
        <row r="63">
          <cell r="A63" t="str">
            <v>Creditors for Expenses</v>
          </cell>
        </row>
        <row r="64">
          <cell r="A64" t="str">
            <v>Sundry Creditors</v>
          </cell>
        </row>
        <row r="65">
          <cell r="A65" t="str">
            <v>Outstanding Liability</v>
          </cell>
        </row>
        <row r="66">
          <cell r="A66" t="str">
            <v>Provisions</v>
          </cell>
        </row>
        <row r="68">
          <cell r="A68" t="str">
            <v>Govt Dues</v>
          </cell>
        </row>
        <row r="69">
          <cell r="A69" t="str">
            <v>Sales Tax payable</v>
          </cell>
        </row>
        <row r="70">
          <cell r="A70" t="str">
            <v>Service tax</v>
          </cell>
        </row>
        <row r="71">
          <cell r="A71" t="str">
            <v>Profession Tax</v>
          </cell>
        </row>
        <row r="72">
          <cell r="A72" t="str">
            <v>Employee PF</v>
          </cell>
        </row>
        <row r="73">
          <cell r="A73" t="str">
            <v>Octroi</v>
          </cell>
        </row>
        <row r="74">
          <cell r="A74" t="str">
            <v>DIH Policy</v>
          </cell>
        </row>
        <row r="75">
          <cell r="A75" t="str">
            <v>LWF Contribution</v>
          </cell>
        </row>
        <row r="76">
          <cell r="A76" t="str">
            <v>PF Contractors</v>
          </cell>
        </row>
        <row r="77">
          <cell r="A77" t="str">
            <v>LIP-Employees</v>
          </cell>
        </row>
        <row r="78">
          <cell r="A78" t="str">
            <v>TDS</v>
          </cell>
        </row>
        <row r="79">
          <cell r="A79" t="str">
            <v>Account Payable</v>
          </cell>
        </row>
        <row r="80">
          <cell r="A80" t="str">
            <v>Provisions for Dep</v>
          </cell>
        </row>
        <row r="81">
          <cell r="A81" t="str">
            <v>Security Deposit</v>
          </cell>
        </row>
        <row r="83">
          <cell r="A83" t="str">
            <v>Interest Payable</v>
          </cell>
        </row>
        <row r="85">
          <cell r="A85" t="str">
            <v>Branch &amp; Divisions</v>
          </cell>
        </row>
        <row r="86">
          <cell r="A86" t="str">
            <v>H Office-R.O. only</v>
          </cell>
        </row>
        <row r="87">
          <cell r="A87" t="str">
            <v>Inter branches</v>
          </cell>
        </row>
        <row r="88">
          <cell r="A88" t="str">
            <v>Profit &amp; Loss account</v>
          </cell>
        </row>
        <row r="91">
          <cell r="A91" t="str">
            <v>Total</v>
          </cell>
        </row>
        <row r="93">
          <cell r="A93" t="str">
            <v>Assets Total</v>
          </cell>
        </row>
        <row r="95">
          <cell r="A95" t="str">
            <v>Liabilities Total</v>
          </cell>
        </row>
        <row r="97">
          <cell r="A97" t="str">
            <v>Difference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Sheet1"/>
      <sheetName val="Profit Reco"/>
      <sheetName val="BS"/>
      <sheetName val="P&amp;L"/>
      <sheetName val="Schedules"/>
      <sheetName val="FA"/>
      <sheetName val="IT Depn"/>
      <sheetName val="ANN2 C"/>
      <sheetName val="ANN4"/>
      <sheetName val="ANN2"/>
      <sheetName val="RBI Timeline"/>
      <sheetName val="ANN1 A"/>
      <sheetName val="Lead"/>
      <sheetName val="Links"/>
      <sheetName val="Normal"/>
      <sheetName val="Tickmarks"/>
      <sheetName val="LISTS"/>
      <sheetName val="1900"/>
      <sheetName val="Sch to PL"/>
      <sheetName val="Sheet3 (2)"/>
      <sheetName val="Worksheet in 2261"/>
      <sheetName val="HEAD"/>
      <sheetName val="Addition"/>
      <sheetName val="Budget"/>
      <sheetName val="Assupmtion"/>
      <sheetName val="Grouping"/>
      <sheetName val="Sch 1-11"/>
      <sheetName val="WDV Workings"/>
      <sheetName val="ANALYSIS"/>
      <sheetName val="co lease rental"/>
      <sheetName val="IOU-factory-9"/>
      <sheetName val="IOU-sales-9"/>
      <sheetName val="Instructions"/>
      <sheetName val="Cost Summary - SOP"/>
      <sheetName val="Project Overview Input"/>
      <sheetName val="Benefit Input"/>
      <sheetName val="wordsdata"/>
      <sheetName val="Construction"/>
      <sheetName val="Expectation and Summary"/>
      <sheetName val="Jackets"/>
      <sheetName val="Shirts"/>
      <sheetName val="Accessories"/>
      <sheetName val="Summ"/>
      <sheetName val="std.wt."/>
      <sheetName val="O2"/>
      <sheetName val="0. Data Validation List"/>
      <sheetName val="Crest"/>
      <sheetName val="Pinnacle"/>
      <sheetName val="Zenith"/>
      <sheetName val="stacking sheet"/>
      <sheetName val="Ward areas"/>
      <sheetName val="Intro"/>
      <sheetName val="Consolidated"/>
      <sheetName val="Break up Sheet"/>
      <sheetName val="Summary 2"/>
      <sheetName val="XREF"/>
      <sheetName val="Assumptions"/>
      <sheetName val="MF NAV&amp;MARKET VALUE 31.03.2006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uping"/>
      <sheetName val="Check list"/>
      <sheetName val="Summary"/>
      <sheetName val="Bal Sheet as per grouping"/>
      <sheetName val="Bal Sheet"/>
      <sheetName val="Sell Exp"/>
      <sheetName val="S&amp;M for Jap Rep"/>
      <sheetName val="comments t suchiya"/>
      <sheetName val="comments"/>
      <sheetName val="mfg fin with .5 adm cost"/>
      <sheetName val="mfg without .5 adm cost"/>
      <sheetName val="Working-Mar 2000"/>
      <sheetName val="Tally Control"/>
      <sheetName val="OSF"/>
      <sheetName val="qty"/>
      <sheetName val="COGS"/>
      <sheetName val="Comments (2)"/>
      <sheetName val="Plant goals"/>
      <sheetName val="Capex &amp; Headcount"/>
      <sheetName val="Rev &amp; GP"/>
      <sheetName val="PL"/>
      <sheetName val="Fin.Summ."/>
      <sheetName val="Sales &amp; Pdn.Summ."/>
      <sheetName val="BS"/>
      <sheetName val="WIP"/>
      <sheetName val="Kobayashi Detail"/>
      <sheetName val="Sheet1"/>
      <sheetName val="FA sch as per Jap Rep."/>
      <sheetName val="Sheet2"/>
      <sheetName val="Half Yrly"/>
      <sheetName val="Control Sheet"/>
    </sheetNames>
    <sheetDataSet>
      <sheetData sheetId="0" refreshError="1">
        <row r="4">
          <cell r="A4" t="str">
            <v>Consolidation of Branches  for the Month of March 2000</v>
          </cell>
        </row>
        <row r="6">
          <cell r="A6" t="str">
            <v>Particulars</v>
          </cell>
          <cell r="B6" t="str">
            <v>Mumbai-sale</v>
          </cell>
          <cell r="C6" t="str">
            <v>Mumbai-main</v>
          </cell>
          <cell r="D6" t="str">
            <v>Nagpur</v>
          </cell>
          <cell r="E6" t="str">
            <v>Pune</v>
          </cell>
          <cell r="F6" t="str">
            <v>Ahmedabad</v>
          </cell>
          <cell r="G6" t="str">
            <v>Grand Total of West</v>
          </cell>
          <cell r="H6" t="str">
            <v>Delhi</v>
          </cell>
          <cell r="I6" t="str">
            <v>Chandigarh</v>
          </cell>
          <cell r="J6" t="str">
            <v>Ludhiana</v>
          </cell>
          <cell r="K6" t="str">
            <v>Jaipur</v>
          </cell>
          <cell r="L6" t="str">
            <v>Lucknow</v>
          </cell>
          <cell r="M6" t="str">
            <v>Bhuwneshwar</v>
          </cell>
          <cell r="N6" t="str">
            <v>Patna</v>
          </cell>
          <cell r="O6" t="str">
            <v>Calcutta</v>
          </cell>
          <cell r="P6" t="str">
            <v>Faridabad</v>
          </cell>
          <cell r="Q6" t="str">
            <v>Guahatti</v>
          </cell>
          <cell r="R6" t="str">
            <v>Total-n region</v>
          </cell>
          <cell r="S6" t="str">
            <v>Total</v>
          </cell>
          <cell r="T6" t="str">
            <v>Chennai</v>
          </cell>
          <cell r="U6" t="str">
            <v>Bangalore</v>
          </cell>
          <cell r="V6" t="str">
            <v>Hyderabad</v>
          </cell>
          <cell r="W6" t="str">
            <v>Cochin</v>
          </cell>
          <cell r="X6" t="str">
            <v>Coimbatore</v>
          </cell>
          <cell r="Y6" t="str">
            <v>Goa</v>
          </cell>
          <cell r="Z6" t="str">
            <v>Total</v>
          </cell>
          <cell r="AA6" t="str">
            <v>Grand Total</v>
          </cell>
          <cell r="AB6" t="str">
            <v>Indore</v>
          </cell>
          <cell r="AC6" t="str">
            <v>Grand Total wt In</v>
          </cell>
        </row>
        <row r="8">
          <cell r="A8" t="str">
            <v>Fixed Assets</v>
          </cell>
        </row>
        <row r="10">
          <cell r="A10" t="str">
            <v>Investment</v>
          </cell>
        </row>
        <row r="12">
          <cell r="A12" t="str">
            <v>Current Assets</v>
          </cell>
        </row>
        <row r="13">
          <cell r="A13" t="str">
            <v>Debtors</v>
          </cell>
        </row>
        <row r="15">
          <cell r="A15" t="str">
            <v>Cash &amp; Bank balance</v>
          </cell>
        </row>
        <row r="16">
          <cell r="A16" t="str">
            <v>Funds in transit</v>
          </cell>
        </row>
        <row r="17">
          <cell r="A17" t="str">
            <v>Cash in Hand</v>
          </cell>
        </row>
        <row r="18">
          <cell r="A18" t="str">
            <v>Fuji Bank</v>
          </cell>
        </row>
        <row r="19">
          <cell r="A19" t="str">
            <v>Bank IDBI-Collection</v>
          </cell>
        </row>
        <row r="20">
          <cell r="A20" t="str">
            <v>Bank IDBI-Current</v>
          </cell>
        </row>
        <row r="21">
          <cell r="A21" t="str">
            <v>Bank IDBI-C/c</v>
          </cell>
        </row>
        <row r="22">
          <cell r="A22" t="str">
            <v>B O T M</v>
          </cell>
        </row>
        <row r="23">
          <cell r="A23" t="str">
            <v>Sumitomo Bank</v>
          </cell>
        </row>
        <row r="24">
          <cell r="A24" t="str">
            <v>Citi Bank</v>
          </cell>
        </row>
        <row r="25">
          <cell r="A25" t="str">
            <v>Sakura Bank</v>
          </cell>
        </row>
        <row r="26">
          <cell r="A26" t="str">
            <v xml:space="preserve">Fixed Deposit </v>
          </cell>
        </row>
        <row r="27">
          <cell r="A27" t="str">
            <v>State Bank of India</v>
          </cell>
        </row>
        <row r="29">
          <cell r="A29" t="str">
            <v>Loan &amp; Advances</v>
          </cell>
        </row>
        <row r="31">
          <cell r="A31" t="str">
            <v>Security Deposit</v>
          </cell>
        </row>
        <row r="32">
          <cell r="A32" t="str">
            <v>Imprest</v>
          </cell>
        </row>
        <row r="33">
          <cell r="A33" t="str">
            <v>Other Advances</v>
          </cell>
        </row>
        <row r="34">
          <cell r="A34" t="str">
            <v>Advances to suppliers</v>
          </cell>
        </row>
        <row r="35">
          <cell r="A35" t="str">
            <v>Advances to employees</v>
          </cell>
        </row>
        <row r="36">
          <cell r="A36" t="str">
            <v>Rent deposit</v>
          </cell>
        </row>
        <row r="37">
          <cell r="A37" t="str">
            <v>Sales Tax Deposit</v>
          </cell>
        </row>
        <row r="38">
          <cell r="A38" t="str">
            <v>TDS-Interest 96-97</v>
          </cell>
        </row>
        <row r="39">
          <cell r="A39" t="str">
            <v>Interest Receivable</v>
          </cell>
        </row>
        <row r="40">
          <cell r="A40" t="str">
            <v>Prepaid Expenses</v>
          </cell>
        </row>
        <row r="41">
          <cell r="A41" t="str">
            <v>Other Deposits</v>
          </cell>
        </row>
        <row r="42">
          <cell r="A42" t="str">
            <v>T D S 97-98</v>
          </cell>
        </row>
        <row r="43">
          <cell r="A43" t="str">
            <v>T D S 98-99</v>
          </cell>
        </row>
        <row r="44">
          <cell r="A44" t="str">
            <v>T D S 99-2000</v>
          </cell>
        </row>
        <row r="45">
          <cell r="A45" t="str">
            <v>Suspenses</v>
          </cell>
        </row>
        <row r="46">
          <cell r="A46" t="str">
            <v>Inventory</v>
          </cell>
        </row>
        <row r="47">
          <cell r="A47" t="str">
            <v>PLA</v>
          </cell>
        </row>
        <row r="48">
          <cell r="A48" t="str">
            <v>Modvat</v>
          </cell>
        </row>
        <row r="49">
          <cell r="A49" t="str">
            <v>profit &amp; Loss</v>
          </cell>
        </row>
        <row r="50">
          <cell r="A50" t="str">
            <v>Expenses</v>
          </cell>
        </row>
        <row r="51">
          <cell r="A51" t="str">
            <v>Misc Expenses</v>
          </cell>
        </row>
        <row r="52">
          <cell r="A52" t="str">
            <v>Total</v>
          </cell>
        </row>
        <row r="53">
          <cell r="A53" t="str">
            <v>Current Liabilities</v>
          </cell>
        </row>
        <row r="54">
          <cell r="A54" t="str">
            <v>Capital</v>
          </cell>
        </row>
        <row r="55">
          <cell r="A55" t="str">
            <v>ECB</v>
          </cell>
        </row>
        <row r="56">
          <cell r="A56" t="str">
            <v>Short term loan</v>
          </cell>
        </row>
        <row r="57">
          <cell r="A57" t="str">
            <v>Sales &amp; Other Income</v>
          </cell>
        </row>
        <row r="58">
          <cell r="A58" t="str">
            <v>Sales</v>
          </cell>
        </row>
        <row r="59">
          <cell r="A59" t="str">
            <v xml:space="preserve">Interest F D </v>
          </cell>
        </row>
        <row r="60">
          <cell r="A60" t="str">
            <v xml:space="preserve">Interest  I C D </v>
          </cell>
        </row>
        <row r="61">
          <cell r="A61" t="str">
            <v>Other Incomes</v>
          </cell>
        </row>
        <row r="63">
          <cell r="A63" t="str">
            <v>Creditors for Expenses</v>
          </cell>
        </row>
        <row r="64">
          <cell r="A64" t="str">
            <v>Sundry Creditors</v>
          </cell>
        </row>
        <row r="65">
          <cell r="A65" t="str">
            <v>Outstanding Liability</v>
          </cell>
        </row>
        <row r="66">
          <cell r="A66" t="str">
            <v>Provisions</v>
          </cell>
        </row>
        <row r="68">
          <cell r="A68" t="str">
            <v>Govt Dues</v>
          </cell>
        </row>
        <row r="69">
          <cell r="A69" t="str">
            <v>Sales Tax payable</v>
          </cell>
        </row>
        <row r="70">
          <cell r="A70" t="str">
            <v>Service tax</v>
          </cell>
        </row>
        <row r="71">
          <cell r="A71" t="str">
            <v>Profession Tax</v>
          </cell>
        </row>
        <row r="72">
          <cell r="A72" t="str">
            <v>Employee PF</v>
          </cell>
        </row>
        <row r="73">
          <cell r="A73" t="str">
            <v>Octroi</v>
          </cell>
        </row>
        <row r="74">
          <cell r="A74" t="str">
            <v>DIH Policy</v>
          </cell>
        </row>
        <row r="75">
          <cell r="A75" t="str">
            <v>LWF Contribution</v>
          </cell>
        </row>
        <row r="76">
          <cell r="A76" t="str">
            <v>PF Contractors</v>
          </cell>
        </row>
        <row r="77">
          <cell r="A77" t="str">
            <v>LIP-Employees</v>
          </cell>
        </row>
        <row r="78">
          <cell r="A78" t="str">
            <v>TDS</v>
          </cell>
        </row>
        <row r="79">
          <cell r="A79" t="str">
            <v>Account Payable</v>
          </cell>
        </row>
        <row r="80">
          <cell r="A80" t="str">
            <v>Provisions for Dep</v>
          </cell>
        </row>
        <row r="81">
          <cell r="A81" t="str">
            <v>Security Deposit</v>
          </cell>
        </row>
        <row r="83">
          <cell r="A83" t="str">
            <v>Interest Payable</v>
          </cell>
        </row>
        <row r="85">
          <cell r="A85" t="str">
            <v>Branch &amp; Divisions</v>
          </cell>
        </row>
        <row r="86">
          <cell r="A86" t="str">
            <v>H Office-R.O. only</v>
          </cell>
        </row>
        <row r="87">
          <cell r="A87" t="str">
            <v>Inter branches</v>
          </cell>
        </row>
        <row r="88">
          <cell r="A88" t="str">
            <v>Profit &amp; Loss account</v>
          </cell>
        </row>
        <row r="91">
          <cell r="A91" t="str">
            <v>Total</v>
          </cell>
        </row>
        <row r="93">
          <cell r="A93" t="str">
            <v>Assets Total</v>
          </cell>
        </row>
        <row r="95">
          <cell r="A95" t="str">
            <v>Liabilities Total</v>
          </cell>
        </row>
        <row r="97">
          <cell r="A97" t="str">
            <v>Difference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C3361F0-BF8B-4A62-9337-F48B366EEAF2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Suchita S Sharma" id="{A9CB1D0A-44FA-4F4A-8268-B76E67732941}" userId="S::suchita.sharma@total-environment.com::22e1a589-456e-45f3-adac-be6829c8087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4-12-05T13:05:12.90" personId="{A9CB1D0A-44FA-4F4A-8268-B76E67732941}" id="{A8F9B4C6-CB38-45F5-9EBF-0D231A78A53B}">
    <text>Inputs for Tree Transplantation from LDS</text>
  </threadedComment>
  <threadedComment ref="F53" dT="2024-12-05T13:04:33.16" personId="{A9CB1D0A-44FA-4F4A-8268-B76E67732941}" id="{E0112168-CE4E-4B14-B4D2-EAECE2BC25FD}">
    <text>Inputs from Electrical.</text>
  </threadedComment>
  <threadedComment ref="J70" dT="2024-12-05T06:44:20.55" personId="{A9CB1D0A-44FA-4F4A-8268-B76E67732941}" id="{C430A781-E7D7-41D2-AFDC-1C2E39976A57}">
    <text>Inputs from MP Team</text>
  </threadedComment>
  <threadedComment ref="F71" dT="2024-12-05T13:04:33.16" personId="{A9CB1D0A-44FA-4F4A-8268-B76E67732941}" id="{0E1BB082-2240-4880-8DCB-63793BED47FB}">
    <text>Inputs from Electrical.</text>
  </threadedComment>
  <threadedComment ref="J78" dT="2024-12-05T06:44:20.55" personId="{A9CB1D0A-44FA-4F4A-8268-B76E67732941}" id="{77A714F2-E080-4331-A463-20A0A9C3600F}">
    <text>Inputs from MP Team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9F45-E56C-4825-8E5D-946332589B25}">
  <sheetPr codeName="Sheet7"/>
  <dimension ref="B2:Q28"/>
  <sheetViews>
    <sheetView zoomScale="110" zoomScaleNormal="110" workbookViewId="0">
      <selection activeCell="C19" sqref="C19"/>
    </sheetView>
  </sheetViews>
  <sheetFormatPr defaultRowHeight="12.75"/>
  <cols>
    <col min="1" max="1" width="5.7109375" customWidth="1"/>
    <col min="3" max="3" width="23.7109375" bestFit="1" customWidth="1"/>
    <col min="4" max="4" width="9.7109375" bestFit="1" customWidth="1"/>
    <col min="5" max="5" width="5.42578125" bestFit="1" customWidth="1"/>
    <col min="6" max="6" width="12.28515625" bestFit="1" customWidth="1"/>
    <col min="7" max="8" width="9.7109375" bestFit="1" customWidth="1"/>
    <col min="9" max="9" width="12.28515625" bestFit="1" customWidth="1"/>
    <col min="11" max="11" width="12" bestFit="1" customWidth="1"/>
    <col min="12" max="12" width="9.5703125" bestFit="1" customWidth="1"/>
    <col min="13" max="13" width="7.28515625" bestFit="1" customWidth="1"/>
    <col min="14" max="14" width="12.28515625" bestFit="1" customWidth="1"/>
  </cols>
  <sheetData>
    <row r="2" spans="2:17" ht="21">
      <c r="B2" s="5" t="s">
        <v>235</v>
      </c>
      <c r="C2" s="6"/>
      <c r="D2" s="6"/>
      <c r="E2" s="6"/>
      <c r="F2" s="7" t="s">
        <v>22</v>
      </c>
      <c r="G2" s="8"/>
      <c r="H2" s="8"/>
      <c r="I2" s="8"/>
      <c r="J2" s="7" t="s">
        <v>23</v>
      </c>
      <c r="K2" s="9">
        <v>5</v>
      </c>
      <c r="L2" s="9">
        <v>3</v>
      </c>
      <c r="M2" s="9">
        <v>2</v>
      </c>
      <c r="N2" s="9">
        <v>7</v>
      </c>
    </row>
    <row r="3" spans="2:17" ht="15">
      <c r="B3" s="10"/>
      <c r="C3" s="11"/>
      <c r="D3" s="12"/>
      <c r="E3" s="13"/>
      <c r="F3" s="14"/>
      <c r="G3" s="14"/>
      <c r="H3" s="14"/>
      <c r="I3" s="14"/>
      <c r="J3" s="14"/>
      <c r="K3" s="52">
        <v>0.05</v>
      </c>
      <c r="L3" s="53">
        <v>1.06E-2</v>
      </c>
      <c r="M3" s="53">
        <v>5.8999999999999999E-3</v>
      </c>
      <c r="N3" s="53">
        <v>3.3E-3</v>
      </c>
    </row>
    <row r="4" spans="2:17" ht="15.75">
      <c r="B4" s="15">
        <v>1</v>
      </c>
      <c r="C4" s="16" t="s">
        <v>24</v>
      </c>
      <c r="D4" s="229">
        <v>53.709675044290904</v>
      </c>
      <c r="E4" s="18"/>
      <c r="F4" s="19" t="s">
        <v>25</v>
      </c>
      <c r="G4" s="19" t="s">
        <v>16</v>
      </c>
      <c r="H4" s="19" t="s">
        <v>12</v>
      </c>
      <c r="I4" s="19" t="s">
        <v>14</v>
      </c>
      <c r="J4" s="20"/>
      <c r="K4" s="19" t="s">
        <v>15</v>
      </c>
      <c r="L4" s="19" t="s">
        <v>16</v>
      </c>
      <c r="M4" s="19" t="s">
        <v>12</v>
      </c>
      <c r="N4" s="19" t="s">
        <v>14</v>
      </c>
      <c r="Q4" s="104" t="s">
        <v>26</v>
      </c>
    </row>
    <row r="5" spans="2:17" ht="14.25">
      <c r="B5" s="10"/>
      <c r="C5" s="21"/>
      <c r="D5" s="22"/>
      <c r="E5" s="23"/>
      <c r="F5" s="14"/>
      <c r="G5" s="14"/>
      <c r="H5" s="14"/>
      <c r="I5" s="14"/>
      <c r="J5" s="14"/>
      <c r="K5" s="14"/>
      <c r="L5" s="14"/>
      <c r="M5" s="14"/>
      <c r="N5" s="14"/>
      <c r="O5" t="s">
        <v>425</v>
      </c>
    </row>
    <row r="6" spans="2:17" ht="15">
      <c r="B6" s="24"/>
      <c r="C6" s="25" t="s">
        <v>27</v>
      </c>
      <c r="D6" s="17">
        <v>100</v>
      </c>
      <c r="E6" s="18" t="s">
        <v>28</v>
      </c>
      <c r="F6" s="4">
        <f t="shared" ref="F6:N6" si="0">SUM(F8,F14,F18,F23)</f>
        <v>53.709675044290904</v>
      </c>
      <c r="G6" s="4">
        <f t="shared" si="0"/>
        <v>18.977418515649454</v>
      </c>
      <c r="H6" s="4">
        <f t="shared" si="0"/>
        <v>15.844354138065816</v>
      </c>
      <c r="I6" s="4">
        <f t="shared" si="0"/>
        <v>2.5320275378022856</v>
      </c>
      <c r="J6" s="4">
        <f t="shared" si="0"/>
        <v>0</v>
      </c>
      <c r="K6" s="4">
        <f t="shared" si="0"/>
        <v>2.6854837522145454</v>
      </c>
      <c r="L6" s="4">
        <f t="shared" si="0"/>
        <v>0.56932255546948363</v>
      </c>
      <c r="M6" s="4">
        <f t="shared" si="0"/>
        <v>0.31688708276131633</v>
      </c>
      <c r="N6" s="4">
        <f t="shared" si="0"/>
        <v>0.17724192764615998</v>
      </c>
      <c r="Q6" s="104" t="s">
        <v>29</v>
      </c>
    </row>
    <row r="7" spans="2:17" ht="14.25">
      <c r="B7" s="26"/>
      <c r="C7" s="1"/>
      <c r="D7" s="27"/>
      <c r="E7" s="2"/>
      <c r="F7" s="28"/>
      <c r="G7" s="28"/>
      <c r="H7" s="28"/>
      <c r="I7" s="28"/>
      <c r="J7" s="28"/>
      <c r="K7" s="28"/>
      <c r="L7" s="28"/>
      <c r="M7" s="28"/>
      <c r="N7" s="28"/>
    </row>
    <row r="8" spans="2:17" ht="15.75">
      <c r="B8" s="29" t="s">
        <v>30</v>
      </c>
      <c r="C8" s="30" t="s">
        <v>0</v>
      </c>
      <c r="D8" s="31">
        <v>0</v>
      </c>
      <c r="E8" s="32">
        <f>D8/100</f>
        <v>0</v>
      </c>
      <c r="F8" s="33">
        <f t="shared" ref="F8:F9" si="1">SUM($D$4*E8)</f>
        <v>0</v>
      </c>
      <c r="G8" s="33">
        <f>SUM(L8*100)/$L$2</f>
        <v>0</v>
      </c>
      <c r="H8" s="33">
        <f>SUM(M8*100)/$M$2</f>
        <v>0</v>
      </c>
      <c r="I8" s="33">
        <f>SUM(N8*100)/$N$2</f>
        <v>0</v>
      </c>
      <c r="J8" s="34"/>
      <c r="K8" s="33">
        <f>(F8*$K$3)/100</f>
        <v>0</v>
      </c>
      <c r="L8" s="33">
        <f>(F8*$L$3)/100</f>
        <v>0</v>
      </c>
      <c r="M8" s="33">
        <f>($F8*$M$3)/100</f>
        <v>0</v>
      </c>
      <c r="N8" s="33">
        <f>($F8*$N$3)/100</f>
        <v>0</v>
      </c>
      <c r="Q8" s="104" t="s">
        <v>233</v>
      </c>
    </row>
    <row r="9" spans="2:17" ht="15.75">
      <c r="B9" s="19"/>
      <c r="C9" s="35" t="s">
        <v>1</v>
      </c>
      <c r="D9" s="19">
        <v>0</v>
      </c>
      <c r="E9" s="18">
        <f>D9/100</f>
        <v>0</v>
      </c>
      <c r="F9" s="3">
        <f t="shared" si="1"/>
        <v>0</v>
      </c>
      <c r="G9" s="3">
        <f t="shared" ref="G9:G12" si="2">SUM(L9*100)/$L$2</f>
        <v>0</v>
      </c>
      <c r="H9" s="3">
        <f t="shared" ref="H9:H12" si="3">SUM(M9*100)/$M$2</f>
        <v>0</v>
      </c>
      <c r="I9" s="3">
        <f t="shared" ref="I9:I12" si="4">SUM(N9*100)/$N$2</f>
        <v>0</v>
      </c>
      <c r="J9" s="36"/>
      <c r="K9" s="3">
        <f t="shared" ref="K9:K12" si="5">(F9*$K$3)/100</f>
        <v>0</v>
      </c>
      <c r="L9" s="3">
        <f t="shared" ref="L9:L12" si="6">(F9*$L$3)/100</f>
        <v>0</v>
      </c>
      <c r="M9" s="3">
        <f t="shared" ref="M9:M12" si="7">($F9*$M$3)/100</f>
        <v>0</v>
      </c>
      <c r="N9" s="3">
        <f t="shared" ref="N9:N12" si="8">($F9*$N$3)/100</f>
        <v>0</v>
      </c>
    </row>
    <row r="10" spans="2:17" ht="15.75">
      <c r="B10" s="19"/>
      <c r="C10" s="35" t="s">
        <v>3</v>
      </c>
      <c r="D10" s="19">
        <v>0</v>
      </c>
      <c r="E10" s="18">
        <f t="shared" ref="E10:E12" si="9">D10/100</f>
        <v>0</v>
      </c>
      <c r="F10" s="3">
        <f>SUM($D$4*E10)</f>
        <v>0</v>
      </c>
      <c r="G10" s="3">
        <f t="shared" si="2"/>
        <v>0</v>
      </c>
      <c r="H10" s="3">
        <f t="shared" si="3"/>
        <v>0</v>
      </c>
      <c r="I10" s="3">
        <f t="shared" si="4"/>
        <v>0</v>
      </c>
      <c r="J10" s="36"/>
      <c r="K10" s="3">
        <f t="shared" si="5"/>
        <v>0</v>
      </c>
      <c r="L10" s="3">
        <f t="shared" si="6"/>
        <v>0</v>
      </c>
      <c r="M10" s="3">
        <f t="shared" si="7"/>
        <v>0</v>
      </c>
      <c r="N10" s="3">
        <f t="shared" si="8"/>
        <v>0</v>
      </c>
    </row>
    <row r="11" spans="2:17" ht="15.75">
      <c r="B11" s="19"/>
      <c r="C11" s="35" t="s">
        <v>2</v>
      </c>
      <c r="D11" s="19">
        <v>0</v>
      </c>
      <c r="E11" s="18">
        <f t="shared" si="9"/>
        <v>0</v>
      </c>
      <c r="F11" s="3">
        <f t="shared" ref="F11:F12" si="10">SUM($D$4*E11)</f>
        <v>0</v>
      </c>
      <c r="G11" s="3">
        <f t="shared" si="2"/>
        <v>0</v>
      </c>
      <c r="H11" s="3">
        <f t="shared" si="3"/>
        <v>0</v>
      </c>
      <c r="I11" s="3">
        <f t="shared" si="4"/>
        <v>0</v>
      </c>
      <c r="J11" s="36"/>
      <c r="K11" s="3">
        <f t="shared" si="5"/>
        <v>0</v>
      </c>
      <c r="L11" s="3">
        <f t="shared" si="6"/>
        <v>0</v>
      </c>
      <c r="M11" s="3">
        <f t="shared" si="7"/>
        <v>0</v>
      </c>
      <c r="N11" s="3">
        <f t="shared" si="8"/>
        <v>0</v>
      </c>
    </row>
    <row r="12" spans="2:17" ht="15.75">
      <c r="B12" s="19"/>
      <c r="C12" s="35" t="s">
        <v>4</v>
      </c>
      <c r="D12" s="19">
        <v>0</v>
      </c>
      <c r="E12" s="18">
        <f t="shared" si="9"/>
        <v>0</v>
      </c>
      <c r="F12" s="3">
        <f t="shared" si="10"/>
        <v>0</v>
      </c>
      <c r="G12" s="3">
        <f t="shared" si="2"/>
        <v>0</v>
      </c>
      <c r="H12" s="3">
        <f t="shared" si="3"/>
        <v>0</v>
      </c>
      <c r="I12" s="3">
        <f t="shared" si="4"/>
        <v>0</v>
      </c>
      <c r="J12" s="36"/>
      <c r="K12" s="3">
        <f t="shared" si="5"/>
        <v>0</v>
      </c>
      <c r="L12" s="3">
        <f t="shared" si="6"/>
        <v>0</v>
      </c>
      <c r="M12" s="3">
        <f t="shared" si="7"/>
        <v>0</v>
      </c>
      <c r="N12" s="3">
        <f t="shared" si="8"/>
        <v>0</v>
      </c>
    </row>
    <row r="13" spans="2:17" ht="14.25">
      <c r="B13" s="26"/>
      <c r="C13" s="1"/>
      <c r="D13" s="37"/>
      <c r="E13" s="2"/>
      <c r="F13" s="28"/>
      <c r="G13" s="28"/>
      <c r="H13" s="28"/>
      <c r="I13" s="28"/>
      <c r="J13" s="28"/>
      <c r="K13" s="28"/>
      <c r="L13" s="28"/>
      <c r="M13" s="28"/>
      <c r="N13" s="28"/>
    </row>
    <row r="14" spans="2:17" ht="15">
      <c r="B14" s="45" t="s">
        <v>31</v>
      </c>
      <c r="C14" s="46" t="s">
        <v>5</v>
      </c>
      <c r="D14" s="47">
        <f>SUM(D15:D16)</f>
        <v>100</v>
      </c>
      <c r="E14" s="48">
        <f>D14/100</f>
        <v>1</v>
      </c>
      <c r="F14" s="49">
        <f>SUM($D$4*E14)</f>
        <v>53.709675044290904</v>
      </c>
      <c r="G14" s="49">
        <f>SUM(L14*100)/$L$2</f>
        <v>18.977418515649454</v>
      </c>
      <c r="H14" s="49">
        <f>SUM(M14*100)/$M$2</f>
        <v>15.844354138065816</v>
      </c>
      <c r="I14" s="49">
        <f>SUM(N14*100)/$N$2</f>
        <v>2.5320275378022856</v>
      </c>
      <c r="J14" s="50"/>
      <c r="K14" s="49">
        <f>(F14*$K$3)</f>
        <v>2.6854837522145454</v>
      </c>
      <c r="L14" s="49">
        <f>(F14*$L$3)</f>
        <v>0.56932255546948363</v>
      </c>
      <c r="M14" s="49">
        <f>($F14*$M$3)</f>
        <v>0.31688708276131633</v>
      </c>
      <c r="N14" s="49">
        <f>($F14*$N$3)</f>
        <v>0.17724192764615998</v>
      </c>
    </row>
    <row r="15" spans="2:17" ht="15">
      <c r="B15" s="19"/>
      <c r="C15" s="35" t="s">
        <v>32</v>
      </c>
      <c r="D15" s="19">
        <v>100</v>
      </c>
      <c r="E15" s="18">
        <f t="shared" ref="E15:E16" si="11">D15/100</f>
        <v>1</v>
      </c>
      <c r="F15" s="3">
        <v>48.641047735199997</v>
      </c>
      <c r="G15" s="3">
        <f t="shared" ref="G15:G16" si="12">SUM(L15*100)/$L$2</f>
        <v>17.186503533103998</v>
      </c>
      <c r="H15" s="3">
        <f t="shared" ref="H15:H16" si="13">SUM(M15*100)/$M$2</f>
        <v>14.349109081883999</v>
      </c>
      <c r="I15" s="3">
        <f t="shared" ref="I15:I16" si="14">SUM(N15*100)/$N$2</f>
        <v>2.2930779646594281</v>
      </c>
      <c r="J15" s="44"/>
      <c r="K15" s="3">
        <f>(F15*$K$3)</f>
        <v>2.4320523867600001</v>
      </c>
      <c r="L15" s="3">
        <f>(F15*$L$3)</f>
        <v>0.51559510599311997</v>
      </c>
      <c r="M15" s="3">
        <f>($F15*$M$3)</f>
        <v>0.28698218163767997</v>
      </c>
      <c r="N15" s="3">
        <f>($F15*$N$3)</f>
        <v>0.16051545752615998</v>
      </c>
      <c r="Q15" s="104"/>
    </row>
    <row r="16" spans="2:17" ht="15">
      <c r="B16" s="19"/>
      <c r="C16" s="35" t="s">
        <v>4</v>
      </c>
      <c r="D16" s="19">
        <v>0</v>
      </c>
      <c r="E16" s="18">
        <f t="shared" si="11"/>
        <v>0</v>
      </c>
      <c r="F16" s="3">
        <v>5.0686273090909086</v>
      </c>
      <c r="G16" s="3">
        <f t="shared" si="12"/>
        <v>1.7909149825454544</v>
      </c>
      <c r="H16" s="3">
        <f t="shared" si="13"/>
        <v>1.495245056181818</v>
      </c>
      <c r="I16" s="3">
        <f t="shared" si="14"/>
        <v>0.23894957314285711</v>
      </c>
      <c r="J16" s="44"/>
      <c r="K16" s="3">
        <f>(F16*$K$3)</f>
        <v>0.25343136545454542</v>
      </c>
      <c r="L16" s="3">
        <f>(F16*$L$3)</f>
        <v>5.3727449476363633E-2</v>
      </c>
      <c r="M16" s="3">
        <f>($F16*$M$3)</f>
        <v>2.9904901123636359E-2</v>
      </c>
      <c r="N16" s="3">
        <f>($F16*$N$3)</f>
        <v>1.672647012E-2</v>
      </c>
    </row>
    <row r="17" spans="2:14" ht="14.25">
      <c r="B17" s="26"/>
      <c r="C17" s="1"/>
      <c r="D17" s="27"/>
      <c r="E17" s="2"/>
      <c r="F17" s="28"/>
      <c r="G17" s="28"/>
      <c r="H17" s="28"/>
      <c r="I17" s="28"/>
      <c r="J17" s="28"/>
      <c r="K17" s="28"/>
      <c r="L17" s="28"/>
      <c r="M17" s="28"/>
      <c r="N17" s="28"/>
    </row>
    <row r="18" spans="2:14" ht="15">
      <c r="B18" s="38" t="s">
        <v>33</v>
      </c>
      <c r="C18" s="39" t="s">
        <v>6</v>
      </c>
      <c r="D18" s="40">
        <v>0</v>
      </c>
      <c r="E18" s="41">
        <f>D18/100</f>
        <v>0</v>
      </c>
      <c r="F18" s="42">
        <f t="shared" ref="F18:F19" si="15">SUM($D$4*E18)</f>
        <v>0</v>
      </c>
      <c r="G18" s="42">
        <f>SUM(L18*100)/$L$2</f>
        <v>0</v>
      </c>
      <c r="H18" s="42">
        <f>SUM(M18*100)/$M$2</f>
        <v>0</v>
      </c>
      <c r="I18" s="42">
        <f>SUM(N18*100)/$N$2</f>
        <v>0</v>
      </c>
      <c r="J18" s="43"/>
      <c r="K18" s="42">
        <f>(F18*$K$2)/100</f>
        <v>0</v>
      </c>
      <c r="L18" s="42">
        <f>(F18*$L$3)/100</f>
        <v>0</v>
      </c>
      <c r="M18" s="42">
        <f>($F18*$M$3)/100</f>
        <v>0</v>
      </c>
      <c r="N18" s="42">
        <f>($F18*$N$3)/100</f>
        <v>0</v>
      </c>
    </row>
    <row r="19" spans="2:14" ht="15">
      <c r="B19" s="19"/>
      <c r="C19" s="35" t="s">
        <v>7</v>
      </c>
      <c r="D19" s="19">
        <v>0</v>
      </c>
      <c r="E19" s="18">
        <f t="shared" ref="E19:E21" si="16">D19/100</f>
        <v>0</v>
      </c>
      <c r="F19" s="3">
        <f t="shared" si="15"/>
        <v>0</v>
      </c>
      <c r="G19" s="3">
        <f t="shared" ref="G19:G21" si="17">SUM(L19*100)/$L$2</f>
        <v>0</v>
      </c>
      <c r="H19" s="3">
        <f t="shared" ref="H19:H21" si="18">SUM(M19*100)/$M$2</f>
        <v>0</v>
      </c>
      <c r="I19" s="3">
        <f t="shared" ref="I19:I21" si="19">SUM(N19*100)/$N$2</f>
        <v>0</v>
      </c>
      <c r="J19" s="44"/>
      <c r="K19" s="3">
        <f t="shared" ref="K19:K21" si="20">(F19*$K$2)/100</f>
        <v>0</v>
      </c>
      <c r="L19" s="3">
        <f t="shared" ref="L19:L21" si="21">(F19*$L$3)/100</f>
        <v>0</v>
      </c>
      <c r="M19" s="3">
        <f t="shared" ref="M19:M21" si="22">($F19*$M$3)/100</f>
        <v>0</v>
      </c>
      <c r="N19" s="3">
        <f t="shared" ref="N19:N21" si="23">($F19*$N$3)/100</f>
        <v>0</v>
      </c>
    </row>
    <row r="20" spans="2:14" ht="15">
      <c r="B20" s="19"/>
      <c r="C20" s="35" t="s">
        <v>8</v>
      </c>
      <c r="D20" s="19">
        <v>0</v>
      </c>
      <c r="E20" s="18">
        <f t="shared" si="16"/>
        <v>0</v>
      </c>
      <c r="F20" s="3">
        <f>SUM($D$4*E20)</f>
        <v>0</v>
      </c>
      <c r="G20" s="3">
        <f t="shared" si="17"/>
        <v>0</v>
      </c>
      <c r="H20" s="3">
        <f t="shared" si="18"/>
        <v>0</v>
      </c>
      <c r="I20" s="3">
        <f t="shared" si="19"/>
        <v>0</v>
      </c>
      <c r="J20" s="44"/>
      <c r="K20" s="3">
        <f t="shared" si="20"/>
        <v>0</v>
      </c>
      <c r="L20" s="3">
        <f t="shared" si="21"/>
        <v>0</v>
      </c>
      <c r="M20" s="3">
        <f t="shared" si="22"/>
        <v>0</v>
      </c>
      <c r="N20" s="3">
        <f t="shared" si="23"/>
        <v>0</v>
      </c>
    </row>
    <row r="21" spans="2:14" ht="15">
      <c r="B21" s="19"/>
      <c r="C21" s="35" t="s">
        <v>9</v>
      </c>
      <c r="D21" s="19">
        <v>0</v>
      </c>
      <c r="E21" s="18">
        <f t="shared" si="16"/>
        <v>0</v>
      </c>
      <c r="F21" s="3">
        <f t="shared" ref="F21" si="24">SUM($D$4*E21)</f>
        <v>0</v>
      </c>
      <c r="G21" s="3">
        <f t="shared" si="17"/>
        <v>0</v>
      </c>
      <c r="H21" s="3">
        <f t="shared" si="18"/>
        <v>0</v>
      </c>
      <c r="I21" s="3">
        <f t="shared" si="19"/>
        <v>0</v>
      </c>
      <c r="J21" s="44"/>
      <c r="K21" s="3">
        <f t="shared" si="20"/>
        <v>0</v>
      </c>
      <c r="L21" s="3">
        <f t="shared" si="21"/>
        <v>0</v>
      </c>
      <c r="M21" s="3">
        <f t="shared" si="22"/>
        <v>0</v>
      </c>
      <c r="N21" s="3">
        <f t="shared" si="23"/>
        <v>0</v>
      </c>
    </row>
    <row r="22" spans="2:14" ht="14.25">
      <c r="B22" s="26"/>
      <c r="C22" s="1"/>
      <c r="D22" s="37"/>
      <c r="E22" s="2"/>
      <c r="F22" s="28"/>
      <c r="G22" s="28"/>
      <c r="H22" s="28"/>
      <c r="I22" s="28"/>
      <c r="J22" s="28"/>
      <c r="K22" s="28"/>
      <c r="L22" s="28"/>
      <c r="M22" s="28"/>
      <c r="N22" s="28"/>
    </row>
    <row r="23" spans="2:14" ht="15">
      <c r="B23" s="45" t="s">
        <v>34</v>
      </c>
      <c r="C23" s="46" t="s">
        <v>10</v>
      </c>
      <c r="D23" s="47">
        <v>0</v>
      </c>
      <c r="E23" s="48">
        <f>D23/100</f>
        <v>0</v>
      </c>
      <c r="F23" s="49">
        <f t="shared" ref="F23:F24" si="25">SUM($D$4*E23)</f>
        <v>0</v>
      </c>
      <c r="G23" s="49">
        <f>SUM(L23*100)/$L$2</f>
        <v>0</v>
      </c>
      <c r="H23" s="49">
        <f>SUM(M23*100)/$M$2</f>
        <v>0</v>
      </c>
      <c r="I23" s="49">
        <f>SUM(N23*100)/$N$2</f>
        <v>0</v>
      </c>
      <c r="J23" s="50"/>
      <c r="K23" s="49">
        <f>(F23*$K$3)/100</f>
        <v>0</v>
      </c>
      <c r="L23" s="49">
        <f>(F23*$L$3)/100</f>
        <v>0</v>
      </c>
      <c r="M23" s="49">
        <f>($F23*$M$3)/100</f>
        <v>0</v>
      </c>
      <c r="N23" s="49">
        <f>($F23*$N$3)/100</f>
        <v>0</v>
      </c>
    </row>
    <row r="24" spans="2:14" ht="15">
      <c r="B24" s="19"/>
      <c r="C24" s="35" t="s">
        <v>10</v>
      </c>
      <c r="D24" s="19">
        <v>0</v>
      </c>
      <c r="E24" s="18">
        <f t="shared" ref="E24:E25" si="26">D24/100</f>
        <v>0</v>
      </c>
      <c r="F24" s="3">
        <f t="shared" si="25"/>
        <v>0</v>
      </c>
      <c r="G24" s="3">
        <f t="shared" ref="G24:G25" si="27">SUM(L24*100)/$L$2</f>
        <v>0</v>
      </c>
      <c r="H24" s="3">
        <f t="shared" ref="H24:H25" si="28">SUM(M24*100)/$M$2</f>
        <v>0</v>
      </c>
      <c r="I24" s="3">
        <f t="shared" ref="I24:I25" si="29">SUM(N24*100)/$N$2</f>
        <v>0</v>
      </c>
      <c r="J24" s="44"/>
      <c r="K24" s="3">
        <f t="shared" ref="K24:K25" si="30">(F24*$K$3)/100</f>
        <v>0</v>
      </c>
      <c r="L24" s="3">
        <f t="shared" ref="L24:L25" si="31">(F24*$L$3)/100</f>
        <v>0</v>
      </c>
      <c r="M24" s="3">
        <f t="shared" ref="M24:M25" si="32">($F24*$M$3)/100</f>
        <v>0</v>
      </c>
      <c r="N24" s="3">
        <f t="shared" ref="N24:N25" si="33">($F24*$N$3)/100</f>
        <v>0</v>
      </c>
    </row>
    <row r="25" spans="2:14" ht="15">
      <c r="B25" s="19"/>
      <c r="C25" s="35" t="s">
        <v>11</v>
      </c>
      <c r="D25" s="19">
        <v>0</v>
      </c>
      <c r="E25" s="18">
        <f t="shared" si="26"/>
        <v>0</v>
      </c>
      <c r="F25" s="3">
        <f>SUM($D$4*E25)</f>
        <v>0</v>
      </c>
      <c r="G25" s="3">
        <f t="shared" si="27"/>
        <v>0</v>
      </c>
      <c r="H25" s="3">
        <f t="shared" si="28"/>
        <v>0</v>
      </c>
      <c r="I25" s="3">
        <f t="shared" si="29"/>
        <v>0</v>
      </c>
      <c r="J25" s="44"/>
      <c r="K25" s="3">
        <f t="shared" si="30"/>
        <v>0</v>
      </c>
      <c r="L25" s="3">
        <f t="shared" si="31"/>
        <v>0</v>
      </c>
      <c r="M25" s="3">
        <f t="shared" si="32"/>
        <v>0</v>
      </c>
      <c r="N25" s="3">
        <f t="shared" si="33"/>
        <v>0</v>
      </c>
    </row>
    <row r="26" spans="2:14" ht="14.25">
      <c r="B26" s="26"/>
      <c r="C26" s="1"/>
      <c r="D26" s="27"/>
      <c r="E26" s="2"/>
      <c r="F26" s="28"/>
      <c r="G26" s="28"/>
      <c r="H26" s="28"/>
      <c r="I26" s="28"/>
      <c r="J26" s="28"/>
      <c r="K26" s="28"/>
      <c r="L26" s="28"/>
      <c r="M26" s="28"/>
      <c r="N26" s="28"/>
    </row>
    <row r="28" spans="2:14">
      <c r="C28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A42B-2A1C-4AFF-9B9B-D5C2EA2925A6}">
  <sheetPr>
    <outlinePr summaryBelow="0" summaryRight="0"/>
  </sheetPr>
  <dimension ref="A1:T54"/>
  <sheetViews>
    <sheetView zoomScale="76" zoomScaleNormal="120" workbookViewId="0">
      <selection activeCell="D49" sqref="D49"/>
    </sheetView>
  </sheetViews>
  <sheetFormatPr defaultColWidth="9.28515625" defaultRowHeight="12.75"/>
  <cols>
    <col min="1" max="1" width="1.7109375" style="54" customWidth="1"/>
    <col min="2" max="2" width="2.5703125" style="55" bestFit="1" customWidth="1"/>
    <col min="3" max="3" width="6.28515625" style="55" bestFit="1" customWidth="1"/>
    <col min="4" max="4" width="52.28515625" style="56" bestFit="1" customWidth="1"/>
    <col min="5" max="5" width="7.42578125" style="107" bestFit="1" customWidth="1"/>
    <col min="6" max="6" width="11.7109375" style="208" customWidth="1"/>
    <col min="7" max="7" width="7.42578125" style="57" bestFit="1" customWidth="1"/>
    <col min="8" max="8" width="11.7109375" style="215" customWidth="1"/>
    <col min="9" max="9" width="7" style="57" bestFit="1" customWidth="1"/>
    <col min="10" max="10" width="11.7109375" style="215" customWidth="1"/>
    <col min="11" max="11" width="7" style="57" bestFit="1" customWidth="1"/>
    <col min="12" max="12" width="11.7109375" style="215" customWidth="1"/>
    <col min="13" max="13" width="8.85546875" style="54" customWidth="1"/>
    <col min="14" max="14" width="9.28515625" style="54" bestFit="1" customWidth="1"/>
    <col min="15" max="16384" width="9.28515625" style="54"/>
  </cols>
  <sheetData>
    <row r="1" spans="1:14" ht="3" customHeight="1"/>
    <row r="2" spans="1:14" ht="3" customHeight="1">
      <c r="A2" s="58"/>
      <c r="B2" s="59"/>
      <c r="C2" s="59"/>
      <c r="D2" s="60"/>
      <c r="E2" s="108"/>
      <c r="F2" s="209"/>
      <c r="G2" s="61"/>
      <c r="H2" s="216"/>
      <c r="I2" s="62"/>
      <c r="J2" s="216"/>
      <c r="K2" s="62"/>
      <c r="L2" s="216"/>
    </row>
    <row r="3" spans="1:14" ht="3" customHeight="1">
      <c r="A3" s="63"/>
      <c r="B3" s="64"/>
      <c r="C3" s="64"/>
      <c r="D3" s="65"/>
      <c r="E3" s="109"/>
      <c r="F3" s="210"/>
      <c r="G3" s="66"/>
      <c r="H3" s="217"/>
      <c r="I3" s="66"/>
      <c r="J3" s="217"/>
      <c r="K3" s="66"/>
      <c r="L3" s="217"/>
    </row>
    <row r="4" spans="1:14" ht="15" customHeight="1">
      <c r="A4" s="63"/>
      <c r="B4" s="67"/>
      <c r="C4" s="68"/>
      <c r="D4" s="69"/>
      <c r="E4" s="110">
        <f>E12+E13+E15+E14+E17+E42+E16+E20</f>
        <v>1.0000000000000002</v>
      </c>
      <c r="F4" s="289"/>
      <c r="G4" s="70">
        <f>G12+G13+G15+G14+G17+G42+G16+G20</f>
        <v>1</v>
      </c>
      <c r="H4" s="283"/>
      <c r="I4" s="70">
        <f>I12+I13+I15+I14+I17+I42+I16+I20</f>
        <v>1</v>
      </c>
      <c r="J4" s="283"/>
      <c r="K4" s="70">
        <f>K12+K13+K15+K14+K17+K42+K16+K20</f>
        <v>1</v>
      </c>
      <c r="L4" s="283"/>
    </row>
    <row r="5" spans="1:14" s="74" customFormat="1" ht="30">
      <c r="A5" s="71"/>
      <c r="B5" s="67" t="s">
        <v>20</v>
      </c>
      <c r="C5" s="72"/>
      <c r="D5" s="73"/>
      <c r="E5" s="284" t="s">
        <v>17</v>
      </c>
      <c r="F5" s="289"/>
      <c r="G5" s="285" t="s">
        <v>18</v>
      </c>
      <c r="H5" s="283"/>
      <c r="I5" s="285" t="s">
        <v>12</v>
      </c>
      <c r="J5" s="283"/>
      <c r="K5" s="285" t="s">
        <v>19</v>
      </c>
      <c r="L5" s="283"/>
    </row>
    <row r="6" spans="1:14" s="74" customFormat="1" ht="18" customHeight="1">
      <c r="A6" s="71"/>
      <c r="B6" s="75"/>
      <c r="C6" s="76"/>
      <c r="D6" s="77"/>
      <c r="E6" s="284"/>
      <c r="F6" s="289"/>
      <c r="G6" s="285"/>
      <c r="H6" s="283"/>
      <c r="I6" s="285"/>
      <c r="J6" s="283"/>
      <c r="K6" s="285"/>
      <c r="L6" s="283"/>
    </row>
    <row r="7" spans="1:14" ht="3" customHeight="1">
      <c r="A7" s="63"/>
      <c r="B7" s="64"/>
      <c r="C7" s="64"/>
      <c r="D7" s="65"/>
      <c r="E7" s="109"/>
      <c r="F7" s="210"/>
      <c r="G7" s="66"/>
      <c r="H7" s="217"/>
      <c r="I7" s="66"/>
      <c r="J7" s="217"/>
      <c r="K7" s="66"/>
      <c r="L7" s="217"/>
    </row>
    <row r="8" spans="1:14" ht="3" customHeight="1">
      <c r="A8" s="63"/>
      <c r="B8" s="78"/>
      <c r="C8" s="78"/>
      <c r="D8" s="79"/>
      <c r="E8" s="108"/>
      <c r="F8" s="209"/>
      <c r="G8" s="61"/>
      <c r="H8" s="216"/>
      <c r="I8" s="62"/>
      <c r="J8" s="216"/>
      <c r="K8" s="62"/>
      <c r="L8" s="216"/>
    </row>
    <row r="9" spans="1:14" ht="3" customHeight="1">
      <c r="A9" s="63"/>
      <c r="B9" s="64"/>
      <c r="C9" s="64"/>
      <c r="D9" s="65"/>
      <c r="E9" s="109"/>
      <c r="F9" s="210"/>
      <c r="G9" s="66"/>
      <c r="H9" s="217"/>
      <c r="I9" s="66"/>
      <c r="J9" s="217"/>
      <c r="K9" s="66"/>
      <c r="L9" s="217"/>
    </row>
    <row r="10" spans="1:14" ht="18">
      <c r="A10" s="63"/>
      <c r="B10" s="80">
        <v>1</v>
      </c>
      <c r="C10" s="286" t="s">
        <v>36</v>
      </c>
      <c r="D10" s="286"/>
      <c r="E10" s="111">
        <v>0.45</v>
      </c>
      <c r="F10" s="81">
        <f>E10*'Assumption Cost'!$K$6</f>
        <v>1.2084676884965455</v>
      </c>
      <c r="G10" s="111">
        <v>0.4</v>
      </c>
      <c r="H10" s="81">
        <f>G10*'Assumption Cost'!$L$6</f>
        <v>0.22772902218779345</v>
      </c>
      <c r="I10" s="111">
        <v>0.3</v>
      </c>
      <c r="J10" s="81">
        <f>I10*'Assumption Cost'!$M$6</f>
        <v>9.5066124828394896E-2</v>
      </c>
      <c r="K10" s="111">
        <v>0.4</v>
      </c>
      <c r="L10" s="81">
        <f>K10*'Assumption Cost'!$N$6</f>
        <v>7.0896771058463995E-2</v>
      </c>
      <c r="M10" s="74" t="s">
        <v>37</v>
      </c>
      <c r="N10" s="74" t="s">
        <v>4</v>
      </c>
    </row>
    <row r="11" spans="1:14" ht="3" customHeight="1">
      <c r="A11" s="63"/>
      <c r="B11" s="64"/>
      <c r="C11" s="64"/>
      <c r="D11" s="65"/>
      <c r="E11" s="109"/>
      <c r="F11" s="210"/>
      <c r="G11" s="66"/>
      <c r="H11" s="217"/>
      <c r="I11" s="66"/>
      <c r="J11" s="217"/>
      <c r="K11" s="66"/>
      <c r="L11" s="217"/>
    </row>
    <row r="12" spans="1:14" s="88" customFormat="1" ht="13.5">
      <c r="A12" s="82"/>
      <c r="B12" s="83"/>
      <c r="C12" s="84" t="s">
        <v>38</v>
      </c>
      <c r="D12" s="85" t="s">
        <v>39</v>
      </c>
      <c r="E12" s="112">
        <v>0.05</v>
      </c>
      <c r="F12" s="86">
        <f>E12*'Assumption Cost'!$K$6</f>
        <v>0.13427418761072726</v>
      </c>
      <c r="G12" s="87">
        <v>0</v>
      </c>
      <c r="H12" s="86"/>
      <c r="I12" s="87">
        <v>0</v>
      </c>
      <c r="J12" s="86"/>
      <c r="K12" s="87">
        <v>0</v>
      </c>
      <c r="L12" s="86"/>
    </row>
    <row r="13" spans="1:14" s="88" customFormat="1" ht="13.5">
      <c r="A13" s="82"/>
      <c r="B13" s="83"/>
      <c r="C13" s="84" t="s">
        <v>40</v>
      </c>
      <c r="D13" s="85" t="s">
        <v>41</v>
      </c>
      <c r="E13" s="112">
        <v>0.1</v>
      </c>
      <c r="F13" s="86">
        <f>E13*'Assumption Cost'!$K$6</f>
        <v>0.26854837522145453</v>
      </c>
      <c r="G13" s="87">
        <v>0.1</v>
      </c>
      <c r="H13" s="86">
        <f>G13*'Assumption Cost'!$L$6</f>
        <v>5.6932255546948363E-2</v>
      </c>
      <c r="I13" s="87">
        <v>0.05</v>
      </c>
      <c r="J13" s="86">
        <f>I13*'Assumption Cost'!$M$6</f>
        <v>1.5844354138065817E-2</v>
      </c>
      <c r="K13" s="87">
        <v>0.1</v>
      </c>
      <c r="L13" s="86">
        <f>K13*'Assumption Cost'!$N$6</f>
        <v>1.7724192764615999E-2</v>
      </c>
      <c r="M13" s="106">
        <f>E13*'Assumption Cost'!$K$15</f>
        <v>0.24320523867600002</v>
      </c>
      <c r="N13" s="86">
        <f>E13*'Assumption Cost'!$K$16</f>
        <v>2.5343136545454545E-2</v>
      </c>
    </row>
    <row r="14" spans="1:14" s="88" customFormat="1" ht="13.5">
      <c r="A14" s="82"/>
      <c r="B14" s="83"/>
      <c r="C14" s="84" t="s">
        <v>42</v>
      </c>
      <c r="D14" s="85" t="s">
        <v>43</v>
      </c>
      <c r="E14" s="112">
        <v>0.1</v>
      </c>
      <c r="F14" s="86">
        <f>E14*'Assumption Cost'!$K$6</f>
        <v>0.26854837522145453</v>
      </c>
      <c r="G14" s="87">
        <v>0</v>
      </c>
      <c r="H14" s="86"/>
      <c r="I14" s="87">
        <v>0.1</v>
      </c>
      <c r="J14" s="86">
        <f>I14*'Assumption Cost'!$M$6</f>
        <v>3.1688708276131634E-2</v>
      </c>
      <c r="K14" s="87">
        <v>0.15</v>
      </c>
      <c r="L14" s="86">
        <f>K14*'Assumption Cost'!$N$6</f>
        <v>2.6586289146923996E-2</v>
      </c>
      <c r="M14" s="106">
        <f>E14*'Assumption Cost'!$K$15</f>
        <v>0.24320523867600002</v>
      </c>
      <c r="N14" s="86">
        <f>E14*'Assumption Cost'!$K$16</f>
        <v>2.5343136545454545E-2</v>
      </c>
    </row>
    <row r="15" spans="1:14" s="88" customFormat="1" ht="13.5">
      <c r="A15" s="82"/>
      <c r="B15" s="83"/>
      <c r="C15" s="84" t="s">
        <v>44</v>
      </c>
      <c r="D15" s="85" t="s">
        <v>45</v>
      </c>
      <c r="E15" s="112">
        <v>0.1</v>
      </c>
      <c r="F15" s="86">
        <f>E15*'Assumption Cost'!$K$6</f>
        <v>0.26854837522145453</v>
      </c>
      <c r="G15" s="87">
        <v>0.2</v>
      </c>
      <c r="H15" s="86">
        <f>G15*'Assumption Cost'!$L$6</f>
        <v>0.11386451109389673</v>
      </c>
      <c r="I15" s="87">
        <v>0.1</v>
      </c>
      <c r="J15" s="86">
        <f>I15*'Assumption Cost'!$M$6</f>
        <v>3.1688708276131634E-2</v>
      </c>
      <c r="K15" s="87">
        <v>0.05</v>
      </c>
      <c r="L15" s="86">
        <f>K15*'Assumption Cost'!$N$6</f>
        <v>8.8620963823079994E-3</v>
      </c>
      <c r="M15" s="106">
        <f>E15*'Assumption Cost'!$K$15</f>
        <v>0.24320523867600002</v>
      </c>
      <c r="N15" s="106">
        <f>E15*'Assumption Cost'!$K$16</f>
        <v>2.5343136545454545E-2</v>
      </c>
    </row>
    <row r="16" spans="1:14" s="88" customFormat="1" ht="13.5">
      <c r="A16" s="82"/>
      <c r="B16" s="83"/>
      <c r="C16" s="84" t="s">
        <v>46</v>
      </c>
      <c r="D16" s="85" t="s">
        <v>47</v>
      </c>
      <c r="E16" s="112">
        <v>0.05</v>
      </c>
      <c r="F16" s="86">
        <f>E16*'Assumption Cost'!$K$6</f>
        <v>0.13427418761072726</v>
      </c>
      <c r="G16" s="87">
        <v>0.1</v>
      </c>
      <c r="H16" s="86">
        <f>G16*'Assumption Cost'!$L$6</f>
        <v>5.6932255546948363E-2</v>
      </c>
      <c r="I16" s="87">
        <v>0.05</v>
      </c>
      <c r="J16" s="86">
        <f>I16*'Assumption Cost'!$M$6</f>
        <v>1.5844354138065817E-2</v>
      </c>
      <c r="K16" s="87">
        <v>0.05</v>
      </c>
      <c r="L16" s="86">
        <f>K16*'Assumption Cost'!$N$6</f>
        <v>8.8620963823079994E-3</v>
      </c>
    </row>
    <row r="17" spans="1:20" s="88" customFormat="1" ht="13.5">
      <c r="A17" s="82"/>
      <c r="B17" s="83"/>
      <c r="C17" s="84" t="s">
        <v>48</v>
      </c>
      <c r="D17" s="85" t="s">
        <v>49</v>
      </c>
      <c r="E17" s="112">
        <v>0.05</v>
      </c>
      <c r="F17" s="86">
        <f>E17*'Assumption Cost'!$K$6</f>
        <v>0.13427418761072726</v>
      </c>
      <c r="G17" s="87">
        <v>0</v>
      </c>
      <c r="H17" s="86"/>
      <c r="I17" s="87">
        <v>0</v>
      </c>
      <c r="J17" s="86"/>
      <c r="K17" s="87">
        <v>0.05</v>
      </c>
      <c r="L17" s="86">
        <f>K17*'Assumption Cost'!$N$6</f>
        <v>8.8620963823079994E-3</v>
      </c>
    </row>
    <row r="18" spans="1:20" ht="18">
      <c r="A18" s="63"/>
      <c r="B18" s="63"/>
      <c r="C18" s="287" t="s">
        <v>50</v>
      </c>
      <c r="D18" s="288"/>
      <c r="E18" s="109"/>
      <c r="F18" s="81"/>
      <c r="G18" s="66"/>
      <c r="H18" s="217"/>
      <c r="I18" s="66"/>
      <c r="J18" s="217"/>
      <c r="K18" s="66"/>
      <c r="L18" s="217"/>
    </row>
    <row r="19" spans="1:20" ht="3" customHeight="1">
      <c r="A19" s="63"/>
      <c r="B19" s="63"/>
      <c r="C19" s="89"/>
      <c r="D19" s="90"/>
      <c r="E19" s="109"/>
      <c r="F19" s="210"/>
      <c r="G19" s="66"/>
      <c r="H19" s="217"/>
      <c r="I19" s="66"/>
      <c r="J19" s="217"/>
      <c r="K19" s="66"/>
      <c r="L19" s="217"/>
    </row>
    <row r="20" spans="1:20" ht="15">
      <c r="A20" s="63"/>
      <c r="B20" s="80">
        <v>2</v>
      </c>
      <c r="C20" s="84" t="s">
        <v>37</v>
      </c>
      <c r="D20" s="85" t="s">
        <v>51</v>
      </c>
      <c r="E20" s="113">
        <f>SUM(E21:E32)</f>
        <v>0.50000000000000022</v>
      </c>
      <c r="F20" s="211">
        <f>E20*'Assumption Cost'!$K$15</f>
        <v>1.2160261933800005</v>
      </c>
      <c r="G20" s="113">
        <f>SUM(G21:G32)</f>
        <v>0.54999999999999993</v>
      </c>
      <c r="H20" s="211">
        <f>G20*'Assumption Cost'!$L$15</f>
        <v>0.28357730829621597</v>
      </c>
      <c r="I20" s="113">
        <f>SUM(I21:I32)</f>
        <v>0.65000000000000013</v>
      </c>
      <c r="J20" s="211">
        <f>I20*'Assumption Cost'!$M$15</f>
        <v>0.18653841806449201</v>
      </c>
      <c r="K20" s="113">
        <f>SUM(K21:K32)</f>
        <v>0.54999999999999993</v>
      </c>
      <c r="L20" s="211">
        <f>K20*'Assumption Cost'!$N$15</f>
        <v>8.8283501639387973E-2</v>
      </c>
    </row>
    <row r="21" spans="1:20" ht="13.5">
      <c r="A21" s="63"/>
      <c r="B21" s="92"/>
      <c r="C21" s="93" t="s">
        <v>52</v>
      </c>
      <c r="D21" s="94" t="s">
        <v>72</v>
      </c>
      <c r="E21" s="114">
        <v>0.1</v>
      </c>
      <c r="F21" s="212">
        <f>E21*'Assumption Cost'!$K$15</f>
        <v>0.24320523867600002</v>
      </c>
      <c r="G21" s="95">
        <v>0.05</v>
      </c>
      <c r="H21" s="212">
        <f>G21*'Assumption Cost'!$L$15</f>
        <v>2.5779755299655999E-2</v>
      </c>
      <c r="I21" s="95">
        <v>0</v>
      </c>
      <c r="J21" s="212">
        <f>I21*'Assumption Cost'!$M$15</f>
        <v>0</v>
      </c>
      <c r="K21" s="95">
        <v>0</v>
      </c>
      <c r="L21" s="212">
        <f>K21*'Assumption Cost'!$N$15</f>
        <v>0</v>
      </c>
    </row>
    <row r="22" spans="1:20" ht="13.5">
      <c r="A22" s="63"/>
      <c r="B22" s="92"/>
      <c r="C22" s="93" t="s">
        <v>53</v>
      </c>
      <c r="D22" s="94" t="s">
        <v>73</v>
      </c>
      <c r="E22" s="95">
        <v>0.05</v>
      </c>
      <c r="F22" s="212">
        <f>E22*'Assumption Cost'!$K$15</f>
        <v>0.12160261933800001</v>
      </c>
      <c r="G22" s="95">
        <v>0.1</v>
      </c>
      <c r="H22" s="212">
        <f>G22*'Assumption Cost'!$L$15</f>
        <v>5.1559510599311999E-2</v>
      </c>
      <c r="I22" s="95">
        <v>0.15</v>
      </c>
      <c r="J22" s="212">
        <f>I22*'Assumption Cost'!$M$15</f>
        <v>4.3047327245651995E-2</v>
      </c>
      <c r="K22" s="114">
        <v>0.05</v>
      </c>
      <c r="L22" s="212">
        <f>K22*'Assumption Cost'!$N$15</f>
        <v>8.0257728763079988E-3</v>
      </c>
    </row>
    <row r="23" spans="1:20" ht="13.5">
      <c r="A23" s="63"/>
      <c r="B23" s="92"/>
      <c r="C23" s="93" t="s">
        <v>55</v>
      </c>
      <c r="D23" s="94" t="s">
        <v>74</v>
      </c>
      <c r="E23" s="114">
        <v>0.1</v>
      </c>
      <c r="F23" s="212">
        <f>E23*'Assumption Cost'!$K$15</f>
        <v>0.24320523867600002</v>
      </c>
      <c r="G23" s="95">
        <v>0</v>
      </c>
      <c r="H23" s="212">
        <f>G23*'Assumption Cost'!$L$15</f>
        <v>0</v>
      </c>
      <c r="I23" s="95">
        <v>0.05</v>
      </c>
      <c r="J23" s="212">
        <f>I23*'Assumption Cost'!$M$15</f>
        <v>1.4349109081883998E-2</v>
      </c>
      <c r="K23" s="114">
        <v>0.05</v>
      </c>
      <c r="L23" s="212">
        <f>K23*'Assumption Cost'!$N$15</f>
        <v>8.0257728763079988E-3</v>
      </c>
    </row>
    <row r="24" spans="1:20" ht="13.5">
      <c r="A24" s="63"/>
      <c r="B24" s="92"/>
      <c r="C24" s="93" t="s">
        <v>57</v>
      </c>
      <c r="D24" s="94" t="s">
        <v>75</v>
      </c>
      <c r="E24" s="95">
        <v>0</v>
      </c>
      <c r="F24" s="212">
        <f>E24*'Assumption Cost'!$K$15</f>
        <v>0</v>
      </c>
      <c r="G24" s="95">
        <v>0</v>
      </c>
      <c r="H24" s="212">
        <f>G24*'Assumption Cost'!$L$15</f>
        <v>0</v>
      </c>
      <c r="I24" s="114">
        <v>0.1</v>
      </c>
      <c r="J24" s="212">
        <f>I24*'Assumption Cost'!$M$15</f>
        <v>2.8698218163767997E-2</v>
      </c>
      <c r="K24" s="114">
        <v>0.05</v>
      </c>
      <c r="L24" s="212">
        <f>K24*'Assumption Cost'!$N$15</f>
        <v>8.0257728763079988E-3</v>
      </c>
    </row>
    <row r="25" spans="1:20" ht="13.5">
      <c r="A25" s="63"/>
      <c r="B25" s="92"/>
      <c r="C25" s="93" t="s">
        <v>83</v>
      </c>
      <c r="D25" s="94" t="s">
        <v>76</v>
      </c>
      <c r="E25" s="114">
        <v>0.03</v>
      </c>
      <c r="F25" s="212">
        <f>E25*'Assumption Cost'!$K$15</f>
        <v>7.2961571602800007E-2</v>
      </c>
      <c r="G25" s="95">
        <v>0.05</v>
      </c>
      <c r="H25" s="212">
        <f>G25*'Assumption Cost'!$L$15</f>
        <v>2.5779755299655999E-2</v>
      </c>
      <c r="I25" s="95">
        <v>0.05</v>
      </c>
      <c r="J25" s="212">
        <f>I25*'Assumption Cost'!$M$15</f>
        <v>1.4349109081883998E-2</v>
      </c>
      <c r="K25" s="114">
        <v>0.05</v>
      </c>
      <c r="L25" s="212">
        <f>K25*'Assumption Cost'!$N$15</f>
        <v>8.0257728763079988E-3</v>
      </c>
      <c r="R25" s="266"/>
      <c r="S25" s="266"/>
      <c r="T25" s="266"/>
    </row>
    <row r="26" spans="1:20" ht="13.5">
      <c r="A26" s="63"/>
      <c r="B26" s="92"/>
      <c r="C26" s="93" t="s">
        <v>84</v>
      </c>
      <c r="D26" s="94" t="s">
        <v>77</v>
      </c>
      <c r="E26" s="114">
        <v>0.03</v>
      </c>
      <c r="F26" s="212">
        <f>E26*'Assumption Cost'!$K$15</f>
        <v>7.2961571602800007E-2</v>
      </c>
      <c r="G26" s="95">
        <v>0.05</v>
      </c>
      <c r="H26" s="212">
        <f>G26*'Assumption Cost'!$L$15</f>
        <v>2.5779755299655999E-2</v>
      </c>
      <c r="I26" s="95">
        <v>0</v>
      </c>
      <c r="J26" s="212">
        <f>I26*'Assumption Cost'!$M$15</f>
        <v>0</v>
      </c>
      <c r="K26" s="114">
        <v>0.05</v>
      </c>
      <c r="L26" s="212">
        <f>K26*'Assumption Cost'!$N$15</f>
        <v>8.0257728763079988E-3</v>
      </c>
    </row>
    <row r="27" spans="1:20" ht="13.5">
      <c r="A27" s="63"/>
      <c r="B27" s="92"/>
      <c r="C27" s="93" t="s">
        <v>85</v>
      </c>
      <c r="D27" s="94" t="s">
        <v>78</v>
      </c>
      <c r="E27" s="114">
        <v>0.03</v>
      </c>
      <c r="F27" s="212">
        <f>E27*'Assumption Cost'!$K$15</f>
        <v>7.2961571602800007E-2</v>
      </c>
      <c r="G27" s="95">
        <v>0.05</v>
      </c>
      <c r="H27" s="212">
        <f>G27*'Assumption Cost'!$L$15</f>
        <v>2.5779755299655999E-2</v>
      </c>
      <c r="I27" s="95">
        <v>0.05</v>
      </c>
      <c r="J27" s="212">
        <f>I27*'Assumption Cost'!$M$15</f>
        <v>1.4349109081883998E-2</v>
      </c>
      <c r="K27" s="114">
        <v>0.05</v>
      </c>
      <c r="L27" s="212">
        <f>K27*'Assumption Cost'!$N$15</f>
        <v>8.0257728763079988E-3</v>
      </c>
      <c r="S27" s="266"/>
      <c r="T27" s="266"/>
    </row>
    <row r="28" spans="1:20" ht="13.5">
      <c r="A28" s="63"/>
      <c r="B28" s="92"/>
      <c r="C28" s="93" t="s">
        <v>86</v>
      </c>
      <c r="D28" s="94" t="s">
        <v>79</v>
      </c>
      <c r="E28" s="114">
        <v>0.03</v>
      </c>
      <c r="F28" s="212">
        <f>E28*'Assumption Cost'!$K$15</f>
        <v>7.2961571602800007E-2</v>
      </c>
      <c r="G28" s="95">
        <v>0.05</v>
      </c>
      <c r="H28" s="212">
        <f>G28*'Assumption Cost'!$L$15</f>
        <v>2.5779755299655999E-2</v>
      </c>
      <c r="I28" s="95">
        <v>0.05</v>
      </c>
      <c r="J28" s="212">
        <f>I28*'Assumption Cost'!$M$15</f>
        <v>1.4349109081883998E-2</v>
      </c>
      <c r="K28" s="114">
        <v>0.05</v>
      </c>
      <c r="L28" s="212">
        <f>K28*'Assumption Cost'!$N$15</f>
        <v>8.0257728763079988E-3</v>
      </c>
    </row>
    <row r="29" spans="1:20" ht="13.5">
      <c r="A29" s="63"/>
      <c r="B29" s="92"/>
      <c r="C29" s="93" t="s">
        <v>87</v>
      </c>
      <c r="D29" s="94" t="s">
        <v>80</v>
      </c>
      <c r="E29" s="114">
        <v>0.03</v>
      </c>
      <c r="F29" s="212">
        <f>E29*'Assumption Cost'!$K$15</f>
        <v>7.2961571602800007E-2</v>
      </c>
      <c r="G29" s="95">
        <v>0.05</v>
      </c>
      <c r="H29" s="212">
        <f>G29*'Assumption Cost'!$L$15</f>
        <v>2.5779755299655999E-2</v>
      </c>
      <c r="I29" s="95">
        <v>0.05</v>
      </c>
      <c r="J29" s="212">
        <f>I29*'Assumption Cost'!$M$15</f>
        <v>1.4349109081883998E-2</v>
      </c>
      <c r="K29" s="114">
        <v>0.05</v>
      </c>
      <c r="L29" s="212">
        <f>K29*'Assumption Cost'!$N$15</f>
        <v>8.0257728763079988E-3</v>
      </c>
      <c r="S29" s="266"/>
      <c r="T29" s="266"/>
    </row>
    <row r="30" spans="1:20" ht="13.5">
      <c r="A30" s="63"/>
      <c r="B30" s="92"/>
      <c r="C30" s="93" t="s">
        <v>88</v>
      </c>
      <c r="D30" s="94" t="s">
        <v>81</v>
      </c>
      <c r="E30" s="114">
        <v>0.03</v>
      </c>
      <c r="F30" s="212">
        <f>E30*'Assumption Cost'!$K$15</f>
        <v>7.2961571602800007E-2</v>
      </c>
      <c r="G30" s="95">
        <v>0.05</v>
      </c>
      <c r="H30" s="212">
        <f>G30*'Assumption Cost'!$L$15</f>
        <v>2.5779755299655999E-2</v>
      </c>
      <c r="I30" s="95">
        <v>0.05</v>
      </c>
      <c r="J30" s="212">
        <f>I30*'Assumption Cost'!$M$15</f>
        <v>1.4349109081883998E-2</v>
      </c>
      <c r="K30" s="114">
        <v>0.05</v>
      </c>
      <c r="L30" s="212">
        <f>K30*'Assumption Cost'!$N$15</f>
        <v>8.0257728763079988E-3</v>
      </c>
    </row>
    <row r="31" spans="1:20" ht="13.5">
      <c r="A31" s="63"/>
      <c r="B31" s="92"/>
      <c r="C31" s="93" t="s">
        <v>89</v>
      </c>
      <c r="D31" s="94" t="s">
        <v>82</v>
      </c>
      <c r="E31" s="114">
        <v>0.03</v>
      </c>
      <c r="F31" s="212">
        <f>E31*'Assumption Cost'!$K$15</f>
        <v>7.2961571602800007E-2</v>
      </c>
      <c r="G31" s="95">
        <v>0.05</v>
      </c>
      <c r="H31" s="212">
        <f>G31*'Assumption Cost'!$L$15</f>
        <v>2.5779755299655999E-2</v>
      </c>
      <c r="I31" s="95">
        <v>0.05</v>
      </c>
      <c r="J31" s="212">
        <f>I31*'Assumption Cost'!$M$15</f>
        <v>1.4349109081883998E-2</v>
      </c>
      <c r="K31" s="114">
        <v>0.05</v>
      </c>
      <c r="L31" s="212">
        <f>K31*'Assumption Cost'!$N$15</f>
        <v>8.0257728763079988E-3</v>
      </c>
    </row>
    <row r="32" spans="1:20" ht="13.5">
      <c r="A32" s="63"/>
      <c r="B32" s="92"/>
      <c r="C32" s="93" t="s">
        <v>90</v>
      </c>
      <c r="D32" s="94" t="s">
        <v>91</v>
      </c>
      <c r="E32" s="114">
        <v>0.04</v>
      </c>
      <c r="F32" s="212">
        <f>E32*'Assumption Cost'!$K$15</f>
        <v>9.728209547040001E-2</v>
      </c>
      <c r="G32" s="95">
        <v>0.05</v>
      </c>
      <c r="H32" s="212">
        <f>G32*'Assumption Cost'!$L$15</f>
        <v>2.5779755299655999E-2</v>
      </c>
      <c r="I32" s="95">
        <v>0.05</v>
      </c>
      <c r="J32" s="212">
        <f>I32*'Assumption Cost'!$M$15</f>
        <v>1.4349109081883998E-2</v>
      </c>
      <c r="K32" s="114">
        <v>0.05</v>
      </c>
      <c r="L32" s="212">
        <f>K32*'Assumption Cost'!$N$15</f>
        <v>8.0257728763079988E-3</v>
      </c>
    </row>
    <row r="33" spans="1:12" ht="15">
      <c r="A33" s="63"/>
      <c r="B33" s="80">
        <v>3</v>
      </c>
      <c r="C33" s="84" t="s">
        <v>58</v>
      </c>
      <c r="D33" s="85" t="s">
        <v>13</v>
      </c>
      <c r="E33" s="113">
        <f>E34+E35+E36+E37+E38</f>
        <v>0.49999999999999994</v>
      </c>
      <c r="F33" s="211">
        <f>E33*'Assumption Cost'!$K$16</f>
        <v>0.12671568272727268</v>
      </c>
      <c r="G33" s="91">
        <f>G34+G35+G36+G37+G38</f>
        <v>0.54999999999999993</v>
      </c>
      <c r="H33" s="211">
        <f>G33*'Assumption Cost'!$L$16</f>
        <v>2.9550097211999995E-2</v>
      </c>
      <c r="I33" s="91">
        <f>I34+I35+I36+I37+I38</f>
        <v>0.65</v>
      </c>
      <c r="J33" s="211">
        <f>I33*'Assumption Cost'!$M$16</f>
        <v>1.9438185730363634E-2</v>
      </c>
      <c r="K33" s="91">
        <f>K34+K35+K36+K37+K38</f>
        <v>0.55000000000000004</v>
      </c>
      <c r="L33" s="211">
        <f>K33*'Assumption Cost'!$N$16</f>
        <v>9.1995585660000004E-3</v>
      </c>
    </row>
    <row r="34" spans="1:12" ht="12.75" customHeight="1">
      <c r="A34" s="63"/>
      <c r="B34" s="92"/>
      <c r="C34" s="93" t="s">
        <v>59</v>
      </c>
      <c r="D34" s="94" t="s">
        <v>60</v>
      </c>
      <c r="E34" s="114">
        <v>0.15</v>
      </c>
      <c r="F34" s="212">
        <f>E34*'Assumption Cost'!$K$16</f>
        <v>3.801470481818181E-2</v>
      </c>
      <c r="G34" s="95">
        <v>0.35</v>
      </c>
      <c r="H34" s="212">
        <f>G34*'Assumption Cost'!$L$16</f>
        <v>1.880460731672727E-2</v>
      </c>
      <c r="I34" s="95">
        <v>0.35</v>
      </c>
      <c r="J34" s="212">
        <f>I34*'Assumption Cost'!$M$16</f>
        <v>1.0466715393272725E-2</v>
      </c>
      <c r="K34" s="95">
        <v>0</v>
      </c>
      <c r="L34" s="212"/>
    </row>
    <row r="35" spans="1:12" ht="12.75" customHeight="1">
      <c r="A35" s="63"/>
      <c r="B35" s="92"/>
      <c r="C35" s="93" t="s">
        <v>61</v>
      </c>
      <c r="D35" s="94" t="s">
        <v>62</v>
      </c>
      <c r="E35" s="114">
        <v>0.2</v>
      </c>
      <c r="F35" s="212">
        <f>E35*'Assumption Cost'!$K$16</f>
        <v>5.068627309090909E-2</v>
      </c>
      <c r="G35" s="95">
        <v>0</v>
      </c>
      <c r="H35" s="218"/>
      <c r="I35" s="95">
        <v>0.15</v>
      </c>
      <c r="J35" s="212">
        <f>I35*'Assumption Cost'!$M$16</f>
        <v>4.4857351685454539E-3</v>
      </c>
      <c r="K35" s="95">
        <v>0.1</v>
      </c>
      <c r="L35" s="212">
        <f>K35*'Assumption Cost'!$N$16</f>
        <v>1.6726470120000001E-3</v>
      </c>
    </row>
    <row r="36" spans="1:12" ht="12.75" customHeight="1">
      <c r="A36" s="63"/>
      <c r="B36" s="92"/>
      <c r="C36" s="93" t="s">
        <v>63</v>
      </c>
      <c r="D36" s="94" t="s">
        <v>64</v>
      </c>
      <c r="E36" s="114">
        <v>0.05</v>
      </c>
      <c r="F36" s="212">
        <f>E36*'Assumption Cost'!$K$16</f>
        <v>1.2671568272727272E-2</v>
      </c>
      <c r="G36" s="95">
        <v>0.05</v>
      </c>
      <c r="H36" s="212">
        <f>G36*'Assumption Cost'!$L$16</f>
        <v>2.686372473818182E-3</v>
      </c>
      <c r="I36" s="95">
        <v>0.1</v>
      </c>
      <c r="J36" s="212">
        <f>I36*'Assumption Cost'!$M$16</f>
        <v>2.9904901123636359E-3</v>
      </c>
      <c r="K36" s="95">
        <v>0.2</v>
      </c>
      <c r="L36" s="212">
        <f>K36*'Assumption Cost'!$N$16</f>
        <v>3.3452940240000003E-3</v>
      </c>
    </row>
    <row r="37" spans="1:12" ht="12.75" customHeight="1">
      <c r="A37" s="63"/>
      <c r="B37" s="92"/>
      <c r="C37" s="93" t="s">
        <v>65</v>
      </c>
      <c r="D37" s="94" t="s">
        <v>66</v>
      </c>
      <c r="E37" s="114">
        <v>0.05</v>
      </c>
      <c r="F37" s="212">
        <f>E37*'Assumption Cost'!$K$16</f>
        <v>1.2671568272727272E-2</v>
      </c>
      <c r="G37" s="95">
        <v>0.05</v>
      </c>
      <c r="H37" s="212">
        <f>G37*'Assumption Cost'!$L$16</f>
        <v>2.686372473818182E-3</v>
      </c>
      <c r="I37" s="95"/>
      <c r="J37" s="212"/>
      <c r="K37" s="95">
        <v>0.25</v>
      </c>
      <c r="L37" s="212">
        <f>K37*'Assumption Cost'!$N$16</f>
        <v>4.1816175299999999E-3</v>
      </c>
    </row>
    <row r="38" spans="1:12" ht="12.75" customHeight="1">
      <c r="A38" s="63"/>
      <c r="B38" s="92"/>
      <c r="C38" s="93" t="s">
        <v>67</v>
      </c>
      <c r="D38" s="94" t="s">
        <v>68</v>
      </c>
      <c r="E38" s="114">
        <v>0.05</v>
      </c>
      <c r="F38" s="212">
        <f>E38*'Assumption Cost'!$K$16</f>
        <v>1.2671568272727272E-2</v>
      </c>
      <c r="G38" s="95">
        <v>0.1</v>
      </c>
      <c r="H38" s="212">
        <f>G38*'Assumption Cost'!$L$16</f>
        <v>5.372744947636364E-3</v>
      </c>
      <c r="I38" s="95">
        <v>0.05</v>
      </c>
      <c r="J38" s="212">
        <f>I38*'Assumption Cost'!$M$16</f>
        <v>1.495245056181818E-3</v>
      </c>
      <c r="K38" s="95">
        <v>0</v>
      </c>
      <c r="L38" s="212"/>
    </row>
    <row r="39" spans="1:12" ht="3" customHeight="1">
      <c r="A39" s="63"/>
      <c r="B39" s="64"/>
      <c r="C39" s="64"/>
      <c r="D39" s="65"/>
      <c r="E39" s="109"/>
      <c r="F39" s="210"/>
      <c r="G39" s="66"/>
      <c r="H39" s="217"/>
      <c r="I39" s="66"/>
      <c r="J39" s="217"/>
      <c r="K39" s="66"/>
      <c r="L39" s="217"/>
    </row>
    <row r="40" spans="1:12" ht="18">
      <c r="A40" s="63"/>
      <c r="B40" s="63"/>
      <c r="C40" s="287" t="s">
        <v>69</v>
      </c>
      <c r="D40" s="288"/>
      <c r="E40" s="109"/>
      <c r="F40" s="210"/>
      <c r="G40" s="66"/>
      <c r="H40" s="217"/>
      <c r="I40" s="66"/>
      <c r="J40" s="217"/>
      <c r="K40" s="66"/>
      <c r="L40" s="217"/>
    </row>
    <row r="41" spans="1:12" ht="3" customHeight="1">
      <c r="A41" s="63"/>
      <c r="B41" s="64"/>
      <c r="C41" s="64"/>
      <c r="D41" s="65"/>
      <c r="E41" s="109"/>
      <c r="F41" s="210"/>
      <c r="G41" s="66"/>
      <c r="H41" s="217"/>
      <c r="I41" s="66"/>
      <c r="J41" s="217"/>
      <c r="K41" s="66"/>
      <c r="L41" s="217"/>
    </row>
    <row r="42" spans="1:12" ht="15">
      <c r="A42" s="63"/>
      <c r="B42" s="80">
        <v>4</v>
      </c>
      <c r="C42" s="84" t="s">
        <v>70</v>
      </c>
      <c r="D42" s="85" t="s">
        <v>71</v>
      </c>
      <c r="E42" s="113">
        <v>0.05</v>
      </c>
      <c r="F42" s="86">
        <f>E42*'Assumption Cost'!$K$6</f>
        <v>0.13427418761072726</v>
      </c>
      <c r="G42" s="91">
        <v>0.05</v>
      </c>
      <c r="H42" s="86">
        <f>G42*'Assumption Cost'!$L$6</f>
        <v>2.8466127773474181E-2</v>
      </c>
      <c r="I42" s="91">
        <v>0.05</v>
      </c>
      <c r="J42" s="86">
        <f>I42*'Assumption Cost'!$M$6</f>
        <v>1.5844354138065817E-2</v>
      </c>
      <c r="K42" s="91">
        <v>0.05</v>
      </c>
      <c r="L42" s="86">
        <f>K42*'Assumption Cost'!$N$6</f>
        <v>8.8620963823079994E-3</v>
      </c>
    </row>
    <row r="43" spans="1:12" ht="3" customHeight="1">
      <c r="A43" s="63"/>
      <c r="B43" s="64"/>
      <c r="C43" s="64"/>
      <c r="D43" s="96"/>
      <c r="E43" s="109"/>
      <c r="F43" s="210"/>
      <c r="G43" s="66"/>
      <c r="H43" s="217"/>
      <c r="I43" s="66"/>
      <c r="J43" s="217"/>
      <c r="K43" s="66"/>
      <c r="L43" s="217"/>
    </row>
    <row r="44" spans="1:12" s="100" customFormat="1" ht="3" customHeight="1">
      <c r="A44" s="97"/>
      <c r="B44" s="78"/>
      <c r="C44" s="78"/>
      <c r="D44" s="98"/>
      <c r="E44" s="115"/>
      <c r="F44" s="213"/>
      <c r="G44" s="99"/>
      <c r="H44" s="219"/>
      <c r="I44" s="99"/>
      <c r="J44" s="219"/>
      <c r="K44" s="99"/>
      <c r="L44" s="219"/>
    </row>
    <row r="45" spans="1:12" ht="3" customHeight="1">
      <c r="A45" s="58"/>
      <c r="B45" s="101"/>
      <c r="C45" s="101"/>
      <c r="D45" s="102"/>
      <c r="E45" s="109"/>
      <c r="F45" s="210"/>
      <c r="G45" s="66"/>
      <c r="H45" s="217"/>
      <c r="I45" s="66"/>
      <c r="J45" s="217"/>
      <c r="K45" s="66"/>
      <c r="L45" s="217"/>
    </row>
    <row r="46" spans="1:12" s="100" customFormat="1">
      <c r="B46" s="55"/>
      <c r="C46" s="55"/>
      <c r="D46" s="56"/>
      <c r="E46" s="107"/>
      <c r="F46" s="208"/>
      <c r="G46" s="57"/>
      <c r="H46" s="215"/>
      <c r="I46" s="57"/>
      <c r="J46" s="215"/>
      <c r="K46" s="57"/>
      <c r="L46" s="215"/>
    </row>
    <row r="47" spans="1:12" s="100" customFormat="1">
      <c r="B47" s="55"/>
      <c r="C47" s="55"/>
      <c r="D47" s="56"/>
      <c r="E47" s="107"/>
      <c r="F47" s="208"/>
      <c r="G47" s="57"/>
      <c r="H47" s="215"/>
      <c r="I47" s="57"/>
      <c r="J47" s="215"/>
      <c r="K47" s="57"/>
      <c r="L47" s="215"/>
    </row>
    <row r="48" spans="1:12" s="100" customFormat="1">
      <c r="B48" s="55"/>
      <c r="C48" s="55"/>
      <c r="D48" s="56"/>
      <c r="E48" s="107"/>
      <c r="F48" s="208"/>
      <c r="G48" s="57"/>
      <c r="H48" s="215"/>
      <c r="I48" s="57"/>
      <c r="J48" s="215"/>
      <c r="K48" s="57"/>
      <c r="L48" s="215"/>
    </row>
    <row r="49" spans="2:12" s="100" customFormat="1">
      <c r="B49" s="55"/>
      <c r="C49" s="55"/>
      <c r="D49" s="56"/>
      <c r="E49" s="107"/>
      <c r="F49" s="214"/>
      <c r="G49" s="57"/>
      <c r="H49" s="220"/>
      <c r="I49" s="57"/>
      <c r="J49" s="220"/>
      <c r="K49" s="57"/>
      <c r="L49" s="220"/>
    </row>
    <row r="50" spans="2:12" s="100" customFormat="1">
      <c r="B50" s="55"/>
      <c r="C50" s="55"/>
      <c r="D50" s="56"/>
      <c r="E50" s="107"/>
      <c r="F50" s="208"/>
      <c r="G50" s="57"/>
      <c r="H50" s="215"/>
      <c r="I50" s="57"/>
      <c r="J50" s="215"/>
      <c r="K50" s="57"/>
      <c r="L50" s="215"/>
    </row>
    <row r="52" spans="2:12">
      <c r="D52" s="103"/>
    </row>
    <row r="53" spans="2:12">
      <c r="D53" s="103"/>
    </row>
    <row r="54" spans="2:12">
      <c r="D54" s="103"/>
    </row>
  </sheetData>
  <mergeCells count="11">
    <mergeCell ref="C10:D10"/>
    <mergeCell ref="C18:D18"/>
    <mergeCell ref="C40:D40"/>
    <mergeCell ref="F4:F6"/>
    <mergeCell ref="H4:H6"/>
    <mergeCell ref="J4:J6"/>
    <mergeCell ref="L4:L6"/>
    <mergeCell ref="E5:E6"/>
    <mergeCell ref="G5:G6"/>
    <mergeCell ref="I5:I6"/>
    <mergeCell ref="K5:K6"/>
  </mergeCells>
  <phoneticPr fontId="10" type="noConversion"/>
  <printOptions verticalCentered="1"/>
  <pageMargins left="0.74803149606299213" right="0.51181102362204722" top="0.51181102362204722" bottom="0.51181102362204722" header="0.31496062992125984" footer="0.31496062992125984"/>
  <pageSetup paperSize="9" scale="5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79A8D-8102-435D-85F7-0E1C2862CC5A}">
  <sheetPr>
    <outlinePr summaryBelow="0" summaryRight="0"/>
  </sheetPr>
  <dimension ref="A1:T129"/>
  <sheetViews>
    <sheetView zoomScale="76" zoomScaleNormal="50" workbookViewId="0">
      <pane xSplit="3" ySplit="2" topLeftCell="D28" activePane="bottomRight" state="frozen"/>
      <selection pane="topRight" activeCell="C1" sqref="C1"/>
      <selection pane="bottomLeft" activeCell="A3" sqref="A3"/>
      <selection pane="bottomRight" activeCell="F25" sqref="F25"/>
    </sheetView>
  </sheetViews>
  <sheetFormatPr defaultColWidth="8.7109375" defaultRowHeight="20.25" outlineLevelRow="1" outlineLevelCol="1"/>
  <cols>
    <col min="1" max="1" width="5.85546875" style="205" bestFit="1" customWidth="1"/>
    <col min="2" max="2" width="12.140625" style="206" customWidth="1"/>
    <col min="3" max="3" width="46.7109375" style="206" customWidth="1"/>
    <col min="4" max="4" width="39.7109375" style="206" customWidth="1" collapsed="1"/>
    <col min="5" max="5" width="16" style="207" hidden="1" customWidth="1" outlineLevel="1"/>
    <col min="6" max="6" width="31.85546875" style="206" customWidth="1" collapsed="1"/>
    <col min="7" max="7" width="18.85546875" style="207" hidden="1" customWidth="1" outlineLevel="1"/>
    <col min="8" max="8" width="23.28515625" style="206" customWidth="1" collapsed="1"/>
    <col min="9" max="9" width="23.28515625" style="206" hidden="1" customWidth="1" outlineLevel="1"/>
    <col min="10" max="10" width="28" style="206" customWidth="1" collapsed="1"/>
    <col min="11" max="11" width="36.140625" style="206" hidden="1" customWidth="1" outlineLevel="1"/>
    <col min="12" max="12" width="25.5703125" style="206" customWidth="1" collapsed="1"/>
    <col min="13" max="13" width="18.85546875" style="207" hidden="1" customWidth="1" outlineLevel="1"/>
    <col min="14" max="14" width="34.7109375" style="206" customWidth="1" collapsed="1"/>
    <col min="15" max="15" width="18.85546875" style="207" hidden="1" customWidth="1" outlineLevel="1"/>
    <col min="16" max="16" width="28.7109375" style="206" customWidth="1" collapsed="1"/>
    <col min="17" max="17" width="18.85546875" style="207" hidden="1" customWidth="1" outlineLevel="1"/>
    <col min="18" max="16384" width="8.7109375" style="206"/>
  </cols>
  <sheetData>
    <row r="1" spans="1:17" s="117" customFormat="1">
      <c r="A1" s="294">
        <f>SUM(A19:A129)</f>
        <v>285</v>
      </c>
      <c r="B1" s="292" t="s">
        <v>92</v>
      </c>
      <c r="C1" s="292" t="s">
        <v>93</v>
      </c>
      <c r="D1" s="292" t="s">
        <v>94</v>
      </c>
      <c r="E1" s="296" t="s">
        <v>234</v>
      </c>
      <c r="F1" s="116"/>
      <c r="G1" s="296" t="s">
        <v>234</v>
      </c>
      <c r="H1" s="222" t="s">
        <v>12</v>
      </c>
      <c r="I1" s="290" t="s">
        <v>234</v>
      </c>
      <c r="J1" s="222"/>
      <c r="K1" s="290" t="s">
        <v>234</v>
      </c>
      <c r="L1" s="222"/>
      <c r="M1" s="290" t="s">
        <v>234</v>
      </c>
      <c r="N1" s="292" t="s">
        <v>16</v>
      </c>
      <c r="O1" s="290" t="s">
        <v>234</v>
      </c>
      <c r="P1" s="292" t="s">
        <v>35</v>
      </c>
      <c r="Q1" s="290" t="s">
        <v>234</v>
      </c>
    </row>
    <row r="2" spans="1:17" s="117" customFormat="1">
      <c r="A2" s="295"/>
      <c r="B2" s="293"/>
      <c r="C2" s="293"/>
      <c r="D2" s="293"/>
      <c r="E2" s="297"/>
      <c r="F2" s="118" t="s">
        <v>95</v>
      </c>
      <c r="G2" s="297"/>
      <c r="H2" s="118" t="s">
        <v>96</v>
      </c>
      <c r="I2" s="291"/>
      <c r="J2" s="118" t="s">
        <v>97</v>
      </c>
      <c r="K2" s="291"/>
      <c r="L2" s="118" t="s">
        <v>98</v>
      </c>
      <c r="M2" s="291"/>
      <c r="N2" s="293"/>
      <c r="O2" s="291"/>
      <c r="P2" s="293"/>
      <c r="Q2" s="291"/>
    </row>
    <row r="3" spans="1:17" s="117" customFormat="1">
      <c r="B3" s="119" t="s">
        <v>99</v>
      </c>
      <c r="C3" s="120"/>
      <c r="D3" s="122"/>
      <c r="E3" s="121"/>
      <c r="F3" s="123"/>
      <c r="G3" s="121"/>
      <c r="H3" s="123"/>
      <c r="I3" s="223"/>
      <c r="J3" s="123"/>
      <c r="K3" s="123"/>
      <c r="L3" s="123"/>
      <c r="M3" s="121"/>
      <c r="N3" s="122"/>
      <c r="O3" s="121"/>
      <c r="P3" s="122"/>
      <c r="Q3" s="121"/>
    </row>
    <row r="4" spans="1:17" s="134" customFormat="1" outlineLevel="1">
      <c r="A4" s="128"/>
      <c r="B4" s="225"/>
      <c r="C4" s="225"/>
      <c r="D4" s="226"/>
      <c r="E4" s="227"/>
      <c r="F4" s="226" t="s">
        <v>100</v>
      </c>
      <c r="G4" s="227"/>
      <c r="H4" s="226"/>
      <c r="I4" s="226"/>
      <c r="J4" s="228"/>
      <c r="K4" s="228"/>
      <c r="L4" s="228"/>
      <c r="M4" s="227"/>
      <c r="N4" s="226"/>
      <c r="O4" s="227"/>
      <c r="P4" s="228"/>
      <c r="Q4" s="172"/>
    </row>
    <row r="5" spans="1:17" s="134" customFormat="1" outlineLevel="1">
      <c r="A5" s="128"/>
      <c r="B5" s="225"/>
      <c r="C5" s="225"/>
      <c r="D5" s="226"/>
      <c r="E5" s="227"/>
      <c r="F5" s="226" t="s">
        <v>101</v>
      </c>
      <c r="G5" s="227"/>
      <c r="H5" s="226"/>
      <c r="I5" s="226"/>
      <c r="J5" s="228"/>
      <c r="K5" s="228"/>
      <c r="L5" s="228"/>
      <c r="M5" s="227"/>
      <c r="N5" s="226"/>
      <c r="O5" s="227"/>
      <c r="P5" s="228"/>
      <c r="Q5" s="172"/>
    </row>
    <row r="6" spans="1:17" s="134" customFormat="1" outlineLevel="1">
      <c r="A6" s="128"/>
      <c r="B6" s="225"/>
      <c r="C6" s="225"/>
      <c r="D6" s="226"/>
      <c r="E6" s="227"/>
      <c r="F6" s="226" t="s">
        <v>102</v>
      </c>
      <c r="G6" s="227"/>
      <c r="H6" s="226"/>
      <c r="I6" s="226"/>
      <c r="J6" s="228"/>
      <c r="K6" s="228"/>
      <c r="L6" s="228"/>
      <c r="M6" s="227"/>
      <c r="N6" s="226"/>
      <c r="O6" s="227"/>
      <c r="P6" s="228"/>
      <c r="Q6" s="172"/>
    </row>
    <row r="7" spans="1:17" s="134" customFormat="1" outlineLevel="1">
      <c r="A7" s="128"/>
      <c r="B7" s="225"/>
      <c r="C7" s="225"/>
      <c r="D7" s="226"/>
      <c r="E7" s="227"/>
      <c r="F7" s="226" t="s">
        <v>103</v>
      </c>
      <c r="G7" s="227"/>
      <c r="H7" s="226"/>
      <c r="I7" s="226"/>
      <c r="J7" s="228"/>
      <c r="K7" s="228"/>
      <c r="L7" s="228"/>
      <c r="M7" s="227"/>
      <c r="N7" s="226"/>
      <c r="O7" s="227"/>
      <c r="P7" s="228"/>
      <c r="Q7" s="172"/>
    </row>
    <row r="8" spans="1:17" s="134" customFormat="1" outlineLevel="1">
      <c r="A8" s="128"/>
      <c r="B8" s="225"/>
      <c r="C8" s="225"/>
      <c r="D8" s="226"/>
      <c r="E8" s="227"/>
      <c r="F8" s="226" t="s">
        <v>104</v>
      </c>
      <c r="G8" s="227"/>
      <c r="H8" s="226"/>
      <c r="I8" s="226"/>
      <c r="J8" s="228"/>
      <c r="K8" s="228"/>
      <c r="L8" s="228"/>
      <c r="M8" s="227"/>
      <c r="N8" s="226"/>
      <c r="O8" s="227"/>
      <c r="P8" s="228"/>
      <c r="Q8" s="172"/>
    </row>
    <row r="9" spans="1:17" s="134" customFormat="1" outlineLevel="1">
      <c r="A9" s="128"/>
      <c r="B9" s="225"/>
      <c r="C9" s="225"/>
      <c r="D9" s="226"/>
      <c r="E9" s="227"/>
      <c r="F9" s="226" t="s">
        <v>105</v>
      </c>
      <c r="G9" s="227"/>
      <c r="H9" s="226"/>
      <c r="I9" s="226"/>
      <c r="J9" s="228"/>
      <c r="K9" s="228"/>
      <c r="L9" s="228"/>
      <c r="M9" s="227"/>
      <c r="N9" s="226"/>
      <c r="O9" s="227"/>
      <c r="P9" s="228"/>
      <c r="Q9" s="172"/>
    </row>
    <row r="10" spans="1:17" s="134" customFormat="1" outlineLevel="1">
      <c r="A10" s="128"/>
      <c r="B10" s="225"/>
      <c r="C10" s="225"/>
      <c r="D10" s="226"/>
      <c r="E10" s="227"/>
      <c r="F10" s="226" t="s">
        <v>104</v>
      </c>
      <c r="G10" s="227"/>
      <c r="H10" s="226"/>
      <c r="I10" s="226"/>
      <c r="J10" s="228"/>
      <c r="K10" s="228"/>
      <c r="L10" s="228"/>
      <c r="M10" s="227"/>
      <c r="N10" s="226"/>
      <c r="O10" s="227"/>
      <c r="P10" s="228"/>
      <c r="Q10" s="172"/>
    </row>
    <row r="11" spans="1:17" s="134" customFormat="1" outlineLevel="1">
      <c r="A11" s="128"/>
      <c r="B11" s="225"/>
      <c r="C11" s="225"/>
      <c r="D11" s="226"/>
      <c r="E11" s="227"/>
      <c r="F11" s="226" t="s">
        <v>106</v>
      </c>
      <c r="G11" s="227"/>
      <c r="H11" s="226"/>
      <c r="I11" s="226"/>
      <c r="J11" s="228"/>
      <c r="K11" s="228"/>
      <c r="L11" s="228"/>
      <c r="M11" s="227"/>
      <c r="N11" s="226"/>
      <c r="O11" s="227"/>
      <c r="P11" s="228"/>
      <c r="Q11" s="172"/>
    </row>
    <row r="12" spans="1:17" s="134" customFormat="1" ht="28.5" outlineLevel="1">
      <c r="A12" s="128"/>
      <c r="B12" s="225"/>
      <c r="C12" s="225"/>
      <c r="D12" s="226"/>
      <c r="E12" s="227"/>
      <c r="F12" s="226" t="s">
        <v>107</v>
      </c>
      <c r="G12" s="227"/>
      <c r="H12" s="226"/>
      <c r="I12" s="226"/>
      <c r="J12" s="228"/>
      <c r="K12" s="228"/>
      <c r="L12" s="228"/>
      <c r="M12" s="227"/>
      <c r="N12" s="226"/>
      <c r="O12" s="227"/>
      <c r="P12" s="228"/>
      <c r="Q12" s="172"/>
    </row>
    <row r="13" spans="1:17" s="134" customFormat="1" outlineLevel="1">
      <c r="A13" s="128"/>
      <c r="B13" s="225"/>
      <c r="C13" s="225"/>
      <c r="D13" s="226"/>
      <c r="E13" s="227"/>
      <c r="F13" s="226" t="s">
        <v>104</v>
      </c>
      <c r="G13" s="227"/>
      <c r="H13" s="226"/>
      <c r="I13" s="226"/>
      <c r="J13" s="228"/>
      <c r="K13" s="228"/>
      <c r="L13" s="228"/>
      <c r="M13" s="227"/>
      <c r="N13" s="226"/>
      <c r="O13" s="227"/>
      <c r="P13" s="228"/>
      <c r="Q13" s="172"/>
    </row>
    <row r="14" spans="1:17" s="134" customFormat="1" ht="28.5" outlineLevel="1">
      <c r="A14" s="128"/>
      <c r="B14" s="225"/>
      <c r="C14" s="225"/>
      <c r="D14" s="226"/>
      <c r="E14" s="227"/>
      <c r="F14" s="226" t="s">
        <v>108</v>
      </c>
      <c r="G14" s="227"/>
      <c r="H14" s="226"/>
      <c r="I14" s="226"/>
      <c r="J14" s="228"/>
      <c r="K14" s="228"/>
      <c r="L14" s="228"/>
      <c r="M14" s="227"/>
      <c r="N14" s="226"/>
      <c r="O14" s="227"/>
      <c r="P14" s="228"/>
      <c r="Q14" s="172"/>
    </row>
    <row r="15" spans="1:17" s="134" customFormat="1" ht="28.5" outlineLevel="1">
      <c r="A15" s="128"/>
      <c r="B15" s="225"/>
      <c r="C15" s="225"/>
      <c r="D15" s="226"/>
      <c r="E15" s="227"/>
      <c r="F15" s="226" t="s">
        <v>107</v>
      </c>
      <c r="G15" s="227"/>
      <c r="H15" s="226" t="s">
        <v>109</v>
      </c>
      <c r="I15" s="226"/>
      <c r="J15" s="228"/>
      <c r="K15" s="228"/>
      <c r="L15" s="228"/>
      <c r="M15" s="227"/>
      <c r="N15" s="226"/>
      <c r="O15" s="227"/>
      <c r="P15" s="228"/>
      <c r="Q15" s="172"/>
    </row>
    <row r="16" spans="1:17" s="134" customFormat="1" outlineLevel="1">
      <c r="A16" s="128"/>
      <c r="B16" s="225"/>
      <c r="C16" s="225"/>
      <c r="D16" s="226"/>
      <c r="E16" s="227"/>
      <c r="F16" s="226" t="s">
        <v>104</v>
      </c>
      <c r="G16" s="227"/>
      <c r="H16" s="226"/>
      <c r="I16" s="226"/>
      <c r="J16" s="228"/>
      <c r="K16" s="228"/>
      <c r="L16" s="228"/>
      <c r="M16" s="227"/>
      <c r="N16" s="226"/>
      <c r="O16" s="227"/>
      <c r="P16" s="228"/>
      <c r="Q16" s="172"/>
    </row>
    <row r="17" spans="1:17" s="134" customFormat="1" ht="3" customHeight="1">
      <c r="A17" s="128"/>
      <c r="B17" s="129"/>
      <c r="C17" s="129"/>
      <c r="D17" s="132"/>
      <c r="E17" s="172"/>
      <c r="F17" s="132"/>
      <c r="G17" s="172"/>
      <c r="H17" s="132"/>
      <c r="I17" s="132"/>
      <c r="J17" s="224"/>
      <c r="K17" s="224"/>
      <c r="L17" s="224"/>
      <c r="M17" s="172"/>
      <c r="N17" s="132"/>
      <c r="O17" s="172"/>
      <c r="P17" s="224"/>
      <c r="Q17" s="172"/>
    </row>
    <row r="18" spans="1:17" s="117" customFormat="1">
      <c r="B18" s="119" t="s">
        <v>110</v>
      </c>
      <c r="C18" s="120"/>
      <c r="D18" s="122"/>
      <c r="E18" s="121"/>
      <c r="F18" s="123"/>
      <c r="G18" s="121"/>
      <c r="H18" s="123"/>
      <c r="I18" s="123"/>
      <c r="J18" s="123"/>
      <c r="K18" s="123"/>
      <c r="L18" s="123"/>
      <c r="M18" s="121"/>
      <c r="N18" s="122"/>
      <c r="O18" s="121"/>
      <c r="P18" s="122"/>
      <c r="Q18" s="121"/>
    </row>
    <row r="19" spans="1:17" s="134" customFormat="1">
      <c r="A19" s="128">
        <v>30</v>
      </c>
      <c r="B19" s="129" t="s">
        <v>111</v>
      </c>
      <c r="C19" s="130" t="s">
        <v>72</v>
      </c>
      <c r="D19" s="132"/>
      <c r="E19" s="131"/>
      <c r="F19" s="132"/>
      <c r="G19" s="131"/>
      <c r="H19" s="132"/>
      <c r="I19" s="132"/>
      <c r="J19" s="132"/>
      <c r="K19" s="132"/>
      <c r="L19" s="132"/>
      <c r="M19" s="131"/>
      <c r="N19" s="133"/>
      <c r="O19" s="131"/>
      <c r="P19" s="132"/>
      <c r="Q19" s="131"/>
    </row>
    <row r="20" spans="1:17" s="134" customFormat="1" ht="28.5" outlineLevel="1">
      <c r="A20" s="128"/>
      <c r="B20" s="135"/>
      <c r="C20" s="135"/>
      <c r="D20" s="137" t="s">
        <v>112</v>
      </c>
      <c r="E20" s="136"/>
      <c r="F20" s="137" t="s">
        <v>113</v>
      </c>
      <c r="G20" s="136"/>
      <c r="H20" s="137"/>
      <c r="I20" s="137"/>
      <c r="J20" s="138"/>
      <c r="K20" s="138"/>
      <c r="L20" s="138"/>
      <c r="M20" s="136"/>
      <c r="N20" s="137" t="s">
        <v>114</v>
      </c>
      <c r="O20" s="136"/>
      <c r="P20" s="138"/>
      <c r="Q20" s="136"/>
    </row>
    <row r="21" spans="1:17" s="134" customFormat="1" outlineLevel="1">
      <c r="A21" s="128"/>
      <c r="B21" s="135"/>
      <c r="C21" s="135"/>
      <c r="D21" s="137" t="s">
        <v>115</v>
      </c>
      <c r="E21" s="136"/>
      <c r="F21" s="137" t="s">
        <v>116</v>
      </c>
      <c r="G21" s="136"/>
      <c r="H21" s="137"/>
      <c r="I21" s="137"/>
      <c r="J21" s="137"/>
      <c r="K21" s="137"/>
      <c r="L21" s="138"/>
      <c r="M21" s="136"/>
      <c r="N21" s="137" t="s">
        <v>117</v>
      </c>
      <c r="O21" s="136"/>
      <c r="P21" s="138"/>
      <c r="Q21" s="136"/>
    </row>
    <row r="22" spans="1:17" s="134" customFormat="1" outlineLevel="1">
      <c r="A22" s="128"/>
      <c r="B22" s="135"/>
      <c r="C22" s="135"/>
      <c r="D22" s="137" t="s">
        <v>118</v>
      </c>
      <c r="E22" s="136"/>
      <c r="F22" s="137" t="s">
        <v>119</v>
      </c>
      <c r="G22" s="136"/>
      <c r="H22" s="137"/>
      <c r="I22" s="137"/>
      <c r="J22" s="137"/>
      <c r="K22" s="137"/>
      <c r="L22" s="138"/>
      <c r="M22" s="136"/>
      <c r="N22" s="137" t="s">
        <v>120</v>
      </c>
      <c r="O22" s="136"/>
      <c r="P22" s="138"/>
      <c r="Q22" s="136"/>
    </row>
    <row r="23" spans="1:17" s="134" customFormat="1" outlineLevel="1">
      <c r="A23" s="128"/>
      <c r="B23" s="135"/>
      <c r="C23" s="135"/>
      <c r="D23" s="137" t="s">
        <v>121</v>
      </c>
      <c r="E23" s="136"/>
      <c r="F23" s="137" t="s">
        <v>122</v>
      </c>
      <c r="G23" s="136"/>
      <c r="H23" s="137"/>
      <c r="I23" s="137"/>
      <c r="J23" s="137"/>
      <c r="K23" s="137"/>
      <c r="L23" s="138"/>
      <c r="M23" s="136"/>
      <c r="N23" s="138"/>
      <c r="O23" s="136"/>
      <c r="P23" s="138"/>
      <c r="Q23" s="136"/>
    </row>
    <row r="24" spans="1:17" s="134" customFormat="1" ht="28.5" outlineLevel="1">
      <c r="A24" s="128"/>
      <c r="B24" s="135"/>
      <c r="C24" s="135"/>
      <c r="D24" s="139" t="s">
        <v>123</v>
      </c>
      <c r="E24" s="136"/>
      <c r="F24" s="138"/>
      <c r="G24" s="136"/>
      <c r="H24" s="137"/>
      <c r="I24" s="137"/>
      <c r="J24" s="140"/>
      <c r="K24" s="140"/>
      <c r="L24" s="137"/>
      <c r="M24" s="136"/>
      <c r="N24" s="138"/>
      <c r="O24" s="136"/>
      <c r="P24" s="137"/>
      <c r="Q24" s="136"/>
    </row>
    <row r="25" spans="1:17" s="134" customFormat="1" outlineLevel="1">
      <c r="A25" s="128"/>
      <c r="B25" s="135"/>
      <c r="C25" s="135"/>
      <c r="D25" s="137" t="s">
        <v>124</v>
      </c>
      <c r="E25" s="136"/>
      <c r="F25" s="138"/>
      <c r="G25" s="136"/>
      <c r="H25" s="137"/>
      <c r="I25" s="137"/>
      <c r="J25" s="140"/>
      <c r="K25" s="140"/>
      <c r="L25" s="137"/>
      <c r="M25" s="136"/>
      <c r="N25" s="138"/>
      <c r="O25" s="136"/>
      <c r="P25" s="137"/>
      <c r="Q25" s="136"/>
    </row>
    <row r="26" spans="1:17" s="134" customFormat="1" outlineLevel="1">
      <c r="A26" s="128"/>
      <c r="B26" s="135"/>
      <c r="C26" s="135"/>
      <c r="D26" s="137" t="s">
        <v>114</v>
      </c>
      <c r="E26" s="136"/>
      <c r="F26" s="138"/>
      <c r="G26" s="136"/>
      <c r="H26" s="137"/>
      <c r="I26" s="137"/>
      <c r="J26" s="140"/>
      <c r="K26" s="140"/>
      <c r="L26" s="137"/>
      <c r="M26" s="136"/>
      <c r="N26" s="138"/>
      <c r="O26" s="136"/>
      <c r="P26" s="137"/>
      <c r="Q26" s="136"/>
    </row>
    <row r="27" spans="1:17" s="134" customFormat="1" outlineLevel="1">
      <c r="A27" s="128"/>
      <c r="B27" s="135"/>
      <c r="C27" s="135"/>
      <c r="D27" s="137" t="s">
        <v>125</v>
      </c>
      <c r="E27" s="136"/>
      <c r="F27" s="138"/>
      <c r="G27" s="136"/>
      <c r="H27" s="137"/>
      <c r="I27" s="137"/>
      <c r="J27" s="137"/>
      <c r="K27" s="137"/>
      <c r="L27" s="137"/>
      <c r="M27" s="136"/>
      <c r="N27" s="138"/>
      <c r="O27" s="136"/>
      <c r="P27" s="137"/>
      <c r="Q27" s="136"/>
    </row>
    <row r="28" spans="1:17" s="134" customFormat="1">
      <c r="A28" s="128">
        <v>30</v>
      </c>
      <c r="B28" s="129" t="s">
        <v>126</v>
      </c>
      <c r="C28" s="130" t="s">
        <v>73</v>
      </c>
      <c r="D28" s="129"/>
      <c r="E28" s="131"/>
      <c r="F28" s="129"/>
      <c r="G28" s="131"/>
      <c r="H28" s="129"/>
      <c r="I28" s="129"/>
      <c r="J28" s="129"/>
      <c r="K28" s="129"/>
      <c r="L28" s="129"/>
      <c r="M28" s="131"/>
      <c r="N28" s="129"/>
      <c r="O28" s="131"/>
      <c r="P28" s="129"/>
      <c r="Q28" s="131"/>
    </row>
    <row r="29" spans="1:17" s="134" customFormat="1" ht="42.75" outlineLevel="1">
      <c r="A29" s="128"/>
      <c r="B29" s="141"/>
      <c r="C29" s="141"/>
      <c r="D29" s="143" t="s">
        <v>127</v>
      </c>
      <c r="E29" s="142"/>
      <c r="F29" s="143" t="s">
        <v>128</v>
      </c>
      <c r="G29" s="142"/>
      <c r="H29" s="143"/>
      <c r="I29" s="143"/>
      <c r="J29" s="143" t="s">
        <v>129</v>
      </c>
      <c r="K29" s="143"/>
      <c r="L29" s="144" t="s">
        <v>130</v>
      </c>
      <c r="M29" s="142"/>
      <c r="N29" s="143" t="s">
        <v>131</v>
      </c>
      <c r="O29" s="142"/>
      <c r="P29" s="145" t="s">
        <v>132</v>
      </c>
      <c r="Q29" s="142"/>
    </row>
    <row r="30" spans="1:17" s="134" customFormat="1" ht="42.75" outlineLevel="1">
      <c r="A30" s="128"/>
      <c r="B30" s="141"/>
      <c r="C30" s="141"/>
      <c r="D30" s="143" t="s">
        <v>133</v>
      </c>
      <c r="E30" s="142"/>
      <c r="F30" s="143" t="s">
        <v>134</v>
      </c>
      <c r="G30" s="142"/>
      <c r="H30" s="143"/>
      <c r="I30" s="143"/>
      <c r="J30" s="143" t="s">
        <v>135</v>
      </c>
      <c r="K30" s="143"/>
      <c r="L30" s="144" t="s">
        <v>136</v>
      </c>
      <c r="M30" s="142"/>
      <c r="N30" s="143" t="s">
        <v>137</v>
      </c>
      <c r="O30" s="142"/>
      <c r="P30" s="143" t="s">
        <v>138</v>
      </c>
      <c r="Q30" s="142"/>
    </row>
    <row r="31" spans="1:17" s="134" customFormat="1" ht="28.5" outlineLevel="1">
      <c r="A31" s="128"/>
      <c r="B31" s="141"/>
      <c r="C31" s="141"/>
      <c r="D31" s="143" t="s">
        <v>139</v>
      </c>
      <c r="E31" s="142"/>
      <c r="F31" s="143" t="s">
        <v>140</v>
      </c>
      <c r="G31" s="142"/>
      <c r="H31" s="143"/>
      <c r="I31" s="143"/>
      <c r="J31" s="143" t="s">
        <v>141</v>
      </c>
      <c r="K31" s="143"/>
      <c r="L31" s="144"/>
      <c r="M31" s="142"/>
      <c r="N31" s="143" t="s">
        <v>142</v>
      </c>
      <c r="O31" s="142"/>
      <c r="P31" s="143" t="s">
        <v>143</v>
      </c>
      <c r="Q31" s="142"/>
    </row>
    <row r="32" spans="1:17" s="134" customFormat="1" outlineLevel="1">
      <c r="A32" s="128"/>
      <c r="B32" s="141"/>
      <c r="C32" s="141"/>
      <c r="D32" s="141"/>
      <c r="E32" s="142"/>
      <c r="F32" s="143" t="s">
        <v>144</v>
      </c>
      <c r="G32" s="142"/>
      <c r="H32" s="143"/>
      <c r="I32" s="143"/>
      <c r="J32" s="143" t="s">
        <v>145</v>
      </c>
      <c r="K32" s="143"/>
      <c r="L32" s="144"/>
      <c r="M32" s="142"/>
      <c r="N32" s="143" t="s">
        <v>146</v>
      </c>
      <c r="O32" s="142"/>
      <c r="P32" s="143" t="s">
        <v>147</v>
      </c>
      <c r="Q32" s="142"/>
    </row>
    <row r="33" spans="1:19" s="134" customFormat="1" outlineLevel="1">
      <c r="A33" s="128"/>
      <c r="B33" s="141"/>
      <c r="C33" s="141"/>
      <c r="D33" s="141"/>
      <c r="E33" s="142"/>
      <c r="F33" s="143" t="s">
        <v>148</v>
      </c>
      <c r="G33" s="142"/>
      <c r="H33" s="143"/>
      <c r="I33" s="143"/>
      <c r="J33" s="143" t="s">
        <v>149</v>
      </c>
      <c r="K33" s="143"/>
      <c r="L33" s="143"/>
      <c r="M33" s="142"/>
      <c r="N33" s="143" t="s">
        <v>133</v>
      </c>
      <c r="O33" s="142"/>
      <c r="P33" s="143" t="s">
        <v>150</v>
      </c>
      <c r="Q33" s="142"/>
    </row>
    <row r="34" spans="1:19" s="134" customFormat="1" ht="28.5" outlineLevel="1">
      <c r="A34" s="128"/>
      <c r="B34" s="141"/>
      <c r="C34" s="141"/>
      <c r="D34" s="141"/>
      <c r="E34" s="142"/>
      <c r="F34" s="143" t="s">
        <v>151</v>
      </c>
      <c r="G34" s="142"/>
      <c r="H34" s="141"/>
      <c r="I34" s="141"/>
      <c r="J34" s="143" t="s">
        <v>152</v>
      </c>
      <c r="K34" s="143"/>
      <c r="L34" s="143"/>
      <c r="M34" s="142"/>
      <c r="N34" s="143" t="s">
        <v>141</v>
      </c>
      <c r="O34" s="142"/>
      <c r="P34" s="143" t="s">
        <v>153</v>
      </c>
      <c r="Q34" s="142"/>
    </row>
    <row r="35" spans="1:19" s="134" customFormat="1" ht="42.75" outlineLevel="1">
      <c r="A35" s="128"/>
      <c r="B35" s="141"/>
      <c r="C35" s="141"/>
      <c r="D35" s="141"/>
      <c r="E35" s="142"/>
      <c r="F35" s="143" t="s">
        <v>154</v>
      </c>
      <c r="G35" s="142"/>
      <c r="H35" s="141"/>
      <c r="I35" s="141"/>
      <c r="J35" s="143" t="s">
        <v>155</v>
      </c>
      <c r="K35" s="143"/>
      <c r="L35" s="143"/>
      <c r="M35" s="142"/>
      <c r="N35" s="143"/>
      <c r="O35" s="142"/>
      <c r="P35" s="143" t="s">
        <v>156</v>
      </c>
      <c r="Q35" s="142"/>
    </row>
    <row r="36" spans="1:19" s="134" customFormat="1" ht="28.5" outlineLevel="1">
      <c r="A36" s="128"/>
      <c r="B36" s="141"/>
      <c r="C36" s="141"/>
      <c r="D36" s="141"/>
      <c r="E36" s="142"/>
      <c r="F36" s="143" t="s">
        <v>157</v>
      </c>
      <c r="G36" s="142"/>
      <c r="H36" s="141"/>
      <c r="I36" s="141"/>
      <c r="J36" s="143" t="s">
        <v>158</v>
      </c>
      <c r="K36" s="143"/>
      <c r="L36" s="143"/>
      <c r="M36" s="142"/>
      <c r="N36" s="146"/>
      <c r="O36" s="142"/>
      <c r="P36" s="143"/>
      <c r="Q36" s="142"/>
    </row>
    <row r="37" spans="1:19" s="134" customFormat="1" ht="28.5" outlineLevel="1">
      <c r="A37" s="128"/>
      <c r="B37" s="141"/>
      <c r="C37" s="141"/>
      <c r="D37" s="147"/>
      <c r="E37" s="142"/>
      <c r="F37" s="143" t="s">
        <v>159</v>
      </c>
      <c r="G37" s="142"/>
      <c r="H37" s="141"/>
      <c r="I37" s="141"/>
      <c r="J37" s="143" t="s">
        <v>160</v>
      </c>
      <c r="K37" s="143"/>
      <c r="L37" s="143"/>
      <c r="M37" s="142"/>
      <c r="N37" s="146"/>
      <c r="O37" s="142"/>
      <c r="P37" s="143"/>
      <c r="Q37" s="142"/>
    </row>
    <row r="38" spans="1:19" s="134" customFormat="1" ht="28.5" outlineLevel="1">
      <c r="A38" s="128"/>
      <c r="B38" s="141"/>
      <c r="C38" s="141"/>
      <c r="D38" s="147"/>
      <c r="E38" s="142"/>
      <c r="F38" s="143" t="s">
        <v>161</v>
      </c>
      <c r="G38" s="142"/>
      <c r="H38" s="141"/>
      <c r="I38" s="141"/>
      <c r="J38" s="143" t="s">
        <v>162</v>
      </c>
      <c r="K38" s="143"/>
      <c r="L38" s="143"/>
      <c r="M38" s="142"/>
      <c r="N38" s="146"/>
      <c r="O38" s="142"/>
      <c r="P38" s="143"/>
      <c r="Q38" s="142"/>
    </row>
    <row r="39" spans="1:19" s="134" customFormat="1" ht="28.5" outlineLevel="1">
      <c r="A39" s="128"/>
      <c r="B39" s="141"/>
      <c r="C39" s="141"/>
      <c r="D39" s="147"/>
      <c r="E39" s="142"/>
      <c r="F39" s="143" t="s">
        <v>163</v>
      </c>
      <c r="G39" s="142"/>
      <c r="H39" s="141"/>
      <c r="I39" s="141"/>
      <c r="J39" s="147"/>
      <c r="K39" s="147"/>
      <c r="L39" s="143"/>
      <c r="M39" s="142"/>
      <c r="N39" s="146"/>
      <c r="O39" s="142"/>
      <c r="P39" s="143"/>
      <c r="Q39" s="142"/>
    </row>
    <row r="40" spans="1:19" s="134" customFormat="1" ht="28.5" outlineLevel="1">
      <c r="A40" s="128"/>
      <c r="B40" s="141"/>
      <c r="C40" s="141"/>
      <c r="D40" s="141"/>
      <c r="E40" s="142"/>
      <c r="F40" s="143" t="s">
        <v>164</v>
      </c>
      <c r="G40" s="142"/>
      <c r="H40" s="141"/>
      <c r="I40" s="141"/>
      <c r="J40" s="147"/>
      <c r="K40" s="147"/>
      <c r="L40" s="147"/>
      <c r="M40" s="142"/>
      <c r="N40" s="148"/>
      <c r="O40" s="142"/>
      <c r="P40" s="147"/>
      <c r="Q40" s="142"/>
    </row>
    <row r="41" spans="1:19" s="134" customFormat="1" outlineLevel="1">
      <c r="A41" s="128"/>
      <c r="B41" s="141"/>
      <c r="C41" s="141"/>
      <c r="D41" s="141"/>
      <c r="E41" s="142"/>
      <c r="F41" s="143" t="s">
        <v>165</v>
      </c>
      <c r="G41" s="142"/>
      <c r="H41" s="141"/>
      <c r="I41" s="141"/>
      <c r="J41" s="147"/>
      <c r="K41" s="147"/>
      <c r="L41" s="147"/>
      <c r="M41" s="142"/>
      <c r="N41" s="143"/>
      <c r="O41" s="142"/>
      <c r="P41" s="147"/>
      <c r="Q41" s="142"/>
    </row>
    <row r="42" spans="1:19" s="134" customFormat="1" outlineLevel="1">
      <c r="A42" s="128"/>
      <c r="B42" s="141"/>
      <c r="C42" s="141"/>
      <c r="D42" s="141"/>
      <c r="E42" s="142"/>
      <c r="F42" s="143" t="s">
        <v>166</v>
      </c>
      <c r="G42" s="142"/>
      <c r="H42" s="141"/>
      <c r="I42" s="141"/>
      <c r="J42" s="143"/>
      <c r="K42" s="143"/>
      <c r="L42" s="147"/>
      <c r="M42" s="142"/>
      <c r="N42" s="143"/>
      <c r="O42" s="142"/>
      <c r="P42" s="147"/>
      <c r="Q42" s="142"/>
    </row>
    <row r="43" spans="1:19" s="134" customFormat="1" outlineLevel="1">
      <c r="A43" s="128"/>
      <c r="B43" s="141"/>
      <c r="C43" s="141"/>
      <c r="D43" s="141"/>
      <c r="E43" s="142"/>
      <c r="F43" s="143" t="s">
        <v>167</v>
      </c>
      <c r="G43" s="142"/>
      <c r="H43" s="141"/>
      <c r="I43" s="141"/>
      <c r="J43" s="147"/>
      <c r="K43" s="147"/>
      <c r="L43" s="147"/>
      <c r="M43" s="142"/>
      <c r="N43" s="143"/>
      <c r="O43" s="142"/>
      <c r="P43" s="147"/>
      <c r="Q43" s="142"/>
    </row>
    <row r="44" spans="1:19" s="134" customFormat="1">
      <c r="A44" s="128">
        <v>30</v>
      </c>
      <c r="B44" s="129" t="s">
        <v>168</v>
      </c>
      <c r="C44" s="130" t="s">
        <v>74</v>
      </c>
      <c r="D44" s="129"/>
      <c r="E44" s="131"/>
      <c r="F44" s="129"/>
      <c r="G44" s="131"/>
      <c r="H44" s="129"/>
      <c r="I44" s="129"/>
      <c r="J44" s="149"/>
      <c r="K44" s="149"/>
      <c r="L44" s="149"/>
      <c r="M44" s="131"/>
      <c r="N44" s="129"/>
      <c r="O44" s="131"/>
      <c r="P44" s="149"/>
      <c r="Q44" s="131"/>
    </row>
    <row r="45" spans="1:19" s="134" customFormat="1" outlineLevel="1">
      <c r="A45" s="128"/>
      <c r="B45" s="150"/>
      <c r="C45" s="150"/>
      <c r="D45" s="152" t="s">
        <v>169</v>
      </c>
      <c r="E45" s="151"/>
      <c r="F45" s="152" t="s">
        <v>169</v>
      </c>
      <c r="G45" s="151"/>
      <c r="H45" s="152" t="s">
        <v>169</v>
      </c>
      <c r="I45" s="152"/>
      <c r="J45" s="152" t="s">
        <v>169</v>
      </c>
      <c r="K45" s="152"/>
      <c r="L45" s="152" t="s">
        <v>169</v>
      </c>
      <c r="M45" s="151"/>
      <c r="N45" s="152"/>
      <c r="O45" s="151"/>
      <c r="P45" s="152" t="s">
        <v>169</v>
      </c>
      <c r="Q45" s="151"/>
      <c r="S45" s="153">
        <v>30</v>
      </c>
    </row>
    <row r="46" spans="1:19" s="134" customFormat="1" outlineLevel="1">
      <c r="A46" s="128"/>
      <c r="B46" s="150"/>
      <c r="C46" s="150"/>
      <c r="D46" s="152" t="s">
        <v>170</v>
      </c>
      <c r="E46" s="151"/>
      <c r="F46" s="152" t="s">
        <v>170</v>
      </c>
      <c r="G46" s="151"/>
      <c r="H46" s="154" t="s">
        <v>170</v>
      </c>
      <c r="I46" s="154"/>
      <c r="J46" s="154" t="s">
        <v>170</v>
      </c>
      <c r="K46" s="154"/>
      <c r="L46" s="154" t="s">
        <v>170</v>
      </c>
      <c r="M46" s="151"/>
      <c r="N46" s="152"/>
      <c r="O46" s="151"/>
      <c r="P46" s="154" t="s">
        <v>170</v>
      </c>
      <c r="Q46" s="151"/>
      <c r="S46" s="153">
        <v>30</v>
      </c>
    </row>
    <row r="47" spans="1:19" s="134" customFormat="1" outlineLevel="1">
      <c r="A47" s="128"/>
      <c r="B47" s="150"/>
      <c r="C47" s="150"/>
      <c r="D47" s="152" t="s">
        <v>171</v>
      </c>
      <c r="E47" s="151"/>
      <c r="F47" s="152" t="s">
        <v>172</v>
      </c>
      <c r="G47" s="151"/>
      <c r="H47" s="152" t="s">
        <v>171</v>
      </c>
      <c r="I47" s="152"/>
      <c r="J47" s="152" t="s">
        <v>171</v>
      </c>
      <c r="K47" s="152"/>
      <c r="L47" s="152" t="s">
        <v>171</v>
      </c>
      <c r="M47" s="151"/>
      <c r="N47" s="152"/>
      <c r="O47" s="151"/>
      <c r="P47" s="152" t="s">
        <v>173</v>
      </c>
      <c r="Q47" s="151"/>
      <c r="S47" s="153">
        <v>30</v>
      </c>
    </row>
    <row r="48" spans="1:19" s="134" customFormat="1" outlineLevel="1">
      <c r="A48" s="128"/>
      <c r="B48" s="150"/>
      <c r="C48" s="150"/>
      <c r="D48" s="152" t="s">
        <v>173</v>
      </c>
      <c r="E48" s="151"/>
      <c r="F48" s="152" t="s">
        <v>173</v>
      </c>
      <c r="G48" s="151"/>
      <c r="H48" s="152" t="s">
        <v>173</v>
      </c>
      <c r="I48" s="152"/>
      <c r="J48" s="152" t="s">
        <v>173</v>
      </c>
      <c r="K48" s="152"/>
      <c r="L48" s="152" t="s">
        <v>173</v>
      </c>
      <c r="M48" s="151"/>
      <c r="N48" s="152"/>
      <c r="O48" s="151"/>
      <c r="P48" s="152"/>
      <c r="Q48" s="151"/>
      <c r="S48" s="153">
        <v>15</v>
      </c>
    </row>
    <row r="49" spans="1:20" s="134" customFormat="1" outlineLevel="1">
      <c r="A49" s="128"/>
      <c r="B49" s="150"/>
      <c r="C49" s="150"/>
      <c r="D49" s="152" t="s">
        <v>174</v>
      </c>
      <c r="E49" s="151"/>
      <c r="F49" s="155"/>
      <c r="G49" s="151"/>
      <c r="H49" s="154"/>
      <c r="I49" s="154"/>
      <c r="J49" s="152"/>
      <c r="K49" s="152"/>
      <c r="L49" s="156"/>
      <c r="M49" s="151"/>
      <c r="N49" s="154"/>
      <c r="O49" s="151"/>
      <c r="P49" s="156"/>
      <c r="Q49" s="151"/>
      <c r="S49" s="153">
        <v>30</v>
      </c>
    </row>
    <row r="50" spans="1:20" s="134" customFormat="1" outlineLevel="1">
      <c r="A50" s="128"/>
      <c r="B50" s="150"/>
      <c r="C50" s="150"/>
      <c r="D50" s="152" t="s">
        <v>175</v>
      </c>
      <c r="E50" s="151"/>
      <c r="F50" s="152"/>
      <c r="G50" s="151"/>
      <c r="H50" s="152"/>
      <c r="I50" s="152"/>
      <c r="J50" s="152"/>
      <c r="K50" s="152"/>
      <c r="L50" s="152"/>
      <c r="M50" s="151"/>
      <c r="N50" s="152"/>
      <c r="O50" s="151"/>
      <c r="P50" s="152"/>
      <c r="Q50" s="151"/>
      <c r="S50" s="153">
        <v>15</v>
      </c>
    </row>
    <row r="51" spans="1:20" s="134" customFormat="1">
      <c r="A51" s="128">
        <v>15</v>
      </c>
      <c r="B51" s="129" t="s">
        <v>176</v>
      </c>
      <c r="C51" s="130" t="s">
        <v>75</v>
      </c>
      <c r="D51" s="129"/>
      <c r="E51" s="131"/>
      <c r="F51" s="129"/>
      <c r="G51" s="131"/>
      <c r="H51" s="129"/>
      <c r="I51" s="129"/>
      <c r="J51" s="149"/>
      <c r="K51" s="149"/>
      <c r="L51" s="149"/>
      <c r="M51" s="131"/>
      <c r="N51" s="129"/>
      <c r="O51" s="131"/>
      <c r="P51" s="149"/>
      <c r="Q51" s="131"/>
      <c r="S51" s="153">
        <v>15</v>
      </c>
    </row>
    <row r="52" spans="1:20" s="134" customFormat="1" ht="28.5" outlineLevel="1">
      <c r="A52" s="128"/>
      <c r="B52" s="157"/>
      <c r="C52" s="157"/>
      <c r="D52" s="159"/>
      <c r="E52" s="158"/>
      <c r="F52" s="159" t="s">
        <v>177</v>
      </c>
      <c r="G52" s="158"/>
      <c r="H52" s="159"/>
      <c r="I52" s="159"/>
      <c r="J52" s="159"/>
      <c r="K52" s="159"/>
      <c r="L52" s="159"/>
      <c r="M52" s="158"/>
      <c r="N52" s="159"/>
      <c r="O52" s="158"/>
      <c r="P52" s="159" t="s">
        <v>178</v>
      </c>
      <c r="Q52" s="158"/>
      <c r="S52" s="153">
        <v>15</v>
      </c>
    </row>
    <row r="53" spans="1:20" s="134" customFormat="1" outlineLevel="1">
      <c r="A53" s="128"/>
      <c r="B53" s="157"/>
      <c r="C53" s="157"/>
      <c r="D53" s="159"/>
      <c r="E53" s="158"/>
      <c r="F53" s="159" t="s">
        <v>179</v>
      </c>
      <c r="G53" s="158"/>
      <c r="H53" s="159"/>
      <c r="I53" s="159"/>
      <c r="J53" s="159"/>
      <c r="K53" s="159"/>
      <c r="L53" s="159"/>
      <c r="M53" s="158"/>
      <c r="N53" s="159"/>
      <c r="O53" s="158"/>
      <c r="P53" s="159" t="s">
        <v>138</v>
      </c>
      <c r="Q53" s="158"/>
      <c r="S53" s="153">
        <v>30</v>
      </c>
    </row>
    <row r="54" spans="1:20" s="134" customFormat="1" outlineLevel="1">
      <c r="A54" s="128"/>
      <c r="B54" s="157"/>
      <c r="C54" s="157"/>
      <c r="D54" s="159"/>
      <c r="E54" s="158"/>
      <c r="F54" s="159"/>
      <c r="G54" s="158"/>
      <c r="H54" s="159"/>
      <c r="I54" s="159"/>
      <c r="J54" s="159"/>
      <c r="K54" s="159"/>
      <c r="L54" s="159"/>
      <c r="M54" s="158"/>
      <c r="N54" s="159"/>
      <c r="O54" s="158"/>
      <c r="P54" s="159" t="s">
        <v>143</v>
      </c>
      <c r="Q54" s="158"/>
      <c r="S54" s="153">
        <v>30</v>
      </c>
    </row>
    <row r="55" spans="1:20" s="134" customFormat="1" outlineLevel="1">
      <c r="A55" s="128"/>
      <c r="B55" s="157"/>
      <c r="C55" s="157"/>
      <c r="D55" s="159"/>
      <c r="E55" s="158"/>
      <c r="F55" s="159"/>
      <c r="G55" s="158"/>
      <c r="H55" s="159"/>
      <c r="I55" s="159"/>
      <c r="J55" s="159"/>
      <c r="K55" s="159"/>
      <c r="L55" s="159"/>
      <c r="M55" s="158"/>
      <c r="N55" s="159"/>
      <c r="O55" s="158"/>
      <c r="P55" s="159" t="s">
        <v>147</v>
      </c>
      <c r="Q55" s="158"/>
      <c r="S55" s="153">
        <v>30</v>
      </c>
    </row>
    <row r="56" spans="1:20" s="134" customFormat="1" outlineLevel="1">
      <c r="A56" s="128"/>
      <c r="B56" s="157"/>
      <c r="C56" s="157"/>
      <c r="D56" s="159"/>
      <c r="E56" s="158"/>
      <c r="F56" s="159"/>
      <c r="G56" s="158"/>
      <c r="H56" s="159"/>
      <c r="I56" s="159"/>
      <c r="J56" s="159"/>
      <c r="K56" s="159"/>
      <c r="L56" s="159"/>
      <c r="M56" s="158"/>
      <c r="N56" s="159"/>
      <c r="O56" s="158"/>
      <c r="P56" s="159" t="s">
        <v>150</v>
      </c>
      <c r="Q56" s="158"/>
      <c r="S56" s="153">
        <v>15</v>
      </c>
    </row>
    <row r="57" spans="1:20" s="134" customFormat="1" ht="28.5" outlineLevel="1">
      <c r="A57" s="128"/>
      <c r="B57" s="157"/>
      <c r="C57" s="157"/>
      <c r="D57" s="159"/>
      <c r="E57" s="158"/>
      <c r="F57" s="159"/>
      <c r="G57" s="158"/>
      <c r="H57" s="159"/>
      <c r="I57" s="159"/>
      <c r="J57" s="159"/>
      <c r="K57" s="159"/>
      <c r="L57" s="159"/>
      <c r="M57" s="158"/>
      <c r="N57" s="159"/>
      <c r="O57" s="158"/>
      <c r="P57" s="159" t="s">
        <v>153</v>
      </c>
      <c r="Q57" s="158"/>
      <c r="S57" s="153"/>
    </row>
    <row r="58" spans="1:20" s="134" customFormat="1" ht="28.5" outlineLevel="1">
      <c r="A58" s="128"/>
      <c r="B58" s="157"/>
      <c r="C58" s="157"/>
      <c r="D58" s="159"/>
      <c r="E58" s="158"/>
      <c r="F58" s="159"/>
      <c r="G58" s="158"/>
      <c r="H58" s="159"/>
      <c r="I58" s="159"/>
      <c r="J58" s="159"/>
      <c r="K58" s="159"/>
      <c r="L58" s="159"/>
      <c r="M58" s="158"/>
      <c r="N58" s="159"/>
      <c r="O58" s="158"/>
      <c r="P58" s="159" t="s">
        <v>156</v>
      </c>
      <c r="Q58" s="158"/>
      <c r="S58" s="134">
        <f>SUM(S45:S57)</f>
        <v>285</v>
      </c>
      <c r="T58" s="134">
        <f>S58/30</f>
        <v>9.5</v>
      </c>
    </row>
    <row r="59" spans="1:20" s="134" customFormat="1" outlineLevel="1">
      <c r="A59" s="128"/>
      <c r="B59" s="157"/>
      <c r="C59" s="157"/>
      <c r="D59" s="159"/>
      <c r="E59" s="158"/>
      <c r="F59" s="159"/>
      <c r="G59" s="158"/>
      <c r="H59" s="159"/>
      <c r="I59" s="159"/>
      <c r="J59" s="159"/>
      <c r="K59" s="159"/>
      <c r="L59" s="159"/>
      <c r="M59" s="158"/>
      <c r="N59" s="159"/>
      <c r="O59" s="158"/>
      <c r="P59" s="159"/>
      <c r="Q59" s="158"/>
    </row>
    <row r="60" spans="1:20" s="134" customFormat="1" ht="24" customHeight="1">
      <c r="A60" s="128" t="s">
        <v>180</v>
      </c>
      <c r="B60" s="129" t="s">
        <v>183</v>
      </c>
      <c r="C60" s="160" t="s">
        <v>76</v>
      </c>
      <c r="D60" s="132"/>
      <c r="E60" s="131"/>
      <c r="F60" s="132"/>
      <c r="G60" s="131"/>
      <c r="H60" s="133"/>
      <c r="I60" s="133"/>
      <c r="J60" s="132"/>
      <c r="K60" s="132"/>
      <c r="L60" s="132"/>
      <c r="M60" s="131"/>
      <c r="N60" s="133"/>
      <c r="O60" s="131"/>
      <c r="P60" s="161"/>
      <c r="Q60" s="131"/>
    </row>
    <row r="61" spans="1:20" s="134" customFormat="1" ht="28.5" outlineLevel="1">
      <c r="A61" s="128">
        <v>45</v>
      </c>
      <c r="B61" s="162"/>
      <c r="C61" s="162"/>
      <c r="D61" s="164" t="s">
        <v>182</v>
      </c>
      <c r="E61" s="163"/>
      <c r="F61" s="165"/>
      <c r="G61" s="163"/>
      <c r="H61" s="164" t="s">
        <v>182</v>
      </c>
      <c r="I61" s="164"/>
      <c r="J61" s="164" t="s">
        <v>182</v>
      </c>
      <c r="K61" s="164"/>
      <c r="L61" s="166"/>
      <c r="M61" s="163"/>
      <c r="N61" s="164" t="s">
        <v>182</v>
      </c>
      <c r="O61" s="163"/>
      <c r="P61" s="164" t="s">
        <v>178</v>
      </c>
      <c r="Q61" s="163"/>
    </row>
    <row r="62" spans="1:20" s="134" customFormat="1" outlineLevel="1">
      <c r="A62" s="128"/>
      <c r="B62" s="162"/>
      <c r="C62" s="162"/>
      <c r="D62" s="164"/>
      <c r="E62" s="163"/>
      <c r="F62" s="165"/>
      <c r="G62" s="163"/>
      <c r="H62" s="164"/>
      <c r="I62" s="164"/>
      <c r="J62" s="167"/>
      <c r="K62" s="167"/>
      <c r="L62" s="164"/>
      <c r="M62" s="163"/>
      <c r="N62" s="164"/>
      <c r="O62" s="163"/>
      <c r="P62" s="164" t="s">
        <v>138</v>
      </c>
      <c r="Q62" s="163"/>
    </row>
    <row r="63" spans="1:20" s="134" customFormat="1" outlineLevel="1">
      <c r="A63" s="128"/>
      <c r="B63" s="162"/>
      <c r="C63" s="162"/>
      <c r="D63" s="164"/>
      <c r="E63" s="163"/>
      <c r="F63" s="164"/>
      <c r="G63" s="163"/>
      <c r="H63" s="165"/>
      <c r="I63" s="165"/>
      <c r="J63" s="168"/>
      <c r="K63" s="168"/>
      <c r="L63" s="164"/>
      <c r="M63" s="163"/>
      <c r="N63" s="164"/>
      <c r="O63" s="163"/>
      <c r="P63" s="164" t="s">
        <v>143</v>
      </c>
      <c r="Q63" s="163"/>
    </row>
    <row r="64" spans="1:20" s="134" customFormat="1" outlineLevel="1">
      <c r="A64" s="128"/>
      <c r="B64" s="162"/>
      <c r="C64" s="162"/>
      <c r="D64" s="164"/>
      <c r="E64" s="163"/>
      <c r="F64" s="164"/>
      <c r="G64" s="163"/>
      <c r="H64" s="165"/>
      <c r="I64" s="165"/>
      <c r="J64" s="164"/>
      <c r="K64" s="164"/>
      <c r="L64" s="164"/>
      <c r="M64" s="163"/>
      <c r="N64" s="164"/>
      <c r="O64" s="163"/>
      <c r="P64" s="164" t="s">
        <v>147</v>
      </c>
      <c r="Q64" s="163"/>
    </row>
    <row r="65" spans="1:17" s="134" customFormat="1" outlineLevel="1">
      <c r="A65" s="128"/>
      <c r="B65" s="162"/>
      <c r="C65" s="162"/>
      <c r="D65" s="164"/>
      <c r="E65" s="163"/>
      <c r="F65" s="164"/>
      <c r="G65" s="163"/>
      <c r="H65" s="169"/>
      <c r="I65" s="169"/>
      <c r="J65" s="164"/>
      <c r="K65" s="164"/>
      <c r="L65" s="170"/>
      <c r="M65" s="163"/>
      <c r="N65" s="169"/>
      <c r="O65" s="163"/>
      <c r="P65" s="169" t="s">
        <v>150</v>
      </c>
      <c r="Q65" s="163"/>
    </row>
    <row r="66" spans="1:17" s="134" customFormat="1" ht="28.5" outlineLevel="1">
      <c r="A66" s="128"/>
      <c r="B66" s="162"/>
      <c r="C66" s="162"/>
      <c r="D66" s="164"/>
      <c r="E66" s="163"/>
      <c r="F66" s="164"/>
      <c r="G66" s="163"/>
      <c r="H66" s="164"/>
      <c r="I66" s="164"/>
      <c r="J66" s="164"/>
      <c r="K66" s="164"/>
      <c r="L66" s="164"/>
      <c r="M66" s="163"/>
      <c r="N66" s="164"/>
      <c r="O66" s="163"/>
      <c r="P66" s="164" t="s">
        <v>153</v>
      </c>
      <c r="Q66" s="163"/>
    </row>
    <row r="67" spans="1:17" s="134" customFormat="1" ht="28.5" outlineLevel="1">
      <c r="A67" s="128"/>
      <c r="B67" s="162"/>
      <c r="C67" s="162"/>
      <c r="D67" s="164"/>
      <c r="E67" s="163"/>
      <c r="F67" s="164"/>
      <c r="G67" s="163"/>
      <c r="H67" s="164"/>
      <c r="I67" s="164"/>
      <c r="J67" s="164"/>
      <c r="K67" s="164"/>
      <c r="L67" s="164"/>
      <c r="M67" s="163"/>
      <c r="N67" s="169"/>
      <c r="O67" s="163"/>
      <c r="P67" s="169" t="s">
        <v>156</v>
      </c>
      <c r="Q67" s="163"/>
    </row>
    <row r="68" spans="1:17" s="134" customFormat="1" outlineLevel="1">
      <c r="A68" s="128"/>
      <c r="B68" s="162"/>
      <c r="C68" s="162"/>
      <c r="D68" s="164"/>
      <c r="E68" s="163"/>
      <c r="F68" s="164"/>
      <c r="G68" s="163"/>
      <c r="H68" s="164"/>
      <c r="I68" s="164"/>
      <c r="J68" s="169"/>
      <c r="K68" s="169"/>
      <c r="L68" s="164"/>
      <c r="M68" s="163"/>
      <c r="N68" s="164"/>
      <c r="O68" s="163"/>
      <c r="P68" s="164"/>
      <c r="Q68" s="163"/>
    </row>
    <row r="69" spans="1:17" s="134" customFormat="1">
      <c r="A69" s="128">
        <v>15</v>
      </c>
      <c r="B69" s="129" t="s">
        <v>190</v>
      </c>
      <c r="C69" s="160" t="s">
        <v>77</v>
      </c>
      <c r="D69" s="132"/>
      <c r="E69" s="131"/>
      <c r="F69" s="132"/>
      <c r="G69" s="131"/>
      <c r="H69" s="132"/>
      <c r="I69" s="132"/>
      <c r="J69" s="132"/>
      <c r="K69" s="132"/>
      <c r="L69" s="132"/>
      <c r="M69" s="131"/>
      <c r="N69" s="132"/>
      <c r="O69" s="131"/>
      <c r="P69" s="132"/>
      <c r="Q69" s="131"/>
    </row>
    <row r="70" spans="1:17" s="134" customFormat="1" outlineLevel="1">
      <c r="A70" s="128"/>
      <c r="B70" s="157"/>
      <c r="C70" s="157"/>
      <c r="D70" s="159" t="s">
        <v>184</v>
      </c>
      <c r="E70" s="158"/>
      <c r="F70" s="159"/>
      <c r="G70" s="158"/>
      <c r="H70" s="159"/>
      <c r="I70" s="159"/>
      <c r="J70" s="159"/>
      <c r="K70" s="159"/>
      <c r="L70" s="171"/>
      <c r="M70" s="158"/>
      <c r="N70" s="159" t="s">
        <v>185</v>
      </c>
      <c r="O70" s="158"/>
      <c r="P70" s="159" t="s">
        <v>186</v>
      </c>
      <c r="Q70" s="158"/>
    </row>
    <row r="71" spans="1:17" s="134" customFormat="1" outlineLevel="1">
      <c r="A71" s="128"/>
      <c r="B71" s="157"/>
      <c r="C71" s="157"/>
      <c r="D71" s="159" t="s">
        <v>187</v>
      </c>
      <c r="E71" s="158"/>
      <c r="F71" s="159"/>
      <c r="G71" s="158"/>
      <c r="H71" s="159"/>
      <c r="I71" s="159"/>
      <c r="J71" s="159"/>
      <c r="K71" s="159"/>
      <c r="L71" s="159"/>
      <c r="M71" s="158"/>
      <c r="N71" s="159" t="s">
        <v>184</v>
      </c>
      <c r="O71" s="158"/>
      <c r="P71" s="159" t="s">
        <v>138</v>
      </c>
      <c r="Q71" s="158"/>
    </row>
    <row r="72" spans="1:17" s="134" customFormat="1" outlineLevel="1">
      <c r="A72" s="128"/>
      <c r="B72" s="157"/>
      <c r="C72" s="157"/>
      <c r="D72" s="159" t="s">
        <v>188</v>
      </c>
      <c r="E72" s="158"/>
      <c r="F72" s="159"/>
      <c r="G72" s="158"/>
      <c r="H72" s="159"/>
      <c r="I72" s="159"/>
      <c r="J72" s="159"/>
      <c r="K72" s="159"/>
      <c r="L72" s="159"/>
      <c r="M72" s="158"/>
      <c r="N72" s="159" t="s">
        <v>189</v>
      </c>
      <c r="O72" s="158"/>
      <c r="P72" s="159" t="s">
        <v>143</v>
      </c>
      <c r="Q72" s="158"/>
    </row>
    <row r="73" spans="1:17" s="134" customFormat="1" outlineLevel="1">
      <c r="A73" s="128"/>
      <c r="B73" s="157"/>
      <c r="C73" s="157"/>
      <c r="D73" s="159"/>
      <c r="E73" s="158"/>
      <c r="F73" s="159"/>
      <c r="G73" s="158"/>
      <c r="H73" s="159"/>
      <c r="I73" s="159"/>
      <c r="J73" s="159"/>
      <c r="K73" s="159"/>
      <c r="L73" s="159"/>
      <c r="M73" s="158"/>
      <c r="N73" s="159"/>
      <c r="O73" s="158"/>
      <c r="P73" s="159" t="s">
        <v>147</v>
      </c>
      <c r="Q73" s="158"/>
    </row>
    <row r="74" spans="1:17" s="134" customFormat="1" outlineLevel="1">
      <c r="A74" s="128"/>
      <c r="B74" s="157"/>
      <c r="C74" s="157"/>
      <c r="D74" s="159"/>
      <c r="E74" s="158"/>
      <c r="F74" s="159"/>
      <c r="G74" s="158"/>
      <c r="H74" s="159"/>
      <c r="I74" s="159"/>
      <c r="J74" s="159"/>
      <c r="K74" s="159"/>
      <c r="L74" s="159"/>
      <c r="M74" s="158"/>
      <c r="N74" s="159"/>
      <c r="O74" s="158"/>
      <c r="P74" s="159" t="s">
        <v>150</v>
      </c>
      <c r="Q74" s="158"/>
    </row>
    <row r="75" spans="1:17" s="134" customFormat="1" ht="28.5" outlineLevel="1">
      <c r="A75" s="128"/>
      <c r="B75" s="157"/>
      <c r="C75" s="157"/>
      <c r="D75" s="159"/>
      <c r="E75" s="158"/>
      <c r="F75" s="159"/>
      <c r="G75" s="158"/>
      <c r="H75" s="159"/>
      <c r="I75" s="159"/>
      <c r="J75" s="159"/>
      <c r="K75" s="159"/>
      <c r="L75" s="159"/>
      <c r="M75" s="158"/>
      <c r="N75" s="159"/>
      <c r="O75" s="158"/>
      <c r="P75" s="159" t="s">
        <v>153</v>
      </c>
      <c r="Q75" s="158"/>
    </row>
    <row r="76" spans="1:17" s="134" customFormat="1" ht="28.5" outlineLevel="1">
      <c r="A76" s="128"/>
      <c r="B76" s="157"/>
      <c r="C76" s="157"/>
      <c r="D76" s="159"/>
      <c r="E76" s="158"/>
      <c r="F76" s="159"/>
      <c r="G76" s="158"/>
      <c r="H76" s="159"/>
      <c r="I76" s="159"/>
      <c r="J76" s="159"/>
      <c r="K76" s="159"/>
      <c r="L76" s="159"/>
      <c r="M76" s="158"/>
      <c r="N76" s="159"/>
      <c r="O76" s="158"/>
      <c r="P76" s="159" t="s">
        <v>156</v>
      </c>
      <c r="Q76" s="158"/>
    </row>
    <row r="77" spans="1:17" s="134" customFormat="1">
      <c r="A77" s="128">
        <v>15</v>
      </c>
      <c r="B77" s="129" t="s">
        <v>181</v>
      </c>
      <c r="C77" s="130" t="s">
        <v>78</v>
      </c>
      <c r="D77" s="132"/>
      <c r="E77" s="131"/>
      <c r="F77" s="132"/>
      <c r="G77" s="131"/>
      <c r="H77" s="132"/>
      <c r="I77" s="132"/>
      <c r="J77" s="132"/>
      <c r="K77" s="132"/>
      <c r="L77" s="132"/>
      <c r="M77" s="131"/>
      <c r="N77" s="132"/>
      <c r="O77" s="131"/>
      <c r="P77" s="132"/>
      <c r="Q77" s="131"/>
    </row>
    <row r="78" spans="1:17" s="134" customFormat="1" ht="28.5" outlineLevel="1">
      <c r="A78" s="128"/>
      <c r="B78" s="157"/>
      <c r="C78" s="157"/>
      <c r="D78" s="159" t="s">
        <v>191</v>
      </c>
      <c r="E78" s="158"/>
      <c r="F78" s="173"/>
      <c r="G78" s="158"/>
      <c r="H78" s="174"/>
      <c r="I78" s="174"/>
      <c r="J78" s="159" t="s">
        <v>192</v>
      </c>
      <c r="K78" s="159"/>
      <c r="L78" s="159"/>
      <c r="M78" s="158"/>
      <c r="N78" s="159"/>
      <c r="O78" s="158"/>
      <c r="P78" s="159" t="s">
        <v>193</v>
      </c>
      <c r="Q78" s="158"/>
    </row>
    <row r="79" spans="1:17" s="134" customFormat="1" ht="28.5" outlineLevel="1">
      <c r="A79" s="128"/>
      <c r="B79" s="157"/>
      <c r="C79" s="157"/>
      <c r="D79" s="159" t="s">
        <v>194</v>
      </c>
      <c r="E79" s="158"/>
      <c r="F79" s="173"/>
      <c r="G79" s="158"/>
      <c r="H79" s="159"/>
      <c r="I79" s="159"/>
      <c r="J79" s="159" t="s">
        <v>195</v>
      </c>
      <c r="K79" s="159"/>
      <c r="L79" s="175"/>
      <c r="M79" s="158"/>
      <c r="N79" s="159" t="s">
        <v>196</v>
      </c>
      <c r="O79" s="158"/>
      <c r="P79" s="159" t="s">
        <v>138</v>
      </c>
      <c r="Q79" s="158"/>
    </row>
    <row r="80" spans="1:17" s="134" customFormat="1" outlineLevel="1">
      <c r="A80" s="128"/>
      <c r="B80" s="157"/>
      <c r="C80" s="157"/>
      <c r="D80" s="159" t="s">
        <v>197</v>
      </c>
      <c r="E80" s="158"/>
      <c r="F80" s="173"/>
      <c r="G80" s="158"/>
      <c r="H80" s="159"/>
      <c r="I80" s="159"/>
      <c r="J80" s="159"/>
      <c r="K80" s="159"/>
      <c r="L80" s="159"/>
      <c r="M80" s="158"/>
      <c r="N80" s="159"/>
      <c r="O80" s="158"/>
      <c r="P80" s="159" t="s">
        <v>143</v>
      </c>
      <c r="Q80" s="158"/>
    </row>
    <row r="81" spans="1:17" s="134" customFormat="1" outlineLevel="1">
      <c r="A81" s="128"/>
      <c r="B81" s="157"/>
      <c r="C81" s="157"/>
      <c r="D81" s="159" t="s">
        <v>198</v>
      </c>
      <c r="E81" s="158"/>
      <c r="F81" s="173"/>
      <c r="G81" s="158"/>
      <c r="H81" s="159"/>
      <c r="I81" s="159"/>
      <c r="J81" s="159"/>
      <c r="K81" s="159"/>
      <c r="L81" s="159"/>
      <c r="M81" s="158"/>
      <c r="N81" s="159"/>
      <c r="O81" s="158"/>
      <c r="P81" s="159" t="s">
        <v>147</v>
      </c>
      <c r="Q81" s="158"/>
    </row>
    <row r="82" spans="1:17" s="134" customFormat="1" outlineLevel="1">
      <c r="A82" s="128"/>
      <c r="B82" s="157"/>
      <c r="C82" s="157"/>
      <c r="D82" s="176" t="s">
        <v>199</v>
      </c>
      <c r="E82" s="158"/>
      <c r="F82" s="159"/>
      <c r="G82" s="158"/>
      <c r="H82" s="159"/>
      <c r="I82" s="159"/>
      <c r="J82" s="159"/>
      <c r="K82" s="159"/>
      <c r="L82" s="159"/>
      <c r="M82" s="158"/>
      <c r="N82" s="159"/>
      <c r="O82" s="158"/>
      <c r="P82" s="159" t="s">
        <v>150</v>
      </c>
      <c r="Q82" s="158"/>
    </row>
    <row r="83" spans="1:17" s="134" customFormat="1" ht="28.5" outlineLevel="1">
      <c r="A83" s="128"/>
      <c r="B83" s="157"/>
      <c r="C83" s="157"/>
      <c r="D83" s="176" t="s">
        <v>200</v>
      </c>
      <c r="E83" s="158"/>
      <c r="F83" s="159"/>
      <c r="G83" s="158"/>
      <c r="H83" s="174"/>
      <c r="I83" s="174"/>
      <c r="J83" s="159"/>
      <c r="K83" s="159"/>
      <c r="L83" s="173"/>
      <c r="M83" s="158"/>
      <c r="N83" s="174"/>
      <c r="O83" s="158"/>
      <c r="P83" s="159" t="s">
        <v>153</v>
      </c>
      <c r="Q83" s="158"/>
    </row>
    <row r="84" spans="1:17" s="134" customFormat="1" ht="28.5" outlineLevel="1">
      <c r="A84" s="128"/>
      <c r="B84" s="157"/>
      <c r="C84" s="157"/>
      <c r="D84" s="176" t="s">
        <v>201</v>
      </c>
      <c r="E84" s="158"/>
      <c r="F84" s="159"/>
      <c r="G84" s="158"/>
      <c r="H84" s="159"/>
      <c r="I84" s="159"/>
      <c r="J84" s="159"/>
      <c r="K84" s="159"/>
      <c r="L84" s="159"/>
      <c r="M84" s="158"/>
      <c r="N84" s="159"/>
      <c r="O84" s="158"/>
      <c r="P84" s="159" t="s">
        <v>156</v>
      </c>
      <c r="Q84" s="158"/>
    </row>
    <row r="85" spans="1:17" s="134" customFormat="1" ht="31.5">
      <c r="A85" s="128">
        <v>15</v>
      </c>
      <c r="B85" s="129" t="s">
        <v>202</v>
      </c>
      <c r="C85" s="160" t="s">
        <v>79</v>
      </c>
      <c r="D85" s="132"/>
      <c r="E85" s="172"/>
      <c r="G85" s="172"/>
      <c r="H85" s="132"/>
      <c r="I85" s="132"/>
      <c r="J85" s="132"/>
      <c r="K85" s="132"/>
      <c r="L85" s="132"/>
      <c r="M85" s="172"/>
      <c r="N85" s="132"/>
      <c r="O85" s="172"/>
      <c r="P85" s="161"/>
      <c r="Q85" s="172"/>
    </row>
    <row r="86" spans="1:17" s="134" customFormat="1" outlineLevel="1">
      <c r="A86" s="128"/>
      <c r="B86" s="157"/>
      <c r="C86" s="157"/>
      <c r="D86" s="159" t="s">
        <v>203</v>
      </c>
      <c r="E86" s="158"/>
      <c r="F86" s="159"/>
      <c r="G86" s="158"/>
      <c r="H86" s="159"/>
      <c r="I86" s="159"/>
      <c r="J86" s="159" t="s">
        <v>203</v>
      </c>
      <c r="K86" s="159"/>
      <c r="L86" s="159"/>
      <c r="M86" s="158"/>
      <c r="N86" s="159" t="s">
        <v>203</v>
      </c>
      <c r="O86" s="158"/>
      <c r="P86" s="159" t="s">
        <v>193</v>
      </c>
      <c r="Q86" s="158"/>
    </row>
    <row r="87" spans="1:17" s="134" customFormat="1" outlineLevel="1">
      <c r="A87" s="128"/>
      <c r="B87" s="157"/>
      <c r="C87" s="157"/>
      <c r="D87" s="159" t="s">
        <v>204</v>
      </c>
      <c r="E87" s="158"/>
      <c r="F87" s="159"/>
      <c r="G87" s="158"/>
      <c r="H87" s="159" t="s">
        <v>205</v>
      </c>
      <c r="I87" s="159"/>
      <c r="J87" s="159" t="s">
        <v>205</v>
      </c>
      <c r="K87" s="159"/>
      <c r="L87" s="159"/>
      <c r="M87" s="158"/>
      <c r="N87" s="159" t="s">
        <v>206</v>
      </c>
      <c r="O87" s="158"/>
      <c r="P87" s="159" t="s">
        <v>138</v>
      </c>
      <c r="Q87" s="158"/>
    </row>
    <row r="88" spans="1:17" s="134" customFormat="1" outlineLevel="1">
      <c r="A88" s="128"/>
      <c r="B88" s="157"/>
      <c r="C88" s="157"/>
      <c r="D88" s="159" t="s">
        <v>205</v>
      </c>
      <c r="E88" s="158"/>
      <c r="F88" s="159"/>
      <c r="G88" s="158"/>
      <c r="H88" s="159"/>
      <c r="I88" s="159"/>
      <c r="J88" s="159"/>
      <c r="K88" s="159"/>
      <c r="L88" s="159"/>
      <c r="M88" s="158"/>
      <c r="N88" s="159" t="s">
        <v>205</v>
      </c>
      <c r="O88" s="158"/>
      <c r="P88" s="159" t="s">
        <v>143</v>
      </c>
      <c r="Q88" s="158"/>
    </row>
    <row r="89" spans="1:17" s="134" customFormat="1" outlineLevel="1">
      <c r="A89" s="128"/>
      <c r="B89" s="157"/>
      <c r="C89" s="157"/>
      <c r="D89" s="159"/>
      <c r="E89" s="158"/>
      <c r="F89" s="159"/>
      <c r="G89" s="158"/>
      <c r="H89" s="159"/>
      <c r="I89" s="159"/>
      <c r="J89" s="159"/>
      <c r="K89" s="159"/>
      <c r="L89" s="159"/>
      <c r="M89" s="158"/>
      <c r="N89" s="159"/>
      <c r="O89" s="158"/>
      <c r="P89" s="159" t="s">
        <v>147</v>
      </c>
      <c r="Q89" s="158"/>
    </row>
    <row r="90" spans="1:17" s="134" customFormat="1" outlineLevel="1">
      <c r="A90" s="128"/>
      <c r="B90" s="157"/>
      <c r="C90" s="157"/>
      <c r="D90" s="159"/>
      <c r="E90" s="158"/>
      <c r="F90" s="159"/>
      <c r="G90" s="158"/>
      <c r="H90" s="159"/>
      <c r="I90" s="159"/>
      <c r="J90" s="159"/>
      <c r="K90" s="159"/>
      <c r="L90" s="159"/>
      <c r="M90" s="158"/>
      <c r="N90" s="159"/>
      <c r="O90" s="158"/>
      <c r="P90" s="159" t="s">
        <v>150</v>
      </c>
      <c r="Q90" s="158"/>
    </row>
    <row r="91" spans="1:17" s="134" customFormat="1" ht="28.5" outlineLevel="1">
      <c r="A91" s="128"/>
      <c r="B91" s="157"/>
      <c r="C91" s="157"/>
      <c r="D91" s="159"/>
      <c r="E91" s="158"/>
      <c r="F91" s="159"/>
      <c r="G91" s="158"/>
      <c r="H91" s="159"/>
      <c r="I91" s="159"/>
      <c r="J91" s="159"/>
      <c r="K91" s="159"/>
      <c r="L91" s="159"/>
      <c r="M91" s="158"/>
      <c r="N91" s="159"/>
      <c r="O91" s="158"/>
      <c r="P91" s="159" t="s">
        <v>153</v>
      </c>
      <c r="Q91" s="158"/>
    </row>
    <row r="92" spans="1:17" s="134" customFormat="1" ht="28.5" outlineLevel="1">
      <c r="A92" s="128"/>
      <c r="B92" s="157"/>
      <c r="C92" s="157"/>
      <c r="D92" s="159"/>
      <c r="E92" s="158"/>
      <c r="F92" s="159"/>
      <c r="G92" s="158"/>
      <c r="H92" s="159"/>
      <c r="I92" s="159"/>
      <c r="J92" s="159"/>
      <c r="K92" s="159"/>
      <c r="L92" s="159"/>
      <c r="M92" s="158"/>
      <c r="N92" s="159"/>
      <c r="O92" s="158"/>
      <c r="P92" s="159" t="s">
        <v>156</v>
      </c>
      <c r="Q92" s="158"/>
    </row>
    <row r="93" spans="1:17" s="134" customFormat="1">
      <c r="A93" s="128">
        <v>30</v>
      </c>
      <c r="B93" s="129" t="s">
        <v>207</v>
      </c>
      <c r="C93" s="130" t="s">
        <v>80</v>
      </c>
      <c r="D93" s="132"/>
      <c r="E93" s="131"/>
      <c r="F93" s="132"/>
      <c r="G93" s="131"/>
      <c r="H93" s="132"/>
      <c r="I93" s="132"/>
      <c r="J93" s="133"/>
      <c r="K93" s="133"/>
      <c r="L93" s="132"/>
      <c r="M93" s="131"/>
      <c r="N93" s="132"/>
      <c r="O93" s="131"/>
      <c r="P93" s="161"/>
      <c r="Q93" s="131"/>
    </row>
    <row r="94" spans="1:17" s="134" customFormat="1" outlineLevel="1">
      <c r="A94" s="128"/>
      <c r="B94" s="124"/>
      <c r="C94" s="124"/>
      <c r="D94" s="126" t="s">
        <v>208</v>
      </c>
      <c r="E94" s="125"/>
      <c r="F94" s="126"/>
      <c r="G94" s="125"/>
      <c r="H94" s="126" t="s">
        <v>208</v>
      </c>
      <c r="I94" s="126"/>
      <c r="J94" s="126" t="s">
        <v>208</v>
      </c>
      <c r="K94" s="126"/>
      <c r="L94" s="177"/>
      <c r="M94" s="125"/>
      <c r="N94" s="126" t="s">
        <v>208</v>
      </c>
      <c r="O94" s="125"/>
      <c r="P94" s="126" t="s">
        <v>193</v>
      </c>
      <c r="Q94" s="125"/>
    </row>
    <row r="95" spans="1:17" s="134" customFormat="1" outlineLevel="1">
      <c r="A95" s="128"/>
      <c r="B95" s="124"/>
      <c r="C95" s="124"/>
      <c r="D95" s="126" t="s">
        <v>209</v>
      </c>
      <c r="E95" s="125"/>
      <c r="F95" s="126"/>
      <c r="G95" s="125"/>
      <c r="H95" s="126" t="s">
        <v>209</v>
      </c>
      <c r="I95" s="126"/>
      <c r="J95" s="178" t="s">
        <v>210</v>
      </c>
      <c r="K95" s="178"/>
      <c r="L95" s="179"/>
      <c r="M95" s="125"/>
      <c r="N95" s="126" t="s">
        <v>209</v>
      </c>
      <c r="O95" s="125"/>
      <c r="P95" s="126" t="s">
        <v>138</v>
      </c>
      <c r="Q95" s="125"/>
    </row>
    <row r="96" spans="1:17" s="134" customFormat="1" outlineLevel="1">
      <c r="A96" s="128"/>
      <c r="B96" s="124"/>
      <c r="C96" s="124"/>
      <c r="D96" s="126"/>
      <c r="E96" s="125"/>
      <c r="F96" s="126"/>
      <c r="G96" s="125"/>
      <c r="H96" s="126"/>
      <c r="I96" s="126"/>
      <c r="J96" s="178"/>
      <c r="K96" s="178"/>
      <c r="L96" s="179"/>
      <c r="M96" s="125"/>
      <c r="N96" s="126"/>
      <c r="O96" s="125"/>
      <c r="P96" s="126" t="s">
        <v>143</v>
      </c>
      <c r="Q96" s="125"/>
    </row>
    <row r="97" spans="1:17" s="134" customFormat="1" outlineLevel="1">
      <c r="A97" s="128"/>
      <c r="B97" s="124"/>
      <c r="C97" s="124"/>
      <c r="D97" s="126"/>
      <c r="E97" s="125"/>
      <c r="F97" s="126"/>
      <c r="G97" s="125"/>
      <c r="H97" s="126"/>
      <c r="I97" s="126"/>
      <c r="J97" s="178"/>
      <c r="K97" s="178"/>
      <c r="L97" s="179"/>
      <c r="M97" s="125"/>
      <c r="N97" s="126"/>
      <c r="O97" s="125"/>
      <c r="P97" s="126" t="s">
        <v>147</v>
      </c>
      <c r="Q97" s="125"/>
    </row>
    <row r="98" spans="1:17" s="134" customFormat="1" outlineLevel="1">
      <c r="A98" s="128"/>
      <c r="B98" s="124"/>
      <c r="C98" s="124"/>
      <c r="D98" s="126"/>
      <c r="E98" s="125"/>
      <c r="F98" s="126"/>
      <c r="G98" s="125"/>
      <c r="H98" s="126"/>
      <c r="I98" s="126"/>
      <c r="J98" s="178"/>
      <c r="K98" s="178"/>
      <c r="L98" s="179"/>
      <c r="M98" s="125"/>
      <c r="N98" s="126"/>
      <c r="O98" s="125"/>
      <c r="P98" s="126" t="s">
        <v>150</v>
      </c>
      <c r="Q98" s="125"/>
    </row>
    <row r="99" spans="1:17" s="134" customFormat="1" ht="28.5" outlineLevel="1">
      <c r="A99" s="128"/>
      <c r="B99" s="124"/>
      <c r="C99" s="124"/>
      <c r="D99" s="126"/>
      <c r="E99" s="125"/>
      <c r="F99" s="126"/>
      <c r="G99" s="125"/>
      <c r="H99" s="126"/>
      <c r="I99" s="126"/>
      <c r="J99" s="178"/>
      <c r="K99" s="178"/>
      <c r="L99" s="179"/>
      <c r="M99" s="125"/>
      <c r="N99" s="126"/>
      <c r="O99" s="125"/>
      <c r="P99" s="126" t="s">
        <v>153</v>
      </c>
      <c r="Q99" s="125"/>
    </row>
    <row r="100" spans="1:17" s="134" customFormat="1" ht="28.5" outlineLevel="1">
      <c r="A100" s="128"/>
      <c r="B100" s="124"/>
      <c r="C100" s="124"/>
      <c r="D100" s="126"/>
      <c r="E100" s="125"/>
      <c r="F100" s="126"/>
      <c r="G100" s="125"/>
      <c r="H100" s="126"/>
      <c r="I100" s="126"/>
      <c r="J100" s="178"/>
      <c r="K100" s="178"/>
      <c r="L100" s="179"/>
      <c r="M100" s="125"/>
      <c r="N100" s="126"/>
      <c r="O100" s="125"/>
      <c r="P100" s="126" t="s">
        <v>156</v>
      </c>
      <c r="Q100" s="125"/>
    </row>
    <row r="101" spans="1:17" s="134" customFormat="1" outlineLevel="1">
      <c r="A101" s="128"/>
      <c r="B101" s="124"/>
      <c r="C101" s="124"/>
      <c r="D101" s="126"/>
      <c r="E101" s="125"/>
      <c r="F101" s="126"/>
      <c r="G101" s="125"/>
      <c r="H101" s="126"/>
      <c r="I101" s="126"/>
      <c r="J101" s="178"/>
      <c r="K101" s="178"/>
      <c r="L101" s="179"/>
      <c r="M101" s="125"/>
      <c r="N101" s="126"/>
      <c r="O101" s="125"/>
      <c r="P101" s="126"/>
      <c r="Q101" s="125"/>
    </row>
    <row r="102" spans="1:17" s="134" customFormat="1">
      <c r="A102" s="128">
        <v>15</v>
      </c>
      <c r="B102" s="129" t="s">
        <v>211</v>
      </c>
      <c r="C102" s="130" t="s">
        <v>81</v>
      </c>
      <c r="D102" s="132"/>
      <c r="E102" s="180"/>
      <c r="F102" s="132"/>
      <c r="G102" s="172"/>
      <c r="H102" s="132"/>
      <c r="I102" s="132"/>
      <c r="J102" s="132"/>
      <c r="K102" s="132"/>
      <c r="L102" s="181"/>
      <c r="M102" s="172"/>
      <c r="N102" s="132"/>
      <c r="O102" s="172"/>
      <c r="P102" s="182"/>
      <c r="Q102" s="172"/>
    </row>
    <row r="103" spans="1:17" s="134" customFormat="1" outlineLevel="1">
      <c r="A103" s="128"/>
      <c r="B103" s="124"/>
      <c r="C103" s="124"/>
      <c r="D103" s="126" t="s">
        <v>212</v>
      </c>
      <c r="E103" s="125"/>
      <c r="F103" s="126"/>
      <c r="G103" s="125"/>
      <c r="H103" s="126" t="s">
        <v>212</v>
      </c>
      <c r="I103" s="126"/>
      <c r="J103" s="126" t="s">
        <v>212</v>
      </c>
      <c r="K103" s="126"/>
      <c r="L103" s="126"/>
      <c r="M103" s="125"/>
      <c r="N103" s="126" t="s">
        <v>212</v>
      </c>
      <c r="O103" s="125"/>
      <c r="P103" s="126" t="s">
        <v>193</v>
      </c>
      <c r="Q103" s="125"/>
    </row>
    <row r="104" spans="1:17" s="134" customFormat="1" outlineLevel="1">
      <c r="A104" s="128"/>
      <c r="B104" s="124"/>
      <c r="C104" s="124"/>
      <c r="D104" s="126"/>
      <c r="E104" s="125"/>
      <c r="F104" s="126"/>
      <c r="G104" s="125"/>
      <c r="H104" s="126"/>
      <c r="I104" s="126"/>
      <c r="J104" s="178"/>
      <c r="K104" s="178"/>
      <c r="L104" s="179"/>
      <c r="M104" s="125"/>
      <c r="N104" s="126"/>
      <c r="O104" s="125"/>
      <c r="P104" s="126" t="s">
        <v>138</v>
      </c>
      <c r="Q104" s="125"/>
    </row>
    <row r="105" spans="1:17" s="134" customFormat="1" outlineLevel="1">
      <c r="A105" s="128"/>
      <c r="B105" s="124"/>
      <c r="C105" s="124"/>
      <c r="D105" s="126"/>
      <c r="E105" s="125"/>
      <c r="F105" s="126"/>
      <c r="G105" s="125"/>
      <c r="H105" s="126"/>
      <c r="I105" s="126"/>
      <c r="J105" s="126"/>
      <c r="K105" s="126"/>
      <c r="L105" s="126"/>
      <c r="M105" s="125"/>
      <c r="N105" s="126"/>
      <c r="O105" s="125"/>
      <c r="P105" s="126" t="s">
        <v>143</v>
      </c>
      <c r="Q105" s="125"/>
    </row>
    <row r="106" spans="1:17" s="134" customFormat="1" outlineLevel="1">
      <c r="A106" s="128"/>
      <c r="B106" s="124"/>
      <c r="C106" s="124"/>
      <c r="D106" s="126"/>
      <c r="E106" s="125"/>
      <c r="F106" s="126"/>
      <c r="G106" s="125"/>
      <c r="H106" s="126"/>
      <c r="I106" s="126"/>
      <c r="J106" s="178"/>
      <c r="K106" s="178"/>
      <c r="L106" s="179"/>
      <c r="M106" s="125"/>
      <c r="N106" s="126"/>
      <c r="O106" s="125"/>
      <c r="P106" s="126" t="s">
        <v>147</v>
      </c>
      <c r="Q106" s="125"/>
    </row>
    <row r="107" spans="1:17" s="134" customFormat="1" outlineLevel="1">
      <c r="A107" s="128"/>
      <c r="B107" s="124"/>
      <c r="C107" s="124"/>
      <c r="D107" s="126"/>
      <c r="E107" s="125"/>
      <c r="F107" s="126"/>
      <c r="G107" s="125"/>
      <c r="H107" s="126"/>
      <c r="I107" s="126"/>
      <c r="J107" s="126"/>
      <c r="K107" s="126"/>
      <c r="L107" s="126"/>
      <c r="M107" s="125"/>
      <c r="N107" s="127"/>
      <c r="O107" s="125"/>
      <c r="P107" s="126" t="s">
        <v>150</v>
      </c>
      <c r="Q107" s="125"/>
    </row>
    <row r="108" spans="1:17" s="134" customFormat="1" ht="28.5" outlineLevel="1">
      <c r="A108" s="128"/>
      <c r="B108" s="124"/>
      <c r="C108" s="124"/>
      <c r="D108" s="126"/>
      <c r="E108" s="125"/>
      <c r="F108" s="126"/>
      <c r="G108" s="125"/>
      <c r="H108" s="178"/>
      <c r="I108" s="178"/>
      <c r="J108" s="126"/>
      <c r="K108" s="126"/>
      <c r="L108" s="126"/>
      <c r="M108" s="125"/>
      <c r="N108" s="178"/>
      <c r="O108" s="125"/>
      <c r="P108" s="126" t="s">
        <v>153</v>
      </c>
      <c r="Q108" s="125"/>
    </row>
    <row r="109" spans="1:17" s="134" customFormat="1" ht="28.5" outlineLevel="1">
      <c r="A109" s="128"/>
      <c r="B109" s="124"/>
      <c r="C109" s="124"/>
      <c r="D109" s="126"/>
      <c r="E109" s="125"/>
      <c r="F109" s="126"/>
      <c r="G109" s="125"/>
      <c r="H109" s="126"/>
      <c r="I109" s="126"/>
      <c r="J109" s="126"/>
      <c r="K109" s="126"/>
      <c r="L109" s="126"/>
      <c r="M109" s="125"/>
      <c r="N109" s="126"/>
      <c r="O109" s="125"/>
      <c r="P109" s="126" t="s">
        <v>156</v>
      </c>
      <c r="Q109" s="125"/>
    </row>
    <row r="110" spans="1:17" s="134" customFormat="1">
      <c r="A110" s="128">
        <v>15</v>
      </c>
      <c r="B110" s="129" t="s">
        <v>213</v>
      </c>
      <c r="C110" s="130" t="s">
        <v>82</v>
      </c>
      <c r="D110" s="132"/>
      <c r="E110" s="131"/>
      <c r="F110" s="132"/>
      <c r="G110" s="131"/>
      <c r="H110" s="133"/>
      <c r="I110" s="133"/>
      <c r="J110" s="132"/>
      <c r="K110" s="132"/>
      <c r="L110" s="132"/>
      <c r="M110" s="131"/>
      <c r="N110" s="133"/>
      <c r="O110" s="131"/>
      <c r="P110" s="161"/>
      <c r="Q110" s="131"/>
    </row>
    <row r="111" spans="1:17" s="134" customFormat="1" outlineLevel="1">
      <c r="A111" s="128"/>
      <c r="B111" s="183"/>
      <c r="C111" s="183"/>
      <c r="D111" s="185" t="s">
        <v>214</v>
      </c>
      <c r="E111" s="184"/>
      <c r="F111" s="185"/>
      <c r="G111" s="184"/>
      <c r="H111" s="185" t="s">
        <v>214</v>
      </c>
      <c r="I111" s="185"/>
      <c r="J111" s="185" t="s">
        <v>215</v>
      </c>
      <c r="K111" s="185"/>
      <c r="L111" s="186"/>
      <c r="M111" s="184"/>
      <c r="N111" s="185" t="s">
        <v>214</v>
      </c>
      <c r="O111" s="184"/>
      <c r="P111" s="187" t="s">
        <v>216</v>
      </c>
      <c r="Q111" s="184"/>
    </row>
    <row r="112" spans="1:17" s="134" customFormat="1">
      <c r="A112" s="128">
        <v>30</v>
      </c>
      <c r="B112" s="129" t="s">
        <v>217</v>
      </c>
      <c r="C112" s="130" t="s">
        <v>229</v>
      </c>
      <c r="D112" s="132"/>
      <c r="E112" s="131"/>
      <c r="F112" s="132"/>
      <c r="G112" s="131"/>
      <c r="H112" s="133"/>
      <c r="I112" s="133"/>
      <c r="J112" s="132"/>
      <c r="K112" s="132"/>
      <c r="L112" s="132"/>
      <c r="M112" s="131"/>
      <c r="N112" s="133"/>
      <c r="O112" s="131"/>
      <c r="P112" s="161"/>
      <c r="Q112" s="131"/>
    </row>
    <row r="113" spans="1:17" s="134" customFormat="1" outlineLevel="1">
      <c r="A113" s="128"/>
      <c r="B113" s="183"/>
      <c r="C113" s="183"/>
      <c r="D113" s="185"/>
      <c r="E113" s="184"/>
      <c r="F113" s="185"/>
      <c r="G113" s="184"/>
      <c r="H113" s="185"/>
      <c r="I113" s="185"/>
      <c r="J113" s="185"/>
      <c r="K113" s="185"/>
      <c r="L113" s="186"/>
      <c r="M113" s="184"/>
      <c r="N113" s="185"/>
      <c r="O113" s="184"/>
      <c r="P113" s="187" t="s">
        <v>216</v>
      </c>
      <c r="Q113" s="184"/>
    </row>
    <row r="114" spans="1:17" s="134" customFormat="1" outlineLevel="1">
      <c r="A114" s="128"/>
      <c r="B114" s="183"/>
      <c r="C114" s="183"/>
      <c r="D114" s="185" t="s">
        <v>218</v>
      </c>
      <c r="E114" s="184"/>
      <c r="F114" s="185"/>
      <c r="G114" s="184"/>
      <c r="H114" s="185" t="s">
        <v>218</v>
      </c>
      <c r="I114" s="185"/>
      <c r="J114" s="185" t="s">
        <v>219</v>
      </c>
      <c r="K114" s="185"/>
      <c r="L114" s="185"/>
      <c r="M114" s="184"/>
      <c r="N114" s="185" t="s">
        <v>218</v>
      </c>
      <c r="O114" s="184"/>
      <c r="P114" s="187"/>
      <c r="Q114" s="184"/>
    </row>
    <row r="115" spans="1:17" s="134" customFormat="1" outlineLevel="1">
      <c r="A115" s="128"/>
      <c r="B115" s="183"/>
      <c r="C115" s="183"/>
      <c r="D115" s="185"/>
      <c r="E115" s="184"/>
      <c r="F115" s="185"/>
      <c r="G115" s="184"/>
      <c r="H115" s="185"/>
      <c r="I115" s="185"/>
      <c r="J115" s="185"/>
      <c r="K115" s="185"/>
      <c r="L115" s="185"/>
      <c r="M115" s="184"/>
      <c r="N115" s="185"/>
      <c r="O115" s="184"/>
      <c r="P115" s="187"/>
      <c r="Q115" s="184"/>
    </row>
    <row r="116" spans="1:17" s="134" customFormat="1" outlineLevel="1">
      <c r="A116" s="128"/>
      <c r="B116" s="183"/>
      <c r="C116" s="183"/>
      <c r="D116" s="185"/>
      <c r="E116" s="184"/>
      <c r="F116" s="185"/>
      <c r="G116" s="184"/>
      <c r="H116" s="185"/>
      <c r="I116" s="185"/>
      <c r="J116" s="185"/>
      <c r="K116" s="185"/>
      <c r="L116" s="185"/>
      <c r="M116" s="184"/>
      <c r="N116" s="185"/>
      <c r="O116" s="184"/>
      <c r="P116" s="187"/>
      <c r="Q116" s="184"/>
    </row>
    <row r="117" spans="1:17" s="134" customFormat="1" outlineLevel="1">
      <c r="A117" s="128"/>
      <c r="B117" s="183"/>
      <c r="C117" s="183"/>
      <c r="D117" s="188"/>
      <c r="E117" s="184"/>
      <c r="F117" s="185"/>
      <c r="G117" s="184"/>
      <c r="H117" s="185"/>
      <c r="I117" s="185"/>
      <c r="J117" s="185"/>
      <c r="K117" s="185"/>
      <c r="L117" s="189"/>
      <c r="M117" s="184"/>
      <c r="N117" s="188"/>
      <c r="O117" s="184"/>
      <c r="P117" s="187"/>
      <c r="Q117" s="184"/>
    </row>
    <row r="118" spans="1:17" s="134" customFormat="1" outlineLevel="1">
      <c r="A118" s="128"/>
      <c r="B118" s="183"/>
      <c r="C118" s="183"/>
      <c r="D118" s="185"/>
      <c r="E118" s="184"/>
      <c r="F118" s="185"/>
      <c r="G118" s="184"/>
      <c r="H118" s="185"/>
      <c r="I118" s="185"/>
      <c r="J118" s="185"/>
      <c r="K118" s="185"/>
      <c r="L118" s="185"/>
      <c r="M118" s="184"/>
      <c r="N118" s="185"/>
      <c r="O118" s="184"/>
      <c r="P118" s="187"/>
      <c r="Q118" s="184"/>
    </row>
    <row r="119" spans="1:17" s="134" customFormat="1" outlineLevel="1">
      <c r="A119" s="128"/>
      <c r="B119" s="183"/>
      <c r="C119" s="183"/>
      <c r="D119" s="185"/>
      <c r="E119" s="184"/>
      <c r="F119" s="185"/>
      <c r="G119" s="184"/>
      <c r="H119" s="185"/>
      <c r="I119" s="185"/>
      <c r="J119" s="185"/>
      <c r="K119" s="185"/>
      <c r="L119" s="185"/>
      <c r="M119" s="184"/>
      <c r="N119" s="185"/>
      <c r="O119" s="184"/>
      <c r="P119" s="187"/>
      <c r="Q119" s="184"/>
    </row>
    <row r="120" spans="1:17" s="134" customFormat="1" outlineLevel="1">
      <c r="A120" s="128"/>
      <c r="B120" s="183"/>
      <c r="C120" s="183"/>
      <c r="D120" s="185"/>
      <c r="E120" s="184"/>
      <c r="F120" s="185"/>
      <c r="G120" s="184"/>
      <c r="H120" s="185"/>
      <c r="I120" s="185"/>
      <c r="J120" s="185"/>
      <c r="K120" s="185"/>
      <c r="L120" s="185"/>
      <c r="M120" s="184"/>
      <c r="N120" s="185"/>
      <c r="O120" s="184"/>
      <c r="P120" s="187"/>
      <c r="Q120" s="184"/>
    </row>
    <row r="121" spans="1:17" s="195" customFormat="1" ht="28.5" outlineLevel="1">
      <c r="A121" s="190"/>
      <c r="B121" s="191"/>
      <c r="C121" s="191"/>
      <c r="D121" s="193" t="s">
        <v>220</v>
      </c>
      <c r="E121" s="192"/>
      <c r="F121" s="193"/>
      <c r="G121" s="192"/>
      <c r="H121" s="193"/>
      <c r="I121" s="193"/>
      <c r="J121" s="193"/>
      <c r="K121" s="193"/>
      <c r="L121" s="193"/>
      <c r="M121" s="192"/>
      <c r="N121" s="193"/>
      <c r="O121" s="192"/>
      <c r="P121" s="194" t="s">
        <v>221</v>
      </c>
      <c r="Q121" s="192"/>
    </row>
    <row r="122" spans="1:17" s="134" customFormat="1" outlineLevel="1">
      <c r="A122" s="128"/>
      <c r="B122" s="196"/>
      <c r="C122" s="196"/>
      <c r="D122" s="198" t="s">
        <v>222</v>
      </c>
      <c r="E122" s="197"/>
      <c r="F122" s="198"/>
      <c r="G122" s="197"/>
      <c r="H122" s="199"/>
      <c r="I122" s="199"/>
      <c r="J122" s="198"/>
      <c r="K122" s="198"/>
      <c r="L122" s="200"/>
      <c r="M122" s="197"/>
      <c r="N122" s="199"/>
      <c r="O122" s="197"/>
      <c r="P122" s="201" t="s">
        <v>223</v>
      </c>
      <c r="Q122" s="197"/>
    </row>
    <row r="123" spans="1:17" s="134" customFormat="1" outlineLevel="1">
      <c r="A123" s="128"/>
      <c r="B123" s="196"/>
      <c r="C123" s="196"/>
      <c r="D123" s="198" t="s">
        <v>224</v>
      </c>
      <c r="E123" s="197"/>
      <c r="F123" s="198"/>
      <c r="G123" s="197"/>
      <c r="H123" s="198"/>
      <c r="I123" s="198"/>
      <c r="J123" s="198"/>
      <c r="K123" s="198"/>
      <c r="L123" s="198"/>
      <c r="M123" s="197"/>
      <c r="N123" s="198"/>
      <c r="O123" s="197"/>
      <c r="P123" s="202" t="s">
        <v>138</v>
      </c>
      <c r="Q123" s="197"/>
    </row>
    <row r="124" spans="1:17" s="134" customFormat="1" outlineLevel="1">
      <c r="A124" s="128"/>
      <c r="B124" s="196"/>
      <c r="C124" s="203"/>
      <c r="D124" s="198" t="s">
        <v>225</v>
      </c>
      <c r="E124" s="197"/>
      <c r="F124" s="198"/>
      <c r="G124" s="197"/>
      <c r="H124" s="198"/>
      <c r="I124" s="198"/>
      <c r="J124" s="198"/>
      <c r="K124" s="198"/>
      <c r="L124" s="198"/>
      <c r="M124" s="197"/>
      <c r="N124" s="198" t="s">
        <v>226</v>
      </c>
      <c r="O124" s="197"/>
      <c r="P124" s="202" t="s">
        <v>143</v>
      </c>
      <c r="Q124" s="197"/>
    </row>
    <row r="125" spans="1:17" s="134" customFormat="1" outlineLevel="1">
      <c r="A125" s="128"/>
      <c r="B125" s="196"/>
      <c r="C125" s="203"/>
      <c r="D125" s="198" t="s">
        <v>227</v>
      </c>
      <c r="E125" s="197"/>
      <c r="F125" s="198"/>
      <c r="G125" s="197"/>
      <c r="H125" s="198"/>
      <c r="I125" s="198"/>
      <c r="J125" s="199"/>
      <c r="K125" s="199"/>
      <c r="L125" s="198"/>
      <c r="M125" s="197"/>
      <c r="N125" s="199" t="s">
        <v>228</v>
      </c>
      <c r="O125" s="197"/>
      <c r="P125" s="202" t="s">
        <v>147</v>
      </c>
      <c r="Q125" s="197"/>
    </row>
    <row r="126" spans="1:17" s="134" customFormat="1" outlineLevel="1">
      <c r="A126" s="128"/>
      <c r="B126" s="196"/>
      <c r="C126" s="203"/>
      <c r="D126" s="198"/>
      <c r="E126" s="197"/>
      <c r="F126" s="198"/>
      <c r="G126" s="197"/>
      <c r="H126" s="198"/>
      <c r="I126" s="198"/>
      <c r="J126" s="198"/>
      <c r="K126" s="198"/>
      <c r="L126" s="204"/>
      <c r="M126" s="197"/>
      <c r="N126" s="198"/>
      <c r="O126" s="197"/>
      <c r="P126" s="202" t="s">
        <v>150</v>
      </c>
      <c r="Q126" s="197"/>
    </row>
    <row r="127" spans="1:17" s="134" customFormat="1" ht="28.5" outlineLevel="1">
      <c r="A127" s="128"/>
      <c r="B127" s="196"/>
      <c r="C127" s="203"/>
      <c r="D127" s="198"/>
      <c r="E127" s="197"/>
      <c r="F127" s="198"/>
      <c r="G127" s="197"/>
      <c r="H127" s="199"/>
      <c r="I127" s="199"/>
      <c r="J127" s="198"/>
      <c r="K127" s="198"/>
      <c r="L127" s="198"/>
      <c r="M127" s="197"/>
      <c r="N127" s="199"/>
      <c r="O127" s="197"/>
      <c r="P127" s="202" t="s">
        <v>153</v>
      </c>
      <c r="Q127" s="197"/>
    </row>
    <row r="128" spans="1:17" s="134" customFormat="1" ht="28.5" outlineLevel="1">
      <c r="A128" s="128"/>
      <c r="B128" s="196"/>
      <c r="C128" s="196"/>
      <c r="D128" s="198"/>
      <c r="E128" s="197"/>
      <c r="F128" s="198"/>
      <c r="G128" s="197"/>
      <c r="H128" s="198"/>
      <c r="I128" s="198"/>
      <c r="J128" s="198"/>
      <c r="K128" s="198"/>
      <c r="L128" s="198"/>
      <c r="M128" s="197"/>
      <c r="N128" s="198"/>
      <c r="O128" s="197"/>
      <c r="P128" s="198" t="s">
        <v>156</v>
      </c>
      <c r="Q128" s="197"/>
    </row>
    <row r="129" spans="1:17" s="134" customFormat="1" outlineLevel="1">
      <c r="A129" s="128"/>
      <c r="B129" s="196"/>
      <c r="C129" s="196"/>
      <c r="D129" s="198"/>
      <c r="E129" s="197"/>
      <c r="F129" s="198"/>
      <c r="G129" s="197"/>
      <c r="H129" s="198"/>
      <c r="I129" s="198"/>
      <c r="J129" s="198"/>
      <c r="K129" s="198"/>
      <c r="L129" s="198"/>
      <c r="M129" s="197"/>
      <c r="N129" s="199"/>
      <c r="O129" s="197"/>
      <c r="P129" s="198"/>
      <c r="Q129" s="197"/>
    </row>
  </sheetData>
  <mergeCells count="13">
    <mergeCell ref="Q1:Q2"/>
    <mergeCell ref="P1:P2"/>
    <mergeCell ref="A1:A2"/>
    <mergeCell ref="B1:B2"/>
    <mergeCell ref="C1:C2"/>
    <mergeCell ref="E1:E2"/>
    <mergeCell ref="D1:D2"/>
    <mergeCell ref="G1:G2"/>
    <mergeCell ref="M1:M2"/>
    <mergeCell ref="N1:N2"/>
    <mergeCell ref="O1:O2"/>
    <mergeCell ref="I1:I2"/>
    <mergeCell ref="K1:K2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CE67-068D-4A2C-AC7A-15B31DC0CEC3}">
  <dimension ref="B2:Q19"/>
  <sheetViews>
    <sheetView zoomScale="80" zoomScaleNormal="80" workbookViewId="0">
      <selection activeCell="F19" sqref="F19"/>
    </sheetView>
  </sheetViews>
  <sheetFormatPr defaultRowHeight="12.75"/>
  <cols>
    <col min="1" max="1" width="5.7109375" customWidth="1"/>
    <col min="3" max="3" width="23.7109375" bestFit="1" customWidth="1"/>
    <col min="4" max="5" width="0.28515625" customWidth="1"/>
    <col min="6" max="6" width="12.28515625" bestFit="1" customWidth="1"/>
    <col min="7" max="8" width="9.7109375" bestFit="1" customWidth="1"/>
    <col min="9" max="9" width="12.28515625" bestFit="1" customWidth="1"/>
    <col min="10" max="10" width="11" bestFit="1" customWidth="1"/>
    <col min="11" max="11" width="12" bestFit="1" customWidth="1"/>
    <col min="12" max="12" width="9.5703125" bestFit="1" customWidth="1"/>
    <col min="13" max="13" width="7.28515625" bestFit="1" customWidth="1"/>
    <col min="14" max="14" width="12.28515625" bestFit="1" customWidth="1"/>
  </cols>
  <sheetData>
    <row r="2" spans="2:17" ht="21">
      <c r="B2" s="5" t="s">
        <v>21</v>
      </c>
      <c r="C2" s="6"/>
      <c r="D2" s="6"/>
      <c r="E2" s="6"/>
      <c r="F2" s="7" t="s">
        <v>231</v>
      </c>
      <c r="G2" s="8"/>
      <c r="H2" s="8"/>
      <c r="I2" s="8"/>
      <c r="J2" s="7" t="s">
        <v>232</v>
      </c>
      <c r="K2" s="221">
        <v>0.05</v>
      </c>
      <c r="L2" s="221">
        <v>0.03</v>
      </c>
      <c r="M2" s="221">
        <v>0.02</v>
      </c>
      <c r="N2" s="221">
        <v>7.0000000000000007E-2</v>
      </c>
    </row>
    <row r="3" spans="2:17" ht="15">
      <c r="B3" s="10"/>
      <c r="C3" s="11"/>
      <c r="D3" s="11"/>
      <c r="E3" s="11"/>
      <c r="F3" s="14"/>
      <c r="G3" s="14"/>
      <c r="H3" s="14"/>
      <c r="I3" s="14"/>
      <c r="J3" s="14"/>
      <c r="K3" s="52"/>
      <c r="L3" s="53"/>
      <c r="M3" s="53"/>
      <c r="N3" s="53"/>
    </row>
    <row r="4" spans="2:17" ht="15.75">
      <c r="B4" s="15">
        <v>1</v>
      </c>
      <c r="C4" s="16" t="s">
        <v>24</v>
      </c>
      <c r="D4" s="16"/>
      <c r="E4" s="16"/>
      <c r="F4" s="19" t="s">
        <v>15</v>
      </c>
      <c r="G4" s="19" t="s">
        <v>16</v>
      </c>
      <c r="H4" s="19" t="s">
        <v>12</v>
      </c>
      <c r="I4" s="19" t="s">
        <v>14</v>
      </c>
      <c r="J4" s="20"/>
      <c r="K4" s="19" t="s">
        <v>15</v>
      </c>
      <c r="L4" s="19" t="s">
        <v>16</v>
      </c>
      <c r="M4" s="19" t="s">
        <v>12</v>
      </c>
      <c r="N4" s="19" t="s">
        <v>14</v>
      </c>
      <c r="Q4" s="104"/>
    </row>
    <row r="5" spans="2:17" ht="14.25">
      <c r="B5" s="10"/>
      <c r="C5" s="21"/>
      <c r="D5" s="21"/>
      <c r="E5" s="21"/>
      <c r="F5" s="14"/>
      <c r="G5" s="14"/>
      <c r="H5" s="14"/>
      <c r="I5" s="14"/>
      <c r="J5" s="14"/>
      <c r="K5" s="14"/>
      <c r="L5" s="14"/>
      <c r="M5" s="14"/>
      <c r="N5" s="14"/>
    </row>
    <row r="6" spans="2:17" ht="15">
      <c r="B6" s="24"/>
      <c r="C6" s="25" t="s">
        <v>27</v>
      </c>
      <c r="D6" s="25"/>
      <c r="E6" s="25"/>
      <c r="F6" s="4">
        <f t="shared" ref="F6:N6" si="0">SUM(F8,F14)</f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Q6" s="104"/>
    </row>
    <row r="7" spans="2:17" ht="14.25">
      <c r="B7" s="26"/>
      <c r="C7" s="1"/>
      <c r="D7" s="1"/>
      <c r="E7" s="1"/>
      <c r="F7" s="28"/>
      <c r="G7" s="28"/>
      <c r="H7" s="28"/>
      <c r="I7" s="28"/>
      <c r="J7" s="28"/>
      <c r="K7" s="28"/>
      <c r="L7" s="28"/>
      <c r="M7" s="28"/>
      <c r="N7" s="28"/>
    </row>
    <row r="8" spans="2:17" ht="15">
      <c r="B8" s="45" t="s">
        <v>30</v>
      </c>
      <c r="C8" s="46" t="s">
        <v>5</v>
      </c>
      <c r="D8" s="46"/>
      <c r="E8" s="46"/>
      <c r="F8" s="49">
        <f>SUM(F9:F12)</f>
        <v>0</v>
      </c>
      <c r="G8" s="49">
        <f t="shared" ref="G8:I8" si="1">SUM(G9:G12)</f>
        <v>0</v>
      </c>
      <c r="H8" s="49">
        <f t="shared" si="1"/>
        <v>0</v>
      </c>
      <c r="I8" s="49">
        <f t="shared" si="1"/>
        <v>0</v>
      </c>
      <c r="J8" s="50"/>
      <c r="K8" s="49">
        <f>(F8*$K$3)</f>
        <v>0</v>
      </c>
      <c r="L8" s="49">
        <f>(F8*$L$3)</f>
        <v>0</v>
      </c>
      <c r="M8" s="49">
        <f>($F8*$M$3)</f>
        <v>0</v>
      </c>
      <c r="N8" s="49">
        <f>($F8*$N$3)</f>
        <v>0</v>
      </c>
    </row>
    <row r="9" spans="2:17" ht="15">
      <c r="B9" s="19"/>
      <c r="C9" s="35" t="s">
        <v>54</v>
      </c>
      <c r="D9" s="35"/>
      <c r="E9" s="35"/>
      <c r="F9" s="105"/>
      <c r="G9" s="3"/>
      <c r="H9" s="3"/>
      <c r="I9" s="3"/>
      <c r="J9" s="44"/>
      <c r="K9" s="3">
        <f>(F9*$K$2)</f>
        <v>0</v>
      </c>
      <c r="L9" s="3">
        <f>(G9*$L$2)</f>
        <v>0</v>
      </c>
      <c r="M9" s="3">
        <f>(H9*$M$2)</f>
        <v>0</v>
      </c>
      <c r="N9" s="3">
        <f>(I9*$N$2)</f>
        <v>0</v>
      </c>
      <c r="Q9" s="104"/>
    </row>
    <row r="10" spans="2:17" ht="15">
      <c r="B10" s="19"/>
      <c r="C10" s="35" t="s">
        <v>56</v>
      </c>
      <c r="D10" s="35"/>
      <c r="E10" s="35"/>
      <c r="F10" s="105"/>
      <c r="G10" s="3"/>
      <c r="H10" s="3"/>
      <c r="I10" s="3"/>
      <c r="J10" s="44"/>
      <c r="K10" s="3">
        <f t="shared" ref="K10:K12" si="2">(F10*$K$2)</f>
        <v>0</v>
      </c>
      <c r="L10" s="3">
        <f t="shared" ref="L10:L12" si="3">(G10*$L$2)</f>
        <v>0</v>
      </c>
      <c r="M10" s="3">
        <f t="shared" ref="M10:M12" si="4">(H10*$M$2)</f>
        <v>0</v>
      </c>
      <c r="N10" s="3">
        <f t="shared" ref="N10:N12" si="5">(I10*$N$2)</f>
        <v>0</v>
      </c>
      <c r="Q10" s="104"/>
    </row>
    <row r="11" spans="2:17" ht="15">
      <c r="B11" s="19"/>
      <c r="C11" s="35" t="s">
        <v>230</v>
      </c>
      <c r="D11" s="35"/>
      <c r="E11" s="35"/>
      <c r="F11" s="105"/>
      <c r="G11" s="3"/>
      <c r="H11" s="3"/>
      <c r="I11" s="3"/>
      <c r="J11" s="44"/>
      <c r="K11" s="3">
        <f t="shared" si="2"/>
        <v>0</v>
      </c>
      <c r="L11" s="3">
        <f t="shared" si="3"/>
        <v>0</v>
      </c>
      <c r="M11" s="3">
        <f t="shared" si="4"/>
        <v>0</v>
      </c>
      <c r="N11" s="3">
        <f t="shared" si="5"/>
        <v>0</v>
      </c>
      <c r="Q11" s="104"/>
    </row>
    <row r="12" spans="2:17" ht="15">
      <c r="B12" s="19"/>
      <c r="C12" s="35" t="s">
        <v>4</v>
      </c>
      <c r="D12" s="35"/>
      <c r="E12" s="35"/>
      <c r="F12" s="105"/>
      <c r="G12" s="3"/>
      <c r="H12" s="3"/>
      <c r="I12" s="3"/>
      <c r="J12" s="44"/>
      <c r="K12" s="3">
        <f t="shared" si="2"/>
        <v>0</v>
      </c>
      <c r="L12" s="3">
        <f t="shared" si="3"/>
        <v>0</v>
      </c>
      <c r="M12" s="3">
        <f t="shared" si="4"/>
        <v>0</v>
      </c>
      <c r="N12" s="3">
        <f t="shared" si="5"/>
        <v>0</v>
      </c>
      <c r="Q12" s="104"/>
    </row>
    <row r="13" spans="2:17" ht="14.25">
      <c r="B13" s="26"/>
      <c r="C13" s="1"/>
      <c r="D13" s="1"/>
      <c r="E13" s="1"/>
      <c r="F13" s="28"/>
      <c r="G13" s="28"/>
      <c r="H13" s="28"/>
      <c r="I13" s="28"/>
      <c r="J13" s="28"/>
      <c r="K13" s="28"/>
      <c r="L13" s="28"/>
      <c r="M13" s="28"/>
      <c r="N13" s="28"/>
    </row>
    <row r="14" spans="2:17" ht="15">
      <c r="B14" s="38" t="s">
        <v>31</v>
      </c>
      <c r="C14" s="39" t="s">
        <v>6</v>
      </c>
      <c r="D14" s="39"/>
      <c r="E14" s="39"/>
      <c r="F14" s="42">
        <f>SUM(F15:F17)</f>
        <v>0</v>
      </c>
      <c r="G14" s="42">
        <f t="shared" ref="G14:I14" si="6">SUM(G15:G17)</f>
        <v>0</v>
      </c>
      <c r="H14" s="42">
        <f t="shared" si="6"/>
        <v>0</v>
      </c>
      <c r="I14" s="42">
        <f t="shared" si="6"/>
        <v>0</v>
      </c>
      <c r="J14" s="43"/>
      <c r="K14" s="42">
        <f>(F14*$K$2)/100</f>
        <v>0</v>
      </c>
      <c r="L14" s="42">
        <f>(F14*$L$3)/100</f>
        <v>0</v>
      </c>
      <c r="M14" s="42">
        <f>($F14*$M$3)/100</f>
        <v>0</v>
      </c>
      <c r="N14" s="42">
        <f>($F14*$N$3)/100</f>
        <v>0</v>
      </c>
    </row>
    <row r="15" spans="2:17" ht="15">
      <c r="B15" s="19"/>
      <c r="C15" s="35" t="s">
        <v>7</v>
      </c>
      <c r="D15" s="35"/>
      <c r="E15" s="35"/>
      <c r="F15" s="3"/>
      <c r="G15" s="3"/>
      <c r="H15" s="3"/>
      <c r="I15" s="3"/>
      <c r="J15" s="44"/>
      <c r="K15" s="3">
        <f t="shared" ref="K15:K17" si="7">(F15*$K$2)/100</f>
        <v>0</v>
      </c>
      <c r="L15" s="3">
        <f t="shared" ref="L15:L17" si="8">(F15*$L$3)/100</f>
        <v>0</v>
      </c>
      <c r="M15" s="3">
        <f t="shared" ref="M15:M17" si="9">($F15*$M$3)/100</f>
        <v>0</v>
      </c>
      <c r="N15" s="3">
        <f t="shared" ref="N15:N17" si="10">($F15*$N$3)/100</f>
        <v>0</v>
      </c>
    </row>
    <row r="16" spans="2:17" ht="15">
      <c r="B16" s="19"/>
      <c r="C16" s="35" t="s">
        <v>8</v>
      </c>
      <c r="D16" s="35"/>
      <c r="E16" s="35"/>
      <c r="F16" s="3"/>
      <c r="G16" s="3"/>
      <c r="H16" s="3"/>
      <c r="I16" s="3"/>
      <c r="J16" s="44"/>
      <c r="K16" s="3">
        <f t="shared" si="7"/>
        <v>0</v>
      </c>
      <c r="L16" s="3">
        <f t="shared" si="8"/>
        <v>0</v>
      </c>
      <c r="M16" s="3">
        <f t="shared" si="9"/>
        <v>0</v>
      </c>
      <c r="N16" s="3">
        <f t="shared" si="10"/>
        <v>0</v>
      </c>
    </row>
    <row r="17" spans="2:14" ht="15">
      <c r="B17" s="19"/>
      <c r="C17" s="35" t="s">
        <v>9</v>
      </c>
      <c r="D17" s="35"/>
      <c r="E17" s="35"/>
      <c r="F17" s="3"/>
      <c r="G17" s="3"/>
      <c r="H17" s="3"/>
      <c r="I17" s="3"/>
      <c r="J17" s="44"/>
      <c r="K17" s="3">
        <f t="shared" si="7"/>
        <v>0</v>
      </c>
      <c r="L17" s="3">
        <f t="shared" si="8"/>
        <v>0</v>
      </c>
      <c r="M17" s="3">
        <f t="shared" si="9"/>
        <v>0</v>
      </c>
      <c r="N17" s="3">
        <f t="shared" si="10"/>
        <v>0</v>
      </c>
    </row>
    <row r="19" spans="2:14">
      <c r="C19" s="51"/>
      <c r="D19" s="51"/>
      <c r="E19" s="5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05772-73D0-4A69-8BE0-3D57543ECEAA}">
  <sheetPr>
    <outlinePr summaryBelow="0" summaryRight="0"/>
  </sheetPr>
  <dimension ref="A1:AM60"/>
  <sheetViews>
    <sheetView tabSelected="1" zoomScale="75" zoomScaleNormal="115" workbookViewId="0">
      <pane ySplit="3" topLeftCell="A4" activePane="bottomLeft" state="frozen"/>
      <selection pane="bottomLeft" activeCell="F15" sqref="F15"/>
    </sheetView>
  </sheetViews>
  <sheetFormatPr defaultColWidth="8.85546875" defaultRowHeight="15"/>
  <cols>
    <col min="1" max="1" width="8" style="230" customWidth="1"/>
    <col min="2" max="2" width="7.140625" style="230" customWidth="1"/>
    <col min="3" max="3" width="7.5703125" style="230" customWidth="1"/>
    <col min="4" max="4" width="6.7109375" style="234" customWidth="1"/>
    <col min="5" max="5" width="13.7109375" style="230" customWidth="1"/>
    <col min="6" max="6" width="58.85546875" style="230" bestFit="1" customWidth="1"/>
    <col min="7" max="7" width="8.140625" style="233" bestFit="1" customWidth="1"/>
    <col min="8" max="8" width="10.42578125" style="230" bestFit="1" customWidth="1"/>
    <col min="9" max="9" width="11.7109375" style="235" bestFit="1" customWidth="1"/>
    <col min="10" max="10" width="8" style="230" customWidth="1"/>
    <col min="11" max="11" width="14" style="232" customWidth="1"/>
    <col min="12" max="12" width="9.5703125" style="231" customWidth="1"/>
    <col min="13" max="13" width="7.85546875" style="230" bestFit="1" customWidth="1"/>
    <col min="14" max="14" width="7.7109375" style="230" customWidth="1"/>
    <col min="15" max="15" width="10.140625" style="230" customWidth="1"/>
    <col min="16" max="22" width="8.85546875" style="230"/>
    <col min="23" max="23" width="8" style="230" customWidth="1"/>
    <col min="24" max="24" width="8.85546875" style="230"/>
    <col min="25" max="25" width="10.28515625" style="230" customWidth="1"/>
    <col min="26" max="16384" width="8.85546875" style="230"/>
  </cols>
  <sheetData>
    <row r="1" spans="1:39" s="251" customFormat="1" ht="23.25" customHeight="1">
      <c r="B1" s="252" t="s">
        <v>285</v>
      </c>
      <c r="C1" s="253"/>
      <c r="D1" s="254" t="s">
        <v>284</v>
      </c>
      <c r="E1" s="255"/>
      <c r="F1" s="255" t="s">
        <v>284</v>
      </c>
      <c r="G1" s="256" t="s">
        <v>284</v>
      </c>
      <c r="H1" s="255" t="s">
        <v>284</v>
      </c>
      <c r="I1" s="259" t="s">
        <v>284</v>
      </c>
      <c r="J1" s="255" t="s">
        <v>284</v>
      </c>
      <c r="K1" s="257"/>
      <c r="L1" s="255" t="s">
        <v>284</v>
      </c>
      <c r="M1" s="255" t="s">
        <v>290</v>
      </c>
      <c r="N1" s="255">
        <v>1</v>
      </c>
      <c r="O1" s="255">
        <v>2</v>
      </c>
      <c r="P1" s="255">
        <v>3</v>
      </c>
      <c r="Q1" s="255">
        <v>4</v>
      </c>
      <c r="R1" s="255" t="s">
        <v>291</v>
      </c>
      <c r="S1" s="255">
        <v>5</v>
      </c>
      <c r="T1" s="255">
        <v>6</v>
      </c>
      <c r="U1" s="255">
        <v>7</v>
      </c>
      <c r="V1" s="255">
        <v>8</v>
      </c>
      <c r="W1" s="255" t="s">
        <v>284</v>
      </c>
      <c r="X1" s="255" t="s">
        <v>293</v>
      </c>
      <c r="Y1" s="255">
        <v>9</v>
      </c>
      <c r="Z1" s="255">
        <v>10</v>
      </c>
      <c r="AA1" s="255">
        <v>11</v>
      </c>
      <c r="AB1" s="255">
        <v>12</v>
      </c>
      <c r="AC1" s="255" t="s">
        <v>295</v>
      </c>
      <c r="AD1" s="255">
        <v>13</v>
      </c>
      <c r="AE1" s="255">
        <v>14</v>
      </c>
      <c r="AF1" s="255">
        <v>15</v>
      </c>
      <c r="AG1" s="255">
        <v>16</v>
      </c>
    </row>
    <row r="2" spans="1:39" s="247" customFormat="1" ht="14.25">
      <c r="B2" s="249" t="s">
        <v>297</v>
      </c>
      <c r="C2" s="276" t="s">
        <v>298</v>
      </c>
      <c r="D2" s="277"/>
      <c r="E2" s="243"/>
      <c r="F2" s="278" t="s">
        <v>283</v>
      </c>
      <c r="G2" s="278" t="s">
        <v>282</v>
      </c>
      <c r="H2" s="278" t="s">
        <v>281</v>
      </c>
      <c r="I2" s="274" t="s">
        <v>280</v>
      </c>
      <c r="J2" s="280" t="s">
        <v>279</v>
      </c>
      <c r="K2" s="281"/>
      <c r="L2" s="282"/>
      <c r="M2" s="243">
        <f>SUM(M5:M60)</f>
        <v>33</v>
      </c>
      <c r="N2" s="243">
        <f t="shared" ref="N2:Q2" si="0">SUM(N5:N60)</f>
        <v>33</v>
      </c>
      <c r="O2" s="243">
        <f t="shared" si="0"/>
        <v>0</v>
      </c>
      <c r="P2" s="243">
        <f t="shared" si="0"/>
        <v>0</v>
      </c>
      <c r="Q2" s="243">
        <f t="shared" si="0"/>
        <v>0</v>
      </c>
      <c r="R2" s="274" t="s">
        <v>278</v>
      </c>
      <c r="S2" s="243">
        <f t="shared" ref="S2:V2" si="1">SUM(S5:S60)</f>
        <v>0</v>
      </c>
      <c r="T2" s="243">
        <f t="shared" si="1"/>
        <v>33</v>
      </c>
      <c r="U2" s="243">
        <f t="shared" si="1"/>
        <v>0</v>
      </c>
      <c r="V2" s="243">
        <f t="shared" si="1"/>
        <v>0</v>
      </c>
      <c r="W2" s="243"/>
      <c r="X2" s="243">
        <f t="shared" ref="X2:AB2" si="2">SUM(X5:X60)</f>
        <v>0</v>
      </c>
      <c r="Y2" s="243">
        <f t="shared" si="2"/>
        <v>0</v>
      </c>
      <c r="Z2" s="243">
        <f t="shared" si="2"/>
        <v>0</v>
      </c>
      <c r="AA2" s="243">
        <f t="shared" si="2"/>
        <v>0</v>
      </c>
      <c r="AB2" s="243">
        <f t="shared" si="2"/>
        <v>0</v>
      </c>
      <c r="AC2" s="274" t="s">
        <v>294</v>
      </c>
      <c r="AD2" s="243">
        <f t="shared" ref="AD2:AG2" si="3">SUM(AD5:AD60)</f>
        <v>0</v>
      </c>
      <c r="AE2" s="243">
        <f t="shared" si="3"/>
        <v>0</v>
      </c>
      <c r="AF2" s="243">
        <f t="shared" si="3"/>
        <v>0</v>
      </c>
      <c r="AG2" s="243">
        <f t="shared" si="3"/>
        <v>0</v>
      </c>
    </row>
    <row r="3" spans="1:39" s="247" customFormat="1" ht="25.5">
      <c r="B3" s="244" t="s">
        <v>277</v>
      </c>
      <c r="C3" s="245" t="s">
        <v>276</v>
      </c>
      <c r="D3" s="247" t="s">
        <v>275</v>
      </c>
      <c r="E3" s="245" t="s">
        <v>274</v>
      </c>
      <c r="F3" s="279"/>
      <c r="G3" s="279"/>
      <c r="H3" s="279"/>
      <c r="I3" s="275"/>
      <c r="J3" s="244" t="s">
        <v>271</v>
      </c>
      <c r="K3" s="248" t="s">
        <v>273</v>
      </c>
      <c r="L3" s="244" t="s">
        <v>272</v>
      </c>
      <c r="M3" s="244" t="s">
        <v>270</v>
      </c>
      <c r="N3" s="246" t="s">
        <v>269</v>
      </c>
      <c r="O3" s="246" t="s">
        <v>268</v>
      </c>
      <c r="P3" s="246" t="s">
        <v>267</v>
      </c>
      <c r="Q3" s="246" t="s">
        <v>266</v>
      </c>
      <c r="R3" s="275"/>
      <c r="S3" s="246" t="s">
        <v>269</v>
      </c>
      <c r="T3" s="246" t="s">
        <v>268</v>
      </c>
      <c r="U3" s="246" t="s">
        <v>267</v>
      </c>
      <c r="V3" s="246" t="s">
        <v>266</v>
      </c>
      <c r="W3" s="244" t="s">
        <v>296</v>
      </c>
      <c r="X3" s="244" t="s">
        <v>292</v>
      </c>
      <c r="Y3" s="246" t="s">
        <v>269</v>
      </c>
      <c r="Z3" s="246" t="s">
        <v>268</v>
      </c>
      <c r="AA3" s="246" t="s">
        <v>267</v>
      </c>
      <c r="AB3" s="246" t="s">
        <v>266</v>
      </c>
      <c r="AC3" s="275"/>
      <c r="AD3" s="246" t="s">
        <v>269</v>
      </c>
      <c r="AE3" s="246" t="s">
        <v>268</v>
      </c>
      <c r="AF3" s="246" t="s">
        <v>267</v>
      </c>
      <c r="AG3" s="246" t="s">
        <v>266</v>
      </c>
    </row>
    <row r="4" spans="1:39" s="261" customFormat="1" ht="15.75">
      <c r="B4" s="237"/>
      <c r="C4" s="237"/>
      <c r="D4" s="265" t="s">
        <v>304</v>
      </c>
      <c r="E4" s="237"/>
      <c r="F4" s="262"/>
      <c r="G4" s="237"/>
      <c r="H4" s="237"/>
      <c r="I4" s="237"/>
      <c r="J4" s="263"/>
      <c r="K4" s="264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63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6"/>
      <c r="AI4" s="236"/>
      <c r="AJ4" s="236"/>
      <c r="AK4" s="236"/>
      <c r="AL4" s="236"/>
      <c r="AM4" s="236"/>
    </row>
    <row r="5" spans="1:39" s="250" customFormat="1" ht="13.5">
      <c r="A5" s="250" t="s">
        <v>238</v>
      </c>
      <c r="B5" s="238" t="s">
        <v>37</v>
      </c>
      <c r="C5" s="238" t="s">
        <v>250</v>
      </c>
      <c r="D5" s="239" t="s">
        <v>239</v>
      </c>
      <c r="E5" s="238" t="str">
        <f>CONCATENATE(B5,"-",C5,"-",D5)</f>
        <v>MP-000-0001</v>
      </c>
      <c r="F5" s="238" t="s">
        <v>286</v>
      </c>
      <c r="G5" s="240" t="s">
        <v>37</v>
      </c>
      <c r="H5" s="241">
        <v>1</v>
      </c>
      <c r="I5" s="260" t="str">
        <f>CONCATENATE(A5,"-",G5,"-",H5)</f>
        <v>UD-MP-1</v>
      </c>
      <c r="J5" s="258">
        <v>-1</v>
      </c>
      <c r="K5" s="242">
        <v>46244</v>
      </c>
      <c r="L5" s="240" t="s">
        <v>441</v>
      </c>
      <c r="M5" s="258">
        <v>1</v>
      </c>
      <c r="N5" s="258">
        <v>1</v>
      </c>
      <c r="O5" s="258"/>
      <c r="P5" s="258"/>
      <c r="Q5" s="258"/>
      <c r="R5" s="258">
        <v>1</v>
      </c>
      <c r="S5" s="258"/>
      <c r="T5" s="258">
        <v>1</v>
      </c>
      <c r="U5" s="258"/>
      <c r="V5" s="258"/>
      <c r="W5" s="258">
        <v>1</v>
      </c>
      <c r="X5" s="258"/>
      <c r="Y5" s="258"/>
      <c r="Z5" s="258"/>
      <c r="AA5" s="258"/>
      <c r="AB5" s="258"/>
      <c r="AC5" s="258"/>
      <c r="AD5" s="258"/>
      <c r="AE5" s="258"/>
      <c r="AF5" s="258"/>
      <c r="AG5" s="258"/>
    </row>
    <row r="6" spans="1:39" s="250" customFormat="1" ht="13.5">
      <c r="A6" s="250" t="s">
        <v>238</v>
      </c>
      <c r="B6" s="238" t="s">
        <v>37</v>
      </c>
      <c r="C6" s="238" t="s">
        <v>250</v>
      </c>
      <c r="D6" s="239" t="s">
        <v>249</v>
      </c>
      <c r="E6" s="238" t="str">
        <f t="shared" ref="E6:E12" si="4">CONCATENATE(B6,"-",C6,"-",D6)</f>
        <v>MP-000-0003</v>
      </c>
      <c r="F6" s="238" t="s">
        <v>287</v>
      </c>
      <c r="G6" s="240" t="s">
        <v>37</v>
      </c>
      <c r="H6" s="241">
        <v>1</v>
      </c>
      <c r="I6" s="260" t="str">
        <f t="shared" ref="I6:I8" si="5">CONCATENATE(A6,"-",G6,"-",H6)</f>
        <v>UD-MP-1</v>
      </c>
      <c r="J6" s="258">
        <v>-1</v>
      </c>
      <c r="K6" s="242">
        <v>46244</v>
      </c>
      <c r="L6" s="240" t="s">
        <v>441</v>
      </c>
      <c r="M6" s="258">
        <v>1</v>
      </c>
      <c r="N6" s="258">
        <v>1</v>
      </c>
      <c r="O6" s="258"/>
      <c r="P6" s="258"/>
      <c r="Q6" s="258"/>
      <c r="R6" s="258">
        <v>1</v>
      </c>
      <c r="S6" s="258"/>
      <c r="T6" s="258">
        <v>1</v>
      </c>
      <c r="U6" s="258"/>
      <c r="V6" s="258"/>
      <c r="W6" s="258">
        <v>1</v>
      </c>
      <c r="X6" s="258"/>
      <c r="Y6" s="258"/>
      <c r="Z6" s="258"/>
      <c r="AA6" s="258"/>
      <c r="AB6" s="258"/>
      <c r="AC6" s="258"/>
      <c r="AD6" s="258"/>
      <c r="AE6" s="258"/>
      <c r="AF6" s="258"/>
      <c r="AG6" s="258"/>
    </row>
    <row r="7" spans="1:39" s="250" customFormat="1" ht="13.5">
      <c r="A7" s="250" t="s">
        <v>238</v>
      </c>
      <c r="B7" s="238" t="s">
        <v>37</v>
      </c>
      <c r="C7" s="238" t="s">
        <v>250</v>
      </c>
      <c r="D7" s="239" t="s">
        <v>247</v>
      </c>
      <c r="E7" s="238" t="str">
        <f t="shared" si="4"/>
        <v>MP-000-0004</v>
      </c>
      <c r="F7" s="238" t="s">
        <v>288</v>
      </c>
      <c r="G7" s="240" t="s">
        <v>37</v>
      </c>
      <c r="H7" s="241">
        <v>1</v>
      </c>
      <c r="I7" s="260" t="str">
        <f t="shared" si="5"/>
        <v>UD-MP-1</v>
      </c>
      <c r="J7" s="258">
        <v>-1</v>
      </c>
      <c r="K7" s="242">
        <v>46244</v>
      </c>
      <c r="L7" s="240" t="s">
        <v>441</v>
      </c>
      <c r="M7" s="258">
        <v>1</v>
      </c>
      <c r="N7" s="258">
        <v>1</v>
      </c>
      <c r="O7" s="258"/>
      <c r="P7" s="258"/>
      <c r="Q7" s="258"/>
      <c r="R7" s="258">
        <v>1</v>
      </c>
      <c r="S7" s="258"/>
      <c r="T7" s="258">
        <v>1</v>
      </c>
      <c r="U7" s="258"/>
      <c r="V7" s="258"/>
      <c r="W7" s="258">
        <v>1</v>
      </c>
      <c r="X7" s="258"/>
      <c r="Y7" s="258"/>
      <c r="Z7" s="258"/>
      <c r="AA7" s="258"/>
      <c r="AB7" s="258"/>
      <c r="AC7" s="258"/>
      <c r="AD7" s="258"/>
      <c r="AE7" s="258"/>
      <c r="AF7" s="258"/>
      <c r="AG7" s="258"/>
    </row>
    <row r="8" spans="1:39" s="250" customFormat="1" ht="13.5">
      <c r="A8" s="250" t="s">
        <v>238</v>
      </c>
      <c r="B8" s="238" t="s">
        <v>37</v>
      </c>
      <c r="C8" s="238" t="s">
        <v>250</v>
      </c>
      <c r="D8" s="239" t="s">
        <v>265</v>
      </c>
      <c r="E8" s="238" t="str">
        <f t="shared" si="4"/>
        <v>MP-000-0005</v>
      </c>
      <c r="F8" s="238" t="s">
        <v>289</v>
      </c>
      <c r="G8" s="240" t="s">
        <v>37</v>
      </c>
      <c r="H8" s="241">
        <v>1</v>
      </c>
      <c r="I8" s="260" t="str">
        <f t="shared" si="5"/>
        <v>UD-MP-1</v>
      </c>
      <c r="J8" s="258">
        <v>-1</v>
      </c>
      <c r="K8" s="242">
        <v>46244</v>
      </c>
      <c r="L8" s="240" t="s">
        <v>441</v>
      </c>
      <c r="M8" s="258">
        <v>1</v>
      </c>
      <c r="N8" s="258">
        <v>1</v>
      </c>
      <c r="O8" s="258"/>
      <c r="P8" s="258"/>
      <c r="Q8" s="258"/>
      <c r="R8" s="258">
        <v>1</v>
      </c>
      <c r="S8" s="258"/>
      <c r="T8" s="258">
        <v>1</v>
      </c>
      <c r="U8" s="258"/>
      <c r="V8" s="258"/>
      <c r="W8" s="258">
        <v>1</v>
      </c>
      <c r="X8" s="258"/>
      <c r="Y8" s="258"/>
      <c r="Z8" s="258"/>
      <c r="AA8" s="258"/>
      <c r="AB8" s="258"/>
      <c r="AC8" s="258"/>
      <c r="AD8" s="258"/>
      <c r="AE8" s="258"/>
      <c r="AF8" s="258"/>
      <c r="AG8" s="258"/>
    </row>
    <row r="9" spans="1:39" s="231" customFormat="1">
      <c r="A9" s="250" t="s">
        <v>238</v>
      </c>
      <c r="B9" s="238" t="s">
        <v>37</v>
      </c>
      <c r="C9" s="238" t="s">
        <v>303</v>
      </c>
      <c r="D9" s="239" t="s">
        <v>239</v>
      </c>
      <c r="E9" s="238" t="str">
        <f t="shared" si="4"/>
        <v>MP-GR-0001</v>
      </c>
      <c r="F9" s="238" t="s">
        <v>299</v>
      </c>
      <c r="G9" s="240" t="s">
        <v>37</v>
      </c>
      <c r="H9" s="241">
        <v>1</v>
      </c>
      <c r="I9" s="260" t="str">
        <f t="shared" ref="I9:I12" si="6">CONCATENATE(A9,"-",G9,"-",H9)</f>
        <v>UD-MP-1</v>
      </c>
      <c r="J9" s="258">
        <v>-1</v>
      </c>
      <c r="K9" s="242">
        <v>46135</v>
      </c>
      <c r="L9" s="240" t="s">
        <v>236</v>
      </c>
      <c r="M9" s="258">
        <v>1</v>
      </c>
      <c r="N9" s="258">
        <v>1</v>
      </c>
      <c r="O9" s="258"/>
      <c r="P9" s="258"/>
      <c r="Q9" s="258"/>
      <c r="R9" s="258">
        <v>1</v>
      </c>
      <c r="S9" s="258"/>
      <c r="T9" s="258">
        <v>1</v>
      </c>
      <c r="U9" s="258"/>
      <c r="V9" s="258"/>
      <c r="W9" s="258">
        <v>1</v>
      </c>
      <c r="X9" s="258"/>
      <c r="Y9" s="258"/>
      <c r="Z9" s="258"/>
      <c r="AA9" s="258"/>
      <c r="AB9" s="258"/>
      <c r="AC9" s="258"/>
      <c r="AD9" s="258"/>
      <c r="AE9" s="258"/>
      <c r="AF9" s="258"/>
      <c r="AG9" s="258"/>
    </row>
    <row r="10" spans="1:39" s="231" customFormat="1">
      <c r="A10" s="250" t="s">
        <v>238</v>
      </c>
      <c r="B10" s="238" t="s">
        <v>37</v>
      </c>
      <c r="C10" s="238" t="s">
        <v>303</v>
      </c>
      <c r="D10" s="239" t="s">
        <v>237</v>
      </c>
      <c r="E10" s="238" t="str">
        <f t="shared" si="4"/>
        <v>MP-GR-0002</v>
      </c>
      <c r="F10" s="238" t="s">
        <v>300</v>
      </c>
      <c r="G10" s="240" t="s">
        <v>37</v>
      </c>
      <c r="H10" s="241">
        <v>1</v>
      </c>
      <c r="I10" s="260" t="str">
        <f t="shared" si="6"/>
        <v>UD-MP-1</v>
      </c>
      <c r="J10" s="258">
        <v>-1</v>
      </c>
      <c r="K10" s="242">
        <v>46135</v>
      </c>
      <c r="L10" s="240" t="s">
        <v>236</v>
      </c>
      <c r="M10" s="258">
        <v>1</v>
      </c>
      <c r="N10" s="258">
        <v>1</v>
      </c>
      <c r="O10" s="258"/>
      <c r="P10" s="258"/>
      <c r="Q10" s="258"/>
      <c r="R10" s="258">
        <v>1</v>
      </c>
      <c r="S10" s="258"/>
      <c r="T10" s="258">
        <v>1</v>
      </c>
      <c r="U10" s="258"/>
      <c r="V10" s="258"/>
      <c r="W10" s="258">
        <v>1</v>
      </c>
      <c r="X10" s="258"/>
      <c r="Y10" s="258"/>
      <c r="Z10" s="258"/>
      <c r="AA10" s="258"/>
      <c r="AB10" s="258"/>
      <c r="AC10" s="258"/>
      <c r="AD10" s="258"/>
      <c r="AE10" s="258"/>
      <c r="AF10" s="258"/>
      <c r="AG10" s="258"/>
    </row>
    <row r="11" spans="1:39" s="231" customFormat="1">
      <c r="A11" s="250" t="s">
        <v>238</v>
      </c>
      <c r="B11" s="238" t="s">
        <v>37</v>
      </c>
      <c r="C11" s="238" t="s">
        <v>303</v>
      </c>
      <c r="D11" s="239" t="s">
        <v>249</v>
      </c>
      <c r="E11" s="238" t="str">
        <f t="shared" si="4"/>
        <v>MP-GR-0003</v>
      </c>
      <c r="F11" s="238" t="s">
        <v>301</v>
      </c>
      <c r="G11" s="240" t="s">
        <v>37</v>
      </c>
      <c r="H11" s="241">
        <v>1</v>
      </c>
      <c r="I11" s="260" t="str">
        <f t="shared" si="6"/>
        <v>UD-MP-1</v>
      </c>
      <c r="J11" s="258">
        <v>-1</v>
      </c>
      <c r="K11" s="242">
        <v>46135</v>
      </c>
      <c r="L11" s="240" t="s">
        <v>236</v>
      </c>
      <c r="M11" s="258">
        <v>1</v>
      </c>
      <c r="N11" s="258">
        <v>1</v>
      </c>
      <c r="O11" s="258"/>
      <c r="P11" s="258"/>
      <c r="Q11" s="258"/>
      <c r="R11" s="258">
        <v>1</v>
      </c>
      <c r="S11" s="258"/>
      <c r="T11" s="258">
        <v>1</v>
      </c>
      <c r="U11" s="258"/>
      <c r="V11" s="258"/>
      <c r="W11" s="258">
        <v>1</v>
      </c>
      <c r="X11" s="258"/>
      <c r="Y11" s="258"/>
      <c r="Z11" s="258"/>
      <c r="AA11" s="258"/>
      <c r="AB11" s="258"/>
      <c r="AC11" s="258"/>
      <c r="AD11" s="258"/>
      <c r="AE11" s="258"/>
      <c r="AF11" s="258"/>
      <c r="AG11" s="258"/>
    </row>
    <row r="12" spans="1:39" s="231" customFormat="1">
      <c r="A12" s="250" t="s">
        <v>238</v>
      </c>
      <c r="B12" s="238" t="s">
        <v>37</v>
      </c>
      <c r="C12" s="238" t="s">
        <v>303</v>
      </c>
      <c r="D12" s="239" t="s">
        <v>247</v>
      </c>
      <c r="E12" s="238" t="str">
        <f t="shared" si="4"/>
        <v>MP-GR-0004</v>
      </c>
      <c r="F12" s="238" t="s">
        <v>302</v>
      </c>
      <c r="G12" s="240" t="s">
        <v>37</v>
      </c>
      <c r="H12" s="241">
        <v>1</v>
      </c>
      <c r="I12" s="260" t="str">
        <f t="shared" si="6"/>
        <v>UD-MP-1</v>
      </c>
      <c r="J12" s="258">
        <v>-1</v>
      </c>
      <c r="K12" s="242">
        <v>46244</v>
      </c>
      <c r="L12" s="240" t="s">
        <v>441</v>
      </c>
      <c r="M12" s="258">
        <v>1</v>
      </c>
      <c r="N12" s="258">
        <v>1</v>
      </c>
      <c r="O12" s="258"/>
      <c r="P12" s="258"/>
      <c r="Q12" s="258"/>
      <c r="R12" s="258">
        <v>1</v>
      </c>
      <c r="S12" s="258"/>
      <c r="T12" s="258">
        <v>1</v>
      </c>
      <c r="U12" s="258"/>
      <c r="V12" s="258"/>
      <c r="W12" s="258">
        <v>1</v>
      </c>
      <c r="X12" s="258"/>
      <c r="Y12" s="258"/>
      <c r="Z12" s="258"/>
      <c r="AA12" s="258"/>
      <c r="AB12" s="258"/>
      <c r="AC12" s="258"/>
      <c r="AD12" s="258"/>
      <c r="AE12" s="258"/>
      <c r="AF12" s="258"/>
      <c r="AG12" s="258"/>
    </row>
    <row r="13" spans="1:39" s="250" customFormat="1" ht="13.5">
      <c r="A13" s="250" t="s">
        <v>238</v>
      </c>
      <c r="B13" s="238" t="s">
        <v>37</v>
      </c>
      <c r="C13" s="238" t="s">
        <v>317</v>
      </c>
      <c r="D13" s="239" t="s">
        <v>264</v>
      </c>
      <c r="E13" s="238" t="str">
        <f>CONCATENATE(B13,"-",C13,"-",D13)</f>
        <v>MP-RDS-3011</v>
      </c>
      <c r="F13" s="238" t="s">
        <v>305</v>
      </c>
      <c r="G13" s="240" t="s">
        <v>37</v>
      </c>
      <c r="H13" s="241">
        <v>1</v>
      </c>
      <c r="I13" s="260" t="str">
        <f>CONCATENATE(A13,"-",G13,"-",H13)</f>
        <v>UD-MP-1</v>
      </c>
      <c r="J13" s="258">
        <v>-1</v>
      </c>
      <c r="K13" s="242">
        <v>46136</v>
      </c>
      <c r="L13" s="240" t="s">
        <v>236</v>
      </c>
      <c r="M13" s="258">
        <v>1</v>
      </c>
      <c r="N13" s="258">
        <v>1</v>
      </c>
      <c r="O13" s="258"/>
      <c r="P13" s="258"/>
      <c r="Q13" s="258"/>
      <c r="R13" s="258">
        <v>1</v>
      </c>
      <c r="S13" s="258"/>
      <c r="T13" s="258">
        <v>1</v>
      </c>
      <c r="U13" s="258"/>
      <c r="V13" s="258"/>
      <c r="W13" s="258">
        <v>1</v>
      </c>
      <c r="X13" s="258"/>
      <c r="Y13" s="258"/>
      <c r="Z13" s="258"/>
      <c r="AA13" s="258"/>
      <c r="AB13" s="258"/>
      <c r="AC13" s="258"/>
      <c r="AD13" s="258"/>
      <c r="AE13" s="258"/>
      <c r="AF13" s="258"/>
      <c r="AG13" s="258"/>
    </row>
    <row r="14" spans="1:39" s="250" customFormat="1" ht="13.5">
      <c r="A14" s="250" t="s">
        <v>238</v>
      </c>
      <c r="B14" s="238" t="s">
        <v>37</v>
      </c>
      <c r="C14" s="238" t="s">
        <v>317</v>
      </c>
      <c r="D14" s="239" t="s">
        <v>263</v>
      </c>
      <c r="E14" s="238" t="str">
        <f t="shared" ref="E14:E20" si="7">CONCATENATE(B14,"-",C14,"-",D14)</f>
        <v>MP-RDS-3012</v>
      </c>
      <c r="F14" s="238" t="s">
        <v>306</v>
      </c>
      <c r="G14" s="240" t="s">
        <v>37</v>
      </c>
      <c r="H14" s="241">
        <v>1</v>
      </c>
      <c r="I14" s="260" t="str">
        <f t="shared" ref="I14:I20" si="8">CONCATENATE(A14,"-",G14,"-",H14)</f>
        <v>UD-MP-1</v>
      </c>
      <c r="J14" s="258">
        <v>-1</v>
      </c>
      <c r="K14" s="242">
        <v>46136</v>
      </c>
      <c r="L14" s="240" t="s">
        <v>236</v>
      </c>
      <c r="M14" s="258">
        <v>1</v>
      </c>
      <c r="N14" s="258">
        <v>1</v>
      </c>
      <c r="O14" s="258"/>
      <c r="P14" s="258"/>
      <c r="Q14" s="258"/>
      <c r="R14" s="258">
        <v>1</v>
      </c>
      <c r="S14" s="258"/>
      <c r="T14" s="258">
        <v>1</v>
      </c>
      <c r="U14" s="258"/>
      <c r="V14" s="258"/>
      <c r="W14" s="258">
        <v>1</v>
      </c>
      <c r="X14" s="258"/>
      <c r="Y14" s="258"/>
      <c r="Z14" s="258"/>
      <c r="AA14" s="258"/>
      <c r="AB14" s="258"/>
      <c r="AC14" s="258"/>
      <c r="AD14" s="258"/>
      <c r="AE14" s="258"/>
      <c r="AF14" s="258"/>
      <c r="AG14" s="258"/>
    </row>
    <row r="15" spans="1:39" s="250" customFormat="1" ht="13.5">
      <c r="A15" s="250" t="s">
        <v>238</v>
      </c>
      <c r="B15" s="238" t="s">
        <v>37</v>
      </c>
      <c r="C15" s="238" t="s">
        <v>317</v>
      </c>
      <c r="D15" s="239" t="s">
        <v>262</v>
      </c>
      <c r="E15" s="238" t="str">
        <f t="shared" si="7"/>
        <v>MP-RDS-3013</v>
      </c>
      <c r="F15" s="238" t="s">
        <v>307</v>
      </c>
      <c r="G15" s="240" t="s">
        <v>37</v>
      </c>
      <c r="H15" s="241">
        <v>1</v>
      </c>
      <c r="I15" s="260" t="str">
        <f t="shared" si="8"/>
        <v>UD-MP-1</v>
      </c>
      <c r="J15" s="258">
        <v>-1</v>
      </c>
      <c r="K15" s="242">
        <v>46136</v>
      </c>
      <c r="L15" s="240" t="s">
        <v>236</v>
      </c>
      <c r="M15" s="258">
        <v>1</v>
      </c>
      <c r="N15" s="258">
        <v>1</v>
      </c>
      <c r="O15" s="258"/>
      <c r="P15" s="258"/>
      <c r="Q15" s="258"/>
      <c r="R15" s="258">
        <v>1</v>
      </c>
      <c r="S15" s="258"/>
      <c r="T15" s="258">
        <v>1</v>
      </c>
      <c r="U15" s="258"/>
      <c r="V15" s="258"/>
      <c r="W15" s="258">
        <v>1</v>
      </c>
      <c r="X15" s="258"/>
      <c r="Y15" s="258"/>
      <c r="Z15" s="258"/>
      <c r="AA15" s="258"/>
      <c r="AB15" s="258"/>
      <c r="AC15" s="258"/>
      <c r="AD15" s="258"/>
      <c r="AE15" s="258"/>
      <c r="AF15" s="258"/>
      <c r="AG15" s="258"/>
    </row>
    <row r="16" spans="1:39" s="250" customFormat="1" ht="13.5">
      <c r="A16" s="250" t="s">
        <v>238</v>
      </c>
      <c r="B16" s="238" t="s">
        <v>37</v>
      </c>
      <c r="C16" s="238" t="s">
        <v>317</v>
      </c>
      <c r="D16" s="239" t="s">
        <v>318</v>
      </c>
      <c r="E16" s="238" t="str">
        <f t="shared" si="7"/>
        <v>MP-RDS-3021</v>
      </c>
      <c r="F16" s="238" t="s">
        <v>308</v>
      </c>
      <c r="G16" s="240" t="s">
        <v>37</v>
      </c>
      <c r="H16" s="241">
        <v>1</v>
      </c>
      <c r="I16" s="260" t="str">
        <f t="shared" si="8"/>
        <v>UD-MP-1</v>
      </c>
      <c r="J16" s="258">
        <v>-1</v>
      </c>
      <c r="K16" s="242">
        <v>46136</v>
      </c>
      <c r="L16" s="240" t="s">
        <v>236</v>
      </c>
      <c r="M16" s="258">
        <v>1</v>
      </c>
      <c r="N16" s="258">
        <v>1</v>
      </c>
      <c r="O16" s="258"/>
      <c r="P16" s="258"/>
      <c r="Q16" s="258"/>
      <c r="R16" s="258">
        <v>1</v>
      </c>
      <c r="S16" s="258"/>
      <c r="T16" s="258">
        <v>1</v>
      </c>
      <c r="U16" s="258"/>
      <c r="V16" s="258"/>
      <c r="W16" s="258">
        <v>1</v>
      </c>
      <c r="X16" s="258"/>
      <c r="Y16" s="258"/>
      <c r="Z16" s="258"/>
      <c r="AA16" s="258"/>
      <c r="AB16" s="258"/>
      <c r="AC16" s="258"/>
      <c r="AD16" s="258"/>
      <c r="AE16" s="258"/>
      <c r="AF16" s="258"/>
      <c r="AG16" s="258"/>
    </row>
    <row r="17" spans="1:39" s="231" customFormat="1">
      <c r="A17" s="250" t="s">
        <v>238</v>
      </c>
      <c r="B17" s="238" t="s">
        <v>37</v>
      </c>
      <c r="C17" s="238" t="s">
        <v>317</v>
      </c>
      <c r="D17" s="239" t="s">
        <v>319</v>
      </c>
      <c r="E17" s="238" t="str">
        <f t="shared" si="7"/>
        <v>MP-RDS-3022</v>
      </c>
      <c r="F17" s="238" t="s">
        <v>309</v>
      </c>
      <c r="G17" s="240" t="s">
        <v>37</v>
      </c>
      <c r="H17" s="241">
        <v>1</v>
      </c>
      <c r="I17" s="260" t="str">
        <f t="shared" si="8"/>
        <v>UD-MP-1</v>
      </c>
      <c r="J17" s="258">
        <v>-1</v>
      </c>
      <c r="K17" s="242">
        <v>46136</v>
      </c>
      <c r="L17" s="240" t="s">
        <v>236</v>
      </c>
      <c r="M17" s="258">
        <v>1</v>
      </c>
      <c r="N17" s="258">
        <v>1</v>
      </c>
      <c r="O17" s="258"/>
      <c r="P17" s="258"/>
      <c r="Q17" s="258"/>
      <c r="R17" s="258">
        <v>1</v>
      </c>
      <c r="S17" s="258"/>
      <c r="T17" s="258">
        <v>1</v>
      </c>
      <c r="U17" s="258"/>
      <c r="V17" s="258"/>
      <c r="W17" s="258">
        <v>1</v>
      </c>
      <c r="X17" s="258"/>
      <c r="Y17" s="258"/>
      <c r="Z17" s="258"/>
      <c r="AA17" s="258"/>
      <c r="AB17" s="258"/>
      <c r="AC17" s="258"/>
      <c r="AD17" s="258"/>
      <c r="AE17" s="258"/>
      <c r="AF17" s="258"/>
      <c r="AG17" s="258"/>
    </row>
    <row r="18" spans="1:39" s="231" customFormat="1">
      <c r="A18" s="250" t="s">
        <v>238</v>
      </c>
      <c r="B18" s="238" t="s">
        <v>37</v>
      </c>
      <c r="C18" s="238" t="s">
        <v>317</v>
      </c>
      <c r="D18" s="239" t="s">
        <v>320</v>
      </c>
      <c r="E18" s="238" t="str">
        <f t="shared" si="7"/>
        <v>MP-RDS-3023</v>
      </c>
      <c r="F18" s="238" t="s">
        <v>310</v>
      </c>
      <c r="G18" s="240" t="s">
        <v>37</v>
      </c>
      <c r="H18" s="241">
        <v>1</v>
      </c>
      <c r="I18" s="260" t="str">
        <f t="shared" si="8"/>
        <v>UD-MP-1</v>
      </c>
      <c r="J18" s="258">
        <v>-1</v>
      </c>
      <c r="K18" s="242">
        <v>46136</v>
      </c>
      <c r="L18" s="240" t="s">
        <v>236</v>
      </c>
      <c r="M18" s="258">
        <v>1</v>
      </c>
      <c r="N18" s="258">
        <v>1</v>
      </c>
      <c r="O18" s="258"/>
      <c r="P18" s="258"/>
      <c r="Q18" s="258"/>
      <c r="R18" s="258">
        <v>1</v>
      </c>
      <c r="S18" s="258"/>
      <c r="T18" s="258">
        <v>1</v>
      </c>
      <c r="U18" s="258"/>
      <c r="V18" s="258"/>
      <c r="W18" s="258">
        <v>1</v>
      </c>
      <c r="X18" s="258"/>
      <c r="Y18" s="258"/>
      <c r="Z18" s="258"/>
      <c r="AA18" s="258"/>
      <c r="AB18" s="258"/>
      <c r="AC18" s="258"/>
      <c r="AD18" s="258"/>
      <c r="AE18" s="258"/>
      <c r="AF18" s="258"/>
      <c r="AG18" s="258"/>
    </row>
    <row r="19" spans="1:39" s="231" customFormat="1">
      <c r="A19" s="250" t="s">
        <v>238</v>
      </c>
      <c r="B19" s="238" t="s">
        <v>37</v>
      </c>
      <c r="C19" s="238" t="s">
        <v>317</v>
      </c>
      <c r="D19" s="239" t="s">
        <v>321</v>
      </c>
      <c r="E19" s="238" t="str">
        <f t="shared" si="7"/>
        <v>MP-RDS-3031</v>
      </c>
      <c r="F19" s="238" t="s">
        <v>311</v>
      </c>
      <c r="G19" s="240" t="s">
        <v>37</v>
      </c>
      <c r="H19" s="241">
        <v>1</v>
      </c>
      <c r="I19" s="260" t="str">
        <f t="shared" si="8"/>
        <v>UD-MP-1</v>
      </c>
      <c r="J19" s="258">
        <v>-1</v>
      </c>
      <c r="K19" s="242">
        <v>46136</v>
      </c>
      <c r="L19" s="240" t="s">
        <v>236</v>
      </c>
      <c r="M19" s="258">
        <v>1</v>
      </c>
      <c r="N19" s="258">
        <v>1</v>
      </c>
      <c r="O19" s="258"/>
      <c r="P19" s="258"/>
      <c r="Q19" s="258"/>
      <c r="R19" s="258">
        <v>1</v>
      </c>
      <c r="S19" s="258"/>
      <c r="T19" s="258">
        <v>1</v>
      </c>
      <c r="U19" s="258"/>
      <c r="V19" s="258"/>
      <c r="W19" s="258">
        <v>1</v>
      </c>
      <c r="X19" s="258"/>
      <c r="Y19" s="258"/>
      <c r="Z19" s="258"/>
      <c r="AA19" s="258"/>
      <c r="AB19" s="258"/>
      <c r="AC19" s="258"/>
      <c r="AD19" s="258"/>
      <c r="AE19" s="258"/>
      <c r="AF19" s="258"/>
      <c r="AG19" s="258"/>
    </row>
    <row r="20" spans="1:39" s="231" customFormat="1">
      <c r="A20" s="250" t="s">
        <v>238</v>
      </c>
      <c r="B20" s="238" t="s">
        <v>37</v>
      </c>
      <c r="C20" s="238" t="s">
        <v>317</v>
      </c>
      <c r="D20" s="239" t="s">
        <v>322</v>
      </c>
      <c r="E20" s="238" t="str">
        <f t="shared" si="7"/>
        <v>MP-RDS-3032</v>
      </c>
      <c r="F20" s="238" t="s">
        <v>312</v>
      </c>
      <c r="G20" s="240" t="s">
        <v>37</v>
      </c>
      <c r="H20" s="241">
        <v>1</v>
      </c>
      <c r="I20" s="260" t="str">
        <f t="shared" si="8"/>
        <v>UD-MP-1</v>
      </c>
      <c r="J20" s="258">
        <v>-1</v>
      </c>
      <c r="K20" s="242">
        <v>46136</v>
      </c>
      <c r="L20" s="240" t="s">
        <v>236</v>
      </c>
      <c r="M20" s="258">
        <v>1</v>
      </c>
      <c r="N20" s="258">
        <v>1</v>
      </c>
      <c r="O20" s="258"/>
      <c r="P20" s="258"/>
      <c r="Q20" s="258"/>
      <c r="R20" s="258">
        <v>1</v>
      </c>
      <c r="S20" s="258"/>
      <c r="T20" s="258">
        <v>1</v>
      </c>
      <c r="U20" s="258"/>
      <c r="V20" s="258"/>
      <c r="W20" s="258">
        <v>1</v>
      </c>
      <c r="X20" s="258"/>
      <c r="Y20" s="258"/>
      <c r="Z20" s="258"/>
      <c r="AA20" s="258"/>
      <c r="AB20" s="258"/>
      <c r="AC20" s="258"/>
      <c r="AD20" s="258"/>
      <c r="AE20" s="258"/>
      <c r="AF20" s="258"/>
      <c r="AG20" s="258"/>
    </row>
    <row r="21" spans="1:39" s="250" customFormat="1" ht="13.5">
      <c r="A21" s="250" t="s">
        <v>238</v>
      </c>
      <c r="B21" s="238" t="s">
        <v>37</v>
      </c>
      <c r="C21" s="238" t="s">
        <v>317</v>
      </c>
      <c r="D21" s="239" t="s">
        <v>323</v>
      </c>
      <c r="E21" s="238" t="str">
        <f>CONCATENATE(B21,"-",C21,"-",D21)</f>
        <v>MP-RDS-3033</v>
      </c>
      <c r="F21" s="238" t="s">
        <v>313</v>
      </c>
      <c r="G21" s="240" t="s">
        <v>37</v>
      </c>
      <c r="H21" s="241">
        <v>1</v>
      </c>
      <c r="I21" s="260" t="str">
        <f>CONCATENATE(A21,"-",G21,"-",H21)</f>
        <v>UD-MP-1</v>
      </c>
      <c r="J21" s="258">
        <v>-1</v>
      </c>
      <c r="K21" s="242">
        <v>46136</v>
      </c>
      <c r="L21" s="240" t="s">
        <v>236</v>
      </c>
      <c r="M21" s="258">
        <v>1</v>
      </c>
      <c r="N21" s="258">
        <v>1</v>
      </c>
      <c r="O21" s="258"/>
      <c r="P21" s="258"/>
      <c r="Q21" s="258"/>
      <c r="R21" s="258">
        <v>1</v>
      </c>
      <c r="S21" s="258"/>
      <c r="T21" s="258">
        <v>1</v>
      </c>
      <c r="U21" s="258"/>
      <c r="V21" s="258"/>
      <c r="W21" s="258">
        <v>1</v>
      </c>
      <c r="X21" s="258"/>
      <c r="Y21" s="258"/>
      <c r="Z21" s="258"/>
      <c r="AA21" s="258"/>
      <c r="AB21" s="258"/>
      <c r="AC21" s="258"/>
      <c r="AD21" s="258"/>
      <c r="AE21" s="258"/>
      <c r="AF21" s="258"/>
      <c r="AG21" s="258"/>
    </row>
    <row r="22" spans="1:39" s="250" customFormat="1" ht="13.5">
      <c r="A22" s="250" t="s">
        <v>238</v>
      </c>
      <c r="B22" s="238" t="s">
        <v>37</v>
      </c>
      <c r="C22" s="238" t="s">
        <v>317</v>
      </c>
      <c r="D22" s="239" t="s">
        <v>324</v>
      </c>
      <c r="E22" s="238" t="str">
        <f t="shared" ref="E22:E24" si="9">CONCATENATE(B22,"-",C22,"-",D22)</f>
        <v>MP-RDS-3041</v>
      </c>
      <c r="F22" s="238" t="s">
        <v>314</v>
      </c>
      <c r="G22" s="240" t="s">
        <v>37</v>
      </c>
      <c r="H22" s="241">
        <v>1</v>
      </c>
      <c r="I22" s="260" t="str">
        <f t="shared" ref="I22:I24" si="10">CONCATENATE(A22,"-",G22,"-",H22)</f>
        <v>UD-MP-1</v>
      </c>
      <c r="J22" s="258">
        <v>-1</v>
      </c>
      <c r="K22" s="242">
        <v>46136</v>
      </c>
      <c r="L22" s="240" t="s">
        <v>236</v>
      </c>
      <c r="M22" s="258">
        <v>1</v>
      </c>
      <c r="N22" s="258">
        <v>1</v>
      </c>
      <c r="O22" s="258"/>
      <c r="P22" s="258"/>
      <c r="Q22" s="258"/>
      <c r="R22" s="258">
        <v>1</v>
      </c>
      <c r="S22" s="258"/>
      <c r="T22" s="258">
        <v>1</v>
      </c>
      <c r="U22" s="258"/>
      <c r="V22" s="258"/>
      <c r="W22" s="258">
        <v>1</v>
      </c>
      <c r="X22" s="258"/>
      <c r="Y22" s="258"/>
      <c r="Z22" s="258"/>
      <c r="AA22" s="258"/>
      <c r="AB22" s="258"/>
      <c r="AC22" s="258"/>
      <c r="AD22" s="258"/>
      <c r="AE22" s="258"/>
      <c r="AF22" s="258"/>
      <c r="AG22" s="258"/>
    </row>
    <row r="23" spans="1:39" s="250" customFormat="1" ht="13.5">
      <c r="A23" s="250" t="s">
        <v>238</v>
      </c>
      <c r="B23" s="238" t="s">
        <v>37</v>
      </c>
      <c r="C23" s="238" t="s">
        <v>317</v>
      </c>
      <c r="D23" s="239" t="s">
        <v>325</v>
      </c>
      <c r="E23" s="238" t="str">
        <f t="shared" si="9"/>
        <v>MP-RDS-3042</v>
      </c>
      <c r="F23" s="238" t="s">
        <v>315</v>
      </c>
      <c r="G23" s="240" t="s">
        <v>37</v>
      </c>
      <c r="H23" s="241">
        <v>1</v>
      </c>
      <c r="I23" s="260" t="str">
        <f t="shared" si="10"/>
        <v>UD-MP-1</v>
      </c>
      <c r="J23" s="258">
        <v>-1</v>
      </c>
      <c r="K23" s="242">
        <v>46136</v>
      </c>
      <c r="L23" s="240" t="s">
        <v>236</v>
      </c>
      <c r="M23" s="258">
        <v>1</v>
      </c>
      <c r="N23" s="258">
        <v>1</v>
      </c>
      <c r="O23" s="258"/>
      <c r="P23" s="258"/>
      <c r="Q23" s="258"/>
      <c r="R23" s="258">
        <v>1</v>
      </c>
      <c r="S23" s="258"/>
      <c r="T23" s="258">
        <v>1</v>
      </c>
      <c r="U23" s="258"/>
      <c r="V23" s="258"/>
      <c r="W23" s="258">
        <v>1</v>
      </c>
      <c r="X23" s="258"/>
      <c r="Y23" s="258"/>
      <c r="Z23" s="258"/>
      <c r="AA23" s="258"/>
      <c r="AB23" s="258"/>
      <c r="AC23" s="258"/>
      <c r="AD23" s="258"/>
      <c r="AE23" s="258"/>
      <c r="AF23" s="258"/>
      <c r="AG23" s="258"/>
    </row>
    <row r="24" spans="1:39" s="250" customFormat="1" ht="13.5">
      <c r="A24" s="250" t="s">
        <v>238</v>
      </c>
      <c r="B24" s="238" t="s">
        <v>37</v>
      </c>
      <c r="C24" s="238" t="s">
        <v>317</v>
      </c>
      <c r="D24" s="239" t="s">
        <v>326</v>
      </c>
      <c r="E24" s="238" t="str">
        <f t="shared" si="9"/>
        <v>MP-RDS-3043</v>
      </c>
      <c r="F24" s="238" t="s">
        <v>316</v>
      </c>
      <c r="G24" s="240" t="s">
        <v>37</v>
      </c>
      <c r="H24" s="241">
        <v>1</v>
      </c>
      <c r="I24" s="260" t="str">
        <f t="shared" si="10"/>
        <v>UD-MP-1</v>
      </c>
      <c r="J24" s="258">
        <v>-1</v>
      </c>
      <c r="K24" s="242">
        <v>46136</v>
      </c>
      <c r="L24" s="240" t="s">
        <v>236</v>
      </c>
      <c r="M24" s="258">
        <v>1</v>
      </c>
      <c r="N24" s="258">
        <v>1</v>
      </c>
      <c r="O24" s="258"/>
      <c r="P24" s="258"/>
      <c r="Q24" s="258"/>
      <c r="R24" s="258">
        <v>1</v>
      </c>
      <c r="S24" s="258"/>
      <c r="T24" s="258">
        <v>1</v>
      </c>
      <c r="U24" s="258"/>
      <c r="V24" s="258"/>
      <c r="W24" s="258">
        <v>1</v>
      </c>
      <c r="X24" s="258"/>
      <c r="Y24" s="258"/>
      <c r="Z24" s="258"/>
      <c r="AA24" s="258"/>
      <c r="AB24" s="258"/>
      <c r="AC24" s="258"/>
      <c r="AD24" s="258"/>
      <c r="AE24" s="258"/>
      <c r="AF24" s="258"/>
      <c r="AG24" s="258"/>
    </row>
    <row r="25" spans="1:39" s="261" customFormat="1" ht="15.75">
      <c r="B25" s="237"/>
      <c r="C25" s="237"/>
      <c r="D25" s="265" t="s">
        <v>442</v>
      </c>
      <c r="E25" s="237"/>
      <c r="F25" s="262"/>
      <c r="G25" s="237"/>
      <c r="H25" s="237"/>
      <c r="I25" s="237"/>
      <c r="J25" s="263"/>
      <c r="K25" s="264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63"/>
      <c r="X25" s="237"/>
      <c r="Y25" s="237"/>
      <c r="Z25" s="237"/>
      <c r="AA25" s="237"/>
      <c r="AB25" s="237"/>
      <c r="AC25" s="237"/>
      <c r="AD25" s="237"/>
      <c r="AE25" s="237"/>
      <c r="AF25" s="237"/>
      <c r="AG25" s="237"/>
      <c r="AH25" s="236"/>
      <c r="AI25" s="236"/>
      <c r="AJ25" s="236"/>
      <c r="AK25" s="236"/>
      <c r="AL25" s="236"/>
      <c r="AM25" s="236"/>
    </row>
    <row r="26" spans="1:39" s="250" customFormat="1" ht="13.5">
      <c r="A26" s="250" t="s">
        <v>238</v>
      </c>
      <c r="B26" s="238" t="s">
        <v>37</v>
      </c>
      <c r="C26" s="238" t="s">
        <v>443</v>
      </c>
      <c r="D26" s="239" t="s">
        <v>239</v>
      </c>
      <c r="E26" s="238" t="s">
        <v>446</v>
      </c>
      <c r="F26" s="238" t="s">
        <v>444</v>
      </c>
      <c r="G26" s="240" t="s">
        <v>37</v>
      </c>
      <c r="H26" s="241">
        <v>1</v>
      </c>
      <c r="I26" s="260" t="str">
        <f t="shared" ref="I26" si="11">CONCATENATE(A26,"-",G26,"-",H26)</f>
        <v>UD-MP-1</v>
      </c>
      <c r="J26" s="258">
        <v>-1</v>
      </c>
      <c r="K26" s="242">
        <v>46251</v>
      </c>
      <c r="L26" s="240" t="s">
        <v>441</v>
      </c>
      <c r="M26" s="258">
        <v>1</v>
      </c>
      <c r="N26" s="258">
        <v>1</v>
      </c>
      <c r="O26" s="258"/>
      <c r="P26" s="258"/>
      <c r="Q26" s="258"/>
      <c r="R26" s="258">
        <v>1</v>
      </c>
      <c r="S26" s="258"/>
      <c r="T26" s="258">
        <v>1</v>
      </c>
      <c r="U26" s="258"/>
      <c r="V26" s="258"/>
      <c r="W26" s="258">
        <v>1</v>
      </c>
      <c r="X26" s="258"/>
      <c r="Y26" s="258"/>
      <c r="Z26" s="258"/>
      <c r="AA26" s="258"/>
      <c r="AB26" s="258"/>
      <c r="AC26" s="258"/>
      <c r="AD26" s="258"/>
      <c r="AE26" s="258"/>
      <c r="AF26" s="258"/>
      <c r="AG26" s="258"/>
    </row>
    <row r="27" spans="1:39" s="250" customFormat="1" ht="13.5">
      <c r="A27" s="250" t="s">
        <v>238</v>
      </c>
      <c r="B27" s="238" t="s">
        <v>37</v>
      </c>
      <c r="C27" s="238" t="s">
        <v>443</v>
      </c>
      <c r="D27" s="239" t="s">
        <v>447</v>
      </c>
      <c r="E27" s="238" t="s">
        <v>445</v>
      </c>
      <c r="F27" s="238" t="s">
        <v>451</v>
      </c>
      <c r="G27" s="240" t="s">
        <v>37</v>
      </c>
      <c r="H27" s="241">
        <v>1</v>
      </c>
      <c r="I27" s="260" t="str">
        <f t="shared" ref="I27:I30" si="12">CONCATENATE(A27,"-",G27,"-",H27)</f>
        <v>UD-MP-1</v>
      </c>
      <c r="J27" s="258">
        <v>-1</v>
      </c>
      <c r="K27" s="242">
        <v>46248</v>
      </c>
      <c r="L27" s="240" t="s">
        <v>236</v>
      </c>
      <c r="M27" s="258">
        <v>1</v>
      </c>
      <c r="N27" s="258">
        <v>1</v>
      </c>
      <c r="O27" s="258"/>
      <c r="P27" s="258"/>
      <c r="Q27" s="258"/>
      <c r="R27" s="258">
        <v>1</v>
      </c>
      <c r="S27" s="258"/>
      <c r="T27" s="258">
        <v>1</v>
      </c>
      <c r="U27" s="258"/>
      <c r="V27" s="258"/>
      <c r="W27" s="258">
        <v>1</v>
      </c>
      <c r="X27" s="258"/>
      <c r="Y27" s="258"/>
      <c r="Z27" s="258"/>
      <c r="AA27" s="258"/>
      <c r="AB27" s="258"/>
      <c r="AC27" s="258"/>
      <c r="AD27" s="258"/>
      <c r="AE27" s="258"/>
      <c r="AF27" s="258"/>
      <c r="AG27" s="258"/>
    </row>
    <row r="28" spans="1:39" s="250" customFormat="1" ht="13.5">
      <c r="A28" s="250" t="s">
        <v>238</v>
      </c>
      <c r="B28" s="238" t="s">
        <v>37</v>
      </c>
      <c r="C28" s="238" t="s">
        <v>443</v>
      </c>
      <c r="D28" s="239" t="s">
        <v>448</v>
      </c>
      <c r="E28" s="238" t="str">
        <f t="shared" ref="E28:E30" si="13">CONCATENATE(B28,"-",C28,"-",D28)</f>
        <v>MP-CO-3002</v>
      </c>
      <c r="F28" s="238" t="s">
        <v>452</v>
      </c>
      <c r="G28" s="240" t="s">
        <v>37</v>
      </c>
      <c r="H28" s="241">
        <v>1</v>
      </c>
      <c r="I28" s="260" t="str">
        <f t="shared" si="12"/>
        <v>UD-MP-1</v>
      </c>
      <c r="J28" s="258">
        <v>-1</v>
      </c>
      <c r="K28" s="242">
        <v>46248</v>
      </c>
      <c r="L28" s="240" t="s">
        <v>236</v>
      </c>
      <c r="M28" s="258">
        <v>1</v>
      </c>
      <c r="N28" s="258">
        <v>1</v>
      </c>
      <c r="O28" s="258"/>
      <c r="P28" s="258"/>
      <c r="Q28" s="258"/>
      <c r="R28" s="258">
        <v>1</v>
      </c>
      <c r="S28" s="258"/>
      <c r="T28" s="258">
        <v>1</v>
      </c>
      <c r="U28" s="258"/>
      <c r="V28" s="258"/>
      <c r="W28" s="258">
        <v>1</v>
      </c>
      <c r="X28" s="258"/>
      <c r="Y28" s="258"/>
      <c r="Z28" s="258"/>
      <c r="AA28" s="258"/>
      <c r="AB28" s="258"/>
      <c r="AC28" s="258"/>
      <c r="AD28" s="258"/>
      <c r="AE28" s="258"/>
      <c r="AF28" s="258"/>
      <c r="AG28" s="258"/>
    </row>
    <row r="29" spans="1:39" s="250" customFormat="1" ht="13.5">
      <c r="A29" s="250" t="s">
        <v>238</v>
      </c>
      <c r="B29" s="238" t="s">
        <v>37</v>
      </c>
      <c r="C29" s="238" t="s">
        <v>443</v>
      </c>
      <c r="D29" s="239" t="s">
        <v>449</v>
      </c>
      <c r="E29" s="238" t="str">
        <f t="shared" si="13"/>
        <v>MP-CO-3003</v>
      </c>
      <c r="F29" s="238" t="s">
        <v>453</v>
      </c>
      <c r="G29" s="240" t="s">
        <v>37</v>
      </c>
      <c r="H29" s="241">
        <v>1</v>
      </c>
      <c r="I29" s="260" t="str">
        <f t="shared" si="12"/>
        <v>UD-MP-1</v>
      </c>
      <c r="J29" s="258">
        <v>-1</v>
      </c>
      <c r="K29" s="242">
        <v>46248</v>
      </c>
      <c r="L29" s="240" t="s">
        <v>236</v>
      </c>
      <c r="M29" s="258">
        <v>1</v>
      </c>
      <c r="N29" s="258">
        <v>1</v>
      </c>
      <c r="O29" s="258"/>
      <c r="P29" s="258"/>
      <c r="Q29" s="258"/>
      <c r="R29" s="258">
        <v>1</v>
      </c>
      <c r="S29" s="258"/>
      <c r="T29" s="258">
        <v>1</v>
      </c>
      <c r="U29" s="258"/>
      <c r="V29" s="258"/>
      <c r="W29" s="258">
        <v>1</v>
      </c>
      <c r="X29" s="258"/>
      <c r="Y29" s="258"/>
      <c r="Z29" s="258"/>
      <c r="AA29" s="258"/>
      <c r="AB29" s="258"/>
      <c r="AC29" s="258"/>
      <c r="AD29" s="258"/>
      <c r="AE29" s="258"/>
      <c r="AF29" s="258"/>
      <c r="AG29" s="258"/>
    </row>
    <row r="30" spans="1:39" s="250" customFormat="1" ht="13.5">
      <c r="A30" s="250" t="s">
        <v>238</v>
      </c>
      <c r="B30" s="238" t="s">
        <v>37</v>
      </c>
      <c r="C30" s="238" t="s">
        <v>443</v>
      </c>
      <c r="D30" s="239" t="s">
        <v>450</v>
      </c>
      <c r="E30" s="238" t="str">
        <f t="shared" si="13"/>
        <v>MP-CO-3004</v>
      </c>
      <c r="F30" s="238" t="s">
        <v>454</v>
      </c>
      <c r="G30" s="240" t="s">
        <v>37</v>
      </c>
      <c r="H30" s="241">
        <v>1</v>
      </c>
      <c r="I30" s="260" t="str">
        <f t="shared" si="12"/>
        <v>UD-MP-1</v>
      </c>
      <c r="J30" s="258">
        <v>-1</v>
      </c>
      <c r="K30" s="242">
        <v>46248</v>
      </c>
      <c r="L30" s="240" t="s">
        <v>236</v>
      </c>
      <c r="M30" s="258">
        <v>1</v>
      </c>
      <c r="N30" s="258">
        <v>1</v>
      </c>
      <c r="O30" s="258"/>
      <c r="P30" s="258"/>
      <c r="Q30" s="258"/>
      <c r="R30" s="258">
        <v>1</v>
      </c>
      <c r="S30" s="258"/>
      <c r="T30" s="258">
        <v>1</v>
      </c>
      <c r="U30" s="258"/>
      <c r="V30" s="258"/>
      <c r="W30" s="258">
        <v>1</v>
      </c>
      <c r="X30" s="258"/>
      <c r="Y30" s="258"/>
      <c r="Z30" s="258"/>
      <c r="AA30" s="258"/>
      <c r="AB30" s="258"/>
      <c r="AC30" s="258"/>
      <c r="AD30" s="258"/>
      <c r="AE30" s="258"/>
      <c r="AF30" s="258"/>
      <c r="AG30" s="258"/>
    </row>
    <row r="31" spans="1:39" s="261" customFormat="1" ht="15.75">
      <c r="B31" s="237"/>
      <c r="C31" s="237"/>
      <c r="D31" s="265" t="s">
        <v>351</v>
      </c>
      <c r="E31" s="237"/>
      <c r="F31" s="262"/>
      <c r="G31" s="237"/>
      <c r="H31" s="237"/>
      <c r="I31" s="237"/>
      <c r="J31" s="263"/>
      <c r="K31" s="264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63"/>
      <c r="X31" s="237"/>
      <c r="Y31" s="237"/>
      <c r="Z31" s="237"/>
      <c r="AA31" s="237"/>
      <c r="AB31" s="237"/>
      <c r="AC31" s="237"/>
      <c r="AD31" s="237"/>
      <c r="AE31" s="237"/>
      <c r="AF31" s="237"/>
      <c r="AG31" s="237"/>
      <c r="AH31" s="236"/>
      <c r="AI31" s="236"/>
      <c r="AJ31" s="236"/>
      <c r="AK31" s="236"/>
      <c r="AL31" s="236"/>
      <c r="AM31" s="236"/>
    </row>
    <row r="32" spans="1:39" s="250" customFormat="1" ht="13.5">
      <c r="A32" s="250" t="s">
        <v>238</v>
      </c>
      <c r="B32" s="238" t="s">
        <v>37</v>
      </c>
      <c r="C32" s="238" t="s">
        <v>380</v>
      </c>
      <c r="D32" s="239" t="s">
        <v>239</v>
      </c>
      <c r="E32" s="238" t="str">
        <f>CONCATENATE(B32,"-",C32,"-",D32)</f>
        <v>MP-SD-0001</v>
      </c>
      <c r="F32" s="238" t="s">
        <v>373</v>
      </c>
      <c r="G32" s="240" t="s">
        <v>37</v>
      </c>
      <c r="H32" s="241" t="s">
        <v>372</v>
      </c>
      <c r="I32" s="260" t="str">
        <f>CONCATENATE(A32,"-",G32,"-",H32)</f>
        <v>UD-MP-2</v>
      </c>
      <c r="J32" s="258">
        <v>-1</v>
      </c>
      <c r="K32" s="242">
        <v>46244</v>
      </c>
      <c r="L32" s="240" t="s">
        <v>441</v>
      </c>
      <c r="M32" s="258">
        <v>1</v>
      </c>
      <c r="N32" s="258">
        <v>1</v>
      </c>
      <c r="O32" s="258"/>
      <c r="P32" s="258"/>
      <c r="Q32" s="258"/>
      <c r="R32" s="258">
        <v>1</v>
      </c>
      <c r="S32" s="258"/>
      <c r="T32" s="258">
        <v>1</v>
      </c>
      <c r="U32" s="258"/>
      <c r="V32" s="258"/>
      <c r="W32" s="258">
        <v>1</v>
      </c>
      <c r="X32" s="258"/>
      <c r="Y32" s="258"/>
      <c r="Z32" s="258"/>
      <c r="AA32" s="258"/>
      <c r="AB32" s="258"/>
      <c r="AC32" s="258"/>
      <c r="AD32" s="258"/>
      <c r="AE32" s="258"/>
      <c r="AF32" s="258"/>
      <c r="AG32" s="258"/>
    </row>
    <row r="33" spans="1:39" s="250" customFormat="1" ht="13.5">
      <c r="A33" s="250" t="s">
        <v>238</v>
      </c>
      <c r="B33" s="238" t="s">
        <v>37</v>
      </c>
      <c r="C33" s="238" t="s">
        <v>380</v>
      </c>
      <c r="D33" s="239" t="s">
        <v>237</v>
      </c>
      <c r="E33" s="238" t="str">
        <f t="shared" ref="E33:E38" si="14">CONCATENATE(B33,"-",C33,"-",D33)</f>
        <v>MP-SD-0002</v>
      </c>
      <c r="F33" s="238" t="s">
        <v>374</v>
      </c>
      <c r="G33" s="240" t="s">
        <v>37</v>
      </c>
      <c r="H33" s="241" t="s">
        <v>372</v>
      </c>
      <c r="I33" s="260" t="str">
        <f t="shared" ref="I33:I38" si="15">CONCATENATE(A33,"-",G33,"-",H33)</f>
        <v>UD-MP-2</v>
      </c>
      <c r="J33" s="258">
        <v>-1</v>
      </c>
      <c r="K33" s="242">
        <v>46244</v>
      </c>
      <c r="L33" s="240" t="s">
        <v>441</v>
      </c>
      <c r="M33" s="258">
        <v>1</v>
      </c>
      <c r="N33" s="258">
        <v>1</v>
      </c>
      <c r="O33" s="258"/>
      <c r="P33" s="258"/>
      <c r="Q33" s="258"/>
      <c r="R33" s="258">
        <v>1</v>
      </c>
      <c r="S33" s="258"/>
      <c r="T33" s="258">
        <v>1</v>
      </c>
      <c r="U33" s="258"/>
      <c r="V33" s="258"/>
      <c r="W33" s="258">
        <v>1</v>
      </c>
      <c r="X33" s="258"/>
      <c r="Y33" s="258"/>
      <c r="Z33" s="258"/>
      <c r="AA33" s="258"/>
      <c r="AB33" s="258"/>
      <c r="AC33" s="258"/>
      <c r="AD33" s="258"/>
      <c r="AE33" s="258"/>
      <c r="AF33" s="258"/>
      <c r="AG33" s="258"/>
    </row>
    <row r="34" spans="1:39" s="250" customFormat="1" ht="13.5">
      <c r="A34" s="250" t="s">
        <v>238</v>
      </c>
      <c r="B34" s="238" t="s">
        <v>37</v>
      </c>
      <c r="C34" s="238" t="s">
        <v>381</v>
      </c>
      <c r="D34" s="239" t="s">
        <v>239</v>
      </c>
      <c r="E34" s="238" t="str">
        <f t="shared" si="14"/>
        <v>MP-SS-0001</v>
      </c>
      <c r="F34" s="238" t="s">
        <v>375</v>
      </c>
      <c r="G34" s="240" t="s">
        <v>37</v>
      </c>
      <c r="H34" s="241" t="s">
        <v>372</v>
      </c>
      <c r="I34" s="260" t="str">
        <f t="shared" si="15"/>
        <v>UD-MP-2</v>
      </c>
      <c r="J34" s="258">
        <v>-1</v>
      </c>
      <c r="K34" s="242">
        <v>46244</v>
      </c>
      <c r="L34" s="240" t="s">
        <v>441</v>
      </c>
      <c r="M34" s="258">
        <v>1</v>
      </c>
      <c r="N34" s="258">
        <v>1</v>
      </c>
      <c r="O34" s="258"/>
      <c r="P34" s="258"/>
      <c r="Q34" s="258"/>
      <c r="R34" s="258">
        <v>1</v>
      </c>
      <c r="S34" s="258"/>
      <c r="T34" s="258">
        <v>1</v>
      </c>
      <c r="U34" s="258"/>
      <c r="V34" s="258"/>
      <c r="W34" s="258">
        <v>1</v>
      </c>
      <c r="X34" s="258"/>
      <c r="Y34" s="258"/>
      <c r="Z34" s="258"/>
      <c r="AA34" s="258"/>
      <c r="AB34" s="258"/>
      <c r="AC34" s="258"/>
      <c r="AD34" s="258"/>
      <c r="AE34" s="258"/>
      <c r="AF34" s="258"/>
      <c r="AG34" s="258"/>
    </row>
    <row r="35" spans="1:39" s="250" customFormat="1" ht="13.5">
      <c r="A35" s="250" t="s">
        <v>238</v>
      </c>
      <c r="B35" s="238" t="s">
        <v>37</v>
      </c>
      <c r="C35" s="238" t="s">
        <v>381</v>
      </c>
      <c r="D35" s="239" t="s">
        <v>237</v>
      </c>
      <c r="E35" s="238" t="str">
        <f t="shared" si="14"/>
        <v>MP-SS-0002</v>
      </c>
      <c r="F35" s="238" t="s">
        <v>376</v>
      </c>
      <c r="G35" s="240" t="s">
        <v>37</v>
      </c>
      <c r="H35" s="241" t="s">
        <v>372</v>
      </c>
      <c r="I35" s="260" t="str">
        <f t="shared" si="15"/>
        <v>UD-MP-2</v>
      </c>
      <c r="J35" s="258">
        <v>-1</v>
      </c>
      <c r="K35" s="242">
        <v>46244</v>
      </c>
      <c r="L35" s="240" t="s">
        <v>441</v>
      </c>
      <c r="M35" s="258">
        <v>1</v>
      </c>
      <c r="N35" s="258">
        <v>1</v>
      </c>
      <c r="O35" s="258"/>
      <c r="P35" s="258"/>
      <c r="Q35" s="258"/>
      <c r="R35" s="258">
        <v>1</v>
      </c>
      <c r="S35" s="258"/>
      <c r="T35" s="258">
        <v>1</v>
      </c>
      <c r="U35" s="258"/>
      <c r="V35" s="258"/>
      <c r="W35" s="258">
        <v>1</v>
      </c>
      <c r="X35" s="258"/>
      <c r="Y35" s="258"/>
      <c r="Z35" s="258"/>
      <c r="AA35" s="258"/>
      <c r="AB35" s="258"/>
      <c r="AC35" s="258"/>
      <c r="AD35" s="258"/>
      <c r="AE35" s="258"/>
      <c r="AF35" s="258"/>
      <c r="AG35" s="258"/>
    </row>
    <row r="36" spans="1:39" s="250" customFormat="1" ht="13.5">
      <c r="A36" s="250" t="s">
        <v>238</v>
      </c>
      <c r="B36" s="238" t="s">
        <v>37</v>
      </c>
      <c r="C36" s="238" t="s">
        <v>382</v>
      </c>
      <c r="D36" s="239" t="s">
        <v>239</v>
      </c>
      <c r="E36" s="238" t="str">
        <f t="shared" si="14"/>
        <v>MP-WS-0001</v>
      </c>
      <c r="F36" s="238" t="s">
        <v>377</v>
      </c>
      <c r="G36" s="240" t="s">
        <v>37</v>
      </c>
      <c r="H36" s="241" t="s">
        <v>372</v>
      </c>
      <c r="I36" s="260" t="str">
        <f t="shared" si="15"/>
        <v>UD-MP-2</v>
      </c>
      <c r="J36" s="258">
        <v>-1</v>
      </c>
      <c r="K36" s="242">
        <v>46244</v>
      </c>
      <c r="L36" s="240" t="s">
        <v>441</v>
      </c>
      <c r="M36" s="258">
        <v>1</v>
      </c>
      <c r="N36" s="258">
        <v>1</v>
      </c>
      <c r="O36" s="258"/>
      <c r="P36" s="258"/>
      <c r="Q36" s="258"/>
      <c r="R36" s="258">
        <v>1</v>
      </c>
      <c r="S36" s="258"/>
      <c r="T36" s="258">
        <v>1</v>
      </c>
      <c r="U36" s="258"/>
      <c r="V36" s="258"/>
      <c r="W36" s="258">
        <v>1</v>
      </c>
      <c r="X36" s="258"/>
      <c r="Y36" s="258"/>
      <c r="Z36" s="258"/>
      <c r="AA36" s="258"/>
      <c r="AB36" s="258"/>
      <c r="AC36" s="258"/>
      <c r="AD36" s="258"/>
      <c r="AE36" s="258"/>
      <c r="AF36" s="258"/>
      <c r="AG36" s="258"/>
    </row>
    <row r="37" spans="1:39" s="250" customFormat="1" ht="13.5">
      <c r="A37" s="250" t="s">
        <v>238</v>
      </c>
      <c r="B37" s="238" t="s">
        <v>37</v>
      </c>
      <c r="C37" s="238" t="s">
        <v>382</v>
      </c>
      <c r="D37" s="239" t="s">
        <v>237</v>
      </c>
      <c r="E37" s="238" t="str">
        <f t="shared" si="14"/>
        <v>MP-WS-0002</v>
      </c>
      <c r="F37" s="238" t="s">
        <v>378</v>
      </c>
      <c r="G37" s="240" t="s">
        <v>37</v>
      </c>
      <c r="H37" s="241" t="s">
        <v>372</v>
      </c>
      <c r="I37" s="260" t="str">
        <f t="shared" si="15"/>
        <v>UD-MP-2</v>
      </c>
      <c r="J37" s="258">
        <v>-1</v>
      </c>
      <c r="K37" s="242">
        <v>46244</v>
      </c>
      <c r="L37" s="240" t="s">
        <v>441</v>
      </c>
      <c r="M37" s="258">
        <v>1</v>
      </c>
      <c r="N37" s="258">
        <v>1</v>
      </c>
      <c r="O37" s="258"/>
      <c r="P37" s="258"/>
      <c r="Q37" s="258"/>
      <c r="R37" s="258">
        <v>1</v>
      </c>
      <c r="S37" s="258"/>
      <c r="T37" s="258">
        <v>1</v>
      </c>
      <c r="U37" s="258"/>
      <c r="V37" s="258"/>
      <c r="W37" s="258">
        <v>1</v>
      </c>
      <c r="X37" s="258"/>
      <c r="Y37" s="258"/>
      <c r="Z37" s="258"/>
      <c r="AA37" s="258"/>
      <c r="AB37" s="258"/>
      <c r="AC37" s="258"/>
      <c r="AD37" s="258"/>
      <c r="AE37" s="258"/>
      <c r="AF37" s="258"/>
      <c r="AG37" s="258"/>
    </row>
    <row r="38" spans="1:39" s="250" customFormat="1" ht="13.5">
      <c r="A38" s="250" t="s">
        <v>238</v>
      </c>
      <c r="B38" s="238" t="s">
        <v>37</v>
      </c>
      <c r="C38" s="238" t="s">
        <v>382</v>
      </c>
      <c r="D38" s="239" t="s">
        <v>249</v>
      </c>
      <c r="E38" s="238" t="str">
        <f t="shared" si="14"/>
        <v>MP-WS-0003</v>
      </c>
      <c r="F38" s="238" t="s">
        <v>379</v>
      </c>
      <c r="G38" s="240" t="s">
        <v>37</v>
      </c>
      <c r="H38" s="241" t="s">
        <v>372</v>
      </c>
      <c r="I38" s="260" t="str">
        <f t="shared" si="15"/>
        <v>UD-MP-2</v>
      </c>
      <c r="J38" s="258">
        <v>-1</v>
      </c>
      <c r="K38" s="242">
        <v>46244</v>
      </c>
      <c r="L38" s="240" t="s">
        <v>441</v>
      </c>
      <c r="M38" s="258">
        <v>1</v>
      </c>
      <c r="N38" s="258">
        <v>1</v>
      </c>
      <c r="O38" s="258"/>
      <c r="P38" s="258"/>
      <c r="Q38" s="258"/>
      <c r="R38" s="258">
        <v>1</v>
      </c>
      <c r="S38" s="258"/>
      <c r="T38" s="258">
        <v>1</v>
      </c>
      <c r="U38" s="258"/>
      <c r="V38" s="258"/>
      <c r="W38" s="258">
        <v>1</v>
      </c>
      <c r="X38" s="258"/>
      <c r="Y38" s="258"/>
      <c r="Z38" s="258"/>
      <c r="AA38" s="258"/>
      <c r="AB38" s="258"/>
      <c r="AC38" s="258"/>
      <c r="AD38" s="258"/>
      <c r="AE38" s="258"/>
      <c r="AF38" s="258"/>
      <c r="AG38" s="258"/>
    </row>
    <row r="39" spans="1:39" s="261" customFormat="1" ht="15.75">
      <c r="B39" s="237"/>
      <c r="C39" s="237"/>
      <c r="D39" s="265" t="s">
        <v>331</v>
      </c>
      <c r="E39" s="237"/>
      <c r="F39" s="262"/>
      <c r="G39" s="237"/>
      <c r="H39" s="237"/>
      <c r="I39" s="237"/>
      <c r="J39" s="263"/>
      <c r="K39" s="264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63"/>
      <c r="X39" s="237"/>
      <c r="Y39" s="237"/>
      <c r="Z39" s="237"/>
      <c r="AA39" s="237"/>
      <c r="AB39" s="237"/>
      <c r="AC39" s="237"/>
      <c r="AD39" s="237"/>
      <c r="AE39" s="237"/>
      <c r="AF39" s="237"/>
      <c r="AG39" s="237"/>
      <c r="AH39" s="236"/>
      <c r="AI39" s="236"/>
      <c r="AJ39" s="236"/>
      <c r="AK39" s="236"/>
      <c r="AL39" s="236"/>
      <c r="AM39" s="236"/>
    </row>
    <row r="40" spans="1:39" s="250" customFormat="1" ht="13.5">
      <c r="A40" s="250" t="s">
        <v>238</v>
      </c>
      <c r="B40" s="238" t="s">
        <v>37</v>
      </c>
      <c r="C40" s="238" t="s">
        <v>252</v>
      </c>
      <c r="D40" s="239" t="s">
        <v>239</v>
      </c>
      <c r="E40" s="238" t="str">
        <f>CONCATENATE(B40,"-",C40,"-",D40)</f>
        <v>MP-SC1-0001</v>
      </c>
      <c r="F40" s="238" t="s">
        <v>333</v>
      </c>
      <c r="G40" s="240" t="s">
        <v>37</v>
      </c>
      <c r="H40" s="241" t="s">
        <v>332</v>
      </c>
      <c r="I40" s="260" t="str">
        <f>CONCATENATE(A40,"-",G40,"-",H40)</f>
        <v>UD-MP-5</v>
      </c>
      <c r="J40" s="258">
        <v>1</v>
      </c>
      <c r="K40" s="242">
        <v>45912</v>
      </c>
      <c r="L40" s="240" t="s">
        <v>236</v>
      </c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Y40" s="258"/>
      <c r="Z40" s="258"/>
      <c r="AA40" s="258"/>
      <c r="AB40" s="258"/>
      <c r="AC40" s="258"/>
      <c r="AD40" s="258"/>
      <c r="AE40" s="258"/>
      <c r="AF40" s="258"/>
      <c r="AG40" s="258"/>
    </row>
    <row r="41" spans="1:39" s="250" customFormat="1" ht="13.5">
      <c r="A41" s="250" t="s">
        <v>238</v>
      </c>
      <c r="B41" s="238" t="s">
        <v>37</v>
      </c>
      <c r="C41" s="238" t="s">
        <v>252</v>
      </c>
      <c r="D41" s="239" t="s">
        <v>244</v>
      </c>
      <c r="E41" s="238" t="str">
        <f t="shared" ref="E41:E47" si="16">CONCATENATE(B41,"-",C41,"-",D41)</f>
        <v>MP-SC1-1001</v>
      </c>
      <c r="F41" s="238" t="s">
        <v>334</v>
      </c>
      <c r="G41" s="240" t="s">
        <v>37</v>
      </c>
      <c r="H41" s="241" t="s">
        <v>332</v>
      </c>
      <c r="I41" s="260" t="str">
        <f t="shared" ref="I41:I47" si="17">CONCATENATE(A41,"-",G41,"-",H41)</f>
        <v>UD-MP-5</v>
      </c>
      <c r="J41" s="258">
        <v>1</v>
      </c>
      <c r="K41" s="242">
        <v>45912</v>
      </c>
      <c r="L41" s="240" t="s">
        <v>236</v>
      </c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Y41" s="258"/>
      <c r="Z41" s="258"/>
      <c r="AA41" s="258"/>
      <c r="AB41" s="258"/>
      <c r="AC41" s="258"/>
      <c r="AD41" s="258"/>
      <c r="AE41" s="258"/>
      <c r="AF41" s="258"/>
      <c r="AG41" s="258"/>
    </row>
    <row r="42" spans="1:39" s="250" customFormat="1" ht="13.5">
      <c r="A42" s="250" t="s">
        <v>238</v>
      </c>
      <c r="B42" s="238" t="s">
        <v>37</v>
      </c>
      <c r="C42" s="238" t="s">
        <v>252</v>
      </c>
      <c r="D42" s="239" t="s">
        <v>243</v>
      </c>
      <c r="E42" s="238" t="str">
        <f t="shared" si="16"/>
        <v>MP-SC1-1002</v>
      </c>
      <c r="F42" s="238" t="s">
        <v>335</v>
      </c>
      <c r="G42" s="240" t="s">
        <v>37</v>
      </c>
      <c r="H42" s="241" t="s">
        <v>332</v>
      </c>
      <c r="I42" s="260" t="str">
        <f t="shared" si="17"/>
        <v>UD-MP-5</v>
      </c>
      <c r="J42" s="258">
        <v>1</v>
      </c>
      <c r="K42" s="242">
        <v>45912</v>
      </c>
      <c r="L42" s="240" t="s">
        <v>236</v>
      </c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Y42" s="258"/>
      <c r="Z42" s="258"/>
      <c r="AA42" s="258"/>
      <c r="AB42" s="258"/>
      <c r="AC42" s="258"/>
      <c r="AD42" s="258"/>
      <c r="AE42" s="258"/>
      <c r="AF42" s="258"/>
      <c r="AG42" s="258"/>
    </row>
    <row r="43" spans="1:39" s="250" customFormat="1" ht="13.5">
      <c r="A43" s="250" t="s">
        <v>238</v>
      </c>
      <c r="B43" s="238" t="s">
        <v>37</v>
      </c>
      <c r="C43" s="238" t="s">
        <v>252</v>
      </c>
      <c r="D43" s="239" t="s">
        <v>242</v>
      </c>
      <c r="E43" s="238" t="str">
        <f t="shared" si="16"/>
        <v>MP-SC1-1003</v>
      </c>
      <c r="F43" s="238" t="s">
        <v>336</v>
      </c>
      <c r="G43" s="240" t="s">
        <v>37</v>
      </c>
      <c r="H43" s="241" t="s">
        <v>332</v>
      </c>
      <c r="I43" s="260" t="str">
        <f t="shared" si="17"/>
        <v>UD-MP-5</v>
      </c>
      <c r="J43" s="258">
        <v>1</v>
      </c>
      <c r="K43" s="242">
        <v>45912</v>
      </c>
      <c r="L43" s="240" t="s">
        <v>236</v>
      </c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Y43" s="258"/>
      <c r="Z43" s="258"/>
      <c r="AA43" s="258"/>
      <c r="AB43" s="258"/>
      <c r="AC43" s="258"/>
      <c r="AD43" s="258"/>
      <c r="AE43" s="258"/>
      <c r="AF43" s="258"/>
      <c r="AG43" s="258"/>
    </row>
    <row r="44" spans="1:39" s="231" customFormat="1">
      <c r="A44" s="250" t="s">
        <v>238</v>
      </c>
      <c r="B44" s="238" t="s">
        <v>37</v>
      </c>
      <c r="C44" s="238" t="s">
        <v>252</v>
      </c>
      <c r="D44" s="239" t="s">
        <v>248</v>
      </c>
      <c r="E44" s="238" t="str">
        <f t="shared" si="16"/>
        <v>MP-SC1-2001</v>
      </c>
      <c r="F44" s="238" t="s">
        <v>337</v>
      </c>
      <c r="G44" s="240" t="s">
        <v>37</v>
      </c>
      <c r="H44" s="241" t="s">
        <v>332</v>
      </c>
      <c r="I44" s="260" t="str">
        <f t="shared" si="17"/>
        <v>UD-MP-5</v>
      </c>
      <c r="J44" s="258">
        <v>1</v>
      </c>
      <c r="K44" s="242">
        <v>45912</v>
      </c>
      <c r="L44" s="240" t="s">
        <v>236</v>
      </c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Y44" s="258"/>
      <c r="Z44" s="258"/>
      <c r="AA44" s="258"/>
      <c r="AB44" s="258"/>
      <c r="AC44" s="258"/>
      <c r="AD44" s="258"/>
      <c r="AE44" s="258"/>
      <c r="AF44" s="258"/>
      <c r="AG44" s="258"/>
    </row>
    <row r="45" spans="1:39" s="231" customFormat="1">
      <c r="A45" s="250" t="s">
        <v>238</v>
      </c>
      <c r="B45" s="238" t="s">
        <v>37</v>
      </c>
      <c r="C45" s="238" t="s">
        <v>252</v>
      </c>
      <c r="D45" s="239" t="s">
        <v>241</v>
      </c>
      <c r="E45" s="238" t="str">
        <f t="shared" si="16"/>
        <v>MP-SC1-4001</v>
      </c>
      <c r="F45" s="238" t="s">
        <v>251</v>
      </c>
      <c r="G45" s="240" t="s">
        <v>37</v>
      </c>
      <c r="H45" s="241" t="s">
        <v>332</v>
      </c>
      <c r="I45" s="260" t="str">
        <f t="shared" si="17"/>
        <v>UD-MP-5</v>
      </c>
      <c r="J45" s="258">
        <v>1</v>
      </c>
      <c r="K45" s="242">
        <v>45912</v>
      </c>
      <c r="L45" s="240" t="s">
        <v>236</v>
      </c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Y45" s="258"/>
      <c r="Z45" s="258"/>
      <c r="AA45" s="258"/>
      <c r="AB45" s="258"/>
      <c r="AC45" s="258"/>
      <c r="AD45" s="258"/>
      <c r="AE45" s="258"/>
      <c r="AF45" s="258"/>
      <c r="AG45" s="258"/>
    </row>
    <row r="46" spans="1:39" s="231" customFormat="1">
      <c r="A46" s="250" t="s">
        <v>238</v>
      </c>
      <c r="B46" s="238" t="s">
        <v>37</v>
      </c>
      <c r="C46" s="238" t="s">
        <v>252</v>
      </c>
      <c r="D46" s="239" t="s">
        <v>240</v>
      </c>
      <c r="E46" s="238" t="str">
        <f t="shared" si="16"/>
        <v>MP-SC1-4002</v>
      </c>
      <c r="F46" s="238" t="s">
        <v>338</v>
      </c>
      <c r="G46" s="240" t="s">
        <v>37</v>
      </c>
      <c r="H46" s="241" t="s">
        <v>332</v>
      </c>
      <c r="I46" s="260" t="str">
        <f t="shared" si="17"/>
        <v>UD-MP-5</v>
      </c>
      <c r="J46" s="258">
        <v>1</v>
      </c>
      <c r="K46" s="242">
        <v>45912</v>
      </c>
      <c r="L46" s="240" t="s">
        <v>236</v>
      </c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Y46" s="258"/>
      <c r="Z46" s="258"/>
      <c r="AA46" s="258"/>
      <c r="AB46" s="258"/>
      <c r="AC46" s="258"/>
      <c r="AD46" s="258"/>
      <c r="AE46" s="258"/>
      <c r="AF46" s="258"/>
      <c r="AG46" s="258"/>
    </row>
    <row r="47" spans="1:39" s="231" customFormat="1">
      <c r="A47" s="250" t="s">
        <v>238</v>
      </c>
      <c r="B47" s="238" t="s">
        <v>37</v>
      </c>
      <c r="C47" s="238" t="s">
        <v>252</v>
      </c>
      <c r="D47" s="239" t="s">
        <v>246</v>
      </c>
      <c r="E47" s="238" t="str">
        <f t="shared" si="16"/>
        <v>MP-SC1-4003</v>
      </c>
      <c r="F47" s="238" t="s">
        <v>339</v>
      </c>
      <c r="G47" s="240" t="s">
        <v>37</v>
      </c>
      <c r="H47" s="241" t="s">
        <v>332</v>
      </c>
      <c r="I47" s="260" t="str">
        <f t="shared" si="17"/>
        <v>UD-MP-5</v>
      </c>
      <c r="J47" s="258">
        <v>1</v>
      </c>
      <c r="K47" s="242">
        <v>45912</v>
      </c>
      <c r="L47" s="240" t="s">
        <v>236</v>
      </c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Y47" s="258"/>
      <c r="Z47" s="258"/>
      <c r="AA47" s="258"/>
      <c r="AB47" s="258"/>
      <c r="AC47" s="258"/>
      <c r="AD47" s="258"/>
      <c r="AE47" s="258"/>
      <c r="AF47" s="258"/>
      <c r="AG47" s="258"/>
    </row>
    <row r="48" spans="1:39" s="250" customFormat="1" ht="13.5">
      <c r="A48" s="250" t="s">
        <v>238</v>
      </c>
      <c r="B48" s="238" t="s">
        <v>37</v>
      </c>
      <c r="C48" s="238" t="s">
        <v>252</v>
      </c>
      <c r="D48" s="239" t="s">
        <v>245</v>
      </c>
      <c r="E48" s="238" t="str">
        <f>CONCATENATE(B48,"-",C48,"-",D48)</f>
        <v>MP-SC1-4004</v>
      </c>
      <c r="F48" s="238" t="s">
        <v>340</v>
      </c>
      <c r="G48" s="240" t="s">
        <v>37</v>
      </c>
      <c r="H48" s="241" t="s">
        <v>332</v>
      </c>
      <c r="I48" s="260" t="str">
        <f>CONCATENATE(A48,"-",G48,"-",H48)</f>
        <v>UD-MP-5</v>
      </c>
      <c r="J48" s="258">
        <v>1</v>
      </c>
      <c r="K48" s="242">
        <v>45912</v>
      </c>
      <c r="L48" s="240" t="s">
        <v>236</v>
      </c>
      <c r="M48" s="258"/>
      <c r="N48" s="258"/>
      <c r="O48" s="258"/>
      <c r="P48" s="258"/>
      <c r="Q48" s="258"/>
      <c r="R48" s="258"/>
      <c r="S48" s="258"/>
      <c r="T48" s="258"/>
      <c r="U48" s="258"/>
      <c r="V48" s="258"/>
      <c r="W48" s="258"/>
      <c r="X48" s="258"/>
      <c r="Y48" s="258"/>
      <c r="Z48" s="258"/>
      <c r="AA48" s="258"/>
      <c r="AB48" s="258"/>
      <c r="AC48" s="258"/>
      <c r="AD48" s="258"/>
      <c r="AE48" s="258"/>
      <c r="AF48" s="258"/>
      <c r="AG48" s="258"/>
    </row>
    <row r="49" spans="1:39" s="250" customFormat="1" ht="13.5">
      <c r="A49" s="250" t="s">
        <v>238</v>
      </c>
      <c r="B49" s="238" t="s">
        <v>37</v>
      </c>
      <c r="C49" s="238" t="s">
        <v>252</v>
      </c>
      <c r="D49" s="239" t="s">
        <v>261</v>
      </c>
      <c r="E49" s="238" t="str">
        <f t="shared" ref="E49:E55" si="18">CONCATENATE(B49,"-",C49,"-",D49)</f>
        <v>MP-SC1-4005</v>
      </c>
      <c r="F49" s="238" t="s">
        <v>341</v>
      </c>
      <c r="G49" s="240" t="s">
        <v>37</v>
      </c>
      <c r="H49" s="241" t="s">
        <v>332</v>
      </c>
      <c r="I49" s="260" t="str">
        <f t="shared" ref="I49:I55" si="19">CONCATENATE(A49,"-",G49,"-",H49)</f>
        <v>UD-MP-5</v>
      </c>
      <c r="J49" s="258">
        <v>1</v>
      </c>
      <c r="K49" s="242">
        <v>45912</v>
      </c>
      <c r="L49" s="240" t="s">
        <v>236</v>
      </c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Y49" s="258"/>
      <c r="Z49" s="258"/>
      <c r="AA49" s="258"/>
      <c r="AB49" s="258"/>
      <c r="AC49" s="258"/>
      <c r="AD49" s="258"/>
      <c r="AE49" s="258"/>
      <c r="AF49" s="258"/>
      <c r="AG49" s="258"/>
    </row>
    <row r="50" spans="1:39" s="250" customFormat="1" ht="13.5">
      <c r="A50" s="250" t="s">
        <v>238</v>
      </c>
      <c r="B50" s="238" t="s">
        <v>37</v>
      </c>
      <c r="C50" s="238" t="s">
        <v>252</v>
      </c>
      <c r="D50" s="239" t="s">
        <v>254</v>
      </c>
      <c r="E50" s="238" t="str">
        <f t="shared" si="18"/>
        <v>MP-SC1-4006</v>
      </c>
      <c r="F50" s="238" t="s">
        <v>342</v>
      </c>
      <c r="G50" s="240" t="s">
        <v>37</v>
      </c>
      <c r="H50" s="241" t="s">
        <v>332</v>
      </c>
      <c r="I50" s="260" t="str">
        <f t="shared" si="19"/>
        <v>UD-MP-5</v>
      </c>
      <c r="J50" s="258">
        <v>1</v>
      </c>
      <c r="K50" s="242">
        <v>45912</v>
      </c>
      <c r="L50" s="240" t="s">
        <v>236</v>
      </c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Y50" s="258"/>
      <c r="Z50" s="258"/>
      <c r="AA50" s="258"/>
      <c r="AB50" s="258"/>
      <c r="AC50" s="258"/>
      <c r="AD50" s="258"/>
      <c r="AE50" s="258"/>
      <c r="AF50" s="258"/>
      <c r="AG50" s="258"/>
    </row>
    <row r="51" spans="1:39" s="250" customFormat="1" ht="13.5">
      <c r="A51" s="250" t="s">
        <v>238</v>
      </c>
      <c r="B51" s="238" t="s">
        <v>37</v>
      </c>
      <c r="C51" s="238" t="s">
        <v>252</v>
      </c>
      <c r="D51" s="239" t="s">
        <v>260</v>
      </c>
      <c r="E51" s="238" t="str">
        <f t="shared" si="18"/>
        <v>MP-SC1-4007</v>
      </c>
      <c r="F51" s="238" t="s">
        <v>343</v>
      </c>
      <c r="G51" s="240" t="s">
        <v>37</v>
      </c>
      <c r="H51" s="241" t="s">
        <v>332</v>
      </c>
      <c r="I51" s="260" t="str">
        <f t="shared" si="19"/>
        <v>UD-MP-5</v>
      </c>
      <c r="J51" s="258">
        <v>1</v>
      </c>
      <c r="K51" s="242">
        <v>45912</v>
      </c>
      <c r="L51" s="240" t="s">
        <v>236</v>
      </c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Y51" s="258"/>
      <c r="Z51" s="258"/>
      <c r="AA51" s="258"/>
      <c r="AB51" s="258"/>
      <c r="AC51" s="258"/>
      <c r="AD51" s="258"/>
      <c r="AE51" s="258"/>
      <c r="AF51" s="258"/>
      <c r="AG51" s="258"/>
    </row>
    <row r="52" spans="1:39" s="231" customFormat="1">
      <c r="A52" s="250" t="s">
        <v>238</v>
      </c>
      <c r="B52" s="238" t="s">
        <v>37</v>
      </c>
      <c r="C52" s="238" t="s">
        <v>252</v>
      </c>
      <c r="D52" s="239" t="s">
        <v>259</v>
      </c>
      <c r="E52" s="238" t="str">
        <f t="shared" si="18"/>
        <v>MP-SC1-4008</v>
      </c>
      <c r="F52" s="238" t="s">
        <v>344</v>
      </c>
      <c r="G52" s="240" t="s">
        <v>37</v>
      </c>
      <c r="H52" s="241" t="s">
        <v>332</v>
      </c>
      <c r="I52" s="260" t="str">
        <f t="shared" si="19"/>
        <v>UD-MP-5</v>
      </c>
      <c r="J52" s="258">
        <v>1</v>
      </c>
      <c r="K52" s="242">
        <v>45912</v>
      </c>
      <c r="L52" s="240" t="s">
        <v>236</v>
      </c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Y52" s="258"/>
      <c r="Z52" s="258"/>
      <c r="AA52" s="258"/>
      <c r="AB52" s="258"/>
      <c r="AC52" s="258"/>
      <c r="AD52" s="258"/>
      <c r="AE52" s="258"/>
      <c r="AF52" s="258"/>
      <c r="AG52" s="258"/>
    </row>
    <row r="53" spans="1:39" s="231" customFormat="1">
      <c r="A53" s="250" t="s">
        <v>238</v>
      </c>
      <c r="B53" s="238" t="s">
        <v>37</v>
      </c>
      <c r="C53" s="238" t="s">
        <v>252</v>
      </c>
      <c r="D53" s="239" t="s">
        <v>258</v>
      </c>
      <c r="E53" s="238" t="str">
        <f t="shared" si="18"/>
        <v>MP-SC1-4009</v>
      </c>
      <c r="F53" s="238" t="s">
        <v>345</v>
      </c>
      <c r="G53" s="240" t="s">
        <v>37</v>
      </c>
      <c r="H53" s="241" t="s">
        <v>332</v>
      </c>
      <c r="I53" s="260" t="str">
        <f t="shared" si="19"/>
        <v>UD-MP-5</v>
      </c>
      <c r="J53" s="258">
        <v>1</v>
      </c>
      <c r="K53" s="242">
        <v>45912</v>
      </c>
      <c r="L53" s="240" t="s">
        <v>236</v>
      </c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Y53" s="258"/>
      <c r="Z53" s="258"/>
      <c r="AA53" s="258"/>
      <c r="AB53" s="258"/>
      <c r="AC53" s="258"/>
      <c r="AD53" s="258"/>
      <c r="AE53" s="258"/>
      <c r="AF53" s="258"/>
      <c r="AG53" s="258"/>
    </row>
    <row r="54" spans="1:39" s="231" customFormat="1">
      <c r="A54" s="250" t="s">
        <v>238</v>
      </c>
      <c r="B54" s="238" t="s">
        <v>37</v>
      </c>
      <c r="C54" s="238" t="s">
        <v>252</v>
      </c>
      <c r="D54" s="239" t="s">
        <v>257</v>
      </c>
      <c r="E54" s="238" t="str">
        <f t="shared" si="18"/>
        <v>MP-SC1-4010</v>
      </c>
      <c r="F54" s="238" t="s">
        <v>346</v>
      </c>
      <c r="G54" s="240" t="s">
        <v>37</v>
      </c>
      <c r="H54" s="241" t="s">
        <v>332</v>
      </c>
      <c r="I54" s="260" t="str">
        <f t="shared" si="19"/>
        <v>UD-MP-5</v>
      </c>
      <c r="J54" s="258">
        <v>1</v>
      </c>
      <c r="K54" s="242">
        <v>45912</v>
      </c>
      <c r="L54" s="240" t="s">
        <v>236</v>
      </c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Y54" s="258"/>
      <c r="Z54" s="258"/>
      <c r="AA54" s="258"/>
      <c r="AB54" s="258"/>
      <c r="AC54" s="258"/>
      <c r="AD54" s="258"/>
      <c r="AE54" s="258"/>
      <c r="AF54" s="258"/>
      <c r="AG54" s="258"/>
    </row>
    <row r="55" spans="1:39" s="231" customFormat="1">
      <c r="A55" s="250" t="s">
        <v>238</v>
      </c>
      <c r="B55" s="238" t="s">
        <v>37</v>
      </c>
      <c r="C55" s="238" t="s">
        <v>252</v>
      </c>
      <c r="D55" s="239" t="s">
        <v>256</v>
      </c>
      <c r="E55" s="238" t="str">
        <f t="shared" si="18"/>
        <v>MP-SC1-4011</v>
      </c>
      <c r="F55" s="238" t="s">
        <v>347</v>
      </c>
      <c r="G55" s="240" t="s">
        <v>37</v>
      </c>
      <c r="H55" s="241" t="s">
        <v>332</v>
      </c>
      <c r="I55" s="260" t="str">
        <f t="shared" si="19"/>
        <v>UD-MP-5</v>
      </c>
      <c r="J55" s="258">
        <v>1</v>
      </c>
      <c r="K55" s="242">
        <v>45912</v>
      </c>
      <c r="L55" s="240" t="s">
        <v>236</v>
      </c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Y55" s="258"/>
      <c r="Z55" s="258"/>
      <c r="AA55" s="258"/>
      <c r="AB55" s="258"/>
      <c r="AC55" s="258"/>
      <c r="AD55" s="258"/>
      <c r="AE55" s="258"/>
      <c r="AF55" s="258"/>
      <c r="AG55" s="258"/>
    </row>
    <row r="56" spans="1:39" s="250" customFormat="1" ht="13.5">
      <c r="A56" s="250" t="s">
        <v>238</v>
      </c>
      <c r="B56" s="238" t="s">
        <v>37</v>
      </c>
      <c r="C56" s="238" t="s">
        <v>252</v>
      </c>
      <c r="D56" s="239" t="s">
        <v>255</v>
      </c>
      <c r="E56" s="238" t="str">
        <f>CONCATENATE(B56,"-",C56,"-",D56)</f>
        <v>MP-SC1-4012</v>
      </c>
      <c r="F56" s="238" t="s">
        <v>348</v>
      </c>
      <c r="G56" s="240" t="s">
        <v>37</v>
      </c>
      <c r="H56" s="241" t="s">
        <v>332</v>
      </c>
      <c r="I56" s="260" t="str">
        <f>CONCATENATE(A56,"-",G56,"-",H56)</f>
        <v>UD-MP-5</v>
      </c>
      <c r="J56" s="258">
        <v>1</v>
      </c>
      <c r="K56" s="242">
        <v>45912</v>
      </c>
      <c r="L56" s="240" t="s">
        <v>236</v>
      </c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Y56" s="258"/>
      <c r="Z56" s="258"/>
      <c r="AA56" s="258"/>
      <c r="AB56" s="258"/>
      <c r="AC56" s="258"/>
      <c r="AD56" s="258"/>
      <c r="AE56" s="258"/>
      <c r="AF56" s="258"/>
      <c r="AG56" s="258"/>
    </row>
    <row r="57" spans="1:39" s="250" customFormat="1" ht="13.5">
      <c r="A57" s="250" t="s">
        <v>238</v>
      </c>
      <c r="B57" s="238" t="s">
        <v>37</v>
      </c>
      <c r="C57" s="238" t="s">
        <v>252</v>
      </c>
      <c r="D57" s="239" t="s">
        <v>253</v>
      </c>
      <c r="E57" s="238" t="str">
        <f t="shared" ref="E57:E58" si="20">CONCATENATE(B57,"-",C57,"-",D57)</f>
        <v>MP-SC1-4013</v>
      </c>
      <c r="F57" s="238" t="s">
        <v>349</v>
      </c>
      <c r="G57" s="240" t="s">
        <v>37</v>
      </c>
      <c r="H57" s="241" t="s">
        <v>332</v>
      </c>
      <c r="I57" s="260" t="str">
        <f t="shared" ref="I57:I58" si="21">CONCATENATE(A57,"-",G57,"-",H57)</f>
        <v>UD-MP-5</v>
      </c>
      <c r="J57" s="258">
        <v>1</v>
      </c>
      <c r="K57" s="242">
        <v>45912</v>
      </c>
      <c r="L57" s="240" t="s">
        <v>236</v>
      </c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Y57" s="258"/>
      <c r="Z57" s="258"/>
      <c r="AA57" s="258"/>
      <c r="AB57" s="258"/>
      <c r="AC57" s="258"/>
      <c r="AD57" s="258"/>
      <c r="AE57" s="258"/>
      <c r="AF57" s="258"/>
      <c r="AG57" s="258"/>
    </row>
    <row r="58" spans="1:39" s="250" customFormat="1" ht="13.5">
      <c r="A58" s="250" t="s">
        <v>238</v>
      </c>
      <c r="B58" s="238" t="s">
        <v>97</v>
      </c>
      <c r="C58" s="238" t="s">
        <v>252</v>
      </c>
      <c r="D58" s="239" t="s">
        <v>243</v>
      </c>
      <c r="E58" s="238" t="str">
        <f t="shared" si="20"/>
        <v>ELE-SC1-1002</v>
      </c>
      <c r="F58" s="238" t="s">
        <v>350</v>
      </c>
      <c r="G58" s="240" t="s">
        <v>37</v>
      </c>
      <c r="H58" s="241" t="s">
        <v>332</v>
      </c>
      <c r="I58" s="260" t="str">
        <f t="shared" si="21"/>
        <v>UD-MP-5</v>
      </c>
      <c r="J58" s="258">
        <v>1</v>
      </c>
      <c r="K58" s="242">
        <v>45912</v>
      </c>
      <c r="L58" s="240" t="s">
        <v>236</v>
      </c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Y58" s="258"/>
      <c r="Z58" s="258"/>
      <c r="AA58" s="258"/>
      <c r="AB58" s="258"/>
      <c r="AC58" s="258"/>
      <c r="AD58" s="258"/>
      <c r="AE58" s="258"/>
      <c r="AF58" s="258"/>
      <c r="AG58" s="258"/>
    </row>
    <row r="59" spans="1:39" s="261" customFormat="1" ht="15.75">
      <c r="B59" s="237"/>
      <c r="C59" s="237"/>
      <c r="D59" s="265" t="s">
        <v>327</v>
      </c>
      <c r="E59" s="237"/>
      <c r="F59" s="262"/>
      <c r="G59" s="237"/>
      <c r="H59" s="237"/>
      <c r="I59" s="237"/>
      <c r="J59" s="263"/>
      <c r="K59" s="264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63"/>
      <c r="X59" s="237"/>
      <c r="Y59" s="237"/>
      <c r="Z59" s="237"/>
      <c r="AA59" s="237"/>
      <c r="AB59" s="237"/>
      <c r="AC59" s="237"/>
      <c r="AD59" s="237"/>
      <c r="AE59" s="237"/>
      <c r="AF59" s="237"/>
      <c r="AG59" s="237"/>
      <c r="AH59" s="236"/>
      <c r="AI59" s="236"/>
      <c r="AJ59" s="236"/>
      <c r="AK59" s="236"/>
      <c r="AL59" s="236"/>
      <c r="AM59" s="236"/>
    </row>
    <row r="60" spans="1:39" s="250" customFormat="1" ht="13.5">
      <c r="A60" s="250" t="s">
        <v>238</v>
      </c>
      <c r="B60" s="238" t="s">
        <v>37</v>
      </c>
      <c r="C60" s="238" t="s">
        <v>328</v>
      </c>
      <c r="D60" s="239" t="s">
        <v>239</v>
      </c>
      <c r="E60" s="238" t="str">
        <f>CONCATENATE(B60,"-",C60,"-",D60)</f>
        <v>MP-TEM-0001</v>
      </c>
      <c r="F60" s="238" t="s">
        <v>329</v>
      </c>
      <c r="G60" s="240" t="s">
        <v>37</v>
      </c>
      <c r="H60" s="241" t="s">
        <v>330</v>
      </c>
      <c r="I60" s="260" t="str">
        <f>CONCATENATE(A60,"-",G60,"-",H60)</f>
        <v>UD-MP-6</v>
      </c>
      <c r="J60" s="258">
        <v>-1</v>
      </c>
      <c r="K60" s="242">
        <v>46087</v>
      </c>
      <c r="L60" s="240" t="s">
        <v>236</v>
      </c>
      <c r="M60" s="258">
        <v>1</v>
      </c>
      <c r="N60" s="258">
        <v>1</v>
      </c>
      <c r="O60" s="258"/>
      <c r="P60" s="258"/>
      <c r="Q60" s="258"/>
      <c r="R60" s="258">
        <v>1</v>
      </c>
      <c r="S60" s="258"/>
      <c r="T60" s="258">
        <v>1</v>
      </c>
      <c r="U60" s="258"/>
      <c r="V60" s="258"/>
      <c r="W60" s="258">
        <v>1</v>
      </c>
      <c r="X60" s="258"/>
      <c r="Y60" s="258"/>
      <c r="Z60" s="258"/>
      <c r="AA60" s="258"/>
      <c r="AB60" s="258"/>
      <c r="AC60" s="258"/>
      <c r="AD60" s="258"/>
      <c r="AE60" s="258"/>
      <c r="AF60" s="258"/>
      <c r="AG60" s="258"/>
    </row>
  </sheetData>
  <autoFilter ref="B1:W24" xr:uid="{B7BAD1F0-A3AF-48DB-A863-3581F7D0EEA3}"/>
  <mergeCells count="8">
    <mergeCell ref="AC2:AC3"/>
    <mergeCell ref="R2:R3"/>
    <mergeCell ref="C2:D2"/>
    <mergeCell ref="F2:F3"/>
    <mergeCell ref="G2:G3"/>
    <mergeCell ref="I2:I3"/>
    <mergeCell ref="H2:H3"/>
    <mergeCell ref="J2:L2"/>
  </mergeCells>
  <phoneticPr fontId="10" type="noConversion"/>
  <conditionalFormatting sqref="J5:J24 J40:J58">
    <cfRule type="iconSet" priority="1363">
      <iconSet iconSet="3Symbols2" showValue="0">
        <cfvo type="percent" val="0"/>
        <cfvo type="num" val="0"/>
        <cfvo type="num" val="0"/>
      </iconSet>
    </cfRule>
  </conditionalFormatting>
  <conditionalFormatting sqref="J26:J30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J32:J38">
    <cfRule type="iconSet" priority="1366">
      <iconSet iconSet="3Symbols2" showValue="0">
        <cfvo type="percent" val="0"/>
        <cfvo type="num" val="0"/>
        <cfvo type="num" val="0"/>
      </iconSet>
    </cfRule>
  </conditionalFormatting>
  <conditionalFormatting sqref="J60">
    <cfRule type="iconSet" priority="108">
      <iconSet iconSet="3Symbols2" showValue="0">
        <cfvo type="percent" val="0"/>
        <cfvo type="num" val="0"/>
        <cfvo type="num" val="0"/>
      </iconSet>
    </cfRule>
  </conditionalFormatting>
  <conditionalFormatting sqref="L4">
    <cfRule type="iconSet" priority="126">
      <iconSet iconSet="3Symbols2" showValue="0">
        <cfvo type="percent" val="0"/>
        <cfvo type="num" val="0"/>
        <cfvo type="num" val="0"/>
      </iconSet>
    </cfRule>
  </conditionalFormatting>
  <conditionalFormatting sqref="L25 L31">
    <cfRule type="iconSet" priority="11">
      <iconSet iconSet="3Symbols2" showValue="0">
        <cfvo type="percent" val="0"/>
        <cfvo type="num" val="0"/>
        <cfvo type="num" val="0"/>
      </iconSet>
    </cfRule>
  </conditionalFormatting>
  <conditionalFormatting sqref="L39">
    <cfRule type="iconSet" priority="49">
      <iconSet iconSet="3Symbols2" showValue="0">
        <cfvo type="percent" val="0"/>
        <cfvo type="num" val="0"/>
        <cfvo type="num" val="0"/>
      </iconSet>
    </cfRule>
  </conditionalFormatting>
  <conditionalFormatting sqref="L59">
    <cfRule type="iconSet" priority="80">
      <iconSet iconSet="3Symbols2" showValue="0">
        <cfvo type="percent" val="0"/>
        <cfvo type="num" val="0"/>
        <cfvo type="num" val="0"/>
      </iconSet>
    </cfRule>
  </conditionalFormatting>
  <conditionalFormatting sqref="M9:R12 M17:R20">
    <cfRule type="iconSet" priority="1346">
      <iconSet iconSet="3Symbols2" showValue="0">
        <cfvo type="percent" val="0"/>
        <cfvo type="num" val="0"/>
        <cfvo type="num" val="0"/>
      </iconSet>
    </cfRule>
  </conditionalFormatting>
  <conditionalFormatting sqref="M44:R47 M52:R55">
    <cfRule type="iconSet" priority="77">
      <iconSet iconSet="3Symbols2" showValue="0">
        <cfvo type="percent" val="0"/>
        <cfvo type="num" val="0"/>
        <cfvo type="num" val="0"/>
      </iconSet>
    </cfRule>
  </conditionalFormatting>
  <conditionalFormatting sqref="M5:V8">
    <cfRule type="iconSet" priority="152">
      <iconSet iconSet="3Symbols2" showValue="0">
        <cfvo type="percent" val="0"/>
        <cfvo type="num" val="0"/>
        <cfvo type="num" val="0"/>
      </iconSet>
    </cfRule>
    <cfRule type="iconSet" priority="153">
      <iconSet iconSet="3Symbols2" showValue="0">
        <cfvo type="percent" val="0"/>
        <cfvo type="num" val="0"/>
        <cfvo type="num" val="0"/>
      </iconSet>
    </cfRule>
  </conditionalFormatting>
  <conditionalFormatting sqref="M13:V16">
    <cfRule type="iconSet" priority="116">
      <iconSet iconSet="3Symbols2" showValue="0">
        <cfvo type="percent" val="0"/>
        <cfvo type="num" val="0"/>
        <cfvo type="num" val="0"/>
      </iconSet>
    </cfRule>
    <cfRule type="iconSet" priority="117">
      <iconSet iconSet="3Symbols2" showValue="0">
        <cfvo type="percent" val="0"/>
        <cfvo type="num" val="0"/>
        <cfvo type="num" val="0"/>
      </iconSet>
    </cfRule>
  </conditionalFormatting>
  <conditionalFormatting sqref="M21:V24 M56:V58">
    <cfRule type="iconSet" priority="1355">
      <iconSet iconSet="3Symbols2" showValue="0">
        <cfvo type="percent" val="0"/>
        <cfvo type="num" val="0"/>
        <cfvo type="num" val="0"/>
      </iconSet>
    </cfRule>
  </conditionalFormatting>
  <conditionalFormatting sqref="M26:V30">
    <cfRule type="iconSet" priority="1">
      <iconSet iconSet="3Symbols2" showValue="0">
        <cfvo type="percent" val="0"/>
        <cfvo type="num" val="0"/>
        <cfvo type="num" val="0"/>
      </iconSet>
    </cfRule>
  </conditionalFormatting>
  <conditionalFormatting sqref="M32:V32">
    <cfRule type="iconSet" priority="37">
      <iconSet iconSet="3Symbols2" showValue="0">
        <cfvo type="percent" val="0"/>
        <cfvo type="num" val="0"/>
        <cfvo type="num" val="0"/>
      </iconSet>
    </cfRule>
    <cfRule type="iconSet" priority="38">
      <iconSet iconSet="3Symbols2" showValue="0">
        <cfvo type="percent" val="0"/>
        <cfvo type="num" val="0"/>
        <cfvo type="num" val="0"/>
      </iconSet>
    </cfRule>
  </conditionalFormatting>
  <conditionalFormatting sqref="M33:V33">
    <cfRule type="iconSet" priority="7">
      <iconSet iconSet="3Symbols2" showValue="0">
        <cfvo type="percent" val="0"/>
        <cfvo type="num" val="0"/>
        <cfvo type="num" val="0"/>
      </iconSet>
    </cfRule>
    <cfRule type="iconSet" priority="8">
      <iconSet iconSet="3Symbols2" showValue="0">
        <cfvo type="percent" val="0"/>
        <cfvo type="num" val="0"/>
        <cfvo type="num" val="0"/>
      </iconSet>
    </cfRule>
  </conditionalFormatting>
  <conditionalFormatting sqref="M34:V38">
    <cfRule type="iconSet" priority="1368">
      <iconSet iconSet="3Symbols2" showValue="0">
        <cfvo type="percent" val="0"/>
        <cfvo type="num" val="0"/>
        <cfvo type="num" val="0"/>
      </iconSet>
    </cfRule>
    <cfRule type="iconSet" priority="1369">
      <iconSet iconSet="3Symbols2" showValue="0">
        <cfvo type="percent" val="0"/>
        <cfvo type="num" val="0"/>
        <cfvo type="num" val="0"/>
      </iconSet>
    </cfRule>
  </conditionalFormatting>
  <conditionalFormatting sqref="M40:V43">
    <cfRule type="iconSet" priority="75">
      <iconSet iconSet="3Symbols2" showValue="0">
        <cfvo type="percent" val="0"/>
        <cfvo type="num" val="0"/>
        <cfvo type="num" val="0"/>
      </iconSet>
    </cfRule>
    <cfRule type="iconSet" priority="76">
      <iconSet iconSet="3Symbols2" showValue="0">
        <cfvo type="percent" val="0"/>
        <cfvo type="num" val="0"/>
        <cfvo type="num" val="0"/>
      </iconSet>
    </cfRule>
  </conditionalFormatting>
  <conditionalFormatting sqref="M48:V51">
    <cfRule type="iconSet" priority="47">
      <iconSet iconSet="3Symbols2" showValue="0">
        <cfvo type="percent" val="0"/>
        <cfvo type="num" val="0"/>
        <cfvo type="num" val="0"/>
      </iconSet>
    </cfRule>
    <cfRule type="iconSet" priority="48">
      <iconSet iconSet="3Symbols2" showValue="0">
        <cfvo type="percent" val="0"/>
        <cfvo type="num" val="0"/>
        <cfvo type="num" val="0"/>
      </iconSet>
    </cfRule>
  </conditionalFormatting>
  <conditionalFormatting sqref="M60:V60">
    <cfRule type="iconSet" priority="106">
      <iconSet iconSet="3Symbols2" showValue="0">
        <cfvo type="percent" val="0"/>
        <cfvo type="num" val="0"/>
        <cfvo type="num" val="0"/>
      </iconSet>
    </cfRule>
    <cfRule type="iconSet" priority="107">
      <iconSet iconSet="3Symbols2" showValue="0">
        <cfvo type="percent" val="0"/>
        <cfvo type="num" val="0"/>
        <cfvo type="num" val="0"/>
      </iconSet>
    </cfRule>
  </conditionalFormatting>
  <conditionalFormatting sqref="N4:O4">
    <cfRule type="iconSet" priority="138">
      <iconSet iconSet="3Symbols2" showValue="0">
        <cfvo type="percent" val="0"/>
        <cfvo type="num" val="0"/>
        <cfvo type="num" val="0"/>
      </iconSet>
    </cfRule>
  </conditionalFormatting>
  <conditionalFormatting sqref="N25:O25">
    <cfRule type="iconSet" priority="5">
      <iconSet iconSet="3Symbols2" showValue="0">
        <cfvo type="percent" val="0"/>
        <cfvo type="num" val="0"/>
        <cfvo type="num" val="0"/>
      </iconSet>
    </cfRule>
  </conditionalFormatting>
  <conditionalFormatting sqref="N31:O31">
    <cfRule type="iconSet" priority="23">
      <iconSet iconSet="3Symbols2" showValue="0">
        <cfvo type="percent" val="0"/>
        <cfvo type="num" val="0"/>
        <cfvo type="num" val="0"/>
      </iconSet>
    </cfRule>
  </conditionalFormatting>
  <conditionalFormatting sqref="N39:O39">
    <cfRule type="iconSet" priority="61">
      <iconSet iconSet="3Symbols2" showValue="0">
        <cfvo type="percent" val="0"/>
        <cfvo type="num" val="0"/>
        <cfvo type="num" val="0"/>
      </iconSet>
    </cfRule>
  </conditionalFormatting>
  <conditionalFormatting sqref="N59:O59">
    <cfRule type="iconSet" priority="92">
      <iconSet iconSet="3Symbols2" showValue="0">
        <cfvo type="percent" val="0"/>
        <cfvo type="num" val="0"/>
        <cfvo type="num" val="0"/>
      </iconSet>
    </cfRule>
  </conditionalFormatting>
  <conditionalFormatting sqref="O4:V4 Z4 AB4:AG4">
    <cfRule type="cellIs" dxfId="8" priority="127" operator="greaterThan">
      <formula>0</formula>
    </cfRule>
  </conditionalFormatting>
  <conditionalFormatting sqref="O25:V25 Z25 AB25:AG25 O31:V31 Z31 AB31:AG31">
    <cfRule type="cellIs" dxfId="7" priority="12" operator="greaterThan">
      <formula>0</formula>
    </cfRule>
  </conditionalFormatting>
  <conditionalFormatting sqref="O39:V39 Z39 AB39:AG39">
    <cfRule type="cellIs" dxfId="6" priority="50" operator="greaterThan">
      <formula>0</formula>
    </cfRule>
  </conditionalFormatting>
  <conditionalFormatting sqref="O59:V59 Z59 AB59:AG59">
    <cfRule type="cellIs" dxfId="5" priority="81" operator="greaterThan">
      <formula>0</formula>
    </cfRule>
  </conditionalFormatting>
  <conditionalFormatting sqref="P4">
    <cfRule type="iconSet" priority="137">
      <iconSet iconSet="3Symbols2" showValue="0">
        <cfvo type="percent" val="0"/>
        <cfvo type="num" val="0"/>
        <cfvo type="num" val="0"/>
      </iconSet>
    </cfRule>
  </conditionalFormatting>
  <conditionalFormatting sqref="P25 P31">
    <cfRule type="iconSet" priority="22">
      <iconSet iconSet="3Symbols2" showValue="0">
        <cfvo type="percent" val="0"/>
        <cfvo type="num" val="0"/>
        <cfvo type="num" val="0"/>
      </iconSet>
    </cfRule>
  </conditionalFormatting>
  <conditionalFormatting sqref="P39">
    <cfRule type="iconSet" priority="60">
      <iconSet iconSet="3Symbols2" showValue="0">
        <cfvo type="percent" val="0"/>
        <cfvo type="num" val="0"/>
        <cfvo type="num" val="0"/>
      </iconSet>
    </cfRule>
  </conditionalFormatting>
  <conditionalFormatting sqref="P59">
    <cfRule type="iconSet" priority="91">
      <iconSet iconSet="3Symbols2" showValue="0">
        <cfvo type="percent" val="0"/>
        <cfvo type="num" val="0"/>
        <cfvo type="num" val="0"/>
      </iconSet>
    </cfRule>
  </conditionalFormatting>
  <conditionalFormatting sqref="Q4">
    <cfRule type="iconSet" priority="148">
      <iconSet iconSet="3Symbols2" showValue="0">
        <cfvo type="percent" val="0"/>
        <cfvo type="num" val="0"/>
        <cfvo type="num" val="0"/>
      </iconSet>
    </cfRule>
  </conditionalFormatting>
  <conditionalFormatting sqref="Q25 Q31">
    <cfRule type="iconSet" priority="33">
      <iconSet iconSet="3Symbols2" showValue="0">
        <cfvo type="percent" val="0"/>
        <cfvo type="num" val="0"/>
        <cfvo type="num" val="0"/>
      </iconSet>
    </cfRule>
  </conditionalFormatting>
  <conditionalFormatting sqref="Q39">
    <cfRule type="iconSet" priority="71">
      <iconSet iconSet="3Symbols2" showValue="0">
        <cfvo type="percent" val="0"/>
        <cfvo type="num" val="0"/>
        <cfvo type="num" val="0"/>
      </iconSet>
    </cfRule>
  </conditionalFormatting>
  <conditionalFormatting sqref="Q59">
    <cfRule type="iconSet" priority="102">
      <iconSet iconSet="3Symbols2" showValue="0">
        <cfvo type="percent" val="0"/>
        <cfvo type="num" val="0"/>
        <cfvo type="num" val="0"/>
      </iconSet>
    </cfRule>
  </conditionalFormatting>
  <conditionalFormatting sqref="R4">
    <cfRule type="iconSet" priority="136">
      <iconSet iconSet="3Symbols2" showValue="0">
        <cfvo type="percent" val="0"/>
        <cfvo type="num" val="0"/>
        <cfvo type="num" val="0"/>
      </iconSet>
    </cfRule>
  </conditionalFormatting>
  <conditionalFormatting sqref="R25 R31">
    <cfRule type="iconSet" priority="21">
      <iconSet iconSet="3Symbols2" showValue="0">
        <cfvo type="percent" val="0"/>
        <cfvo type="num" val="0"/>
        <cfvo type="num" val="0"/>
      </iconSet>
    </cfRule>
  </conditionalFormatting>
  <conditionalFormatting sqref="R39">
    <cfRule type="iconSet" priority="59">
      <iconSet iconSet="3Symbols2" showValue="0">
        <cfvo type="percent" val="0"/>
        <cfvo type="num" val="0"/>
        <cfvo type="num" val="0"/>
      </iconSet>
    </cfRule>
  </conditionalFormatting>
  <conditionalFormatting sqref="R59">
    <cfRule type="iconSet" priority="90">
      <iconSet iconSet="3Symbols2" showValue="0">
        <cfvo type="percent" val="0"/>
        <cfvo type="num" val="0"/>
        <cfvo type="num" val="0"/>
      </iconSet>
    </cfRule>
  </conditionalFormatting>
  <conditionalFormatting sqref="S4">
    <cfRule type="iconSet" priority="135">
      <iconSet iconSet="3Symbols2" showValue="0">
        <cfvo type="percent" val="0"/>
        <cfvo type="num" val="0"/>
        <cfvo type="num" val="0"/>
      </iconSet>
    </cfRule>
  </conditionalFormatting>
  <conditionalFormatting sqref="S25 S31">
    <cfRule type="iconSet" priority="20">
      <iconSet iconSet="3Symbols2" showValue="0">
        <cfvo type="percent" val="0"/>
        <cfvo type="num" val="0"/>
        <cfvo type="num" val="0"/>
      </iconSet>
    </cfRule>
  </conditionalFormatting>
  <conditionalFormatting sqref="S39">
    <cfRule type="iconSet" priority="58">
      <iconSet iconSet="3Symbols2" showValue="0">
        <cfvo type="percent" val="0"/>
        <cfvo type="num" val="0"/>
        <cfvo type="num" val="0"/>
      </iconSet>
    </cfRule>
  </conditionalFormatting>
  <conditionalFormatting sqref="S59">
    <cfRule type="iconSet" priority="89">
      <iconSet iconSet="3Symbols2" showValue="0">
        <cfvo type="percent" val="0"/>
        <cfvo type="num" val="0"/>
        <cfvo type="num" val="0"/>
      </iconSet>
    </cfRule>
  </conditionalFormatting>
  <conditionalFormatting sqref="S9:V12 S17:V20">
    <cfRule type="iconSet" priority="1350">
      <iconSet iconSet="3Symbols2" showValue="0">
        <cfvo type="percent" val="0"/>
        <cfvo type="num" val="0"/>
        <cfvo type="num" val="0"/>
      </iconSet>
    </cfRule>
  </conditionalFormatting>
  <conditionalFormatting sqref="S44:V47 S52:V55">
    <cfRule type="iconSet" priority="78">
      <iconSet iconSet="3Symbols2" showValue="0">
        <cfvo type="percent" val="0"/>
        <cfvo type="num" val="0"/>
        <cfvo type="num" val="0"/>
      </iconSet>
    </cfRule>
  </conditionalFormatting>
  <conditionalFormatting sqref="T4">
    <cfRule type="iconSet" priority="139">
      <iconSet iconSet="3Symbols2" showValue="0">
        <cfvo type="percent" val="0"/>
        <cfvo type="num" val="0"/>
        <cfvo type="num" val="0"/>
      </iconSet>
    </cfRule>
  </conditionalFormatting>
  <conditionalFormatting sqref="T25 T31">
    <cfRule type="iconSet" priority="24">
      <iconSet iconSet="3Symbols2" showValue="0">
        <cfvo type="percent" val="0"/>
        <cfvo type="num" val="0"/>
        <cfvo type="num" val="0"/>
      </iconSet>
    </cfRule>
  </conditionalFormatting>
  <conditionalFormatting sqref="T39">
    <cfRule type="iconSet" priority="62">
      <iconSet iconSet="3Symbols2" showValue="0">
        <cfvo type="percent" val="0"/>
        <cfvo type="num" val="0"/>
        <cfvo type="num" val="0"/>
      </iconSet>
    </cfRule>
  </conditionalFormatting>
  <conditionalFormatting sqref="T59">
    <cfRule type="iconSet" priority="93">
      <iconSet iconSet="3Symbols2" showValue="0">
        <cfvo type="percent" val="0"/>
        <cfvo type="num" val="0"/>
        <cfvo type="num" val="0"/>
      </iconSet>
    </cfRule>
  </conditionalFormatting>
  <conditionalFormatting sqref="U4">
    <cfRule type="iconSet" priority="140">
      <iconSet iconSet="3Symbols2" showValue="0">
        <cfvo type="percent" val="0"/>
        <cfvo type="num" val="0"/>
        <cfvo type="num" val="0"/>
      </iconSet>
    </cfRule>
  </conditionalFormatting>
  <conditionalFormatting sqref="U25 U31">
    <cfRule type="iconSet" priority="25">
      <iconSet iconSet="3Symbols2" showValue="0">
        <cfvo type="percent" val="0"/>
        <cfvo type="num" val="0"/>
        <cfvo type="num" val="0"/>
      </iconSet>
    </cfRule>
  </conditionalFormatting>
  <conditionalFormatting sqref="U39">
    <cfRule type="iconSet" priority="63">
      <iconSet iconSet="3Symbols2" showValue="0">
        <cfvo type="percent" val="0"/>
        <cfvo type="num" val="0"/>
        <cfvo type="num" val="0"/>
      </iconSet>
    </cfRule>
  </conditionalFormatting>
  <conditionalFormatting sqref="U59">
    <cfRule type="iconSet" priority="94">
      <iconSet iconSet="3Symbols2" showValue="0">
        <cfvo type="percent" val="0"/>
        <cfvo type="num" val="0"/>
        <cfvo type="num" val="0"/>
      </iconSet>
    </cfRule>
  </conditionalFormatting>
  <conditionalFormatting sqref="V4">
    <cfRule type="iconSet" priority="141">
      <iconSet iconSet="3Symbols2" showValue="0">
        <cfvo type="percent" val="0"/>
        <cfvo type="num" val="0"/>
        <cfvo type="num" val="0"/>
      </iconSet>
    </cfRule>
  </conditionalFormatting>
  <conditionalFormatting sqref="V25 V31">
    <cfRule type="iconSet" priority="26">
      <iconSet iconSet="3Symbols2" showValue="0">
        <cfvo type="percent" val="0"/>
        <cfvo type="num" val="0"/>
        <cfvo type="num" val="0"/>
      </iconSet>
    </cfRule>
  </conditionalFormatting>
  <conditionalFormatting sqref="V39">
    <cfRule type="iconSet" priority="64">
      <iconSet iconSet="3Symbols2" showValue="0">
        <cfvo type="percent" val="0"/>
        <cfvo type="num" val="0"/>
        <cfvo type="num" val="0"/>
      </iconSet>
    </cfRule>
  </conditionalFormatting>
  <conditionalFormatting sqref="V59">
    <cfRule type="iconSet" priority="95">
      <iconSet iconSet="3Symbols2" showValue="0">
        <cfvo type="percent" val="0"/>
        <cfvo type="num" val="0"/>
        <cfvo type="num" val="0"/>
      </iconSet>
    </cfRule>
  </conditionalFormatting>
  <conditionalFormatting sqref="W5:AF8">
    <cfRule type="iconSet" priority="150">
      <iconSet iconSet="3Symbols2" showValue="0">
        <cfvo type="percent" val="0"/>
        <cfvo type="num" val="0"/>
        <cfvo type="num" val="0"/>
      </iconSet>
    </cfRule>
    <cfRule type="iconSet" priority="151">
      <iconSet iconSet="3Symbols2" showValue="0">
        <cfvo type="percent" val="0"/>
        <cfvo type="num" val="0"/>
        <cfvo type="num" val="0"/>
      </iconSet>
    </cfRule>
  </conditionalFormatting>
  <conditionalFormatting sqref="W9:AF12 W17:AF20">
    <cfRule type="iconSet" priority="1354">
      <iconSet iconSet="3Symbols2" showValue="0">
        <cfvo type="percent" val="0"/>
        <cfvo type="num" val="0"/>
        <cfvo type="num" val="0"/>
      </iconSet>
    </cfRule>
  </conditionalFormatting>
  <conditionalFormatting sqref="W13:AF16">
    <cfRule type="iconSet" priority="114">
      <iconSet iconSet="3Symbols2" showValue="0">
        <cfvo type="percent" val="0"/>
        <cfvo type="num" val="0"/>
        <cfvo type="num" val="0"/>
      </iconSet>
    </cfRule>
    <cfRule type="iconSet" priority="115">
      <iconSet iconSet="3Symbols2" showValue="0">
        <cfvo type="percent" val="0"/>
        <cfvo type="num" val="0"/>
        <cfvo type="num" val="0"/>
      </iconSet>
    </cfRule>
  </conditionalFormatting>
  <conditionalFormatting sqref="W21:AF24 W56:AF58">
    <cfRule type="iconSet" priority="1359">
      <iconSet iconSet="3Symbols2" showValue="0">
        <cfvo type="percent" val="0"/>
        <cfvo type="num" val="0"/>
        <cfvo type="num" val="0"/>
      </iconSet>
    </cfRule>
  </conditionalFormatting>
  <conditionalFormatting sqref="W26:AF30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W32:AF32">
    <cfRule type="iconSet" priority="36">
      <iconSet iconSet="3Symbols2" showValue="0">
        <cfvo type="percent" val="0"/>
        <cfvo type="num" val="0"/>
        <cfvo type="num" val="0"/>
      </iconSet>
    </cfRule>
    <cfRule type="iconSet" priority="35">
      <iconSet iconSet="3Symbols2" showValue="0">
        <cfvo type="percent" val="0"/>
        <cfvo type="num" val="0"/>
        <cfvo type="num" val="0"/>
      </iconSet>
    </cfRule>
  </conditionalFormatting>
  <conditionalFormatting sqref="W33:AF33">
    <cfRule type="iconSet" priority="9">
      <iconSet iconSet="3Symbols2" showValue="0">
        <cfvo type="percent" val="0"/>
        <cfvo type="num" val="0"/>
        <cfvo type="num" val="0"/>
      </iconSet>
    </cfRule>
    <cfRule type="iconSet" priority="10">
      <iconSet iconSet="3Symbols2" showValue="0">
        <cfvo type="percent" val="0"/>
        <cfvo type="num" val="0"/>
        <cfvo type="num" val="0"/>
      </iconSet>
    </cfRule>
  </conditionalFormatting>
  <conditionalFormatting sqref="W34:AF38">
    <cfRule type="iconSet" priority="1371">
      <iconSet iconSet="3Symbols2" showValue="0">
        <cfvo type="percent" val="0"/>
        <cfvo type="num" val="0"/>
        <cfvo type="num" val="0"/>
      </iconSet>
    </cfRule>
    <cfRule type="iconSet" priority="1370">
      <iconSet iconSet="3Symbols2" showValue="0">
        <cfvo type="percent" val="0"/>
        <cfvo type="num" val="0"/>
        <cfvo type="num" val="0"/>
      </iconSet>
    </cfRule>
  </conditionalFormatting>
  <conditionalFormatting sqref="W40:AF43">
    <cfRule type="iconSet" priority="74">
      <iconSet iconSet="3Symbols2" showValue="0">
        <cfvo type="percent" val="0"/>
        <cfvo type="num" val="0"/>
        <cfvo type="num" val="0"/>
      </iconSet>
    </cfRule>
    <cfRule type="iconSet" priority="73">
      <iconSet iconSet="3Symbols2" showValue="0">
        <cfvo type="percent" val="0"/>
        <cfvo type="num" val="0"/>
        <cfvo type="num" val="0"/>
      </iconSet>
    </cfRule>
  </conditionalFormatting>
  <conditionalFormatting sqref="W44:AF47 W52:AF55">
    <cfRule type="iconSet" priority="79">
      <iconSet iconSet="3Symbols2" showValue="0">
        <cfvo type="percent" val="0"/>
        <cfvo type="num" val="0"/>
        <cfvo type="num" val="0"/>
      </iconSet>
    </cfRule>
  </conditionalFormatting>
  <conditionalFormatting sqref="W48:AF51">
    <cfRule type="iconSet" priority="46">
      <iconSet iconSet="3Symbols2" showValue="0">
        <cfvo type="percent" val="0"/>
        <cfvo type="num" val="0"/>
        <cfvo type="num" val="0"/>
      </iconSet>
    </cfRule>
    <cfRule type="iconSet" priority="45">
      <iconSet iconSet="3Symbols2" showValue="0">
        <cfvo type="percent" val="0"/>
        <cfvo type="num" val="0"/>
        <cfvo type="num" val="0"/>
      </iconSet>
    </cfRule>
  </conditionalFormatting>
  <conditionalFormatting sqref="W60:AF60">
    <cfRule type="iconSet" priority="105">
      <iconSet iconSet="3Symbols2" showValue="0">
        <cfvo type="percent" val="0"/>
        <cfvo type="num" val="0"/>
        <cfvo type="num" val="0"/>
      </iconSet>
    </cfRule>
    <cfRule type="iconSet" priority="104">
      <iconSet iconSet="3Symbols2" showValue="0">
        <cfvo type="percent" val="0"/>
        <cfvo type="num" val="0"/>
        <cfvo type="num" val="0"/>
      </iconSet>
    </cfRule>
  </conditionalFormatting>
  <conditionalFormatting sqref="Y4:Z4">
    <cfRule type="iconSet" priority="149">
      <iconSet iconSet="3Symbols2" showValue="0">
        <cfvo type="percent" val="0"/>
        <cfvo type="num" val="0"/>
        <cfvo type="num" val="0"/>
      </iconSet>
    </cfRule>
  </conditionalFormatting>
  <conditionalFormatting sqref="Y25:Z25">
    <cfRule type="iconSet" priority="6">
      <iconSet iconSet="3Symbols2" showValue="0">
        <cfvo type="percent" val="0"/>
        <cfvo type="num" val="0"/>
        <cfvo type="num" val="0"/>
      </iconSet>
    </cfRule>
  </conditionalFormatting>
  <conditionalFormatting sqref="Y31:Z31">
    <cfRule type="iconSet" priority="34">
      <iconSet iconSet="3Symbols2" showValue="0">
        <cfvo type="percent" val="0"/>
        <cfvo type="num" val="0"/>
        <cfvo type="num" val="0"/>
      </iconSet>
    </cfRule>
  </conditionalFormatting>
  <conditionalFormatting sqref="Y39:Z39">
    <cfRule type="iconSet" priority="72">
      <iconSet iconSet="3Symbols2" showValue="0">
        <cfvo type="percent" val="0"/>
        <cfvo type="num" val="0"/>
        <cfvo type="num" val="0"/>
      </iconSet>
    </cfRule>
  </conditionalFormatting>
  <conditionalFormatting sqref="Y59:Z59">
    <cfRule type="iconSet" priority="103">
      <iconSet iconSet="3Symbols2" showValue="0">
        <cfvo type="percent" val="0"/>
        <cfvo type="num" val="0"/>
        <cfvo type="num" val="0"/>
      </iconSet>
    </cfRule>
  </conditionalFormatting>
  <conditionalFormatting sqref="AA4">
    <cfRule type="iconSet" priority="131">
      <iconSet iconSet="3Symbols2" showValue="0">
        <cfvo type="percent" val="0"/>
        <cfvo type="num" val="0"/>
        <cfvo type="num" val="0"/>
      </iconSet>
    </cfRule>
  </conditionalFormatting>
  <conditionalFormatting sqref="AA25 AA31">
    <cfRule type="iconSet" priority="16">
      <iconSet iconSet="3Symbols2" showValue="0">
        <cfvo type="percent" val="0"/>
        <cfvo type="num" val="0"/>
        <cfvo type="num" val="0"/>
      </iconSet>
    </cfRule>
  </conditionalFormatting>
  <conditionalFormatting sqref="AA39">
    <cfRule type="iconSet" priority="54">
      <iconSet iconSet="3Symbols2" showValue="0">
        <cfvo type="percent" val="0"/>
        <cfvo type="num" val="0"/>
        <cfvo type="num" val="0"/>
      </iconSet>
    </cfRule>
  </conditionalFormatting>
  <conditionalFormatting sqref="AA59">
    <cfRule type="iconSet" priority="85">
      <iconSet iconSet="3Symbols2" showValue="0">
        <cfvo type="percent" val="0"/>
        <cfvo type="num" val="0"/>
        <cfvo type="num" val="0"/>
      </iconSet>
    </cfRule>
  </conditionalFormatting>
  <conditionalFormatting sqref="AB4">
    <cfRule type="iconSet" priority="130">
      <iconSet iconSet="3Symbols2" showValue="0">
        <cfvo type="percent" val="0"/>
        <cfvo type="num" val="0"/>
        <cfvo type="num" val="0"/>
      </iconSet>
    </cfRule>
  </conditionalFormatting>
  <conditionalFormatting sqref="AB25 AB31">
    <cfRule type="iconSet" priority="15">
      <iconSet iconSet="3Symbols2" showValue="0">
        <cfvo type="percent" val="0"/>
        <cfvo type="num" val="0"/>
        <cfvo type="num" val="0"/>
      </iconSet>
    </cfRule>
  </conditionalFormatting>
  <conditionalFormatting sqref="AB39">
    <cfRule type="iconSet" priority="53">
      <iconSet iconSet="3Symbols2" showValue="0">
        <cfvo type="percent" val="0"/>
        <cfvo type="num" val="0"/>
        <cfvo type="num" val="0"/>
      </iconSet>
    </cfRule>
  </conditionalFormatting>
  <conditionalFormatting sqref="AB59">
    <cfRule type="iconSet" priority="84">
      <iconSet iconSet="3Symbols2" showValue="0">
        <cfvo type="percent" val="0"/>
        <cfvo type="num" val="0"/>
        <cfvo type="num" val="0"/>
      </iconSet>
    </cfRule>
  </conditionalFormatting>
  <conditionalFormatting sqref="AC4">
    <cfRule type="iconSet" priority="129">
      <iconSet iconSet="3Symbols2" showValue="0">
        <cfvo type="percent" val="0"/>
        <cfvo type="num" val="0"/>
        <cfvo type="num" val="0"/>
      </iconSet>
    </cfRule>
  </conditionalFormatting>
  <conditionalFormatting sqref="AC25 AC31">
    <cfRule type="iconSet" priority="14">
      <iconSet iconSet="3Symbols2" showValue="0">
        <cfvo type="percent" val="0"/>
        <cfvo type="num" val="0"/>
        <cfvo type="num" val="0"/>
      </iconSet>
    </cfRule>
  </conditionalFormatting>
  <conditionalFormatting sqref="AC39">
    <cfRule type="iconSet" priority="52">
      <iconSet iconSet="3Symbols2" showValue="0">
        <cfvo type="percent" val="0"/>
        <cfvo type="num" val="0"/>
        <cfvo type="num" val="0"/>
      </iconSet>
    </cfRule>
  </conditionalFormatting>
  <conditionalFormatting sqref="AC59">
    <cfRule type="iconSet" priority="83">
      <iconSet iconSet="3Symbols2" showValue="0">
        <cfvo type="percent" val="0"/>
        <cfvo type="num" val="0"/>
        <cfvo type="num" val="0"/>
      </iconSet>
    </cfRule>
  </conditionalFormatting>
  <conditionalFormatting sqref="AD4">
    <cfRule type="iconSet" priority="128">
      <iconSet iconSet="3Symbols2" showValue="0">
        <cfvo type="percent" val="0"/>
        <cfvo type="num" val="0"/>
        <cfvo type="num" val="0"/>
      </iconSet>
    </cfRule>
  </conditionalFormatting>
  <conditionalFormatting sqref="AD25 AD31">
    <cfRule type="iconSet" priority="13">
      <iconSet iconSet="3Symbols2" showValue="0">
        <cfvo type="percent" val="0"/>
        <cfvo type="num" val="0"/>
        <cfvo type="num" val="0"/>
      </iconSet>
    </cfRule>
  </conditionalFormatting>
  <conditionalFormatting sqref="AD39">
    <cfRule type="iconSet" priority="51">
      <iconSet iconSet="3Symbols2" showValue="0">
        <cfvo type="percent" val="0"/>
        <cfvo type="num" val="0"/>
        <cfvo type="num" val="0"/>
      </iconSet>
    </cfRule>
  </conditionalFormatting>
  <conditionalFormatting sqref="AD59">
    <cfRule type="iconSet" priority="82">
      <iconSet iconSet="3Symbols2" showValue="0">
        <cfvo type="percent" val="0"/>
        <cfvo type="num" val="0"/>
        <cfvo type="num" val="0"/>
      </iconSet>
    </cfRule>
  </conditionalFormatting>
  <conditionalFormatting sqref="AE4">
    <cfRule type="iconSet" priority="132">
      <iconSet iconSet="3Symbols2" showValue="0">
        <cfvo type="percent" val="0"/>
        <cfvo type="num" val="0"/>
        <cfvo type="num" val="0"/>
      </iconSet>
    </cfRule>
  </conditionalFormatting>
  <conditionalFormatting sqref="AE25 AE31">
    <cfRule type="iconSet" priority="17">
      <iconSet iconSet="3Symbols2" showValue="0">
        <cfvo type="percent" val="0"/>
        <cfvo type="num" val="0"/>
        <cfvo type="num" val="0"/>
      </iconSet>
    </cfRule>
  </conditionalFormatting>
  <conditionalFormatting sqref="AE39">
    <cfRule type="iconSet" priority="55">
      <iconSet iconSet="3Symbols2" showValue="0">
        <cfvo type="percent" val="0"/>
        <cfvo type="num" val="0"/>
        <cfvo type="num" val="0"/>
      </iconSet>
    </cfRule>
  </conditionalFormatting>
  <conditionalFormatting sqref="AE59">
    <cfRule type="iconSet" priority="86">
      <iconSet iconSet="3Symbols2" showValue="0">
        <cfvo type="percent" val="0"/>
        <cfvo type="num" val="0"/>
        <cfvo type="num" val="0"/>
      </iconSet>
    </cfRule>
  </conditionalFormatting>
  <conditionalFormatting sqref="AF4">
    <cfRule type="iconSet" priority="133">
      <iconSet iconSet="3Symbols2" showValue="0">
        <cfvo type="percent" val="0"/>
        <cfvo type="num" val="0"/>
        <cfvo type="num" val="0"/>
      </iconSet>
    </cfRule>
  </conditionalFormatting>
  <conditionalFormatting sqref="AF25 AF31">
    <cfRule type="iconSet" priority="18">
      <iconSet iconSet="3Symbols2" showValue="0">
        <cfvo type="percent" val="0"/>
        <cfvo type="num" val="0"/>
        <cfvo type="num" val="0"/>
      </iconSet>
    </cfRule>
  </conditionalFormatting>
  <conditionalFormatting sqref="AF39">
    <cfRule type="iconSet" priority="56">
      <iconSet iconSet="3Symbols2" showValue="0">
        <cfvo type="percent" val="0"/>
        <cfvo type="num" val="0"/>
        <cfvo type="num" val="0"/>
      </iconSet>
    </cfRule>
  </conditionalFormatting>
  <conditionalFormatting sqref="AF59">
    <cfRule type="iconSet" priority="87">
      <iconSet iconSet="3Symbols2" showValue="0">
        <cfvo type="percent" val="0"/>
        <cfvo type="num" val="0"/>
        <cfvo type="num" val="0"/>
      </iconSet>
    </cfRule>
  </conditionalFormatting>
  <conditionalFormatting sqref="AG4">
    <cfRule type="iconSet" priority="134">
      <iconSet iconSet="3Symbols2" showValue="0">
        <cfvo type="percent" val="0"/>
        <cfvo type="num" val="0"/>
        <cfvo type="num" val="0"/>
      </iconSet>
    </cfRule>
  </conditionalFormatting>
  <conditionalFormatting sqref="AG5:AG24 AG40:AG58">
    <cfRule type="iconSet" priority="1365">
      <iconSet iconSet="3Symbols2" showValue="0">
        <cfvo type="percent" val="0"/>
        <cfvo type="num" val="0"/>
        <cfvo type="num" val="0"/>
      </iconSet>
    </cfRule>
  </conditionalFormatting>
  <conditionalFormatting sqref="AG25 AG31">
    <cfRule type="iconSet" priority="19">
      <iconSet iconSet="3Symbols2" showValue="0">
        <cfvo type="percent" val="0"/>
        <cfvo type="num" val="0"/>
        <cfvo type="num" val="0"/>
      </iconSet>
    </cfRule>
  </conditionalFormatting>
  <conditionalFormatting sqref="AG26:AG30">
    <cfRule type="iconSet" priority="4">
      <iconSet iconSet="3Symbols2" showValue="0">
        <cfvo type="percent" val="0"/>
        <cfvo type="num" val="0"/>
        <cfvo type="num" val="0"/>
      </iconSet>
    </cfRule>
  </conditionalFormatting>
  <conditionalFormatting sqref="AG32:AG38">
    <cfRule type="iconSet" priority="1367">
      <iconSet iconSet="3Symbols2" showValue="0">
        <cfvo type="percent" val="0"/>
        <cfvo type="num" val="0"/>
        <cfvo type="num" val="0"/>
      </iconSet>
    </cfRule>
  </conditionalFormatting>
  <conditionalFormatting sqref="AG39">
    <cfRule type="iconSet" priority="57">
      <iconSet iconSet="3Symbols2" showValue="0">
        <cfvo type="percent" val="0"/>
        <cfvo type="num" val="0"/>
        <cfvo type="num" val="0"/>
      </iconSet>
    </cfRule>
  </conditionalFormatting>
  <conditionalFormatting sqref="AG59">
    <cfRule type="iconSet" priority="88">
      <iconSet iconSet="3Symbols2" showValue="0">
        <cfvo type="percent" val="0"/>
        <cfvo type="num" val="0"/>
        <cfvo type="num" val="0"/>
      </iconSet>
    </cfRule>
  </conditionalFormatting>
  <conditionalFormatting sqref="AG60">
    <cfRule type="iconSet" priority="109">
      <iconSet iconSet="3Symbols2" showValue="0">
        <cfvo type="percent" val="0"/>
        <cfvo type="num" val="0"/>
        <cfvo type="num" val="0"/>
      </iconSet>
    </cfRule>
  </conditionalFormatting>
  <conditionalFormatting sqref="AH4">
    <cfRule type="iconSet" priority="142">
      <iconSet iconSet="3Symbols2" showValue="0">
        <cfvo type="percent" val="0"/>
        <cfvo type="num" val="0"/>
        <cfvo type="num" val="0"/>
      </iconSet>
    </cfRule>
  </conditionalFormatting>
  <conditionalFormatting sqref="AH25 AH31">
    <cfRule type="iconSet" priority="27">
      <iconSet iconSet="3Symbols2" showValue="0">
        <cfvo type="percent" val="0"/>
        <cfvo type="num" val="0"/>
        <cfvo type="num" val="0"/>
      </iconSet>
    </cfRule>
  </conditionalFormatting>
  <conditionalFormatting sqref="AH39">
    <cfRule type="iconSet" priority="65">
      <iconSet iconSet="3Symbols2" showValue="0">
        <cfvo type="percent" val="0"/>
        <cfvo type="num" val="0"/>
        <cfvo type="num" val="0"/>
      </iconSet>
    </cfRule>
  </conditionalFormatting>
  <conditionalFormatting sqref="AH59">
    <cfRule type="iconSet" priority="96">
      <iconSet iconSet="3Symbols2" showValue="0">
        <cfvo type="percent" val="0"/>
        <cfvo type="num" val="0"/>
        <cfvo type="num" val="0"/>
      </iconSet>
    </cfRule>
  </conditionalFormatting>
  <conditionalFormatting sqref="AI4">
    <cfRule type="iconSet" priority="143">
      <iconSet iconSet="3Symbols2" showValue="0">
        <cfvo type="percent" val="0"/>
        <cfvo type="num" val="0"/>
        <cfvo type="num" val="0"/>
      </iconSet>
    </cfRule>
  </conditionalFormatting>
  <conditionalFormatting sqref="AI25 AI31">
    <cfRule type="iconSet" priority="28">
      <iconSet iconSet="3Symbols2" showValue="0">
        <cfvo type="percent" val="0"/>
        <cfvo type="num" val="0"/>
        <cfvo type="num" val="0"/>
      </iconSet>
    </cfRule>
  </conditionalFormatting>
  <conditionalFormatting sqref="AI39">
    <cfRule type="iconSet" priority="66">
      <iconSet iconSet="3Symbols2" showValue="0">
        <cfvo type="percent" val="0"/>
        <cfvo type="num" val="0"/>
        <cfvo type="num" val="0"/>
      </iconSet>
    </cfRule>
  </conditionalFormatting>
  <conditionalFormatting sqref="AI59">
    <cfRule type="iconSet" priority="97">
      <iconSet iconSet="3Symbols2" showValue="0">
        <cfvo type="percent" val="0"/>
        <cfvo type="num" val="0"/>
        <cfvo type="num" val="0"/>
      </iconSet>
    </cfRule>
  </conditionalFormatting>
  <conditionalFormatting sqref="AJ4">
    <cfRule type="iconSet" priority="144">
      <iconSet iconSet="3Symbols2" showValue="0">
        <cfvo type="percent" val="0"/>
        <cfvo type="num" val="0"/>
        <cfvo type="num" val="0"/>
      </iconSet>
    </cfRule>
  </conditionalFormatting>
  <conditionalFormatting sqref="AJ25 AJ31">
    <cfRule type="iconSet" priority="29">
      <iconSet iconSet="3Symbols2" showValue="0">
        <cfvo type="percent" val="0"/>
        <cfvo type="num" val="0"/>
        <cfvo type="num" val="0"/>
      </iconSet>
    </cfRule>
  </conditionalFormatting>
  <conditionalFormatting sqref="AJ39">
    <cfRule type="iconSet" priority="67">
      <iconSet iconSet="3Symbols2" showValue="0">
        <cfvo type="percent" val="0"/>
        <cfvo type="num" val="0"/>
        <cfvo type="num" val="0"/>
      </iconSet>
    </cfRule>
  </conditionalFormatting>
  <conditionalFormatting sqref="AJ59">
    <cfRule type="iconSet" priority="98">
      <iconSet iconSet="3Symbols2" showValue="0">
        <cfvo type="percent" val="0"/>
        <cfvo type="num" val="0"/>
        <cfvo type="num" val="0"/>
      </iconSet>
    </cfRule>
  </conditionalFormatting>
  <conditionalFormatting sqref="AK4">
    <cfRule type="iconSet" priority="145">
      <iconSet iconSet="3Symbols2" showValue="0">
        <cfvo type="percent" val="0"/>
        <cfvo type="num" val="0"/>
        <cfvo type="num" val="0"/>
      </iconSet>
    </cfRule>
  </conditionalFormatting>
  <conditionalFormatting sqref="AK25 AK31">
    <cfRule type="iconSet" priority="30">
      <iconSet iconSet="3Symbols2" showValue="0">
        <cfvo type="percent" val="0"/>
        <cfvo type="num" val="0"/>
        <cfvo type="num" val="0"/>
      </iconSet>
    </cfRule>
  </conditionalFormatting>
  <conditionalFormatting sqref="AK39">
    <cfRule type="iconSet" priority="68">
      <iconSet iconSet="3Symbols2" showValue="0">
        <cfvo type="percent" val="0"/>
        <cfvo type="num" val="0"/>
        <cfvo type="num" val="0"/>
      </iconSet>
    </cfRule>
  </conditionalFormatting>
  <conditionalFormatting sqref="AK59">
    <cfRule type="iconSet" priority="99">
      <iconSet iconSet="3Symbols2" showValue="0">
        <cfvo type="percent" val="0"/>
        <cfvo type="num" val="0"/>
        <cfvo type="num" val="0"/>
      </iconSet>
    </cfRule>
  </conditionalFormatting>
  <conditionalFormatting sqref="AL4">
    <cfRule type="iconSet" priority="146">
      <iconSet iconSet="3Symbols2" showValue="0">
        <cfvo type="percent" val="0"/>
        <cfvo type="num" val="0"/>
        <cfvo type="num" val="0"/>
      </iconSet>
    </cfRule>
  </conditionalFormatting>
  <conditionalFormatting sqref="AL25 AL31">
    <cfRule type="iconSet" priority="31">
      <iconSet iconSet="3Symbols2" showValue="0">
        <cfvo type="percent" val="0"/>
        <cfvo type="num" val="0"/>
        <cfvo type="num" val="0"/>
      </iconSet>
    </cfRule>
  </conditionalFormatting>
  <conditionalFormatting sqref="AL39">
    <cfRule type="iconSet" priority="69">
      <iconSet iconSet="3Symbols2" showValue="0">
        <cfvo type="percent" val="0"/>
        <cfvo type="num" val="0"/>
        <cfvo type="num" val="0"/>
      </iconSet>
    </cfRule>
  </conditionalFormatting>
  <conditionalFormatting sqref="AL59">
    <cfRule type="iconSet" priority="100">
      <iconSet iconSet="3Symbols2" showValue="0">
        <cfvo type="percent" val="0"/>
        <cfvo type="num" val="0"/>
        <cfvo type="num" val="0"/>
      </iconSet>
    </cfRule>
  </conditionalFormatting>
  <conditionalFormatting sqref="AM4">
    <cfRule type="iconSet" priority="147">
      <iconSet iconSet="3Symbols2" showValue="0">
        <cfvo type="percent" val="0"/>
        <cfvo type="num" val="0"/>
        <cfvo type="num" val="0"/>
      </iconSet>
    </cfRule>
  </conditionalFormatting>
  <conditionalFormatting sqref="AM25 AM31">
    <cfRule type="iconSet" priority="32">
      <iconSet iconSet="3Symbols2" showValue="0">
        <cfvo type="percent" val="0"/>
        <cfvo type="num" val="0"/>
        <cfvo type="num" val="0"/>
      </iconSet>
    </cfRule>
  </conditionalFormatting>
  <conditionalFormatting sqref="AM39">
    <cfRule type="iconSet" priority="70">
      <iconSet iconSet="3Symbols2" showValue="0">
        <cfvo type="percent" val="0"/>
        <cfvo type="num" val="0"/>
        <cfvo type="num" val="0"/>
      </iconSet>
    </cfRule>
  </conditionalFormatting>
  <conditionalFormatting sqref="AM59">
    <cfRule type="iconSet" priority="10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54C9-118D-4F38-A63E-0CC3ACC3C148}">
  <sheetPr>
    <outlinePr summaryBelow="0" summaryRight="0"/>
  </sheetPr>
  <dimension ref="A1:AM31"/>
  <sheetViews>
    <sheetView zoomScale="81" zoomScaleNormal="115" workbookViewId="0">
      <pane ySplit="3" topLeftCell="A4" activePane="bottomLeft" state="frozen"/>
      <selection pane="bottomLeft" activeCell="L36" sqref="L36"/>
    </sheetView>
  </sheetViews>
  <sheetFormatPr defaultColWidth="8.85546875" defaultRowHeight="15"/>
  <cols>
    <col min="1" max="1" width="8" style="230" customWidth="1"/>
    <col min="2" max="2" width="7.140625" style="230" customWidth="1"/>
    <col min="3" max="3" width="7.5703125" style="230" customWidth="1"/>
    <col min="4" max="4" width="8.28515625" style="234" customWidth="1"/>
    <col min="5" max="5" width="14.140625" style="230" customWidth="1"/>
    <col min="6" max="6" width="70.7109375" style="230" customWidth="1"/>
    <col min="7" max="7" width="8.140625" style="233" bestFit="1" customWidth="1"/>
    <col min="8" max="8" width="11.42578125" style="230" customWidth="1"/>
    <col min="9" max="9" width="11.7109375" style="235" bestFit="1" customWidth="1"/>
    <col min="10" max="10" width="8" style="230" customWidth="1"/>
    <col min="11" max="11" width="14" style="232" customWidth="1"/>
    <col min="12" max="12" width="9.5703125" style="231" customWidth="1"/>
    <col min="13" max="13" width="7.85546875" style="230" bestFit="1" customWidth="1"/>
    <col min="14" max="14" width="7.7109375" style="230" customWidth="1"/>
    <col min="15" max="15" width="10.140625" style="230" customWidth="1"/>
    <col min="16" max="22" width="8.85546875" style="230"/>
    <col min="23" max="23" width="8" style="230" customWidth="1"/>
    <col min="24" max="24" width="8.85546875" style="230"/>
    <col min="25" max="25" width="10.28515625" style="230" customWidth="1"/>
    <col min="26" max="16384" width="8.85546875" style="230"/>
  </cols>
  <sheetData>
    <row r="1" spans="1:39" s="251" customFormat="1" ht="23.25" customHeight="1">
      <c r="B1" s="252" t="s">
        <v>285</v>
      </c>
      <c r="C1" s="253"/>
      <c r="D1" s="254" t="s">
        <v>284</v>
      </c>
      <c r="E1" s="255"/>
      <c r="F1" s="255" t="s">
        <v>284</v>
      </c>
      <c r="G1" s="256" t="s">
        <v>284</v>
      </c>
      <c r="H1" s="255" t="s">
        <v>284</v>
      </c>
      <c r="I1" s="259" t="s">
        <v>284</v>
      </c>
      <c r="J1" s="255" t="s">
        <v>284</v>
      </c>
      <c r="K1" s="257"/>
      <c r="L1" s="255" t="s">
        <v>284</v>
      </c>
      <c r="M1" s="255" t="s">
        <v>290</v>
      </c>
      <c r="N1" s="255">
        <v>1</v>
      </c>
      <c r="O1" s="255">
        <v>2</v>
      </c>
      <c r="P1" s="255">
        <v>3</v>
      </c>
      <c r="Q1" s="255">
        <v>4</v>
      </c>
      <c r="R1" s="255" t="s">
        <v>291</v>
      </c>
      <c r="S1" s="255">
        <v>5</v>
      </c>
      <c r="T1" s="255">
        <v>6</v>
      </c>
      <c r="U1" s="255">
        <v>7</v>
      </c>
      <c r="V1" s="255">
        <v>8</v>
      </c>
      <c r="W1" s="255" t="s">
        <v>284</v>
      </c>
      <c r="X1" s="255" t="s">
        <v>293</v>
      </c>
      <c r="Y1" s="255">
        <v>9</v>
      </c>
      <c r="Z1" s="255">
        <v>10</v>
      </c>
      <c r="AA1" s="255">
        <v>11</v>
      </c>
      <c r="AB1" s="255">
        <v>12</v>
      </c>
      <c r="AC1" s="255" t="s">
        <v>295</v>
      </c>
      <c r="AD1" s="255">
        <v>13</v>
      </c>
      <c r="AE1" s="255">
        <v>14</v>
      </c>
      <c r="AF1" s="255">
        <v>15</v>
      </c>
      <c r="AG1" s="255">
        <v>16</v>
      </c>
    </row>
    <row r="2" spans="1:39" s="247" customFormat="1" ht="14.25">
      <c r="B2" s="249" t="s">
        <v>297</v>
      </c>
      <c r="C2" s="276" t="s">
        <v>298</v>
      </c>
      <c r="D2" s="277"/>
      <c r="E2" s="243"/>
      <c r="F2" s="278" t="s">
        <v>283</v>
      </c>
      <c r="G2" s="278" t="s">
        <v>282</v>
      </c>
      <c r="H2" s="278" t="s">
        <v>281</v>
      </c>
      <c r="I2" s="274" t="s">
        <v>280</v>
      </c>
      <c r="J2" s="280" t="s">
        <v>279</v>
      </c>
      <c r="K2" s="281"/>
      <c r="L2" s="282"/>
      <c r="M2" s="243">
        <f>SUM(M9:M24)</f>
        <v>0</v>
      </c>
      <c r="N2" s="243">
        <f>SUM(N9:N24)</f>
        <v>0</v>
      </c>
      <c r="O2" s="243">
        <f>SUM(O9:O24)</f>
        <v>0</v>
      </c>
      <c r="P2" s="243">
        <f>SUM(P9:P24)</f>
        <v>0</v>
      </c>
      <c r="Q2" s="243">
        <f>SUM(Q9:Q24)</f>
        <v>0</v>
      </c>
      <c r="R2" s="274" t="s">
        <v>278</v>
      </c>
      <c r="S2" s="243">
        <f>SUM(S9:S24)</f>
        <v>0</v>
      </c>
      <c r="T2" s="243">
        <f>SUM(T9:T24)</f>
        <v>0</v>
      </c>
      <c r="U2" s="243">
        <f>SUM(U9:U24)</f>
        <v>0</v>
      </c>
      <c r="V2" s="243">
        <f>SUM(V9:V24)</f>
        <v>0</v>
      </c>
      <c r="W2" s="243"/>
      <c r="X2" s="243">
        <f>SUM(X9:X24)</f>
        <v>0</v>
      </c>
      <c r="Y2" s="243">
        <f>SUM(Y9:Y24)</f>
        <v>0</v>
      </c>
      <c r="Z2" s="243">
        <f>SUM(Z9:Z24)</f>
        <v>0</v>
      </c>
      <c r="AA2" s="243">
        <f>SUM(AA9:AA24)</f>
        <v>0</v>
      </c>
      <c r="AB2" s="243">
        <f>SUM(AB9:AB24)</f>
        <v>0</v>
      </c>
      <c r="AC2" s="274" t="s">
        <v>294</v>
      </c>
      <c r="AD2" s="243">
        <f>SUM(AD9:AD24)</f>
        <v>0</v>
      </c>
      <c r="AE2" s="243">
        <f>SUM(AE9:AE24)</f>
        <v>0</v>
      </c>
      <c r="AF2" s="243">
        <f>SUM(AF9:AF24)</f>
        <v>0</v>
      </c>
      <c r="AG2" s="243">
        <f>SUM(AG9:AG24)</f>
        <v>0</v>
      </c>
    </row>
    <row r="3" spans="1:39" s="247" customFormat="1" ht="25.5">
      <c r="B3" s="244" t="s">
        <v>277</v>
      </c>
      <c r="C3" s="245" t="s">
        <v>276</v>
      </c>
      <c r="D3" s="247" t="s">
        <v>275</v>
      </c>
      <c r="E3" s="245" t="s">
        <v>274</v>
      </c>
      <c r="F3" s="279"/>
      <c r="G3" s="279"/>
      <c r="H3" s="279"/>
      <c r="I3" s="275"/>
      <c r="J3" s="244" t="s">
        <v>271</v>
      </c>
      <c r="K3" s="248" t="s">
        <v>273</v>
      </c>
      <c r="L3" s="244" t="s">
        <v>272</v>
      </c>
      <c r="M3" s="244" t="s">
        <v>270</v>
      </c>
      <c r="N3" s="246" t="s">
        <v>269</v>
      </c>
      <c r="O3" s="246" t="s">
        <v>268</v>
      </c>
      <c r="P3" s="246" t="s">
        <v>267</v>
      </c>
      <c r="Q3" s="246" t="s">
        <v>266</v>
      </c>
      <c r="R3" s="275"/>
      <c r="S3" s="246" t="s">
        <v>269</v>
      </c>
      <c r="T3" s="246" t="s">
        <v>268</v>
      </c>
      <c r="U3" s="246" t="s">
        <v>267</v>
      </c>
      <c r="V3" s="246" t="s">
        <v>266</v>
      </c>
      <c r="W3" s="244" t="s">
        <v>296</v>
      </c>
      <c r="X3" s="244" t="s">
        <v>292</v>
      </c>
      <c r="Y3" s="246" t="s">
        <v>269</v>
      </c>
      <c r="Z3" s="246" t="s">
        <v>268</v>
      </c>
      <c r="AA3" s="246" t="s">
        <v>267</v>
      </c>
      <c r="AB3" s="246" t="s">
        <v>266</v>
      </c>
      <c r="AC3" s="275"/>
      <c r="AD3" s="246" t="s">
        <v>269</v>
      </c>
      <c r="AE3" s="246" t="s">
        <v>268</v>
      </c>
      <c r="AF3" s="246" t="s">
        <v>267</v>
      </c>
      <c r="AG3" s="246" t="s">
        <v>266</v>
      </c>
    </row>
    <row r="4" spans="1:39" s="261" customFormat="1" ht="15.75">
      <c r="B4" s="237"/>
      <c r="C4" s="237"/>
      <c r="D4" s="265" t="s">
        <v>304</v>
      </c>
      <c r="E4" s="237"/>
      <c r="F4" s="262"/>
      <c r="G4" s="237"/>
      <c r="H4" s="237"/>
      <c r="I4" s="237"/>
      <c r="J4" s="263"/>
      <c r="K4" s="264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63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6"/>
      <c r="AI4" s="236"/>
      <c r="AJ4" s="236"/>
      <c r="AK4" s="236"/>
      <c r="AL4" s="236"/>
      <c r="AM4" s="236"/>
    </row>
    <row r="5" spans="1:39" s="250" customFormat="1" ht="13.5">
      <c r="A5" s="250" t="s">
        <v>238</v>
      </c>
      <c r="B5" s="238" t="s">
        <v>383</v>
      </c>
      <c r="C5" s="238" t="s">
        <v>384</v>
      </c>
      <c r="D5" s="238" t="s">
        <v>385</v>
      </c>
      <c r="E5" s="238" t="str">
        <f>CONCATENATE(B5,"-",C5,"-",D5)</f>
        <v>S-BXX-RW0001</v>
      </c>
      <c r="F5" s="238" t="s">
        <v>389</v>
      </c>
      <c r="G5" s="240" t="s">
        <v>37</v>
      </c>
      <c r="H5" s="241" t="s">
        <v>372</v>
      </c>
      <c r="I5" s="260" t="str">
        <f>CONCATENATE(A5,"-",G5,"-",H5)</f>
        <v>UD-MP-2</v>
      </c>
      <c r="J5" s="258">
        <v>-1</v>
      </c>
      <c r="K5" s="242">
        <v>46156</v>
      </c>
      <c r="L5" s="240" t="s">
        <v>236</v>
      </c>
      <c r="M5" s="258">
        <v>1</v>
      </c>
      <c r="N5" s="258">
        <v>1</v>
      </c>
      <c r="O5" s="258"/>
      <c r="P5" s="258"/>
      <c r="Q5" s="258"/>
      <c r="R5" s="258">
        <v>1</v>
      </c>
      <c r="S5" s="258"/>
      <c r="T5" s="258">
        <v>1</v>
      </c>
      <c r="U5" s="258"/>
      <c r="V5" s="258"/>
      <c r="W5" s="258">
        <v>1</v>
      </c>
      <c r="X5" s="258"/>
      <c r="Y5" s="258"/>
      <c r="Z5" s="258"/>
      <c r="AA5" s="258"/>
      <c r="AB5" s="258"/>
      <c r="AC5" s="258"/>
      <c r="AD5" s="258"/>
      <c r="AE5" s="258"/>
      <c r="AF5" s="258"/>
      <c r="AG5" s="258"/>
    </row>
    <row r="6" spans="1:39" s="250" customFormat="1" ht="13.5">
      <c r="A6" s="250" t="s">
        <v>238</v>
      </c>
      <c r="B6" s="238" t="s">
        <v>383</v>
      </c>
      <c r="C6" s="238" t="s">
        <v>384</v>
      </c>
      <c r="D6" s="238" t="s">
        <v>386</v>
      </c>
      <c r="E6" s="238" t="str">
        <f t="shared" ref="E6:E8" si="0">CONCATENATE(B6,"-",C6,"-",D6)</f>
        <v>S-BXX-RW0002</v>
      </c>
      <c r="F6" s="238" t="s">
        <v>390</v>
      </c>
      <c r="G6" s="240" t="s">
        <v>37</v>
      </c>
      <c r="H6" s="241" t="s">
        <v>372</v>
      </c>
      <c r="I6" s="260" t="str">
        <f t="shared" ref="I6:I8" si="1">CONCATENATE(A6,"-",G6,"-",H6)</f>
        <v>UD-MP-2</v>
      </c>
      <c r="J6" s="258">
        <v>-1</v>
      </c>
      <c r="K6" s="242">
        <v>46156</v>
      </c>
      <c r="L6" s="240" t="s">
        <v>236</v>
      </c>
      <c r="M6" s="258">
        <v>1</v>
      </c>
      <c r="N6" s="258">
        <v>1</v>
      </c>
      <c r="O6" s="258"/>
      <c r="P6" s="258"/>
      <c r="Q6" s="258"/>
      <c r="R6" s="258">
        <v>1</v>
      </c>
      <c r="S6" s="258"/>
      <c r="T6" s="258">
        <v>1</v>
      </c>
      <c r="U6" s="258"/>
      <c r="V6" s="258"/>
      <c r="W6" s="258">
        <v>1</v>
      </c>
      <c r="X6" s="258"/>
      <c r="Y6" s="258"/>
      <c r="Z6" s="258"/>
      <c r="AA6" s="258"/>
      <c r="AB6" s="258"/>
      <c r="AC6" s="258"/>
      <c r="AD6" s="258"/>
      <c r="AE6" s="258"/>
      <c r="AF6" s="258"/>
      <c r="AG6" s="258"/>
    </row>
    <row r="7" spans="1:39" s="250" customFormat="1" ht="13.5">
      <c r="A7" s="250" t="s">
        <v>238</v>
      </c>
      <c r="B7" s="238" t="s">
        <v>383</v>
      </c>
      <c r="C7" s="238" t="s">
        <v>384</v>
      </c>
      <c r="D7" s="238" t="s">
        <v>387</v>
      </c>
      <c r="E7" s="238" t="str">
        <f t="shared" si="0"/>
        <v>S-BXX-RW0003</v>
      </c>
      <c r="F7" s="238" t="s">
        <v>391</v>
      </c>
      <c r="G7" s="240" t="s">
        <v>37</v>
      </c>
      <c r="H7" s="241" t="s">
        <v>372</v>
      </c>
      <c r="I7" s="260" t="str">
        <f t="shared" si="1"/>
        <v>UD-MP-2</v>
      </c>
      <c r="J7" s="258">
        <v>-1</v>
      </c>
      <c r="K7" s="242">
        <v>46156</v>
      </c>
      <c r="L7" s="240" t="s">
        <v>236</v>
      </c>
      <c r="M7" s="258">
        <v>1</v>
      </c>
      <c r="N7" s="258">
        <v>1</v>
      </c>
      <c r="O7" s="258"/>
      <c r="P7" s="258"/>
      <c r="Q7" s="258"/>
      <c r="R7" s="258">
        <v>1</v>
      </c>
      <c r="S7" s="258"/>
      <c r="T7" s="258">
        <v>1</v>
      </c>
      <c r="U7" s="258"/>
      <c r="V7" s="258"/>
      <c r="W7" s="258">
        <v>1</v>
      </c>
      <c r="X7" s="258"/>
      <c r="Y7" s="258"/>
      <c r="Z7" s="258"/>
      <c r="AA7" s="258"/>
      <c r="AB7" s="258"/>
      <c r="AC7" s="258"/>
      <c r="AD7" s="258"/>
      <c r="AE7" s="258"/>
      <c r="AF7" s="258"/>
      <c r="AG7" s="258"/>
    </row>
    <row r="8" spans="1:39" s="250" customFormat="1" ht="13.5">
      <c r="A8" s="250" t="s">
        <v>238</v>
      </c>
      <c r="B8" s="238" t="s">
        <v>383</v>
      </c>
      <c r="C8" s="238" t="s">
        <v>384</v>
      </c>
      <c r="D8" s="238" t="s">
        <v>388</v>
      </c>
      <c r="E8" s="238" t="str">
        <f t="shared" si="0"/>
        <v>S-BXX-RW0004</v>
      </c>
      <c r="F8" s="238" t="s">
        <v>392</v>
      </c>
      <c r="G8" s="240" t="s">
        <v>37</v>
      </c>
      <c r="H8" s="241" t="s">
        <v>372</v>
      </c>
      <c r="I8" s="260" t="str">
        <f t="shared" si="1"/>
        <v>UD-MP-2</v>
      </c>
      <c r="J8" s="258">
        <v>-1</v>
      </c>
      <c r="K8" s="242">
        <v>46156</v>
      </c>
      <c r="L8" s="240" t="s">
        <v>236</v>
      </c>
      <c r="M8" s="258">
        <v>1</v>
      </c>
      <c r="N8" s="258">
        <v>1</v>
      </c>
      <c r="O8" s="258"/>
      <c r="P8" s="258"/>
      <c r="Q8" s="258"/>
      <c r="R8" s="258">
        <v>1</v>
      </c>
      <c r="S8" s="258"/>
      <c r="T8" s="258">
        <v>1</v>
      </c>
      <c r="U8" s="258"/>
      <c r="V8" s="258"/>
      <c r="W8" s="258">
        <v>1</v>
      </c>
      <c r="X8" s="258"/>
      <c r="Y8" s="258"/>
      <c r="Z8" s="258"/>
      <c r="AA8" s="258"/>
      <c r="AB8" s="258"/>
      <c r="AC8" s="258"/>
      <c r="AD8" s="258"/>
      <c r="AE8" s="258"/>
      <c r="AF8" s="258"/>
      <c r="AG8" s="258"/>
    </row>
    <row r="9" spans="1:39" s="261" customFormat="1" ht="15.75">
      <c r="B9" s="237"/>
      <c r="C9" s="237"/>
      <c r="D9" s="265" t="s">
        <v>331</v>
      </c>
      <c r="E9" s="237"/>
      <c r="F9" s="262"/>
      <c r="G9" s="237"/>
      <c r="H9" s="237"/>
      <c r="I9" s="237"/>
      <c r="J9" s="263"/>
      <c r="K9" s="264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63"/>
      <c r="X9" s="237"/>
      <c r="Y9" s="237"/>
      <c r="Z9" s="237"/>
      <c r="AA9" s="237"/>
      <c r="AB9" s="237"/>
      <c r="AC9" s="237"/>
      <c r="AD9" s="237"/>
      <c r="AE9" s="237"/>
      <c r="AF9" s="237"/>
      <c r="AG9" s="237"/>
      <c r="AH9" s="236"/>
      <c r="AI9" s="236"/>
      <c r="AJ9" s="236"/>
      <c r="AK9" s="236"/>
      <c r="AL9" s="236"/>
      <c r="AM9" s="236"/>
    </row>
    <row r="10" spans="1:39" s="250" customFormat="1" ht="13.5">
      <c r="A10" s="250" t="s">
        <v>238</v>
      </c>
      <c r="B10" s="238" t="s">
        <v>383</v>
      </c>
      <c r="C10" s="238" t="s">
        <v>252</v>
      </c>
      <c r="D10" s="238" t="s">
        <v>413</v>
      </c>
      <c r="E10" s="238" t="str">
        <f t="shared" ref="E10:E15" si="2">CONCATENATE(B10,"-",C10,"-",D10)</f>
        <v>S-SC1-FD0001</v>
      </c>
      <c r="F10" s="238" t="s">
        <v>396</v>
      </c>
      <c r="G10" s="240" t="s">
        <v>37</v>
      </c>
      <c r="H10" s="241" t="s">
        <v>332</v>
      </c>
      <c r="I10" s="260" t="str">
        <f t="shared" ref="I10:I15" si="3">CONCATENATE(A10,"-",G10,"-",H10)</f>
        <v>UD-MP-5</v>
      </c>
      <c r="J10" s="258">
        <v>1</v>
      </c>
      <c r="K10" s="242">
        <v>45905</v>
      </c>
      <c r="L10" s="240" t="s">
        <v>236</v>
      </c>
      <c r="M10" s="258"/>
      <c r="N10" s="258"/>
      <c r="O10" s="258"/>
      <c r="P10" s="258"/>
      <c r="Q10" s="258"/>
      <c r="R10" s="258"/>
      <c r="S10" s="258"/>
      <c r="T10" s="258"/>
      <c r="U10" s="258"/>
      <c r="V10" s="258"/>
      <c r="W10" s="258"/>
      <c r="X10" s="258"/>
      <c r="Y10" s="258"/>
      <c r="Z10" s="258"/>
      <c r="AA10" s="258"/>
      <c r="AB10" s="258"/>
      <c r="AC10" s="258"/>
      <c r="AD10" s="258"/>
      <c r="AE10" s="258"/>
      <c r="AF10" s="258"/>
      <c r="AG10" s="258"/>
    </row>
    <row r="11" spans="1:39" s="231" customFormat="1">
      <c r="A11" s="250" t="s">
        <v>238</v>
      </c>
      <c r="B11" s="238" t="s">
        <v>383</v>
      </c>
      <c r="C11" s="238" t="s">
        <v>252</v>
      </c>
      <c r="D11" s="238" t="s">
        <v>414</v>
      </c>
      <c r="E11" s="238" t="str">
        <f t="shared" si="2"/>
        <v>S-SC1-FD0002</v>
      </c>
      <c r="F11" s="238" t="s">
        <v>397</v>
      </c>
      <c r="G11" s="240" t="s">
        <v>37</v>
      </c>
      <c r="H11" s="241" t="s">
        <v>332</v>
      </c>
      <c r="I11" s="260" t="str">
        <f t="shared" si="3"/>
        <v>UD-MP-5</v>
      </c>
      <c r="J11" s="258">
        <v>1</v>
      </c>
      <c r="K11" s="242">
        <v>45905</v>
      </c>
      <c r="L11" s="240" t="s">
        <v>236</v>
      </c>
      <c r="M11" s="258"/>
      <c r="N11" s="258"/>
      <c r="O11" s="258"/>
      <c r="P11" s="258"/>
      <c r="Q11" s="258"/>
      <c r="R11" s="258"/>
      <c r="S11" s="258"/>
      <c r="T11" s="258"/>
      <c r="U11" s="258"/>
      <c r="V11" s="258"/>
      <c r="W11" s="258"/>
      <c r="X11" s="258"/>
      <c r="Y11" s="258"/>
      <c r="Z11" s="258"/>
      <c r="AA11" s="258"/>
      <c r="AB11" s="258"/>
      <c r="AC11" s="258"/>
      <c r="AD11" s="258"/>
      <c r="AE11" s="258"/>
      <c r="AF11" s="258"/>
      <c r="AG11" s="258"/>
    </row>
    <row r="12" spans="1:39" s="231" customFormat="1">
      <c r="A12" s="250" t="s">
        <v>238</v>
      </c>
      <c r="B12" s="238" t="s">
        <v>383</v>
      </c>
      <c r="C12" s="238" t="s">
        <v>252</v>
      </c>
      <c r="D12" s="238" t="s">
        <v>415</v>
      </c>
      <c r="E12" s="238" t="str">
        <f t="shared" si="2"/>
        <v>S-SC1-FD0003</v>
      </c>
      <c r="F12" s="238" t="s">
        <v>398</v>
      </c>
      <c r="G12" s="240" t="s">
        <v>37</v>
      </c>
      <c r="H12" s="241" t="s">
        <v>332</v>
      </c>
      <c r="I12" s="260" t="str">
        <f t="shared" si="3"/>
        <v>UD-MP-5</v>
      </c>
      <c r="J12" s="258">
        <v>1</v>
      </c>
      <c r="K12" s="242">
        <v>45905</v>
      </c>
      <c r="L12" s="240" t="s">
        <v>236</v>
      </c>
      <c r="M12" s="258"/>
      <c r="N12" s="258"/>
      <c r="O12" s="258"/>
      <c r="P12" s="258"/>
      <c r="Q12" s="258"/>
      <c r="R12" s="258"/>
      <c r="S12" s="258"/>
      <c r="T12" s="258"/>
      <c r="U12" s="258"/>
      <c r="V12" s="258"/>
      <c r="W12" s="258"/>
      <c r="X12" s="258"/>
      <c r="Y12" s="258"/>
      <c r="Z12" s="258"/>
      <c r="AA12" s="258"/>
      <c r="AB12" s="258"/>
      <c r="AC12" s="258"/>
      <c r="AD12" s="258"/>
      <c r="AE12" s="258"/>
      <c r="AF12" s="258"/>
      <c r="AG12" s="258"/>
    </row>
    <row r="13" spans="1:39" s="231" customFormat="1">
      <c r="A13" s="250" t="s">
        <v>238</v>
      </c>
      <c r="B13" s="238" t="s">
        <v>383</v>
      </c>
      <c r="C13" s="238" t="s">
        <v>252</v>
      </c>
      <c r="D13" s="238" t="s">
        <v>416</v>
      </c>
      <c r="E13" s="238" t="str">
        <f t="shared" si="2"/>
        <v>S-SC1-FD0004</v>
      </c>
      <c r="F13" s="238" t="s">
        <v>399</v>
      </c>
      <c r="G13" s="240" t="s">
        <v>37</v>
      </c>
      <c r="H13" s="241" t="s">
        <v>332</v>
      </c>
      <c r="I13" s="260" t="str">
        <f t="shared" si="3"/>
        <v>UD-MP-5</v>
      </c>
      <c r="J13" s="258">
        <v>1</v>
      </c>
      <c r="K13" s="242">
        <v>45905</v>
      </c>
      <c r="L13" s="240" t="s">
        <v>236</v>
      </c>
      <c r="M13" s="258"/>
      <c r="N13" s="258"/>
      <c r="O13" s="258"/>
      <c r="P13" s="258"/>
      <c r="Q13" s="258"/>
      <c r="R13" s="258"/>
      <c r="S13" s="258"/>
      <c r="T13" s="258"/>
      <c r="U13" s="258"/>
      <c r="V13" s="258"/>
      <c r="W13" s="258"/>
      <c r="X13" s="258"/>
      <c r="Y13" s="258"/>
      <c r="Z13" s="258"/>
      <c r="AA13" s="258"/>
      <c r="AB13" s="258"/>
      <c r="AC13" s="258"/>
      <c r="AD13" s="258"/>
      <c r="AE13" s="258"/>
      <c r="AF13" s="258"/>
      <c r="AG13" s="258"/>
    </row>
    <row r="14" spans="1:39" s="250" customFormat="1" ht="13.5">
      <c r="A14" s="250" t="s">
        <v>238</v>
      </c>
      <c r="B14" s="238" t="s">
        <v>383</v>
      </c>
      <c r="C14" s="238" t="s">
        <v>252</v>
      </c>
      <c r="D14" s="238" t="s">
        <v>412</v>
      </c>
      <c r="E14" s="238" t="str">
        <f>CONCATENATE(B14,"-",C14,"-",D14)</f>
        <v>S-SC1-CL0001</v>
      </c>
      <c r="F14" s="238" t="s">
        <v>395</v>
      </c>
      <c r="G14" s="240" t="s">
        <v>37</v>
      </c>
      <c r="H14" s="241" t="s">
        <v>332</v>
      </c>
      <c r="I14" s="260" t="str">
        <f>CONCATENATE(A14,"-",G14,"-",H14)</f>
        <v>UD-MP-5</v>
      </c>
      <c r="J14" s="258">
        <v>1</v>
      </c>
      <c r="K14" s="242">
        <v>45905</v>
      </c>
      <c r="L14" s="240" t="s">
        <v>236</v>
      </c>
      <c r="M14" s="258"/>
      <c r="N14" s="258"/>
      <c r="O14" s="258"/>
      <c r="P14" s="258"/>
      <c r="Q14" s="258"/>
      <c r="R14" s="258"/>
      <c r="S14" s="258"/>
      <c r="T14" s="258"/>
      <c r="U14" s="258"/>
      <c r="V14" s="258"/>
      <c r="W14" s="258"/>
      <c r="X14" s="258"/>
      <c r="Y14" s="258"/>
      <c r="Z14" s="258"/>
      <c r="AA14" s="258"/>
      <c r="AB14" s="258"/>
      <c r="AC14" s="258"/>
      <c r="AD14" s="258"/>
      <c r="AE14" s="258"/>
      <c r="AF14" s="258"/>
      <c r="AG14" s="258"/>
    </row>
    <row r="15" spans="1:39" s="231" customFormat="1">
      <c r="A15" s="250" t="s">
        <v>238</v>
      </c>
      <c r="B15" s="238" t="s">
        <v>383</v>
      </c>
      <c r="C15" s="238" t="s">
        <v>252</v>
      </c>
      <c r="D15" s="238" t="s">
        <v>417</v>
      </c>
      <c r="E15" s="238" t="str">
        <f t="shared" si="2"/>
        <v>S-SC1-FP0001</v>
      </c>
      <c r="F15" s="238" t="s">
        <v>400</v>
      </c>
      <c r="G15" s="240" t="s">
        <v>37</v>
      </c>
      <c r="H15" s="241" t="s">
        <v>332</v>
      </c>
      <c r="I15" s="260" t="str">
        <f t="shared" si="3"/>
        <v>UD-MP-5</v>
      </c>
      <c r="J15" s="258">
        <v>1</v>
      </c>
      <c r="K15" s="242">
        <v>45905</v>
      </c>
      <c r="L15" s="240" t="s">
        <v>236</v>
      </c>
      <c r="M15" s="258"/>
      <c r="N15" s="258"/>
      <c r="O15" s="258"/>
      <c r="P15" s="258"/>
      <c r="Q15" s="258"/>
      <c r="R15" s="258"/>
      <c r="S15" s="258"/>
      <c r="T15" s="258"/>
      <c r="U15" s="258"/>
      <c r="V15" s="258"/>
      <c r="W15" s="258"/>
      <c r="X15" s="258"/>
      <c r="Y15" s="258"/>
      <c r="Z15" s="258"/>
      <c r="AA15" s="258"/>
      <c r="AB15" s="258"/>
      <c r="AC15" s="258"/>
      <c r="AD15" s="258"/>
      <c r="AE15" s="258"/>
      <c r="AF15" s="258"/>
      <c r="AG15" s="258"/>
    </row>
    <row r="16" spans="1:39" s="250" customFormat="1" ht="13.5">
      <c r="A16" s="250" t="s">
        <v>238</v>
      </c>
      <c r="B16" s="238" t="s">
        <v>383</v>
      </c>
      <c r="C16" s="238" t="s">
        <v>252</v>
      </c>
      <c r="D16" s="238" t="s">
        <v>408</v>
      </c>
      <c r="E16" s="238" t="str">
        <f>CONCATENATE(B16,"-",C16,"-",D16)</f>
        <v>S-SC1-BM0001</v>
      </c>
      <c r="F16" s="238" t="s">
        <v>393</v>
      </c>
      <c r="G16" s="240" t="s">
        <v>37</v>
      </c>
      <c r="H16" s="241" t="s">
        <v>332</v>
      </c>
      <c r="I16" s="260" t="str">
        <f>CONCATENATE(A16,"-",G16,"-",H16)</f>
        <v>UD-MP-5</v>
      </c>
      <c r="J16" s="258">
        <v>1</v>
      </c>
      <c r="K16" s="242">
        <v>45905</v>
      </c>
      <c r="L16" s="240" t="s">
        <v>236</v>
      </c>
      <c r="M16" s="258"/>
      <c r="N16" s="258"/>
      <c r="O16" s="258"/>
      <c r="P16" s="258"/>
      <c r="Q16" s="258"/>
      <c r="R16" s="258"/>
      <c r="S16" s="258"/>
      <c r="T16" s="258"/>
      <c r="U16" s="258"/>
      <c r="V16" s="258"/>
      <c r="W16" s="258"/>
      <c r="X16" s="258"/>
      <c r="Y16" s="258"/>
      <c r="Z16" s="258"/>
      <c r="AA16" s="258"/>
      <c r="AB16" s="258"/>
      <c r="AC16" s="258"/>
      <c r="AD16" s="258"/>
      <c r="AE16" s="258"/>
      <c r="AF16" s="258"/>
      <c r="AG16" s="258"/>
    </row>
    <row r="17" spans="1:39" s="250" customFormat="1" ht="13.5">
      <c r="A17" s="250" t="s">
        <v>238</v>
      </c>
      <c r="B17" s="238" t="s">
        <v>383</v>
      </c>
      <c r="C17" s="238" t="s">
        <v>252</v>
      </c>
      <c r="D17" s="238" t="s">
        <v>409</v>
      </c>
      <c r="E17" s="238" t="str">
        <f>CONCATENATE(B17,"-",C17,"-",D17)</f>
        <v>S-SC1-BM0002</v>
      </c>
      <c r="F17" s="238" t="s">
        <v>394</v>
      </c>
      <c r="G17" s="240" t="s">
        <v>37</v>
      </c>
      <c r="H17" s="241" t="s">
        <v>332</v>
      </c>
      <c r="I17" s="260" t="str">
        <f>CONCATENATE(A17,"-",G17,"-",H17)</f>
        <v>UD-MP-5</v>
      </c>
      <c r="J17" s="258">
        <v>1</v>
      </c>
      <c r="K17" s="242">
        <v>45905</v>
      </c>
      <c r="L17" s="240" t="s">
        <v>236</v>
      </c>
      <c r="M17" s="258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8"/>
      <c r="AB17" s="258"/>
      <c r="AC17" s="258"/>
      <c r="AD17" s="258"/>
      <c r="AE17" s="258"/>
      <c r="AF17" s="258"/>
      <c r="AG17" s="258"/>
    </row>
    <row r="18" spans="1:39" s="250" customFormat="1" ht="13.5">
      <c r="A18" s="250" t="s">
        <v>238</v>
      </c>
      <c r="B18" s="238" t="s">
        <v>383</v>
      </c>
      <c r="C18" s="238" t="s">
        <v>252</v>
      </c>
      <c r="D18" s="238" t="s">
        <v>410</v>
      </c>
      <c r="E18" s="238" t="str">
        <f>CONCATENATE(B18,"-",C18,"-",D18)</f>
        <v>S-SC1-BM0003</v>
      </c>
      <c r="F18" s="238" t="s">
        <v>406</v>
      </c>
      <c r="G18" s="240" t="s">
        <v>37</v>
      </c>
      <c r="H18" s="241" t="s">
        <v>332</v>
      </c>
      <c r="I18" s="260" t="str">
        <f>CONCATENATE(A18,"-",G18,"-",H18)</f>
        <v>UD-MP-5</v>
      </c>
      <c r="J18" s="258">
        <v>1</v>
      </c>
      <c r="K18" s="242">
        <v>45929</v>
      </c>
      <c r="L18" s="240" t="s">
        <v>236</v>
      </c>
      <c r="M18" s="258"/>
      <c r="N18" s="258"/>
      <c r="O18" s="258"/>
      <c r="P18" s="258"/>
      <c r="Q18" s="258"/>
      <c r="R18" s="258"/>
      <c r="S18" s="258"/>
      <c r="T18" s="258"/>
      <c r="U18" s="258"/>
      <c r="V18" s="258"/>
      <c r="W18" s="258"/>
      <c r="X18" s="258"/>
      <c r="Y18" s="258"/>
      <c r="Z18" s="258"/>
      <c r="AA18" s="258"/>
      <c r="AB18" s="258"/>
      <c r="AC18" s="258"/>
      <c r="AD18" s="258"/>
      <c r="AE18" s="258"/>
      <c r="AF18" s="258"/>
      <c r="AG18" s="258"/>
    </row>
    <row r="19" spans="1:39" s="250" customFormat="1" ht="13.5">
      <c r="A19" s="250" t="s">
        <v>238</v>
      </c>
      <c r="B19" s="238" t="s">
        <v>383</v>
      </c>
      <c r="C19" s="238" t="s">
        <v>252</v>
      </c>
      <c r="D19" s="238" t="s">
        <v>411</v>
      </c>
      <c r="E19" s="238" t="str">
        <f t="shared" ref="E19" si="4">CONCATENATE(B19,"-",C19,"-",D19)</f>
        <v>S-SC1-BM0004</v>
      </c>
      <c r="F19" s="238" t="s">
        <v>407</v>
      </c>
      <c r="G19" s="240" t="s">
        <v>37</v>
      </c>
      <c r="H19" s="241" t="s">
        <v>332</v>
      </c>
      <c r="I19" s="260" t="str">
        <f t="shared" ref="I19" si="5">CONCATENATE(A19,"-",G19,"-",H19)</f>
        <v>UD-MP-5</v>
      </c>
      <c r="J19" s="258">
        <v>1</v>
      </c>
      <c r="K19" s="242">
        <v>45929</v>
      </c>
      <c r="L19" s="240" t="s">
        <v>236</v>
      </c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  <c r="AA19" s="258"/>
      <c r="AB19" s="258"/>
      <c r="AC19" s="258"/>
      <c r="AD19" s="258"/>
      <c r="AE19" s="258"/>
      <c r="AF19" s="258"/>
      <c r="AG19" s="258"/>
    </row>
    <row r="20" spans="1:39" s="250" customFormat="1" ht="13.5">
      <c r="A20" s="250" t="s">
        <v>238</v>
      </c>
      <c r="B20" s="238" t="s">
        <v>383</v>
      </c>
      <c r="C20" s="238" t="s">
        <v>252</v>
      </c>
      <c r="D20" s="238" t="s">
        <v>418</v>
      </c>
      <c r="E20" s="238" t="str">
        <f>CONCATENATE(B20,"-",C20,"-",D20)</f>
        <v>S-SC1-SB0001</v>
      </c>
      <c r="F20" s="238" t="s">
        <v>401</v>
      </c>
      <c r="G20" s="240" t="s">
        <v>37</v>
      </c>
      <c r="H20" s="241" t="s">
        <v>332</v>
      </c>
      <c r="I20" s="260" t="str">
        <f>CONCATENATE(A20,"-",G20,"-",H20)</f>
        <v>UD-MP-5</v>
      </c>
      <c r="J20" s="258">
        <v>1</v>
      </c>
      <c r="K20" s="242">
        <v>45929</v>
      </c>
      <c r="L20" s="240" t="s">
        <v>236</v>
      </c>
      <c r="M20" s="258"/>
      <c r="N20" s="258"/>
      <c r="O20" s="258"/>
      <c r="P20" s="258"/>
      <c r="Q20" s="258"/>
      <c r="R20" s="258"/>
      <c r="S20" s="258"/>
      <c r="T20" s="258"/>
      <c r="U20" s="258"/>
      <c r="V20" s="258"/>
      <c r="W20" s="258"/>
      <c r="X20" s="258"/>
      <c r="Y20" s="258"/>
      <c r="Z20" s="258"/>
      <c r="AA20" s="258"/>
      <c r="AB20" s="258"/>
      <c r="AC20" s="258"/>
      <c r="AD20" s="258"/>
      <c r="AE20" s="258"/>
      <c r="AF20" s="258"/>
      <c r="AG20" s="258"/>
    </row>
    <row r="21" spans="1:39" s="250" customFormat="1" ht="13.5">
      <c r="A21" s="250" t="s">
        <v>238</v>
      </c>
      <c r="B21" s="238" t="s">
        <v>383</v>
      </c>
      <c r="C21" s="238" t="s">
        <v>252</v>
      </c>
      <c r="D21" s="238" t="s">
        <v>419</v>
      </c>
      <c r="E21" s="238" t="str">
        <f t="shared" ref="E21:E24" si="6">CONCATENATE(B21,"-",C21,"-",D21)</f>
        <v>S-SC1-SB0002</v>
      </c>
      <c r="F21" s="238" t="s">
        <v>402</v>
      </c>
      <c r="G21" s="240" t="s">
        <v>37</v>
      </c>
      <c r="H21" s="241" t="s">
        <v>332</v>
      </c>
      <c r="I21" s="260" t="str">
        <f t="shared" ref="I21:I24" si="7">CONCATENATE(A21,"-",G21,"-",H21)</f>
        <v>UD-MP-5</v>
      </c>
      <c r="J21" s="258">
        <v>1</v>
      </c>
      <c r="K21" s="242">
        <v>45929</v>
      </c>
      <c r="L21" s="240" t="s">
        <v>236</v>
      </c>
      <c r="M21" s="258"/>
      <c r="N21" s="258"/>
      <c r="O21" s="258"/>
      <c r="P21" s="258"/>
      <c r="Q21" s="258"/>
      <c r="R21" s="258"/>
      <c r="S21" s="258"/>
      <c r="T21" s="258"/>
      <c r="U21" s="258"/>
      <c r="V21" s="258"/>
      <c r="W21" s="258"/>
      <c r="X21" s="258"/>
      <c r="Y21" s="258"/>
      <c r="Z21" s="258"/>
      <c r="AA21" s="258"/>
      <c r="AB21" s="258"/>
      <c r="AC21" s="258"/>
      <c r="AD21" s="258"/>
      <c r="AE21" s="258"/>
      <c r="AF21" s="258"/>
      <c r="AG21" s="258"/>
    </row>
    <row r="22" spans="1:39" s="250" customFormat="1" ht="13.5">
      <c r="A22" s="250" t="s">
        <v>238</v>
      </c>
      <c r="B22" s="238" t="s">
        <v>383</v>
      </c>
      <c r="C22" s="238" t="s">
        <v>252</v>
      </c>
      <c r="D22" s="238" t="s">
        <v>420</v>
      </c>
      <c r="E22" s="238" t="str">
        <f t="shared" si="6"/>
        <v>S-SC1-SB0003</v>
      </c>
      <c r="F22" s="238" t="s">
        <v>403</v>
      </c>
      <c r="G22" s="240" t="s">
        <v>37</v>
      </c>
      <c r="H22" s="241" t="s">
        <v>332</v>
      </c>
      <c r="I22" s="260" t="str">
        <f t="shared" si="7"/>
        <v>UD-MP-5</v>
      </c>
      <c r="J22" s="258">
        <v>1</v>
      </c>
      <c r="K22" s="242">
        <v>45929</v>
      </c>
      <c r="L22" s="240" t="s">
        <v>236</v>
      </c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8"/>
      <c r="X22" s="258"/>
      <c r="Y22" s="258"/>
      <c r="Z22" s="258"/>
      <c r="AA22" s="258"/>
      <c r="AB22" s="258"/>
      <c r="AC22" s="258"/>
      <c r="AD22" s="258"/>
      <c r="AE22" s="258"/>
      <c r="AF22" s="258"/>
      <c r="AG22" s="258"/>
    </row>
    <row r="23" spans="1:39" s="250" customFormat="1" ht="13.5">
      <c r="A23" s="250" t="s">
        <v>238</v>
      </c>
      <c r="B23" s="238" t="s">
        <v>383</v>
      </c>
      <c r="C23" s="238" t="s">
        <v>252</v>
      </c>
      <c r="D23" s="238" t="s">
        <v>421</v>
      </c>
      <c r="E23" s="238" t="str">
        <f t="shared" si="6"/>
        <v>S-SC1-SB0004</v>
      </c>
      <c r="F23" s="238" t="s">
        <v>404</v>
      </c>
      <c r="G23" s="240" t="s">
        <v>37</v>
      </c>
      <c r="H23" s="241" t="s">
        <v>332</v>
      </c>
      <c r="I23" s="260" t="str">
        <f t="shared" si="7"/>
        <v>UD-MP-5</v>
      </c>
      <c r="J23" s="258">
        <v>1</v>
      </c>
      <c r="K23" s="242">
        <v>45929</v>
      </c>
      <c r="L23" s="240" t="s">
        <v>236</v>
      </c>
      <c r="M23" s="258"/>
      <c r="N23" s="258"/>
      <c r="O23" s="258"/>
      <c r="P23" s="258"/>
      <c r="Q23" s="258"/>
      <c r="R23" s="258"/>
      <c r="S23" s="258"/>
      <c r="T23" s="258"/>
      <c r="U23" s="258"/>
      <c r="V23" s="258"/>
      <c r="W23" s="258"/>
      <c r="X23" s="258"/>
      <c r="Y23" s="258"/>
      <c r="Z23" s="258"/>
      <c r="AA23" s="258"/>
      <c r="AB23" s="258"/>
      <c r="AC23" s="258"/>
      <c r="AD23" s="258"/>
      <c r="AE23" s="258"/>
      <c r="AF23" s="258"/>
      <c r="AG23" s="258"/>
    </row>
    <row r="24" spans="1:39" s="231" customFormat="1">
      <c r="A24" s="250" t="s">
        <v>238</v>
      </c>
      <c r="B24" s="238" t="s">
        <v>383</v>
      </c>
      <c r="C24" s="238" t="s">
        <v>252</v>
      </c>
      <c r="D24" s="238" t="s">
        <v>422</v>
      </c>
      <c r="E24" s="238" t="str">
        <f t="shared" si="6"/>
        <v>S-SC1-SB0005</v>
      </c>
      <c r="F24" s="238" t="s">
        <v>405</v>
      </c>
      <c r="G24" s="240" t="s">
        <v>37</v>
      </c>
      <c r="H24" s="241" t="s">
        <v>332</v>
      </c>
      <c r="I24" s="260" t="str">
        <f t="shared" si="7"/>
        <v>UD-MP-5</v>
      </c>
      <c r="J24" s="258">
        <v>1</v>
      </c>
      <c r="K24" s="242">
        <v>45929</v>
      </c>
      <c r="L24" s="240" t="s">
        <v>236</v>
      </c>
      <c r="M24" s="258"/>
      <c r="N24" s="258"/>
      <c r="O24" s="258"/>
      <c r="P24" s="258"/>
      <c r="Q24" s="258"/>
      <c r="R24" s="258"/>
      <c r="S24" s="258"/>
      <c r="T24" s="258"/>
      <c r="U24" s="258"/>
      <c r="V24" s="258"/>
      <c r="W24" s="258"/>
      <c r="X24" s="258"/>
      <c r="Y24" s="258"/>
      <c r="Z24" s="258"/>
      <c r="AA24" s="258"/>
      <c r="AB24" s="258"/>
      <c r="AC24" s="258"/>
      <c r="AD24" s="258"/>
      <c r="AE24" s="258"/>
      <c r="AF24" s="258"/>
      <c r="AG24" s="258"/>
    </row>
    <row r="25" spans="1:39" s="261" customFormat="1" ht="15.75">
      <c r="B25" s="237"/>
      <c r="C25" s="237"/>
      <c r="D25" s="265" t="s">
        <v>426</v>
      </c>
      <c r="E25" s="237"/>
      <c r="F25" s="262"/>
      <c r="G25" s="237"/>
      <c r="H25" s="237"/>
      <c r="I25" s="237"/>
      <c r="J25" s="263"/>
      <c r="K25" s="264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63"/>
      <c r="X25" s="237"/>
      <c r="Y25" s="237"/>
      <c r="Z25" s="237"/>
      <c r="AA25" s="237"/>
      <c r="AB25" s="237"/>
      <c r="AC25" s="237"/>
      <c r="AD25" s="237"/>
      <c r="AE25" s="237"/>
      <c r="AF25" s="237"/>
      <c r="AG25" s="237"/>
      <c r="AH25" s="236"/>
      <c r="AI25" s="236"/>
      <c r="AJ25" s="236"/>
      <c r="AK25" s="236"/>
      <c r="AL25" s="236"/>
      <c r="AM25" s="236"/>
    </row>
    <row r="26" spans="1:39" s="269" customFormat="1" ht="13.5">
      <c r="B26" s="250" t="s">
        <v>383</v>
      </c>
      <c r="C26" s="250" t="s">
        <v>427</v>
      </c>
      <c r="D26" s="273" t="s">
        <v>428</v>
      </c>
      <c r="E26" s="250" t="s">
        <v>429</v>
      </c>
      <c r="F26" s="250" t="s">
        <v>396</v>
      </c>
      <c r="G26" s="270" t="s">
        <v>430</v>
      </c>
      <c r="H26" s="271">
        <v>5</v>
      </c>
      <c r="I26" s="268" t="s">
        <v>431</v>
      </c>
      <c r="J26" s="258">
        <v>-1</v>
      </c>
      <c r="K26" s="267">
        <v>46219</v>
      </c>
      <c r="L26" s="268" t="s">
        <v>236</v>
      </c>
      <c r="M26" s="258">
        <v>1</v>
      </c>
      <c r="P26" s="258">
        <v>1</v>
      </c>
      <c r="R26" s="258">
        <v>1</v>
      </c>
      <c r="U26" s="258">
        <v>1</v>
      </c>
      <c r="W26" s="258">
        <v>1</v>
      </c>
    </row>
    <row r="27" spans="1:39" s="269" customFormat="1" ht="13.5">
      <c r="B27" s="250" t="s">
        <v>383</v>
      </c>
      <c r="C27" s="250" t="s">
        <v>427</v>
      </c>
      <c r="D27" s="273" t="s">
        <v>432</v>
      </c>
      <c r="E27" s="250" t="s">
        <v>433</v>
      </c>
      <c r="F27" s="250" t="s">
        <v>434</v>
      </c>
      <c r="G27" s="270" t="s">
        <v>430</v>
      </c>
      <c r="H27" s="271">
        <v>5</v>
      </c>
      <c r="I27" s="268" t="s">
        <v>431</v>
      </c>
      <c r="J27" s="258">
        <v>-1</v>
      </c>
      <c r="K27" s="267">
        <v>46219</v>
      </c>
      <c r="L27" s="268" t="s">
        <v>236</v>
      </c>
      <c r="M27" s="258">
        <v>1</v>
      </c>
      <c r="P27" s="258">
        <v>1</v>
      </c>
      <c r="R27" s="258">
        <v>1</v>
      </c>
      <c r="U27" s="258">
        <v>1</v>
      </c>
      <c r="W27" s="258">
        <v>1</v>
      </c>
    </row>
    <row r="28" spans="1:39" s="269" customFormat="1" ht="13.5">
      <c r="B28" s="250" t="s">
        <v>383</v>
      </c>
      <c r="C28" s="250" t="s">
        <v>427</v>
      </c>
      <c r="D28" s="273" t="s">
        <v>428</v>
      </c>
      <c r="E28" s="250" t="s">
        <v>438</v>
      </c>
      <c r="F28" s="250" t="s">
        <v>435</v>
      </c>
      <c r="G28" s="270" t="s">
        <v>430</v>
      </c>
      <c r="H28" s="271">
        <v>5</v>
      </c>
      <c r="I28" s="268" t="s">
        <v>431</v>
      </c>
      <c r="J28" s="258">
        <v>-1</v>
      </c>
      <c r="K28" s="267">
        <v>46219</v>
      </c>
      <c r="L28" s="268" t="s">
        <v>236</v>
      </c>
      <c r="M28" s="258">
        <v>1</v>
      </c>
      <c r="P28" s="258">
        <v>1</v>
      </c>
      <c r="R28" s="258">
        <v>1</v>
      </c>
      <c r="U28" s="258">
        <v>1</v>
      </c>
      <c r="W28" s="258">
        <v>1</v>
      </c>
    </row>
    <row r="29" spans="1:39" s="269" customFormat="1" ht="13.5">
      <c r="B29" s="250" t="s">
        <v>383</v>
      </c>
      <c r="C29" s="250" t="s">
        <v>427</v>
      </c>
      <c r="D29" s="273" t="s">
        <v>428</v>
      </c>
      <c r="E29" s="250" t="s">
        <v>439</v>
      </c>
      <c r="F29" s="250" t="s">
        <v>436</v>
      </c>
      <c r="G29" s="270" t="s">
        <v>430</v>
      </c>
      <c r="H29" s="271">
        <v>5</v>
      </c>
      <c r="I29" s="268" t="s">
        <v>431</v>
      </c>
      <c r="J29" s="258">
        <v>-1</v>
      </c>
      <c r="K29" s="267">
        <v>46219</v>
      </c>
      <c r="L29" s="268" t="s">
        <v>236</v>
      </c>
      <c r="M29" s="258">
        <v>1</v>
      </c>
      <c r="P29" s="258">
        <v>1</v>
      </c>
      <c r="R29" s="258">
        <v>1</v>
      </c>
      <c r="U29" s="258">
        <v>1</v>
      </c>
      <c r="W29" s="258">
        <v>1</v>
      </c>
    </row>
    <row r="30" spans="1:39" s="269" customFormat="1" ht="13.5">
      <c r="B30" s="250" t="s">
        <v>383</v>
      </c>
      <c r="C30" s="250" t="s">
        <v>427</v>
      </c>
      <c r="D30" s="273" t="s">
        <v>428</v>
      </c>
      <c r="E30" s="250" t="s">
        <v>440</v>
      </c>
      <c r="F30" s="250" t="s">
        <v>437</v>
      </c>
      <c r="G30" s="270" t="s">
        <v>430</v>
      </c>
      <c r="H30" s="271">
        <v>5</v>
      </c>
      <c r="I30" s="268" t="s">
        <v>431</v>
      </c>
      <c r="J30" s="258">
        <v>-1</v>
      </c>
      <c r="K30" s="267">
        <v>46219</v>
      </c>
      <c r="L30" s="268" t="s">
        <v>236</v>
      </c>
      <c r="M30" s="258">
        <v>1</v>
      </c>
      <c r="P30" s="258">
        <v>1</v>
      </c>
      <c r="R30" s="258">
        <v>1</v>
      </c>
      <c r="U30" s="258">
        <v>1</v>
      </c>
      <c r="W30" s="258">
        <v>1</v>
      </c>
    </row>
    <row r="31" spans="1:39">
      <c r="H31" s="272"/>
    </row>
  </sheetData>
  <autoFilter ref="B1:W3" xr:uid="{B7BAD1F0-A3AF-48DB-A863-3581F7D0EEA3}"/>
  <mergeCells count="8">
    <mergeCell ref="R2:R3"/>
    <mergeCell ref="AC2:AC3"/>
    <mergeCell ref="C2:D2"/>
    <mergeCell ref="F2:F3"/>
    <mergeCell ref="G2:G3"/>
    <mergeCell ref="H2:H3"/>
    <mergeCell ref="I2:I3"/>
    <mergeCell ref="J2:L2"/>
  </mergeCells>
  <phoneticPr fontId="10" type="noConversion"/>
  <conditionalFormatting sqref="J5:J8">
    <cfRule type="iconSet" priority="59">
      <iconSet iconSet="3Symbols2" showValue="0">
        <cfvo type="percent" val="0"/>
        <cfvo type="num" val="0"/>
        <cfvo type="num" val="0"/>
      </iconSet>
    </cfRule>
  </conditionalFormatting>
  <conditionalFormatting sqref="J10:J24">
    <cfRule type="iconSet" priority="1438">
      <iconSet iconSet="3Symbols2" showValue="0">
        <cfvo type="percent" val="0"/>
        <cfvo type="num" val="0"/>
        <cfvo type="num" val="0"/>
      </iconSet>
    </cfRule>
  </conditionalFormatting>
  <conditionalFormatting sqref="J26:J30">
    <cfRule type="iconSet" priority="5">
      <iconSet iconSet="3Symbols2" showValue="0">
        <cfvo type="percent" val="0"/>
        <cfvo type="num" val="0"/>
        <cfvo type="num" val="0"/>
      </iconSet>
    </cfRule>
  </conditionalFormatting>
  <conditionalFormatting sqref="L4">
    <cfRule type="iconSet" priority="31">
      <iconSet iconSet="3Symbols2" showValue="0">
        <cfvo type="percent" val="0"/>
        <cfvo type="num" val="0"/>
        <cfvo type="num" val="0"/>
      </iconSet>
    </cfRule>
  </conditionalFormatting>
  <conditionalFormatting sqref="L9">
    <cfRule type="iconSet" priority="65">
      <iconSet iconSet="3Symbols2" showValue="0">
        <cfvo type="percent" val="0"/>
        <cfvo type="num" val="0"/>
        <cfvo type="num" val="0"/>
      </iconSet>
    </cfRule>
  </conditionalFormatting>
  <conditionalFormatting sqref="L25">
    <cfRule type="iconSet" priority="7">
      <iconSet iconSet="3Symbols2" showValue="0">
        <cfvo type="percent" val="0"/>
        <cfvo type="num" val="0"/>
        <cfvo type="num" val="0"/>
      </iconSet>
    </cfRule>
  </conditionalFormatting>
  <conditionalFormatting sqref="M26:M30">
    <cfRule type="iconSet" priority="4">
      <iconSet iconSet="3Symbols2" showValue="0">
        <cfvo type="percent" val="0"/>
        <cfvo type="num" val="0"/>
        <cfvo type="num" val="0"/>
      </iconSet>
    </cfRule>
  </conditionalFormatting>
  <conditionalFormatting sqref="M11:R13 M15:R15">
    <cfRule type="iconSet" priority="93">
      <iconSet iconSet="3Symbols2" showValue="0">
        <cfvo type="percent" val="0"/>
        <cfvo type="num" val="0"/>
        <cfvo type="num" val="0"/>
      </iconSet>
    </cfRule>
  </conditionalFormatting>
  <conditionalFormatting sqref="M24:R24">
    <cfRule type="iconSet" priority="1397">
      <iconSet iconSet="3Symbols2" showValue="0">
        <cfvo type="percent" val="0"/>
        <cfvo type="num" val="0"/>
        <cfvo type="num" val="0"/>
      </iconSet>
    </cfRule>
  </conditionalFormatting>
  <conditionalFormatting sqref="M5:V8">
    <cfRule type="iconSet" priority="58">
      <iconSet iconSet="3Symbols2" showValue="0">
        <cfvo type="percent" val="0"/>
        <cfvo type="num" val="0"/>
        <cfvo type="num" val="0"/>
      </iconSet>
    </cfRule>
    <cfRule type="iconSet" priority="57">
      <iconSet iconSet="3Symbols2" showValue="0">
        <cfvo type="percent" val="0"/>
        <cfvo type="num" val="0"/>
        <cfvo type="num" val="0"/>
      </iconSet>
    </cfRule>
  </conditionalFormatting>
  <conditionalFormatting sqref="M14:V14 M10:V10 M16:V19">
    <cfRule type="iconSet" priority="91">
      <iconSet iconSet="3Symbols2" showValue="0">
        <cfvo type="percent" val="0"/>
        <cfvo type="num" val="0"/>
        <cfvo type="num" val="0"/>
      </iconSet>
    </cfRule>
    <cfRule type="iconSet" priority="92">
      <iconSet iconSet="3Symbols2" showValue="0">
        <cfvo type="percent" val="0"/>
        <cfvo type="num" val="0"/>
        <cfvo type="num" val="0"/>
      </iconSet>
    </cfRule>
  </conditionalFormatting>
  <conditionalFormatting sqref="M20:V23">
    <cfRule type="iconSet" priority="64">
      <iconSet iconSet="3Symbols2" showValue="0">
        <cfvo type="percent" val="0"/>
        <cfvo type="num" val="0"/>
        <cfvo type="num" val="0"/>
      </iconSet>
    </cfRule>
    <cfRule type="iconSet" priority="63">
      <iconSet iconSet="3Symbols2" showValue="0">
        <cfvo type="percent" val="0"/>
        <cfvo type="num" val="0"/>
        <cfvo type="num" val="0"/>
      </iconSet>
    </cfRule>
  </conditionalFormatting>
  <conditionalFormatting sqref="N4:O4">
    <cfRule type="iconSet" priority="43">
      <iconSet iconSet="3Symbols2" showValue="0">
        <cfvo type="percent" val="0"/>
        <cfvo type="num" val="0"/>
        <cfvo type="num" val="0"/>
      </iconSet>
    </cfRule>
  </conditionalFormatting>
  <conditionalFormatting sqref="N9:O9">
    <cfRule type="iconSet" priority="77">
      <iconSet iconSet="3Symbols2" showValue="0">
        <cfvo type="percent" val="0"/>
        <cfvo type="num" val="0"/>
        <cfvo type="num" val="0"/>
      </iconSet>
    </cfRule>
  </conditionalFormatting>
  <conditionalFormatting sqref="N25:O25">
    <cfRule type="iconSet" priority="19">
      <iconSet iconSet="3Symbols2" showValue="0">
        <cfvo type="percent" val="0"/>
        <cfvo type="num" val="0"/>
        <cfvo type="num" val="0"/>
      </iconSet>
    </cfRule>
  </conditionalFormatting>
  <conditionalFormatting sqref="O4:V4 Z4 AB4:AG4">
    <cfRule type="cellIs" dxfId="4" priority="32" operator="greaterThan">
      <formula>0</formula>
    </cfRule>
  </conditionalFormatting>
  <conditionalFormatting sqref="O9:V9 Z9 AB9:AG9">
    <cfRule type="cellIs" dxfId="3" priority="66" operator="greaterThan">
      <formula>0</formula>
    </cfRule>
  </conditionalFormatting>
  <conditionalFormatting sqref="O25:V25 Z25 AB25:AG25">
    <cfRule type="cellIs" dxfId="2" priority="8" operator="greaterThan">
      <formula>0</formula>
    </cfRule>
  </conditionalFormatting>
  <conditionalFormatting sqref="P4">
    <cfRule type="iconSet" priority="42">
      <iconSet iconSet="3Symbols2" showValue="0">
        <cfvo type="percent" val="0"/>
        <cfvo type="num" val="0"/>
        <cfvo type="num" val="0"/>
      </iconSet>
    </cfRule>
  </conditionalFormatting>
  <conditionalFormatting sqref="P9">
    <cfRule type="iconSet" priority="76">
      <iconSet iconSet="3Symbols2" showValue="0">
        <cfvo type="percent" val="0"/>
        <cfvo type="num" val="0"/>
        <cfvo type="num" val="0"/>
      </iconSet>
    </cfRule>
  </conditionalFormatting>
  <conditionalFormatting sqref="P25">
    <cfRule type="iconSet" priority="18">
      <iconSet iconSet="3Symbols2" showValue="0">
        <cfvo type="percent" val="0"/>
        <cfvo type="num" val="0"/>
        <cfvo type="num" val="0"/>
      </iconSet>
    </cfRule>
  </conditionalFormatting>
  <conditionalFormatting sqref="P26:P30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Q4">
    <cfRule type="iconSet" priority="53">
      <iconSet iconSet="3Symbols2" showValue="0">
        <cfvo type="percent" val="0"/>
        <cfvo type="num" val="0"/>
        <cfvo type="num" val="0"/>
      </iconSet>
    </cfRule>
  </conditionalFormatting>
  <conditionalFormatting sqref="Q9">
    <cfRule type="iconSet" priority="87">
      <iconSet iconSet="3Symbols2" showValue="0">
        <cfvo type="percent" val="0"/>
        <cfvo type="num" val="0"/>
        <cfvo type="num" val="0"/>
      </iconSet>
    </cfRule>
  </conditionalFormatting>
  <conditionalFormatting sqref="Q25">
    <cfRule type="iconSet" priority="29">
      <iconSet iconSet="3Symbols2" showValue="0">
        <cfvo type="percent" val="0"/>
        <cfvo type="num" val="0"/>
        <cfvo type="num" val="0"/>
      </iconSet>
    </cfRule>
  </conditionalFormatting>
  <conditionalFormatting sqref="R4">
    <cfRule type="iconSet" priority="41">
      <iconSet iconSet="3Symbols2" showValue="0">
        <cfvo type="percent" val="0"/>
        <cfvo type="num" val="0"/>
        <cfvo type="num" val="0"/>
      </iconSet>
    </cfRule>
  </conditionalFormatting>
  <conditionalFormatting sqref="R9">
    <cfRule type="iconSet" priority="75">
      <iconSet iconSet="3Symbols2" showValue="0">
        <cfvo type="percent" val="0"/>
        <cfvo type="num" val="0"/>
        <cfvo type="num" val="0"/>
      </iconSet>
    </cfRule>
  </conditionalFormatting>
  <conditionalFormatting sqref="R25">
    <cfRule type="iconSet" priority="17">
      <iconSet iconSet="3Symbols2" showValue="0">
        <cfvo type="percent" val="0"/>
        <cfvo type="num" val="0"/>
        <cfvo type="num" val="0"/>
      </iconSet>
    </cfRule>
  </conditionalFormatting>
  <conditionalFormatting sqref="R26:R30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S4">
    <cfRule type="iconSet" priority="40">
      <iconSet iconSet="3Symbols2" showValue="0">
        <cfvo type="percent" val="0"/>
        <cfvo type="num" val="0"/>
        <cfvo type="num" val="0"/>
      </iconSet>
    </cfRule>
  </conditionalFormatting>
  <conditionalFormatting sqref="S9">
    <cfRule type="iconSet" priority="74">
      <iconSet iconSet="3Symbols2" showValue="0">
        <cfvo type="percent" val="0"/>
        <cfvo type="num" val="0"/>
        <cfvo type="num" val="0"/>
      </iconSet>
    </cfRule>
  </conditionalFormatting>
  <conditionalFormatting sqref="S25">
    <cfRule type="iconSet" priority="16">
      <iconSet iconSet="3Symbols2" showValue="0">
        <cfvo type="percent" val="0"/>
        <cfvo type="num" val="0"/>
        <cfvo type="num" val="0"/>
      </iconSet>
    </cfRule>
  </conditionalFormatting>
  <conditionalFormatting sqref="S11:V13 S15:V15">
    <cfRule type="iconSet" priority="94">
      <iconSet iconSet="3Symbols2" showValue="0">
        <cfvo type="percent" val="0"/>
        <cfvo type="num" val="0"/>
        <cfvo type="num" val="0"/>
      </iconSet>
    </cfRule>
  </conditionalFormatting>
  <conditionalFormatting sqref="S24:V24">
    <cfRule type="iconSet" priority="1398">
      <iconSet iconSet="3Symbols2" showValue="0">
        <cfvo type="percent" val="0"/>
        <cfvo type="num" val="0"/>
        <cfvo type="num" val="0"/>
      </iconSet>
    </cfRule>
  </conditionalFormatting>
  <conditionalFormatting sqref="T4">
    <cfRule type="iconSet" priority="44">
      <iconSet iconSet="3Symbols2" showValue="0">
        <cfvo type="percent" val="0"/>
        <cfvo type="num" val="0"/>
        <cfvo type="num" val="0"/>
      </iconSet>
    </cfRule>
  </conditionalFormatting>
  <conditionalFormatting sqref="T9">
    <cfRule type="iconSet" priority="78">
      <iconSet iconSet="3Symbols2" showValue="0">
        <cfvo type="percent" val="0"/>
        <cfvo type="num" val="0"/>
        <cfvo type="num" val="0"/>
      </iconSet>
    </cfRule>
  </conditionalFormatting>
  <conditionalFormatting sqref="T25">
    <cfRule type="iconSet" priority="20">
      <iconSet iconSet="3Symbols2" showValue="0">
        <cfvo type="percent" val="0"/>
        <cfvo type="num" val="0"/>
        <cfvo type="num" val="0"/>
      </iconSet>
    </cfRule>
  </conditionalFormatting>
  <conditionalFormatting sqref="U4">
    <cfRule type="iconSet" priority="45">
      <iconSet iconSet="3Symbols2" showValue="0">
        <cfvo type="percent" val="0"/>
        <cfvo type="num" val="0"/>
        <cfvo type="num" val="0"/>
      </iconSet>
    </cfRule>
  </conditionalFormatting>
  <conditionalFormatting sqref="U9">
    <cfRule type="iconSet" priority="79">
      <iconSet iconSet="3Symbols2" showValue="0">
        <cfvo type="percent" val="0"/>
        <cfvo type="num" val="0"/>
        <cfvo type="num" val="0"/>
      </iconSet>
    </cfRule>
  </conditionalFormatting>
  <conditionalFormatting sqref="U25">
    <cfRule type="iconSet" priority="21">
      <iconSet iconSet="3Symbols2" showValue="0">
        <cfvo type="percent" val="0"/>
        <cfvo type="num" val="0"/>
        <cfvo type="num" val="0"/>
      </iconSet>
    </cfRule>
  </conditionalFormatting>
  <conditionalFormatting sqref="U26:U30 W26:W30">
    <cfRule type="iconSet" priority="1">
      <iconSet iconSet="3Symbols2" showValue="0">
        <cfvo type="percent" val="0"/>
        <cfvo type="num" val="0"/>
        <cfvo type="num" val="0"/>
      </iconSet>
    </cfRule>
  </conditionalFormatting>
  <conditionalFormatting sqref="V4">
    <cfRule type="iconSet" priority="46">
      <iconSet iconSet="3Symbols2" showValue="0">
        <cfvo type="percent" val="0"/>
        <cfvo type="num" val="0"/>
        <cfvo type="num" val="0"/>
      </iconSet>
    </cfRule>
  </conditionalFormatting>
  <conditionalFormatting sqref="V9">
    <cfRule type="iconSet" priority="80">
      <iconSet iconSet="3Symbols2" showValue="0">
        <cfvo type="percent" val="0"/>
        <cfvo type="num" val="0"/>
        <cfvo type="num" val="0"/>
      </iconSet>
    </cfRule>
  </conditionalFormatting>
  <conditionalFormatting sqref="V25">
    <cfRule type="iconSet" priority="22">
      <iconSet iconSet="3Symbols2" showValue="0">
        <cfvo type="percent" val="0"/>
        <cfvo type="num" val="0"/>
        <cfvo type="num" val="0"/>
      </iconSet>
    </cfRule>
  </conditionalFormatting>
  <conditionalFormatting sqref="W5:AF8">
    <cfRule type="iconSet" priority="56">
      <iconSet iconSet="3Symbols2" showValue="0">
        <cfvo type="percent" val="0"/>
        <cfvo type="num" val="0"/>
        <cfvo type="num" val="0"/>
      </iconSet>
    </cfRule>
    <cfRule type="iconSet" priority="55">
      <iconSet iconSet="3Symbols2" showValue="0">
        <cfvo type="percent" val="0"/>
        <cfvo type="num" val="0"/>
        <cfvo type="num" val="0"/>
      </iconSet>
    </cfRule>
  </conditionalFormatting>
  <conditionalFormatting sqref="W11:AF13 W15:AF15">
    <cfRule type="iconSet" priority="95">
      <iconSet iconSet="3Symbols2" showValue="0">
        <cfvo type="percent" val="0"/>
        <cfvo type="num" val="0"/>
        <cfvo type="num" val="0"/>
      </iconSet>
    </cfRule>
  </conditionalFormatting>
  <conditionalFormatting sqref="W14:AF14 W10:AF10 W16:AF19">
    <cfRule type="iconSet" priority="89">
      <iconSet iconSet="3Symbols2" showValue="0">
        <cfvo type="percent" val="0"/>
        <cfvo type="num" val="0"/>
        <cfvo type="num" val="0"/>
      </iconSet>
    </cfRule>
    <cfRule type="iconSet" priority="90">
      <iconSet iconSet="3Symbols2" showValue="0">
        <cfvo type="percent" val="0"/>
        <cfvo type="num" val="0"/>
        <cfvo type="num" val="0"/>
      </iconSet>
    </cfRule>
  </conditionalFormatting>
  <conditionalFormatting sqref="W20:AF23">
    <cfRule type="iconSet" priority="61">
      <iconSet iconSet="3Symbols2" showValue="0">
        <cfvo type="percent" val="0"/>
        <cfvo type="num" val="0"/>
        <cfvo type="num" val="0"/>
      </iconSet>
    </cfRule>
    <cfRule type="iconSet" priority="62">
      <iconSet iconSet="3Symbols2" showValue="0">
        <cfvo type="percent" val="0"/>
        <cfvo type="num" val="0"/>
        <cfvo type="num" val="0"/>
      </iconSet>
    </cfRule>
  </conditionalFormatting>
  <conditionalFormatting sqref="W24:AF24">
    <cfRule type="iconSet" priority="1399">
      <iconSet iconSet="3Symbols2" showValue="0">
        <cfvo type="percent" val="0"/>
        <cfvo type="num" val="0"/>
        <cfvo type="num" val="0"/>
      </iconSet>
    </cfRule>
  </conditionalFormatting>
  <conditionalFormatting sqref="Y4:Z4">
    <cfRule type="iconSet" priority="54">
      <iconSet iconSet="3Symbols2" showValue="0">
        <cfvo type="percent" val="0"/>
        <cfvo type="num" val="0"/>
        <cfvo type="num" val="0"/>
      </iconSet>
    </cfRule>
  </conditionalFormatting>
  <conditionalFormatting sqref="Y9:Z9">
    <cfRule type="iconSet" priority="88">
      <iconSet iconSet="3Symbols2" showValue="0">
        <cfvo type="percent" val="0"/>
        <cfvo type="num" val="0"/>
        <cfvo type="num" val="0"/>
      </iconSet>
    </cfRule>
  </conditionalFormatting>
  <conditionalFormatting sqref="Y25:Z25">
    <cfRule type="iconSet" priority="30">
      <iconSet iconSet="3Symbols2" showValue="0">
        <cfvo type="percent" val="0"/>
        <cfvo type="num" val="0"/>
        <cfvo type="num" val="0"/>
      </iconSet>
    </cfRule>
  </conditionalFormatting>
  <conditionalFormatting sqref="AA4">
    <cfRule type="iconSet" priority="36">
      <iconSet iconSet="3Symbols2" showValue="0">
        <cfvo type="percent" val="0"/>
        <cfvo type="num" val="0"/>
        <cfvo type="num" val="0"/>
      </iconSet>
    </cfRule>
  </conditionalFormatting>
  <conditionalFormatting sqref="AA9">
    <cfRule type="iconSet" priority="70">
      <iconSet iconSet="3Symbols2" showValue="0">
        <cfvo type="percent" val="0"/>
        <cfvo type="num" val="0"/>
        <cfvo type="num" val="0"/>
      </iconSet>
    </cfRule>
  </conditionalFormatting>
  <conditionalFormatting sqref="AA25">
    <cfRule type="iconSet" priority="12">
      <iconSet iconSet="3Symbols2" showValue="0">
        <cfvo type="percent" val="0"/>
        <cfvo type="num" val="0"/>
        <cfvo type="num" val="0"/>
      </iconSet>
    </cfRule>
  </conditionalFormatting>
  <conditionalFormatting sqref="AB4">
    <cfRule type="iconSet" priority="35">
      <iconSet iconSet="3Symbols2" showValue="0">
        <cfvo type="percent" val="0"/>
        <cfvo type="num" val="0"/>
        <cfvo type="num" val="0"/>
      </iconSet>
    </cfRule>
  </conditionalFormatting>
  <conditionalFormatting sqref="AB9">
    <cfRule type="iconSet" priority="69">
      <iconSet iconSet="3Symbols2" showValue="0">
        <cfvo type="percent" val="0"/>
        <cfvo type="num" val="0"/>
        <cfvo type="num" val="0"/>
      </iconSet>
    </cfRule>
  </conditionalFormatting>
  <conditionalFormatting sqref="AB25">
    <cfRule type="iconSet" priority="11">
      <iconSet iconSet="3Symbols2" showValue="0">
        <cfvo type="percent" val="0"/>
        <cfvo type="num" val="0"/>
        <cfvo type="num" val="0"/>
      </iconSet>
    </cfRule>
  </conditionalFormatting>
  <conditionalFormatting sqref="AC4">
    <cfRule type="iconSet" priority="34">
      <iconSet iconSet="3Symbols2" showValue="0">
        <cfvo type="percent" val="0"/>
        <cfvo type="num" val="0"/>
        <cfvo type="num" val="0"/>
      </iconSet>
    </cfRule>
  </conditionalFormatting>
  <conditionalFormatting sqref="AC9">
    <cfRule type="iconSet" priority="68">
      <iconSet iconSet="3Symbols2" showValue="0">
        <cfvo type="percent" val="0"/>
        <cfvo type="num" val="0"/>
        <cfvo type="num" val="0"/>
      </iconSet>
    </cfRule>
  </conditionalFormatting>
  <conditionalFormatting sqref="AC25">
    <cfRule type="iconSet" priority="10">
      <iconSet iconSet="3Symbols2" showValue="0">
        <cfvo type="percent" val="0"/>
        <cfvo type="num" val="0"/>
        <cfvo type="num" val="0"/>
      </iconSet>
    </cfRule>
  </conditionalFormatting>
  <conditionalFormatting sqref="AD4">
    <cfRule type="iconSet" priority="33">
      <iconSet iconSet="3Symbols2" showValue="0">
        <cfvo type="percent" val="0"/>
        <cfvo type="num" val="0"/>
        <cfvo type="num" val="0"/>
      </iconSet>
    </cfRule>
  </conditionalFormatting>
  <conditionalFormatting sqref="AD9">
    <cfRule type="iconSet" priority="67">
      <iconSet iconSet="3Symbols2" showValue="0">
        <cfvo type="percent" val="0"/>
        <cfvo type="num" val="0"/>
        <cfvo type="num" val="0"/>
      </iconSet>
    </cfRule>
  </conditionalFormatting>
  <conditionalFormatting sqref="AD25">
    <cfRule type="iconSet" priority="9">
      <iconSet iconSet="3Symbols2" showValue="0">
        <cfvo type="percent" val="0"/>
        <cfvo type="num" val="0"/>
        <cfvo type="num" val="0"/>
      </iconSet>
    </cfRule>
  </conditionalFormatting>
  <conditionalFormatting sqref="AE4">
    <cfRule type="iconSet" priority="37">
      <iconSet iconSet="3Symbols2" showValue="0">
        <cfvo type="percent" val="0"/>
        <cfvo type="num" val="0"/>
        <cfvo type="num" val="0"/>
      </iconSet>
    </cfRule>
  </conditionalFormatting>
  <conditionalFormatting sqref="AE9">
    <cfRule type="iconSet" priority="71">
      <iconSet iconSet="3Symbols2" showValue="0">
        <cfvo type="percent" val="0"/>
        <cfvo type="num" val="0"/>
        <cfvo type="num" val="0"/>
      </iconSet>
    </cfRule>
  </conditionalFormatting>
  <conditionalFormatting sqref="AE25">
    <cfRule type="iconSet" priority="13">
      <iconSet iconSet="3Symbols2" showValue="0">
        <cfvo type="percent" val="0"/>
        <cfvo type="num" val="0"/>
        <cfvo type="num" val="0"/>
      </iconSet>
    </cfRule>
  </conditionalFormatting>
  <conditionalFormatting sqref="AF4">
    <cfRule type="iconSet" priority="38">
      <iconSet iconSet="3Symbols2" showValue="0">
        <cfvo type="percent" val="0"/>
        <cfvo type="num" val="0"/>
        <cfvo type="num" val="0"/>
      </iconSet>
    </cfRule>
  </conditionalFormatting>
  <conditionalFormatting sqref="AF9">
    <cfRule type="iconSet" priority="72">
      <iconSet iconSet="3Symbols2" showValue="0">
        <cfvo type="percent" val="0"/>
        <cfvo type="num" val="0"/>
        <cfvo type="num" val="0"/>
      </iconSet>
    </cfRule>
  </conditionalFormatting>
  <conditionalFormatting sqref="AF25">
    <cfRule type="iconSet" priority="14">
      <iconSet iconSet="3Symbols2" showValue="0">
        <cfvo type="percent" val="0"/>
        <cfvo type="num" val="0"/>
        <cfvo type="num" val="0"/>
      </iconSet>
    </cfRule>
  </conditionalFormatting>
  <conditionalFormatting sqref="AG4">
    <cfRule type="iconSet" priority="39">
      <iconSet iconSet="3Symbols2" showValue="0">
        <cfvo type="percent" val="0"/>
        <cfvo type="num" val="0"/>
        <cfvo type="num" val="0"/>
      </iconSet>
    </cfRule>
  </conditionalFormatting>
  <conditionalFormatting sqref="AG5:AG8">
    <cfRule type="iconSet" priority="60">
      <iconSet iconSet="3Symbols2" showValue="0">
        <cfvo type="percent" val="0"/>
        <cfvo type="num" val="0"/>
        <cfvo type="num" val="0"/>
      </iconSet>
    </cfRule>
  </conditionalFormatting>
  <conditionalFormatting sqref="AG9">
    <cfRule type="iconSet" priority="73">
      <iconSet iconSet="3Symbols2" showValue="0">
        <cfvo type="percent" val="0"/>
        <cfvo type="num" val="0"/>
        <cfvo type="num" val="0"/>
      </iconSet>
    </cfRule>
  </conditionalFormatting>
  <conditionalFormatting sqref="AG10:AG24">
    <cfRule type="iconSet" priority="1440">
      <iconSet iconSet="3Symbols2" showValue="0">
        <cfvo type="percent" val="0"/>
        <cfvo type="num" val="0"/>
        <cfvo type="num" val="0"/>
      </iconSet>
    </cfRule>
  </conditionalFormatting>
  <conditionalFormatting sqref="AG25">
    <cfRule type="iconSet" priority="15">
      <iconSet iconSet="3Symbols2" showValue="0">
        <cfvo type="percent" val="0"/>
        <cfvo type="num" val="0"/>
        <cfvo type="num" val="0"/>
      </iconSet>
    </cfRule>
  </conditionalFormatting>
  <conditionalFormatting sqref="AH4">
    <cfRule type="iconSet" priority="47">
      <iconSet iconSet="3Symbols2" showValue="0">
        <cfvo type="percent" val="0"/>
        <cfvo type="num" val="0"/>
        <cfvo type="num" val="0"/>
      </iconSet>
    </cfRule>
  </conditionalFormatting>
  <conditionalFormatting sqref="AH9">
    <cfRule type="iconSet" priority="81">
      <iconSet iconSet="3Symbols2" showValue="0">
        <cfvo type="percent" val="0"/>
        <cfvo type="num" val="0"/>
        <cfvo type="num" val="0"/>
      </iconSet>
    </cfRule>
  </conditionalFormatting>
  <conditionalFormatting sqref="AH25">
    <cfRule type="iconSet" priority="23">
      <iconSet iconSet="3Symbols2" showValue="0">
        <cfvo type="percent" val="0"/>
        <cfvo type="num" val="0"/>
        <cfvo type="num" val="0"/>
      </iconSet>
    </cfRule>
  </conditionalFormatting>
  <conditionalFormatting sqref="AI4">
    <cfRule type="iconSet" priority="48">
      <iconSet iconSet="3Symbols2" showValue="0">
        <cfvo type="percent" val="0"/>
        <cfvo type="num" val="0"/>
        <cfvo type="num" val="0"/>
      </iconSet>
    </cfRule>
  </conditionalFormatting>
  <conditionalFormatting sqref="AI9">
    <cfRule type="iconSet" priority="82">
      <iconSet iconSet="3Symbols2" showValue="0">
        <cfvo type="percent" val="0"/>
        <cfvo type="num" val="0"/>
        <cfvo type="num" val="0"/>
      </iconSet>
    </cfRule>
  </conditionalFormatting>
  <conditionalFormatting sqref="AI25">
    <cfRule type="iconSet" priority="24">
      <iconSet iconSet="3Symbols2" showValue="0">
        <cfvo type="percent" val="0"/>
        <cfvo type="num" val="0"/>
        <cfvo type="num" val="0"/>
      </iconSet>
    </cfRule>
  </conditionalFormatting>
  <conditionalFormatting sqref="AJ4">
    <cfRule type="iconSet" priority="49">
      <iconSet iconSet="3Symbols2" showValue="0">
        <cfvo type="percent" val="0"/>
        <cfvo type="num" val="0"/>
        <cfvo type="num" val="0"/>
      </iconSet>
    </cfRule>
  </conditionalFormatting>
  <conditionalFormatting sqref="AJ9">
    <cfRule type="iconSet" priority="83">
      <iconSet iconSet="3Symbols2" showValue="0">
        <cfvo type="percent" val="0"/>
        <cfvo type="num" val="0"/>
        <cfvo type="num" val="0"/>
      </iconSet>
    </cfRule>
  </conditionalFormatting>
  <conditionalFormatting sqref="AJ25">
    <cfRule type="iconSet" priority="25">
      <iconSet iconSet="3Symbols2" showValue="0">
        <cfvo type="percent" val="0"/>
        <cfvo type="num" val="0"/>
        <cfvo type="num" val="0"/>
      </iconSet>
    </cfRule>
  </conditionalFormatting>
  <conditionalFormatting sqref="AK4">
    <cfRule type="iconSet" priority="50">
      <iconSet iconSet="3Symbols2" showValue="0">
        <cfvo type="percent" val="0"/>
        <cfvo type="num" val="0"/>
        <cfvo type="num" val="0"/>
      </iconSet>
    </cfRule>
  </conditionalFormatting>
  <conditionalFormatting sqref="AK9">
    <cfRule type="iconSet" priority="84">
      <iconSet iconSet="3Symbols2" showValue="0">
        <cfvo type="percent" val="0"/>
        <cfvo type="num" val="0"/>
        <cfvo type="num" val="0"/>
      </iconSet>
    </cfRule>
  </conditionalFormatting>
  <conditionalFormatting sqref="AK25">
    <cfRule type="iconSet" priority="26">
      <iconSet iconSet="3Symbols2" showValue="0">
        <cfvo type="percent" val="0"/>
        <cfvo type="num" val="0"/>
        <cfvo type="num" val="0"/>
      </iconSet>
    </cfRule>
  </conditionalFormatting>
  <conditionalFormatting sqref="AL4">
    <cfRule type="iconSet" priority="51">
      <iconSet iconSet="3Symbols2" showValue="0">
        <cfvo type="percent" val="0"/>
        <cfvo type="num" val="0"/>
        <cfvo type="num" val="0"/>
      </iconSet>
    </cfRule>
  </conditionalFormatting>
  <conditionalFormatting sqref="AL9">
    <cfRule type="iconSet" priority="85">
      <iconSet iconSet="3Symbols2" showValue="0">
        <cfvo type="percent" val="0"/>
        <cfvo type="num" val="0"/>
        <cfvo type="num" val="0"/>
      </iconSet>
    </cfRule>
  </conditionalFormatting>
  <conditionalFormatting sqref="AL25">
    <cfRule type="iconSet" priority="27">
      <iconSet iconSet="3Symbols2" showValue="0">
        <cfvo type="percent" val="0"/>
        <cfvo type="num" val="0"/>
        <cfvo type="num" val="0"/>
      </iconSet>
    </cfRule>
  </conditionalFormatting>
  <conditionalFormatting sqref="AM4">
    <cfRule type="iconSet" priority="52">
      <iconSet iconSet="3Symbols2" showValue="0">
        <cfvo type="percent" val="0"/>
        <cfvo type="num" val="0"/>
        <cfvo type="num" val="0"/>
      </iconSet>
    </cfRule>
  </conditionalFormatting>
  <conditionalFormatting sqref="AM9">
    <cfRule type="iconSet" priority="86">
      <iconSet iconSet="3Symbols2" showValue="0">
        <cfvo type="percent" val="0"/>
        <cfvo type="num" val="0"/>
        <cfvo type="num" val="0"/>
      </iconSet>
    </cfRule>
  </conditionalFormatting>
  <conditionalFormatting sqref="AM25">
    <cfRule type="iconSet" priority="28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0413-8C84-4EDB-930B-FC5A2897D28B}">
  <sheetPr>
    <outlinePr summaryBelow="0" summaryRight="0"/>
  </sheetPr>
  <dimension ref="A1:AM17"/>
  <sheetViews>
    <sheetView zoomScale="115" zoomScaleNormal="115" workbookViewId="0">
      <pane ySplit="3" topLeftCell="A4" activePane="bottomLeft" state="frozen"/>
      <selection pane="bottomLeft" activeCell="D15" sqref="D15"/>
    </sheetView>
  </sheetViews>
  <sheetFormatPr defaultColWidth="8.85546875" defaultRowHeight="15"/>
  <cols>
    <col min="1" max="1" width="8" style="230" customWidth="1"/>
    <col min="2" max="2" width="7.140625" style="230" customWidth="1"/>
    <col min="3" max="3" width="7.5703125" style="230" customWidth="1"/>
    <col min="4" max="4" width="6.7109375" style="234" customWidth="1"/>
    <col min="5" max="5" width="13.7109375" style="230" customWidth="1"/>
    <col min="6" max="6" width="58.85546875" style="230" bestFit="1" customWidth="1"/>
    <col min="7" max="7" width="8.140625" style="233" bestFit="1" customWidth="1"/>
    <col min="8" max="8" width="10.42578125" style="230" bestFit="1" customWidth="1"/>
    <col min="9" max="9" width="11.7109375" style="235" bestFit="1" customWidth="1"/>
    <col min="10" max="10" width="8" style="230" customWidth="1"/>
    <col min="11" max="11" width="14" style="232" customWidth="1"/>
    <col min="12" max="12" width="9.5703125" style="231" customWidth="1"/>
    <col min="13" max="13" width="7.85546875" style="230" bestFit="1" customWidth="1"/>
    <col min="14" max="14" width="7.7109375" style="230" customWidth="1"/>
    <col min="15" max="15" width="10.140625" style="230" customWidth="1"/>
    <col min="16" max="22" width="8.85546875" style="230"/>
    <col min="23" max="23" width="8" style="230" customWidth="1"/>
    <col min="24" max="24" width="8.85546875" style="230"/>
    <col min="25" max="25" width="10.28515625" style="230" customWidth="1"/>
    <col min="26" max="16384" width="8.85546875" style="230"/>
  </cols>
  <sheetData>
    <row r="1" spans="1:39" s="251" customFormat="1" ht="23.25" customHeight="1">
      <c r="B1" s="252" t="s">
        <v>285</v>
      </c>
      <c r="C1" s="253"/>
      <c r="D1" s="254" t="s">
        <v>284</v>
      </c>
      <c r="E1" s="255"/>
      <c r="F1" s="255" t="s">
        <v>284</v>
      </c>
      <c r="G1" s="256" t="s">
        <v>284</v>
      </c>
      <c r="H1" s="255" t="s">
        <v>284</v>
      </c>
      <c r="I1" s="259" t="s">
        <v>284</v>
      </c>
      <c r="J1" s="255" t="s">
        <v>284</v>
      </c>
      <c r="K1" s="257"/>
      <c r="L1" s="255" t="s">
        <v>284</v>
      </c>
      <c r="M1" s="255" t="s">
        <v>290</v>
      </c>
      <c r="N1" s="255">
        <v>1</v>
      </c>
      <c r="O1" s="255">
        <v>2</v>
      </c>
      <c r="P1" s="255">
        <v>3</v>
      </c>
      <c r="Q1" s="255">
        <v>4</v>
      </c>
      <c r="R1" s="255" t="s">
        <v>291</v>
      </c>
      <c r="S1" s="255">
        <v>5</v>
      </c>
      <c r="T1" s="255">
        <v>6</v>
      </c>
      <c r="U1" s="255">
        <v>7</v>
      </c>
      <c r="V1" s="255">
        <v>8</v>
      </c>
      <c r="W1" s="255" t="s">
        <v>284</v>
      </c>
      <c r="X1" s="255" t="s">
        <v>293</v>
      </c>
      <c r="Y1" s="255">
        <v>9</v>
      </c>
      <c r="Z1" s="255">
        <v>10</v>
      </c>
      <c r="AA1" s="255">
        <v>11</v>
      </c>
      <c r="AB1" s="255">
        <v>12</v>
      </c>
      <c r="AC1" s="255" t="s">
        <v>295</v>
      </c>
      <c r="AD1" s="255">
        <v>13</v>
      </c>
      <c r="AE1" s="255">
        <v>14</v>
      </c>
      <c r="AF1" s="255">
        <v>15</v>
      </c>
      <c r="AG1" s="255">
        <v>16</v>
      </c>
    </row>
    <row r="2" spans="1:39" s="247" customFormat="1" ht="14.25">
      <c r="B2" s="249" t="s">
        <v>297</v>
      </c>
      <c r="C2" s="276" t="s">
        <v>298</v>
      </c>
      <c r="D2" s="277"/>
      <c r="E2" s="243"/>
      <c r="F2" s="278" t="s">
        <v>283</v>
      </c>
      <c r="G2" s="278" t="s">
        <v>282</v>
      </c>
      <c r="H2" s="278" t="s">
        <v>281</v>
      </c>
      <c r="I2" s="274" t="s">
        <v>280</v>
      </c>
      <c r="J2" s="280" t="s">
        <v>279</v>
      </c>
      <c r="K2" s="281"/>
      <c r="L2" s="282"/>
      <c r="M2" s="243">
        <f>SUM(M15:M17)</f>
        <v>0</v>
      </c>
      <c r="N2" s="243">
        <f>SUM(N15:N17)</f>
        <v>0</v>
      </c>
      <c r="O2" s="243">
        <f>SUM(O15:O17)</f>
        <v>0</v>
      </c>
      <c r="P2" s="243">
        <f>SUM(P15:P17)</f>
        <v>0</v>
      </c>
      <c r="Q2" s="243">
        <f>SUM(Q15:Q17)</f>
        <v>0</v>
      </c>
      <c r="R2" s="274" t="s">
        <v>278</v>
      </c>
      <c r="S2" s="243">
        <f>SUM(S15:S17)</f>
        <v>0</v>
      </c>
      <c r="T2" s="243">
        <f>SUM(T15:T17)</f>
        <v>0</v>
      </c>
      <c r="U2" s="243">
        <f>SUM(U15:U17)</f>
        <v>0</v>
      </c>
      <c r="V2" s="243">
        <f>SUM(V15:V17)</f>
        <v>0</v>
      </c>
      <c r="W2" s="243"/>
      <c r="X2" s="243">
        <f>SUM(X15:X17)</f>
        <v>0</v>
      </c>
      <c r="Y2" s="243">
        <f>SUM(Y15:Y17)</f>
        <v>0</v>
      </c>
      <c r="Z2" s="243">
        <f>SUM(Z15:Z17)</f>
        <v>0</v>
      </c>
      <c r="AA2" s="243">
        <f>SUM(AA15:AA17)</f>
        <v>0</v>
      </c>
      <c r="AB2" s="243">
        <f>SUM(AB15:AB17)</f>
        <v>0</v>
      </c>
      <c r="AC2" s="274" t="s">
        <v>294</v>
      </c>
      <c r="AD2" s="243">
        <f>SUM(AD15:AD17)</f>
        <v>0</v>
      </c>
      <c r="AE2" s="243">
        <f>SUM(AE15:AE17)</f>
        <v>0</v>
      </c>
      <c r="AF2" s="243">
        <f>SUM(AF15:AF17)</f>
        <v>0</v>
      </c>
      <c r="AG2" s="243">
        <f>SUM(AG15:AG17)</f>
        <v>0</v>
      </c>
    </row>
    <row r="3" spans="1:39" s="247" customFormat="1" ht="25.5">
      <c r="B3" s="244" t="s">
        <v>277</v>
      </c>
      <c r="C3" s="245" t="s">
        <v>276</v>
      </c>
      <c r="D3" s="247" t="s">
        <v>275</v>
      </c>
      <c r="E3" s="245" t="s">
        <v>274</v>
      </c>
      <c r="F3" s="279"/>
      <c r="G3" s="279"/>
      <c r="H3" s="279"/>
      <c r="I3" s="275"/>
      <c r="J3" s="244" t="s">
        <v>271</v>
      </c>
      <c r="K3" s="248" t="s">
        <v>273</v>
      </c>
      <c r="L3" s="244" t="s">
        <v>272</v>
      </c>
      <c r="M3" s="244" t="s">
        <v>270</v>
      </c>
      <c r="N3" s="246" t="s">
        <v>269</v>
      </c>
      <c r="O3" s="246" t="s">
        <v>268</v>
      </c>
      <c r="P3" s="246" t="s">
        <v>267</v>
      </c>
      <c r="Q3" s="246" t="s">
        <v>266</v>
      </c>
      <c r="R3" s="275"/>
      <c r="S3" s="246" t="s">
        <v>269</v>
      </c>
      <c r="T3" s="246" t="s">
        <v>268</v>
      </c>
      <c r="U3" s="246" t="s">
        <v>267</v>
      </c>
      <c r="V3" s="246" t="s">
        <v>266</v>
      </c>
      <c r="W3" s="244" t="s">
        <v>296</v>
      </c>
      <c r="X3" s="244" t="s">
        <v>292</v>
      </c>
      <c r="Y3" s="246" t="s">
        <v>269</v>
      </c>
      <c r="Z3" s="246" t="s">
        <v>268</v>
      </c>
      <c r="AA3" s="246" t="s">
        <v>267</v>
      </c>
      <c r="AB3" s="246" t="s">
        <v>266</v>
      </c>
      <c r="AC3" s="275"/>
      <c r="AD3" s="246" t="s">
        <v>269</v>
      </c>
      <c r="AE3" s="246" t="s">
        <v>268</v>
      </c>
      <c r="AF3" s="246" t="s">
        <v>267</v>
      </c>
      <c r="AG3" s="246" t="s">
        <v>266</v>
      </c>
    </row>
    <row r="4" spans="1:39" s="261" customFormat="1" ht="15.75">
      <c r="B4" s="237"/>
      <c r="C4" s="237"/>
      <c r="D4" s="265" t="s">
        <v>351</v>
      </c>
      <c r="E4" s="237"/>
      <c r="F4" s="262"/>
      <c r="G4" s="237"/>
      <c r="H4" s="237"/>
      <c r="I4" s="237"/>
      <c r="J4" s="263"/>
      <c r="K4" s="264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63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6"/>
      <c r="AI4" s="236"/>
      <c r="AJ4" s="236"/>
      <c r="AK4" s="236"/>
      <c r="AL4" s="236"/>
      <c r="AM4" s="236"/>
    </row>
    <row r="5" spans="1:39" s="250" customFormat="1" ht="13.5">
      <c r="A5" s="250" t="s">
        <v>238</v>
      </c>
      <c r="B5" s="238" t="s">
        <v>98</v>
      </c>
      <c r="C5" s="238" t="s">
        <v>250</v>
      </c>
      <c r="D5" s="239" t="s">
        <v>239</v>
      </c>
      <c r="E5" s="238" t="str">
        <f>CONCATENATE(B5,"-",C5,"-",D5)</f>
        <v>IBMS-000-0001</v>
      </c>
      <c r="F5" s="238" t="s">
        <v>352</v>
      </c>
      <c r="G5" s="240" t="s">
        <v>37</v>
      </c>
      <c r="H5" s="241" t="s">
        <v>372</v>
      </c>
      <c r="I5" s="260" t="str">
        <f>CONCATENATE(A5,"-",G5,"-",H5)</f>
        <v>UD-MP-2</v>
      </c>
      <c r="J5" s="258">
        <v>-1</v>
      </c>
      <c r="K5" s="242">
        <v>46164</v>
      </c>
      <c r="L5" s="240" t="s">
        <v>236</v>
      </c>
      <c r="M5" s="258">
        <v>1</v>
      </c>
      <c r="N5" s="258">
        <v>1</v>
      </c>
      <c r="O5" s="258"/>
      <c r="P5" s="258"/>
      <c r="Q5" s="258"/>
      <c r="R5" s="258">
        <v>1</v>
      </c>
      <c r="S5" s="258"/>
      <c r="T5" s="258">
        <v>1</v>
      </c>
      <c r="U5" s="258"/>
      <c r="V5" s="258"/>
      <c r="W5" s="258">
        <v>1</v>
      </c>
      <c r="X5" s="258"/>
      <c r="Y5" s="258"/>
      <c r="Z5" s="258"/>
      <c r="AA5" s="258"/>
      <c r="AB5" s="258"/>
      <c r="AC5" s="258"/>
      <c r="AD5" s="258"/>
      <c r="AE5" s="258"/>
      <c r="AF5" s="258"/>
      <c r="AG5" s="258"/>
    </row>
    <row r="6" spans="1:39" s="250" customFormat="1" ht="13.5">
      <c r="A6" s="250" t="s">
        <v>238</v>
      </c>
      <c r="B6" s="238" t="s">
        <v>97</v>
      </c>
      <c r="C6" s="238" t="s">
        <v>362</v>
      </c>
      <c r="D6" s="239" t="s">
        <v>239</v>
      </c>
      <c r="E6" s="238" t="str">
        <f t="shared" ref="E6" si="0">CONCATENATE(B6,"-",C6,"-",D6)</f>
        <v>ELE-00-0001</v>
      </c>
      <c r="F6" s="238" t="s">
        <v>361</v>
      </c>
      <c r="G6" s="240" t="s">
        <v>37</v>
      </c>
      <c r="H6" s="241" t="s">
        <v>372</v>
      </c>
      <c r="I6" s="260" t="str">
        <f t="shared" ref="I6" si="1">CONCATENATE(A6,"-",G6,"-",H6)</f>
        <v>UD-MP-2</v>
      </c>
      <c r="J6" s="258">
        <v>-1</v>
      </c>
      <c r="K6" s="242">
        <v>46247</v>
      </c>
      <c r="L6" s="240" t="s">
        <v>441</v>
      </c>
      <c r="M6" s="258">
        <v>1</v>
      </c>
      <c r="N6" s="258">
        <v>1</v>
      </c>
      <c r="O6" s="258"/>
      <c r="P6" s="258"/>
      <c r="Q6" s="258"/>
      <c r="R6" s="258">
        <v>1</v>
      </c>
      <c r="S6" s="258"/>
      <c r="T6" s="258">
        <v>1</v>
      </c>
      <c r="U6" s="258"/>
      <c r="V6" s="258"/>
      <c r="W6" s="258">
        <v>1</v>
      </c>
      <c r="X6" s="258"/>
      <c r="Y6" s="258"/>
      <c r="Z6" s="258"/>
      <c r="AA6" s="258"/>
      <c r="AB6" s="258"/>
      <c r="AC6" s="258"/>
      <c r="AD6" s="258"/>
      <c r="AE6" s="258"/>
      <c r="AF6" s="258"/>
      <c r="AG6" s="258"/>
    </row>
    <row r="7" spans="1:39" s="250" customFormat="1" ht="13.5">
      <c r="A7" s="250" t="s">
        <v>238</v>
      </c>
      <c r="B7" s="238" t="s">
        <v>97</v>
      </c>
      <c r="C7" s="238" t="s">
        <v>362</v>
      </c>
      <c r="D7" s="239" t="s">
        <v>364</v>
      </c>
      <c r="E7" s="238" t="str">
        <f t="shared" ref="E7:E14" si="2">CONCATENATE(B7,"-",C7,"-",D7)</f>
        <v>ELE-00-0031</v>
      </c>
      <c r="F7" s="238" t="s">
        <v>353</v>
      </c>
      <c r="G7" s="240" t="s">
        <v>37</v>
      </c>
      <c r="H7" s="241" t="s">
        <v>372</v>
      </c>
      <c r="I7" s="260" t="str">
        <f t="shared" ref="I7:I14" si="3">CONCATENATE(A7,"-",G7,"-",H7)</f>
        <v>UD-MP-2</v>
      </c>
      <c r="J7" s="258">
        <v>-1</v>
      </c>
      <c r="K7" s="242">
        <v>46262</v>
      </c>
      <c r="L7" s="240" t="s">
        <v>441</v>
      </c>
      <c r="M7" s="258">
        <v>1</v>
      </c>
      <c r="N7" s="258">
        <v>1</v>
      </c>
      <c r="O7" s="258"/>
      <c r="P7" s="258"/>
      <c r="Q7" s="258"/>
      <c r="R7" s="258">
        <v>1</v>
      </c>
      <c r="S7" s="258"/>
      <c r="T7" s="258">
        <v>1</v>
      </c>
      <c r="U7" s="258"/>
      <c r="V7" s="258"/>
      <c r="W7" s="258">
        <v>1</v>
      </c>
      <c r="X7" s="258"/>
      <c r="Y7" s="258"/>
      <c r="Z7" s="258"/>
      <c r="AA7" s="258"/>
      <c r="AB7" s="258"/>
      <c r="AC7" s="258"/>
      <c r="AD7" s="258"/>
      <c r="AE7" s="258"/>
      <c r="AF7" s="258"/>
      <c r="AG7" s="258"/>
    </row>
    <row r="8" spans="1:39" s="250" customFormat="1" ht="13.5">
      <c r="A8" s="250" t="s">
        <v>238</v>
      </c>
      <c r="B8" s="238" t="s">
        <v>97</v>
      </c>
      <c r="C8" s="238" t="s">
        <v>362</v>
      </c>
      <c r="D8" s="239" t="s">
        <v>365</v>
      </c>
      <c r="E8" s="238" t="str">
        <f t="shared" si="2"/>
        <v>ELE-00-0032</v>
      </c>
      <c r="F8" s="238" t="s">
        <v>354</v>
      </c>
      <c r="G8" s="240" t="s">
        <v>37</v>
      </c>
      <c r="H8" s="241" t="s">
        <v>372</v>
      </c>
      <c r="I8" s="260" t="str">
        <f t="shared" si="3"/>
        <v>UD-MP-2</v>
      </c>
      <c r="J8" s="258">
        <v>-1</v>
      </c>
      <c r="K8" s="242">
        <v>46262</v>
      </c>
      <c r="L8" s="240" t="s">
        <v>441</v>
      </c>
      <c r="M8" s="258">
        <v>1</v>
      </c>
      <c r="N8" s="258">
        <v>1</v>
      </c>
      <c r="O8" s="258"/>
      <c r="P8" s="258"/>
      <c r="Q8" s="258"/>
      <c r="R8" s="258">
        <v>1</v>
      </c>
      <c r="S8" s="258"/>
      <c r="T8" s="258">
        <v>1</v>
      </c>
      <c r="U8" s="258"/>
      <c r="V8" s="258"/>
      <c r="W8" s="258">
        <v>1</v>
      </c>
      <c r="X8" s="258"/>
      <c r="Y8" s="258"/>
      <c r="Z8" s="258"/>
      <c r="AA8" s="258"/>
      <c r="AB8" s="258"/>
      <c r="AC8" s="258"/>
      <c r="AD8" s="258"/>
      <c r="AE8" s="258"/>
      <c r="AF8" s="258"/>
      <c r="AG8" s="258"/>
    </row>
    <row r="9" spans="1:39" s="250" customFormat="1" ht="13.5">
      <c r="A9" s="250" t="s">
        <v>238</v>
      </c>
      <c r="B9" s="238" t="s">
        <v>97</v>
      </c>
      <c r="C9" s="238" t="s">
        <v>362</v>
      </c>
      <c r="D9" s="239" t="s">
        <v>366</v>
      </c>
      <c r="E9" s="238" t="str">
        <f t="shared" si="2"/>
        <v>ELE-00-0033</v>
      </c>
      <c r="F9" s="238" t="s">
        <v>355</v>
      </c>
      <c r="G9" s="240" t="s">
        <v>37</v>
      </c>
      <c r="H9" s="241" t="s">
        <v>372</v>
      </c>
      <c r="I9" s="260" t="str">
        <f t="shared" si="3"/>
        <v>UD-MP-2</v>
      </c>
      <c r="J9" s="258">
        <v>-1</v>
      </c>
      <c r="K9" s="242">
        <v>46262</v>
      </c>
      <c r="L9" s="240" t="s">
        <v>441</v>
      </c>
      <c r="M9" s="258">
        <v>1</v>
      </c>
      <c r="N9" s="258">
        <v>1</v>
      </c>
      <c r="O9" s="258"/>
      <c r="P9" s="258"/>
      <c r="Q9" s="258"/>
      <c r="R9" s="258">
        <v>1</v>
      </c>
      <c r="S9" s="258"/>
      <c r="T9" s="258">
        <v>1</v>
      </c>
      <c r="U9" s="258"/>
      <c r="V9" s="258"/>
      <c r="W9" s="258">
        <v>1</v>
      </c>
      <c r="X9" s="258"/>
      <c r="Y9" s="258"/>
      <c r="Z9" s="258"/>
      <c r="AA9" s="258"/>
      <c r="AB9" s="258"/>
      <c r="AC9" s="258"/>
      <c r="AD9" s="258"/>
      <c r="AE9" s="258"/>
      <c r="AF9" s="258"/>
      <c r="AG9" s="258"/>
    </row>
    <row r="10" spans="1:39" s="250" customFormat="1" ht="13.5">
      <c r="A10" s="250" t="s">
        <v>238</v>
      </c>
      <c r="B10" s="238" t="s">
        <v>97</v>
      </c>
      <c r="C10" s="238" t="s">
        <v>362</v>
      </c>
      <c r="D10" s="239" t="s">
        <v>367</v>
      </c>
      <c r="E10" s="238" t="str">
        <f t="shared" si="2"/>
        <v>ELE-00-0041</v>
      </c>
      <c r="F10" s="238" t="s">
        <v>356</v>
      </c>
      <c r="G10" s="240" t="s">
        <v>37</v>
      </c>
      <c r="H10" s="241" t="s">
        <v>372</v>
      </c>
      <c r="I10" s="260" t="str">
        <f t="shared" si="3"/>
        <v>UD-MP-2</v>
      </c>
      <c r="J10" s="258">
        <v>-1</v>
      </c>
      <c r="K10" s="242">
        <v>46164</v>
      </c>
      <c r="L10" s="240" t="s">
        <v>236</v>
      </c>
      <c r="M10" s="258">
        <v>1</v>
      </c>
      <c r="N10" s="258">
        <v>1</v>
      </c>
      <c r="O10" s="258"/>
      <c r="P10" s="258"/>
      <c r="Q10" s="258"/>
      <c r="R10" s="258">
        <v>1</v>
      </c>
      <c r="S10" s="258"/>
      <c r="T10" s="258">
        <v>1</v>
      </c>
      <c r="U10" s="258"/>
      <c r="V10" s="258"/>
      <c r="W10" s="258">
        <v>1</v>
      </c>
      <c r="X10" s="258"/>
      <c r="Y10" s="258"/>
      <c r="Z10" s="258"/>
      <c r="AA10" s="258"/>
      <c r="AB10" s="258"/>
      <c r="AC10" s="258"/>
      <c r="AD10" s="258"/>
      <c r="AE10" s="258"/>
      <c r="AF10" s="258"/>
      <c r="AG10" s="258"/>
    </row>
    <row r="11" spans="1:39" s="250" customFormat="1" ht="13.5">
      <c r="A11" s="250" t="s">
        <v>238</v>
      </c>
      <c r="B11" s="238" t="s">
        <v>97</v>
      </c>
      <c r="C11" s="238" t="s">
        <v>362</v>
      </c>
      <c r="D11" s="239" t="s">
        <v>368</v>
      </c>
      <c r="E11" s="238" t="str">
        <f t="shared" si="2"/>
        <v>ELE-00-9001</v>
      </c>
      <c r="F11" s="238" t="s">
        <v>357</v>
      </c>
      <c r="G11" s="240" t="s">
        <v>37</v>
      </c>
      <c r="H11" s="241" t="s">
        <v>372</v>
      </c>
      <c r="I11" s="260" t="str">
        <f t="shared" si="3"/>
        <v>UD-MP-2</v>
      </c>
      <c r="J11" s="258">
        <v>-1</v>
      </c>
      <c r="K11" s="242">
        <v>46164</v>
      </c>
      <c r="L11" s="240" t="s">
        <v>236</v>
      </c>
      <c r="M11" s="258">
        <v>1</v>
      </c>
      <c r="N11" s="258">
        <v>1</v>
      </c>
      <c r="O11" s="258"/>
      <c r="P11" s="258"/>
      <c r="Q11" s="258"/>
      <c r="R11" s="258">
        <v>1</v>
      </c>
      <c r="S11" s="258"/>
      <c r="T11" s="258">
        <v>1</v>
      </c>
      <c r="U11" s="258"/>
      <c r="V11" s="258"/>
      <c r="W11" s="258">
        <v>1</v>
      </c>
      <c r="X11" s="258"/>
      <c r="Y11" s="258"/>
      <c r="Z11" s="258"/>
      <c r="AA11" s="258"/>
      <c r="AB11" s="258"/>
      <c r="AC11" s="258"/>
      <c r="AD11" s="258"/>
      <c r="AE11" s="258"/>
      <c r="AF11" s="258"/>
      <c r="AG11" s="258"/>
    </row>
    <row r="12" spans="1:39" s="250" customFormat="1" ht="13.5">
      <c r="A12" s="250" t="s">
        <v>238</v>
      </c>
      <c r="B12" s="238" t="s">
        <v>97</v>
      </c>
      <c r="C12" s="238" t="s">
        <v>362</v>
      </c>
      <c r="D12" s="239" t="s">
        <v>369</v>
      </c>
      <c r="E12" s="238" t="str">
        <f t="shared" si="2"/>
        <v>ELE-00-9002</v>
      </c>
      <c r="F12" s="238" t="s">
        <v>358</v>
      </c>
      <c r="G12" s="240" t="s">
        <v>37</v>
      </c>
      <c r="H12" s="241" t="s">
        <v>372</v>
      </c>
      <c r="I12" s="260" t="str">
        <f t="shared" si="3"/>
        <v>UD-MP-2</v>
      </c>
      <c r="J12" s="258">
        <v>-1</v>
      </c>
      <c r="K12" s="242">
        <v>46164</v>
      </c>
      <c r="L12" s="240" t="s">
        <v>236</v>
      </c>
      <c r="M12" s="258">
        <v>1</v>
      </c>
      <c r="N12" s="258">
        <v>1</v>
      </c>
      <c r="O12" s="258"/>
      <c r="P12" s="258"/>
      <c r="Q12" s="258"/>
      <c r="R12" s="258">
        <v>1</v>
      </c>
      <c r="S12" s="258"/>
      <c r="T12" s="258">
        <v>1</v>
      </c>
      <c r="U12" s="258"/>
      <c r="V12" s="258"/>
      <c r="W12" s="258">
        <v>1</v>
      </c>
      <c r="X12" s="258"/>
      <c r="Y12" s="258"/>
      <c r="Z12" s="258"/>
      <c r="AA12" s="258"/>
      <c r="AB12" s="258"/>
      <c r="AC12" s="258"/>
      <c r="AD12" s="258"/>
      <c r="AE12" s="258"/>
      <c r="AF12" s="258"/>
      <c r="AG12" s="258"/>
    </row>
    <row r="13" spans="1:39" s="250" customFormat="1" ht="13.5">
      <c r="A13" s="250" t="s">
        <v>238</v>
      </c>
      <c r="B13" s="238" t="s">
        <v>97</v>
      </c>
      <c r="C13" s="238" t="s">
        <v>363</v>
      </c>
      <c r="D13" s="239" t="s">
        <v>370</v>
      </c>
      <c r="E13" s="238" t="str">
        <f t="shared" si="2"/>
        <v>ELE-TY-0021</v>
      </c>
      <c r="F13" s="238" t="s">
        <v>359</v>
      </c>
      <c r="G13" s="240" t="s">
        <v>37</v>
      </c>
      <c r="H13" s="241" t="s">
        <v>372</v>
      </c>
      <c r="I13" s="260" t="str">
        <f t="shared" si="3"/>
        <v>UD-MP-2</v>
      </c>
      <c r="J13" s="258">
        <v>-1</v>
      </c>
      <c r="K13" s="242">
        <v>46262</v>
      </c>
      <c r="L13" s="240" t="s">
        <v>441</v>
      </c>
      <c r="M13" s="258">
        <v>1</v>
      </c>
      <c r="N13" s="258">
        <v>1</v>
      </c>
      <c r="O13" s="258"/>
      <c r="P13" s="258"/>
      <c r="Q13" s="258"/>
      <c r="R13" s="258">
        <v>1</v>
      </c>
      <c r="S13" s="258"/>
      <c r="T13" s="258">
        <v>1</v>
      </c>
      <c r="U13" s="258"/>
      <c r="V13" s="258"/>
      <c r="W13" s="258">
        <v>1</v>
      </c>
      <c r="X13" s="258"/>
      <c r="Y13" s="258"/>
      <c r="Z13" s="258"/>
      <c r="AA13" s="258"/>
      <c r="AB13" s="258"/>
      <c r="AC13" s="258"/>
      <c r="AD13" s="258"/>
      <c r="AE13" s="258"/>
      <c r="AF13" s="258"/>
      <c r="AG13" s="258"/>
    </row>
    <row r="14" spans="1:39" s="250" customFormat="1" ht="13.5">
      <c r="A14" s="250" t="s">
        <v>238</v>
      </c>
      <c r="B14" s="238" t="s">
        <v>97</v>
      </c>
      <c r="C14" s="238" t="s">
        <v>363</v>
      </c>
      <c r="D14" s="239" t="s">
        <v>371</v>
      </c>
      <c r="E14" s="238" t="str">
        <f t="shared" si="2"/>
        <v>ELE-TY-0022</v>
      </c>
      <c r="F14" s="238" t="s">
        <v>360</v>
      </c>
      <c r="G14" s="240" t="s">
        <v>37</v>
      </c>
      <c r="H14" s="241" t="s">
        <v>372</v>
      </c>
      <c r="I14" s="260" t="str">
        <f t="shared" si="3"/>
        <v>UD-MP-2</v>
      </c>
      <c r="J14" s="258">
        <v>-1</v>
      </c>
      <c r="K14" s="242">
        <v>46164</v>
      </c>
      <c r="L14" s="240" t="s">
        <v>236</v>
      </c>
      <c r="M14" s="258">
        <v>1</v>
      </c>
      <c r="N14" s="258">
        <v>1</v>
      </c>
      <c r="O14" s="258"/>
      <c r="P14" s="258"/>
      <c r="Q14" s="258"/>
      <c r="R14" s="258">
        <v>1</v>
      </c>
      <c r="S14" s="258"/>
      <c r="T14" s="258">
        <v>1</v>
      </c>
      <c r="U14" s="258"/>
      <c r="V14" s="258"/>
      <c r="W14" s="258">
        <v>1</v>
      </c>
      <c r="X14" s="258"/>
      <c r="Y14" s="258"/>
      <c r="Z14" s="258"/>
      <c r="AA14" s="258"/>
      <c r="AB14" s="258"/>
      <c r="AC14" s="258"/>
      <c r="AD14" s="258"/>
      <c r="AE14" s="258"/>
      <c r="AF14" s="258"/>
      <c r="AG14" s="258"/>
    </row>
    <row r="15" spans="1:39" s="261" customFormat="1" ht="15.75">
      <c r="B15" s="237"/>
      <c r="C15" s="237"/>
      <c r="D15" s="265" t="s">
        <v>331</v>
      </c>
      <c r="E15" s="237"/>
      <c r="F15" s="262"/>
      <c r="G15" s="237"/>
      <c r="H15" s="237"/>
      <c r="I15" s="237"/>
      <c r="J15" s="263"/>
      <c r="K15" s="264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63"/>
      <c r="X15" s="237"/>
      <c r="Y15" s="237"/>
      <c r="Z15" s="237"/>
      <c r="AA15" s="237"/>
      <c r="AB15" s="237"/>
      <c r="AC15" s="237"/>
      <c r="AD15" s="237"/>
      <c r="AE15" s="237"/>
      <c r="AF15" s="237"/>
      <c r="AG15" s="237"/>
      <c r="AH15" s="236"/>
      <c r="AI15" s="236"/>
      <c r="AJ15" s="236"/>
      <c r="AK15" s="236"/>
      <c r="AL15" s="236"/>
      <c r="AM15" s="236"/>
    </row>
    <row r="16" spans="1:39" s="250" customFormat="1" ht="13.5">
      <c r="A16" s="250" t="s">
        <v>238</v>
      </c>
      <c r="B16" s="238" t="s">
        <v>96</v>
      </c>
      <c r="C16" s="238" t="s">
        <v>252</v>
      </c>
      <c r="D16" s="239" t="s">
        <v>239</v>
      </c>
      <c r="E16" s="238" t="str">
        <f>CONCATENATE(B16,"-",C16,"-",D16)</f>
        <v>PHE-SC1-0001</v>
      </c>
      <c r="F16" s="238" t="s">
        <v>423</v>
      </c>
      <c r="G16" s="240" t="s">
        <v>37</v>
      </c>
      <c r="H16" s="241" t="s">
        <v>332</v>
      </c>
      <c r="I16" s="260" t="str">
        <f>CONCATENATE(A16,"-",G16,"-",H16)</f>
        <v>UD-MP-5</v>
      </c>
      <c r="J16" s="258">
        <v>1</v>
      </c>
      <c r="K16" s="242">
        <v>45915</v>
      </c>
      <c r="L16" s="240" t="s">
        <v>236</v>
      </c>
      <c r="M16" s="258"/>
      <c r="N16" s="258"/>
      <c r="O16" s="258"/>
      <c r="P16" s="258"/>
      <c r="Q16" s="258"/>
      <c r="R16" s="258"/>
      <c r="S16" s="258"/>
      <c r="T16" s="258"/>
      <c r="U16" s="258"/>
      <c r="V16" s="258"/>
      <c r="W16" s="258"/>
      <c r="X16" s="258"/>
      <c r="Y16" s="258"/>
      <c r="Z16" s="258"/>
      <c r="AA16" s="258"/>
      <c r="AB16" s="258"/>
      <c r="AC16" s="258"/>
      <c r="AD16" s="258"/>
      <c r="AE16" s="258"/>
      <c r="AF16" s="258"/>
      <c r="AG16" s="258"/>
    </row>
    <row r="17" spans="1:33" s="250" customFormat="1" ht="13.5">
      <c r="A17" s="250" t="s">
        <v>238</v>
      </c>
      <c r="B17" s="238" t="s">
        <v>96</v>
      </c>
      <c r="C17" s="238" t="s">
        <v>252</v>
      </c>
      <c r="D17" s="239" t="s">
        <v>237</v>
      </c>
      <c r="E17" s="238" t="str">
        <f t="shared" ref="E17" si="4">CONCATENATE(B17,"-",C17,"-",D17)</f>
        <v>PHE-SC1-0002</v>
      </c>
      <c r="F17" s="238" t="s">
        <v>424</v>
      </c>
      <c r="G17" s="240" t="s">
        <v>37</v>
      </c>
      <c r="H17" s="241" t="s">
        <v>332</v>
      </c>
      <c r="I17" s="260" t="str">
        <f t="shared" ref="I17" si="5">CONCATENATE(A17,"-",G17,"-",H17)</f>
        <v>UD-MP-5</v>
      </c>
      <c r="J17" s="258">
        <v>1</v>
      </c>
      <c r="K17" s="242">
        <v>45915</v>
      </c>
      <c r="L17" s="240" t="s">
        <v>236</v>
      </c>
      <c r="M17" s="258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8"/>
      <c r="AB17" s="258"/>
      <c r="AC17" s="258"/>
      <c r="AD17" s="258"/>
      <c r="AE17" s="258"/>
      <c r="AF17" s="258"/>
      <c r="AG17" s="258"/>
    </row>
  </sheetData>
  <autoFilter ref="B1:W3" xr:uid="{B7BAD1F0-A3AF-48DB-A863-3581F7D0EEA3}"/>
  <mergeCells count="8">
    <mergeCell ref="R2:R3"/>
    <mergeCell ref="AC2:AC3"/>
    <mergeCell ref="C2:D2"/>
    <mergeCell ref="F2:F3"/>
    <mergeCell ref="G2:G3"/>
    <mergeCell ref="H2:H3"/>
    <mergeCell ref="I2:I3"/>
    <mergeCell ref="J2:L2"/>
  </mergeCells>
  <phoneticPr fontId="10" type="noConversion"/>
  <conditionalFormatting sqref="J5:J14">
    <cfRule type="iconSet" priority="1441">
      <iconSet iconSet="3Symbols2" showValue="0">
        <cfvo type="percent" val="0"/>
        <cfvo type="num" val="0"/>
        <cfvo type="num" val="0"/>
      </iconSet>
    </cfRule>
  </conditionalFormatting>
  <conditionalFormatting sqref="J16:J17">
    <cfRule type="iconSet" priority="1411">
      <iconSet iconSet="3Symbols2" showValue="0">
        <cfvo type="percent" val="0"/>
        <cfvo type="num" val="0"/>
        <cfvo type="num" val="0"/>
      </iconSet>
    </cfRule>
  </conditionalFormatting>
  <conditionalFormatting sqref="L4">
    <cfRule type="iconSet" priority="9">
      <iconSet iconSet="3Symbols2" showValue="0">
        <cfvo type="percent" val="0"/>
        <cfvo type="num" val="0"/>
        <cfvo type="num" val="0"/>
      </iconSet>
    </cfRule>
  </conditionalFormatting>
  <conditionalFormatting sqref="L15">
    <cfRule type="iconSet" priority="43">
      <iconSet iconSet="3Symbols2" showValue="0">
        <cfvo type="percent" val="0"/>
        <cfvo type="num" val="0"/>
        <cfvo type="num" val="0"/>
      </iconSet>
    </cfRule>
  </conditionalFormatting>
  <conditionalFormatting sqref="M5:V5">
    <cfRule type="iconSet" priority="35">
      <iconSet iconSet="3Symbols2" showValue="0">
        <cfvo type="percent" val="0"/>
        <cfvo type="num" val="0"/>
        <cfvo type="num" val="0"/>
      </iconSet>
    </cfRule>
    <cfRule type="iconSet" priority="36">
      <iconSet iconSet="3Symbols2" showValue="0">
        <cfvo type="percent" val="0"/>
        <cfvo type="num" val="0"/>
        <cfvo type="num" val="0"/>
      </iconSet>
    </cfRule>
  </conditionalFormatting>
  <conditionalFormatting sqref="M6:V6">
    <cfRule type="iconSet" priority="1">
      <iconSet iconSet="3Symbols2" showValue="0">
        <cfvo type="percent" val="0"/>
        <cfvo type="num" val="0"/>
        <cfvo type="num" val="0"/>
      </iconSet>
    </cfRule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M7:V14">
    <cfRule type="iconSet" priority="1442">
      <iconSet iconSet="3Symbols2" showValue="0">
        <cfvo type="percent" val="0"/>
        <cfvo type="num" val="0"/>
        <cfvo type="num" val="0"/>
      </iconSet>
    </cfRule>
    <cfRule type="iconSet" priority="1443">
      <iconSet iconSet="3Symbols2" showValue="0">
        <cfvo type="percent" val="0"/>
        <cfvo type="num" val="0"/>
        <cfvo type="num" val="0"/>
      </iconSet>
    </cfRule>
  </conditionalFormatting>
  <conditionalFormatting sqref="M16:V17">
    <cfRule type="iconSet" priority="1413">
      <iconSet iconSet="3Symbols2" showValue="0">
        <cfvo type="percent" val="0"/>
        <cfvo type="num" val="0"/>
        <cfvo type="num" val="0"/>
      </iconSet>
    </cfRule>
    <cfRule type="iconSet" priority="1412">
      <iconSet iconSet="3Symbols2" showValue="0">
        <cfvo type="percent" val="0"/>
        <cfvo type="num" val="0"/>
        <cfvo type="num" val="0"/>
      </iconSet>
    </cfRule>
  </conditionalFormatting>
  <conditionalFormatting sqref="N4:O4">
    <cfRule type="iconSet" priority="21">
      <iconSet iconSet="3Symbols2" showValue="0">
        <cfvo type="percent" val="0"/>
        <cfvo type="num" val="0"/>
        <cfvo type="num" val="0"/>
      </iconSet>
    </cfRule>
  </conditionalFormatting>
  <conditionalFormatting sqref="N15:O15">
    <cfRule type="iconSet" priority="55">
      <iconSet iconSet="3Symbols2" showValue="0">
        <cfvo type="percent" val="0"/>
        <cfvo type="num" val="0"/>
        <cfvo type="num" val="0"/>
      </iconSet>
    </cfRule>
  </conditionalFormatting>
  <conditionalFormatting sqref="O4:V4 Z4 AB4:AG4">
    <cfRule type="cellIs" dxfId="1" priority="10" operator="greaterThan">
      <formula>0</formula>
    </cfRule>
  </conditionalFormatting>
  <conditionalFormatting sqref="O15:V15 Z15 AB15:AG15">
    <cfRule type="cellIs" dxfId="0" priority="44" operator="greaterThan">
      <formula>0</formula>
    </cfRule>
  </conditionalFormatting>
  <conditionalFormatting sqref="P4">
    <cfRule type="iconSet" priority="20">
      <iconSet iconSet="3Symbols2" showValue="0">
        <cfvo type="percent" val="0"/>
        <cfvo type="num" val="0"/>
        <cfvo type="num" val="0"/>
      </iconSet>
    </cfRule>
  </conditionalFormatting>
  <conditionalFormatting sqref="P15">
    <cfRule type="iconSet" priority="54">
      <iconSet iconSet="3Symbols2" showValue="0">
        <cfvo type="percent" val="0"/>
        <cfvo type="num" val="0"/>
        <cfvo type="num" val="0"/>
      </iconSet>
    </cfRule>
  </conditionalFormatting>
  <conditionalFormatting sqref="Q4">
    <cfRule type="iconSet" priority="31">
      <iconSet iconSet="3Symbols2" showValue="0">
        <cfvo type="percent" val="0"/>
        <cfvo type="num" val="0"/>
        <cfvo type="num" val="0"/>
      </iconSet>
    </cfRule>
  </conditionalFormatting>
  <conditionalFormatting sqref="Q15">
    <cfRule type="iconSet" priority="65">
      <iconSet iconSet="3Symbols2" showValue="0">
        <cfvo type="percent" val="0"/>
        <cfvo type="num" val="0"/>
        <cfvo type="num" val="0"/>
      </iconSet>
    </cfRule>
  </conditionalFormatting>
  <conditionalFormatting sqref="R4">
    <cfRule type="iconSet" priority="19">
      <iconSet iconSet="3Symbols2" showValue="0">
        <cfvo type="percent" val="0"/>
        <cfvo type="num" val="0"/>
        <cfvo type="num" val="0"/>
      </iconSet>
    </cfRule>
  </conditionalFormatting>
  <conditionalFormatting sqref="R15">
    <cfRule type="iconSet" priority="53">
      <iconSet iconSet="3Symbols2" showValue="0">
        <cfvo type="percent" val="0"/>
        <cfvo type="num" val="0"/>
        <cfvo type="num" val="0"/>
      </iconSet>
    </cfRule>
  </conditionalFormatting>
  <conditionalFormatting sqref="S4">
    <cfRule type="iconSet" priority="18">
      <iconSet iconSet="3Symbols2" showValue="0">
        <cfvo type="percent" val="0"/>
        <cfvo type="num" val="0"/>
        <cfvo type="num" val="0"/>
      </iconSet>
    </cfRule>
  </conditionalFormatting>
  <conditionalFormatting sqref="S15">
    <cfRule type="iconSet" priority="52">
      <iconSet iconSet="3Symbols2" showValue="0">
        <cfvo type="percent" val="0"/>
        <cfvo type="num" val="0"/>
        <cfvo type="num" val="0"/>
      </iconSet>
    </cfRule>
  </conditionalFormatting>
  <conditionalFormatting sqref="T4">
    <cfRule type="iconSet" priority="22">
      <iconSet iconSet="3Symbols2" showValue="0">
        <cfvo type="percent" val="0"/>
        <cfvo type="num" val="0"/>
        <cfvo type="num" val="0"/>
      </iconSet>
    </cfRule>
  </conditionalFormatting>
  <conditionalFormatting sqref="T15">
    <cfRule type="iconSet" priority="56">
      <iconSet iconSet="3Symbols2" showValue="0">
        <cfvo type="percent" val="0"/>
        <cfvo type="num" val="0"/>
        <cfvo type="num" val="0"/>
      </iconSet>
    </cfRule>
  </conditionalFormatting>
  <conditionalFormatting sqref="U4">
    <cfRule type="iconSet" priority="23">
      <iconSet iconSet="3Symbols2" showValue="0">
        <cfvo type="percent" val="0"/>
        <cfvo type="num" val="0"/>
        <cfvo type="num" val="0"/>
      </iconSet>
    </cfRule>
  </conditionalFormatting>
  <conditionalFormatting sqref="U15">
    <cfRule type="iconSet" priority="57">
      <iconSet iconSet="3Symbols2" showValue="0">
        <cfvo type="percent" val="0"/>
        <cfvo type="num" val="0"/>
        <cfvo type="num" val="0"/>
      </iconSet>
    </cfRule>
  </conditionalFormatting>
  <conditionalFormatting sqref="V4">
    <cfRule type="iconSet" priority="24">
      <iconSet iconSet="3Symbols2" showValue="0">
        <cfvo type="percent" val="0"/>
        <cfvo type="num" val="0"/>
        <cfvo type="num" val="0"/>
      </iconSet>
    </cfRule>
  </conditionalFormatting>
  <conditionalFormatting sqref="V15">
    <cfRule type="iconSet" priority="58">
      <iconSet iconSet="3Symbols2" showValue="0">
        <cfvo type="percent" val="0"/>
        <cfvo type="num" val="0"/>
        <cfvo type="num" val="0"/>
      </iconSet>
    </cfRule>
  </conditionalFormatting>
  <conditionalFormatting sqref="W5:AF5">
    <cfRule type="iconSet" priority="34">
      <iconSet iconSet="3Symbols2" showValue="0">
        <cfvo type="percent" val="0"/>
        <cfvo type="num" val="0"/>
        <cfvo type="num" val="0"/>
      </iconSet>
    </cfRule>
    <cfRule type="iconSet" priority="33">
      <iconSet iconSet="3Symbols2" showValue="0">
        <cfvo type="percent" val="0"/>
        <cfvo type="num" val="0"/>
        <cfvo type="num" val="0"/>
      </iconSet>
    </cfRule>
  </conditionalFormatting>
  <conditionalFormatting sqref="W6:AF6">
    <cfRule type="iconSet" priority="4">
      <iconSet iconSet="3Symbols2" showValue="0">
        <cfvo type="percent" val="0"/>
        <cfvo type="num" val="0"/>
        <cfvo type="num" val="0"/>
      </iconSet>
    </cfRule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W7:AF14">
    <cfRule type="iconSet" priority="1444">
      <iconSet iconSet="3Symbols2" showValue="0">
        <cfvo type="percent" val="0"/>
        <cfvo type="num" val="0"/>
        <cfvo type="num" val="0"/>
      </iconSet>
    </cfRule>
    <cfRule type="iconSet" priority="1445">
      <iconSet iconSet="3Symbols2" showValue="0">
        <cfvo type="percent" val="0"/>
        <cfvo type="num" val="0"/>
        <cfvo type="num" val="0"/>
      </iconSet>
    </cfRule>
  </conditionalFormatting>
  <conditionalFormatting sqref="W16:AF17">
    <cfRule type="iconSet" priority="1414">
      <iconSet iconSet="3Symbols2" showValue="0">
        <cfvo type="percent" val="0"/>
        <cfvo type="num" val="0"/>
        <cfvo type="num" val="0"/>
      </iconSet>
    </cfRule>
    <cfRule type="iconSet" priority="1415">
      <iconSet iconSet="3Symbols2" showValue="0">
        <cfvo type="percent" val="0"/>
        <cfvo type="num" val="0"/>
        <cfvo type="num" val="0"/>
      </iconSet>
    </cfRule>
  </conditionalFormatting>
  <conditionalFormatting sqref="Y4:Z4">
    <cfRule type="iconSet" priority="32">
      <iconSet iconSet="3Symbols2" showValue="0">
        <cfvo type="percent" val="0"/>
        <cfvo type="num" val="0"/>
        <cfvo type="num" val="0"/>
      </iconSet>
    </cfRule>
  </conditionalFormatting>
  <conditionalFormatting sqref="Y15:Z15">
    <cfRule type="iconSet" priority="66">
      <iconSet iconSet="3Symbols2" showValue="0">
        <cfvo type="percent" val="0"/>
        <cfvo type="num" val="0"/>
        <cfvo type="num" val="0"/>
      </iconSet>
    </cfRule>
  </conditionalFormatting>
  <conditionalFormatting sqref="AA4">
    <cfRule type="iconSet" priority="14">
      <iconSet iconSet="3Symbols2" showValue="0">
        <cfvo type="percent" val="0"/>
        <cfvo type="num" val="0"/>
        <cfvo type="num" val="0"/>
      </iconSet>
    </cfRule>
  </conditionalFormatting>
  <conditionalFormatting sqref="AA15">
    <cfRule type="iconSet" priority="48">
      <iconSet iconSet="3Symbols2" showValue="0">
        <cfvo type="percent" val="0"/>
        <cfvo type="num" val="0"/>
        <cfvo type="num" val="0"/>
      </iconSet>
    </cfRule>
  </conditionalFormatting>
  <conditionalFormatting sqref="AB4">
    <cfRule type="iconSet" priority="13">
      <iconSet iconSet="3Symbols2" showValue="0">
        <cfvo type="percent" val="0"/>
        <cfvo type="num" val="0"/>
        <cfvo type="num" val="0"/>
      </iconSet>
    </cfRule>
  </conditionalFormatting>
  <conditionalFormatting sqref="AB15">
    <cfRule type="iconSet" priority="47">
      <iconSet iconSet="3Symbols2" showValue="0">
        <cfvo type="percent" val="0"/>
        <cfvo type="num" val="0"/>
        <cfvo type="num" val="0"/>
      </iconSet>
    </cfRule>
  </conditionalFormatting>
  <conditionalFormatting sqref="AC4">
    <cfRule type="iconSet" priority="12">
      <iconSet iconSet="3Symbols2" showValue="0">
        <cfvo type="percent" val="0"/>
        <cfvo type="num" val="0"/>
        <cfvo type="num" val="0"/>
      </iconSet>
    </cfRule>
  </conditionalFormatting>
  <conditionalFormatting sqref="AC15">
    <cfRule type="iconSet" priority="46">
      <iconSet iconSet="3Symbols2" showValue="0">
        <cfvo type="percent" val="0"/>
        <cfvo type="num" val="0"/>
        <cfvo type="num" val="0"/>
      </iconSet>
    </cfRule>
  </conditionalFormatting>
  <conditionalFormatting sqref="AD4">
    <cfRule type="iconSet" priority="11">
      <iconSet iconSet="3Symbols2" showValue="0">
        <cfvo type="percent" val="0"/>
        <cfvo type="num" val="0"/>
        <cfvo type="num" val="0"/>
      </iconSet>
    </cfRule>
  </conditionalFormatting>
  <conditionalFormatting sqref="AD15">
    <cfRule type="iconSet" priority="45">
      <iconSet iconSet="3Symbols2" showValue="0">
        <cfvo type="percent" val="0"/>
        <cfvo type="num" val="0"/>
        <cfvo type="num" val="0"/>
      </iconSet>
    </cfRule>
  </conditionalFormatting>
  <conditionalFormatting sqref="AE4">
    <cfRule type="iconSet" priority="15">
      <iconSet iconSet="3Symbols2" showValue="0">
        <cfvo type="percent" val="0"/>
        <cfvo type="num" val="0"/>
        <cfvo type="num" val="0"/>
      </iconSet>
    </cfRule>
  </conditionalFormatting>
  <conditionalFormatting sqref="AE15">
    <cfRule type="iconSet" priority="49">
      <iconSet iconSet="3Symbols2" showValue="0">
        <cfvo type="percent" val="0"/>
        <cfvo type="num" val="0"/>
        <cfvo type="num" val="0"/>
      </iconSet>
    </cfRule>
  </conditionalFormatting>
  <conditionalFormatting sqref="AF4">
    <cfRule type="iconSet" priority="16">
      <iconSet iconSet="3Symbols2" showValue="0">
        <cfvo type="percent" val="0"/>
        <cfvo type="num" val="0"/>
        <cfvo type="num" val="0"/>
      </iconSet>
    </cfRule>
  </conditionalFormatting>
  <conditionalFormatting sqref="AF15">
    <cfRule type="iconSet" priority="50">
      <iconSet iconSet="3Symbols2" showValue="0">
        <cfvo type="percent" val="0"/>
        <cfvo type="num" val="0"/>
        <cfvo type="num" val="0"/>
      </iconSet>
    </cfRule>
  </conditionalFormatting>
  <conditionalFormatting sqref="AG4">
    <cfRule type="iconSet" priority="17">
      <iconSet iconSet="3Symbols2" showValue="0">
        <cfvo type="percent" val="0"/>
        <cfvo type="num" val="0"/>
        <cfvo type="num" val="0"/>
      </iconSet>
    </cfRule>
  </conditionalFormatting>
  <conditionalFormatting sqref="AG5:AG14">
    <cfRule type="iconSet" priority="1446">
      <iconSet iconSet="3Symbols2" showValue="0">
        <cfvo type="percent" val="0"/>
        <cfvo type="num" val="0"/>
        <cfvo type="num" val="0"/>
      </iconSet>
    </cfRule>
  </conditionalFormatting>
  <conditionalFormatting sqref="AG15">
    <cfRule type="iconSet" priority="51">
      <iconSet iconSet="3Symbols2" showValue="0">
        <cfvo type="percent" val="0"/>
        <cfvo type="num" val="0"/>
        <cfvo type="num" val="0"/>
      </iconSet>
    </cfRule>
  </conditionalFormatting>
  <conditionalFormatting sqref="AG16:AG17">
    <cfRule type="iconSet" priority="1416">
      <iconSet iconSet="3Symbols2" showValue="0">
        <cfvo type="percent" val="0"/>
        <cfvo type="num" val="0"/>
        <cfvo type="num" val="0"/>
      </iconSet>
    </cfRule>
  </conditionalFormatting>
  <conditionalFormatting sqref="AH4">
    <cfRule type="iconSet" priority="25">
      <iconSet iconSet="3Symbols2" showValue="0">
        <cfvo type="percent" val="0"/>
        <cfvo type="num" val="0"/>
        <cfvo type="num" val="0"/>
      </iconSet>
    </cfRule>
  </conditionalFormatting>
  <conditionalFormatting sqref="AH15">
    <cfRule type="iconSet" priority="59">
      <iconSet iconSet="3Symbols2" showValue="0">
        <cfvo type="percent" val="0"/>
        <cfvo type="num" val="0"/>
        <cfvo type="num" val="0"/>
      </iconSet>
    </cfRule>
  </conditionalFormatting>
  <conditionalFormatting sqref="AI4">
    <cfRule type="iconSet" priority="26">
      <iconSet iconSet="3Symbols2" showValue="0">
        <cfvo type="percent" val="0"/>
        <cfvo type="num" val="0"/>
        <cfvo type="num" val="0"/>
      </iconSet>
    </cfRule>
  </conditionalFormatting>
  <conditionalFormatting sqref="AI15">
    <cfRule type="iconSet" priority="60">
      <iconSet iconSet="3Symbols2" showValue="0">
        <cfvo type="percent" val="0"/>
        <cfvo type="num" val="0"/>
        <cfvo type="num" val="0"/>
      </iconSet>
    </cfRule>
  </conditionalFormatting>
  <conditionalFormatting sqref="AJ4">
    <cfRule type="iconSet" priority="27">
      <iconSet iconSet="3Symbols2" showValue="0">
        <cfvo type="percent" val="0"/>
        <cfvo type="num" val="0"/>
        <cfvo type="num" val="0"/>
      </iconSet>
    </cfRule>
  </conditionalFormatting>
  <conditionalFormatting sqref="AJ15">
    <cfRule type="iconSet" priority="61">
      <iconSet iconSet="3Symbols2" showValue="0">
        <cfvo type="percent" val="0"/>
        <cfvo type="num" val="0"/>
        <cfvo type="num" val="0"/>
      </iconSet>
    </cfRule>
  </conditionalFormatting>
  <conditionalFormatting sqref="AK4">
    <cfRule type="iconSet" priority="28">
      <iconSet iconSet="3Symbols2" showValue="0">
        <cfvo type="percent" val="0"/>
        <cfvo type="num" val="0"/>
        <cfvo type="num" val="0"/>
      </iconSet>
    </cfRule>
  </conditionalFormatting>
  <conditionalFormatting sqref="AK15">
    <cfRule type="iconSet" priority="62">
      <iconSet iconSet="3Symbols2" showValue="0">
        <cfvo type="percent" val="0"/>
        <cfvo type="num" val="0"/>
        <cfvo type="num" val="0"/>
      </iconSet>
    </cfRule>
  </conditionalFormatting>
  <conditionalFormatting sqref="AL4">
    <cfRule type="iconSet" priority="29">
      <iconSet iconSet="3Symbols2" showValue="0">
        <cfvo type="percent" val="0"/>
        <cfvo type="num" val="0"/>
        <cfvo type="num" val="0"/>
      </iconSet>
    </cfRule>
  </conditionalFormatting>
  <conditionalFormatting sqref="AL15">
    <cfRule type="iconSet" priority="63">
      <iconSet iconSet="3Symbols2" showValue="0">
        <cfvo type="percent" val="0"/>
        <cfvo type="num" val="0"/>
        <cfvo type="num" val="0"/>
      </iconSet>
    </cfRule>
  </conditionalFormatting>
  <conditionalFormatting sqref="AM4">
    <cfRule type="iconSet" priority="30">
      <iconSet iconSet="3Symbols2" showValue="0">
        <cfvo type="percent" val="0"/>
        <cfvo type="num" val="0"/>
        <cfvo type="num" val="0"/>
      </iconSet>
    </cfRule>
  </conditionalFormatting>
  <conditionalFormatting sqref="AM15">
    <cfRule type="iconSet" priority="64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D897DA54605B49B405063084F36B18" ma:contentTypeVersion="20" ma:contentTypeDescription="Create a new document." ma:contentTypeScope="" ma:versionID="8e49a77346c11593ab61173684718027">
  <xsd:schema xmlns:xsd="http://www.w3.org/2001/XMLSchema" xmlns:xs="http://www.w3.org/2001/XMLSchema" xmlns:p="http://schemas.microsoft.com/office/2006/metadata/properties" xmlns:ns2="49aa8661-6080-4b43-bc71-085039b820b1" xmlns:ns3="1c3b6138-399c-48b0-9249-b80d30773e06" targetNamespace="http://schemas.microsoft.com/office/2006/metadata/properties" ma:root="true" ma:fieldsID="09eda505c641c40898b9000e5b821d33" ns2:_="" ns3:_="">
    <xsd:import namespace="49aa8661-6080-4b43-bc71-085039b820b1"/>
    <xsd:import namespace="1c3b6138-399c-48b0-9249-b80d30773e06"/>
    <xsd:element name="properties">
      <xsd:complexType>
        <xsd:sequence>
          <xsd:element name="documentManagement">
            <xsd:complexType>
              <xsd:all>
                <xsd:element ref="ns2:Project_x0020_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Dat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aa8661-6080-4b43-bc71-085039b820b1" elementFormDefault="qualified">
    <xsd:import namespace="http://schemas.microsoft.com/office/2006/documentManagement/types"/>
    <xsd:import namespace="http://schemas.microsoft.com/office/infopath/2007/PartnerControls"/>
    <xsd:element name="Project_x0020_ID" ma:index="8" nillable="true" ma:displayName="Project ID" ma:description="Choose the project this file belongs to." ma:format="Dropdown" ma:internalName="Project_x0020_ID">
      <xsd:simpleType>
        <xsd:restriction base="dms:Choice">
          <xsd:enumeration value="0053"/>
          <xsd:enumeration value="53P2"/>
          <xsd:enumeration value="0056"/>
          <xsd:enumeration value="0057"/>
          <xsd:enumeration value="0059"/>
          <xsd:enumeration value="0063"/>
          <xsd:enumeration value="0064"/>
          <xsd:enumeration value="0065"/>
          <xsd:enumeration value="0066"/>
          <xsd:enumeration value="0068"/>
          <xsd:enumeration value="0072"/>
          <xsd:enumeration value="0072P2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_x0020_ID xmlns="49aa8661-6080-4b43-bc71-085039b820b1" xsi:nil="true"/>
    <lcf76f155ced4ddcb4097134ff3c332f xmlns="49aa8661-6080-4b43-bc71-085039b820b1">
      <Terms xmlns="http://schemas.microsoft.com/office/infopath/2007/PartnerControls"/>
    </lcf76f155ced4ddcb4097134ff3c332f>
    <TaxCatchAll xmlns="1c3b6138-399c-48b0-9249-b80d30773e06" xsi:nil="true"/>
    <SharedWithUsers xmlns="1c3b6138-399c-48b0-9249-b80d30773e06">
      <UserInfo>
        <DisplayName>PMO</DisplayName>
        <AccountId>7</AccountId>
        <AccountType/>
      </UserInfo>
    </SharedWithUsers>
    <Date xmlns="49aa8661-6080-4b43-bc71-085039b820b1" xsi:nil="true"/>
  </documentManagement>
</p:properties>
</file>

<file path=customXml/itemProps1.xml><?xml version="1.0" encoding="utf-8"?>
<ds:datastoreItem xmlns:ds="http://schemas.openxmlformats.org/officeDocument/2006/customXml" ds:itemID="{9D4FA878-BDFD-4707-9640-4CF42F9B1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aa8661-6080-4b43-bc71-085039b820b1"/>
    <ds:schemaRef ds:uri="1c3b6138-399c-48b0-9249-b80d30773e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D9137E-034D-4EDD-857C-F87390EDE8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BE29D1-C0ED-4895-B2C1-F154D7A3B884}">
  <ds:schemaRefs>
    <ds:schemaRef ds:uri="http://schemas.microsoft.com/office/2006/metadata/properties"/>
    <ds:schemaRef ds:uri="http://schemas.microsoft.com/office/infopath/2007/PartnerControls"/>
    <ds:schemaRef ds:uri="49aa8661-6080-4b43-bc71-085039b820b1"/>
    <ds:schemaRef ds:uri="1c3b6138-399c-48b0-9249-b80d30773e06"/>
  </ds:schemaRefs>
</ds:datastoreItem>
</file>

<file path=docMetadata/LabelInfo.xml><?xml version="1.0" encoding="utf-8"?>
<clbl:labelList xmlns:clbl="http://schemas.microsoft.com/office/2020/mipLabelMetadata">
  <clbl:label id="{83f557ba-ddb4-497b-8590-9541f498e808}" enabled="0" method="" siteId="{83f557ba-ddb4-497b-8590-9541f498e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Assumption Cost</vt:lpstr>
      <vt:lpstr>Design Fee</vt:lpstr>
      <vt:lpstr>Packages deliverables</vt:lpstr>
      <vt:lpstr>BOQ cost</vt:lpstr>
      <vt:lpstr>Drawing list | MP &amp; AR</vt:lpstr>
      <vt:lpstr>Drawing list | ST</vt:lpstr>
      <vt:lpstr>Drawing list | MEP</vt:lpstr>
      <vt:lpstr>'Design Fee'!Print_Area</vt:lpstr>
      <vt:lpstr>'Design Fee'!Print_Titles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Suchita Shrich Sharma</dc:creator>
  <cp:keywords/>
  <dc:description/>
  <cp:lastModifiedBy>Ishu Chouhan</cp:lastModifiedBy>
  <cp:revision/>
  <dcterms:created xsi:type="dcterms:W3CDTF">2022-11-03T05:22:55Z</dcterms:created>
  <dcterms:modified xsi:type="dcterms:W3CDTF">2026-09-08T06:19:08Z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0x010100FDD897DA54605B49B405063084F36B18</vt:lpwstr>
  </property>
  <property fmtid="{D5CDD505-2E9C-101B-9397-08002B2CF9AE}" pid="3" name="MediaServiceImageTags">
    <vt:lpwstr/>
  </property>
</Properties>
</file>