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923" documentId="8_{D8E1625F-4D28-4686-A410-34FEEFCBE094}" xr6:coauthVersionLast="47" xr6:coauthVersionMax="47" xr10:uidLastSave="{039D1929-EA45-4C42-9213-5A4164C33404}"/>
  <bookViews>
    <workbookView xWindow="-110" yWindow="-110" windowWidth="19420" windowHeight="11500" xr2:uid="{AD2290AE-6F6A-46B0-AC77-868CA61745E7}"/>
  </bookViews>
  <sheets>
    <sheet name="Goals FY 26-27Q3" sheetId="1" r:id="rId1"/>
    <sheet name="Pkgs Summary Phase 1(Status)" sheetId="2" r:id="rId2"/>
    <sheet name="Pkgs Summary Phase 2B (Status)" sheetId="5" r:id="rId3"/>
    <sheet name="Pkgs Summary Phase 2C (Status)" sheetId="7" r:id="rId4"/>
  </sheets>
  <definedNames>
    <definedName name="_" localSheetId="1" hidden="1">#REF!</definedName>
    <definedName name="_" localSheetId="2" hidden="1">#REF!</definedName>
    <definedName name="_" localSheetId="3" hidden="1">#REF!</definedName>
    <definedName name="_" hidden="1">#REF!</definedName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hidden="1">#REF!</definedName>
    <definedName name="__123Graph_B" localSheetId="1" hidden="1">#REF!</definedName>
    <definedName name="__123Graph_B" localSheetId="2" hidden="1">#REF!</definedName>
    <definedName name="__123Graph_B" localSheetId="3" hidden="1">#REF!</definedName>
    <definedName name="__123Graph_B" hidden="1">#REF!</definedName>
    <definedName name="__123Graph_C" localSheetId="1" hidden="1">#REF!</definedName>
    <definedName name="__123Graph_C" localSheetId="2" hidden="1">#REF!</definedName>
    <definedName name="__123Graph_C" localSheetId="3" hidden="1">#REF!</definedName>
    <definedName name="__123Graph_C" hidden="1">#REF!</definedName>
    <definedName name="__123Graph_D" localSheetId="1" hidden="1">#REF!</definedName>
    <definedName name="__123Graph_D" localSheetId="2" hidden="1">#REF!</definedName>
    <definedName name="__123Graph_D" localSheetId="3" hidden="1">#REF!</definedName>
    <definedName name="__123Graph_D" hidden="1">#REF!</definedName>
    <definedName name="__123Graph_E" localSheetId="1" hidden="1">#REF!</definedName>
    <definedName name="__123Graph_E" localSheetId="2" hidden="1">#REF!</definedName>
    <definedName name="__123Graph_E" localSheetId="3" hidden="1">#REF!</definedName>
    <definedName name="__123Graph_E" hidden="1">#REF!</definedName>
    <definedName name="__123Graph_F" localSheetId="1" hidden="1">#REF!</definedName>
    <definedName name="__123Graph_F" localSheetId="2" hidden="1">#REF!</definedName>
    <definedName name="__123Graph_F" localSheetId="3" hidden="1">#REF!</definedName>
    <definedName name="__123Graph_F" hidden="1">#REF!</definedName>
    <definedName name="__123Graph_X" localSheetId="1" hidden="1">#REF!</definedName>
    <definedName name="__123Graph_X" localSheetId="2" hidden="1">#REF!</definedName>
    <definedName name="__123Graph_X" localSheetId="3" hidden="1">#REF!</definedName>
    <definedName name="__123Graph_X" hidden="1">#REF!</definedName>
    <definedName name="__IntlFixup" hidden="1">TRUE</definedName>
    <definedName name="_c" localSheetId="1" hidden="1">#REF!</definedName>
    <definedName name="_c" localSheetId="2" hidden="1">#REF!</definedName>
    <definedName name="_c" localSheetId="3" hidden="1">#REF!</definedName>
    <definedName name="_c" hidden="1">#REF!</definedName>
    <definedName name="_Dist_Bin" localSheetId="1" hidden="1">#REF!</definedName>
    <definedName name="_Dist_Bin" localSheetId="2" hidden="1">#REF!</definedName>
    <definedName name="_Dist_Bin" localSheetId="3" hidden="1">#REF!</definedName>
    <definedName name="_Dist_Bin" hidden="1">#REF!</definedName>
    <definedName name="_Dist_Values" localSheetId="1" hidden="1">#REF!</definedName>
    <definedName name="_Dist_Values" localSheetId="2" hidden="1">#REF!</definedName>
    <definedName name="_Dist_Values" localSheetId="3" hidden="1">#REF!</definedName>
    <definedName name="_Dist_Values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xlnm._FilterDatabase" localSheetId="0">'Goals FY 26-27Q3'!$B$4:$AA$130</definedName>
    <definedName name="_xlnm._FilterDatabase" localSheetId="1" hidden="1">'Pkgs Summary Phase 1(Status)'!#REF!</definedName>
    <definedName name="_xlnm._FilterDatabase" localSheetId="2" hidden="1">'Pkgs Summary Phase 2B (Status)'!#REF!</definedName>
    <definedName name="_xlnm._FilterDatabase" localSheetId="3" hidden="1">'Pkgs Summary Phase 2C (Status)'!#REF!</definedName>
    <definedName name="_xlnm._FilterDatabase" hidden="1">#REF!</definedName>
    <definedName name="_Goal_New" localSheetId="1" hidden="1">#REF!</definedName>
    <definedName name="_Goal_New" localSheetId="2" hidden="1">#REF!</definedName>
    <definedName name="_Goal_New" localSheetId="3" hidden="1">#REF!</definedName>
    <definedName name="_Goal_New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Parse_In" localSheetId="1" hidden="1">#REF!</definedName>
    <definedName name="_Parse_In" localSheetId="2" hidden="1">#REF!</definedName>
    <definedName name="_Parse_In" localSheetId="3" hidden="1">#REF!</definedName>
    <definedName name="_Parse_In" hidden="1">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2" hidden="1">#REF!</definedName>
    <definedName name="_Sort" localSheetId="3" hidden="1">#REF!</definedName>
    <definedName name="_Sort" hidden="1">#REF!</definedName>
    <definedName name="_Table2_In1" localSheetId="1" hidden="1">#REF!</definedName>
    <definedName name="_Table2_In1" localSheetId="2" hidden="1">#REF!</definedName>
    <definedName name="_Table2_In1" localSheetId="3" hidden="1">#REF!</definedName>
    <definedName name="_Table2_In1" hidden="1">#REF!</definedName>
    <definedName name="_Table2_In2" localSheetId="1" hidden="1">#REF!</definedName>
    <definedName name="_Table2_In2" localSheetId="2" hidden="1">#REF!</definedName>
    <definedName name="_Table2_In2" localSheetId="3" hidden="1">#REF!</definedName>
    <definedName name="_Table2_In2" hidden="1">#REF!</definedName>
    <definedName name="_Table2_Out" localSheetId="1" hidden="1">#REF!</definedName>
    <definedName name="_Table2_Out" localSheetId="2" hidden="1">#REF!</definedName>
    <definedName name="_Table2_Out" localSheetId="3" hidden="1">#REF!</definedName>
    <definedName name="_Table2_Out" hidden="1">#REF!</definedName>
    <definedName name="_Table3_In2" localSheetId="1" hidden="1">#REF!</definedName>
    <definedName name="_Table3_In2" localSheetId="2" hidden="1">#REF!</definedName>
    <definedName name="_Table3_In2" localSheetId="3" hidden="1">#REF!</definedName>
    <definedName name="_Table3_In2" hidden="1">#REF!</definedName>
    <definedName name="AccessDatabase" hidden="1">"W:\2000-01 Srb\March 2001\Lease Payments\outstanding lease.mdb"</definedName>
    <definedName name="ALupro" localSheetId="1" hidden="1">{"BSSCHA4",#N/A,FALSE,"sch bs"}</definedName>
    <definedName name="ALupro" localSheetId="2" hidden="1">{"BSSCHA4",#N/A,FALSE,"sch bs"}</definedName>
    <definedName name="ALupro" localSheetId="3" hidden="1">{"BSSCHA4",#N/A,FALSE,"sch bs"}</definedName>
    <definedName name="ALupro" hidden="1">{"BSSCHA4",#N/A,FALSE,"sch bs"}</definedName>
    <definedName name="ALupro0" localSheetId="1" hidden="1">{"BSSCHA4",#N/A,FALSE,"sch bs"}</definedName>
    <definedName name="ALupro0" localSheetId="2" hidden="1">{"BSSCHA4",#N/A,FALSE,"sch bs"}</definedName>
    <definedName name="ALupro0" localSheetId="3" hidden="1">{"BSSCHA4",#N/A,FALSE,"sch bs"}</definedName>
    <definedName name="ALupro0" hidden="1">{"BSSCHA4",#N/A,FALSE,"sch bs"}</definedName>
    <definedName name="annexure" localSheetId="1" hidden="1">{"BSSCHA4",#N/A,FALSE,"sch bs"}</definedName>
    <definedName name="annexure" localSheetId="2" hidden="1">{"BSSCHA4",#N/A,FALSE,"sch bs"}</definedName>
    <definedName name="annexure" localSheetId="3" hidden="1">{"BSSCHA4",#N/A,FALSE,"sch bs"}</definedName>
    <definedName name="annexure" hidden="1">{"BSSCHA4",#N/A,FALSE,"sch bs"}</definedName>
    <definedName name="annexure_1" localSheetId="1" hidden="1">{"BSSCHA4",#N/A,FALSE,"sch bs"}</definedName>
    <definedName name="annexure_1" localSheetId="2" hidden="1">{"BSSCHA4",#N/A,FALSE,"sch bs"}</definedName>
    <definedName name="annexure_1" localSheetId="3" hidden="1">{"BSSCHA4",#N/A,FALSE,"sch bs"}</definedName>
    <definedName name="annexure_1" hidden="1">{"BSSCHA4",#N/A,FALSE,"sch bs"}</definedName>
    <definedName name="as" localSheetId="1" hidden="1">#REF!</definedName>
    <definedName name="as" localSheetId="2" hidden="1">#REF!</definedName>
    <definedName name="as" localSheetId="3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localSheetId="1" hidden="1">#REF!</definedName>
    <definedName name="AS2StaticLS" localSheetId="2" hidden="1">#REF!</definedName>
    <definedName name="AS2StaticLS" localSheetId="3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localSheetId="2" hidden="1">#REF!</definedName>
    <definedName name="AS2TickmarkLS" localSheetId="3" hidden="1">#REF!</definedName>
    <definedName name="AS2TickmarkLS" hidden="1">#REF!</definedName>
    <definedName name="AS2VersionLS" hidden="1">300</definedName>
    <definedName name="avneeep" localSheetId="1" hidden="1">{"A4BS",#N/A,FALSE,"bs"}</definedName>
    <definedName name="avneeep" localSheetId="2" hidden="1">{"A4BS",#N/A,FALSE,"bs"}</definedName>
    <definedName name="avneeep" localSheetId="3" hidden="1">{"A4BS",#N/A,FALSE,"bs"}</definedName>
    <definedName name="avneeep" hidden="1">{"A4BS",#N/A,FALSE,"bs"}</definedName>
    <definedName name="avneeep_1" localSheetId="1" hidden="1">{"A4BS",#N/A,FALSE,"bs"}</definedName>
    <definedName name="avneeep_1" localSheetId="2" hidden="1">{"A4BS",#N/A,FALSE,"bs"}</definedName>
    <definedName name="avneeep_1" localSheetId="3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localSheetId="1" hidden="1">#REF!</definedName>
    <definedName name="BLPH1" localSheetId="2" hidden="1">#REF!</definedName>
    <definedName name="BLPH1" localSheetId="3" hidden="1">#REF!</definedName>
    <definedName name="BLPH1" hidden="1">#REF!</definedName>
    <definedName name="CIQWBGuid" hidden="1">"e353c960-9a20-40e3-8480-874cea54de8e"</definedName>
    <definedName name="dde" localSheetId="1" hidden="1">#REF!</definedName>
    <definedName name="dde" localSheetId="2" hidden="1">#REF!</definedName>
    <definedName name="dde" localSheetId="3" hidden="1">#REF!</definedName>
    <definedName name="dde" hidden="1">#REF!</definedName>
    <definedName name="depn" localSheetId="1" hidden="1">#REF!</definedName>
    <definedName name="depn" localSheetId="2" hidden="1">#REF!</definedName>
    <definedName name="depn" localSheetId="3" hidden="1">#REF!</definedName>
    <definedName name="depn" hidden="1">#REF!</definedName>
    <definedName name="dist" localSheetId="1" hidden="1">#REF!</definedName>
    <definedName name="dist" localSheetId="2" hidden="1">#REF!</definedName>
    <definedName name="dist" localSheetId="3" hidden="1">#REF!</definedName>
    <definedName name="dist" hidden="1">#REF!</definedName>
    <definedName name="egdywmk" localSheetId="1" hidden="1">{"A4depsch",#N/A,FALSE,"fa&amp;dep"}</definedName>
    <definedName name="egdywmk" localSheetId="2" hidden="1">{"A4depsch",#N/A,FALSE,"fa&amp;dep"}</definedName>
    <definedName name="egdywmk" localSheetId="3" hidden="1">{"A4depsch",#N/A,FALSE,"fa&amp;dep"}</definedName>
    <definedName name="egdywmk" hidden="1">{"A4depsch",#N/A,FALSE,"fa&amp;dep"}</definedName>
    <definedName name="egdywmk_1" localSheetId="1" hidden="1">{"A4depsch",#N/A,FALSE,"fa&amp;dep"}</definedName>
    <definedName name="egdywmk_1" localSheetId="2" hidden="1">{"A4depsch",#N/A,FALSE,"fa&amp;dep"}</definedName>
    <definedName name="egdywmk_1" localSheetId="3" hidden="1">{"A4depsch",#N/A,FALSE,"fa&amp;dep"}</definedName>
    <definedName name="egdywmk_1" hidden="1">{"A4depsch",#N/A,FALSE,"fa&amp;dep"}</definedName>
    <definedName name="Empty" localSheetId="1" hidden="1">#REF!</definedName>
    <definedName name="Empty" localSheetId="2" hidden="1">#REF!</definedName>
    <definedName name="Empty" localSheetId="3" hidden="1">#REF!</definedName>
    <definedName name="Empty" hidden="1">#REF!</definedName>
    <definedName name="Empty1" localSheetId="1" hidden="1">#REF!</definedName>
    <definedName name="Empty1" localSheetId="2" hidden="1">#REF!</definedName>
    <definedName name="Empty1" localSheetId="3" hidden="1">#REF!</definedName>
    <definedName name="Empty1" hidden="1">#REF!</definedName>
    <definedName name="Empty2" localSheetId="1" hidden="1">#REF!</definedName>
    <definedName name="Empty2" localSheetId="2" hidden="1">#REF!</definedName>
    <definedName name="Empty2" localSheetId="3" hidden="1">#REF!</definedName>
    <definedName name="Empty2" hidden="1">#REF!</definedName>
    <definedName name="etc" localSheetId="1" hidden="1">#REF!</definedName>
    <definedName name="etc" localSheetId="2" hidden="1">#REF!</definedName>
    <definedName name="etc" localSheetId="3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localSheetId="1" hidden="1">#REF!</definedName>
    <definedName name="FA" localSheetId="2" hidden="1">#REF!</definedName>
    <definedName name="FA" localSheetId="3" hidden="1">#REF!</definedName>
    <definedName name="FA" hidden="1">#REF!</definedName>
    <definedName name="ffff" localSheetId="1" hidden="1">#REF!</definedName>
    <definedName name="ffff" localSheetId="2" hidden="1">#REF!</definedName>
    <definedName name="ffff" localSheetId="3" hidden="1">#REF!</definedName>
    <definedName name="ffff" hidden="1">#REF!</definedName>
    <definedName name="fffffffffffffffffffffffffffjjjjjj" localSheetId="1" hidden="1">#REF!</definedName>
    <definedName name="fffffffffffffffffffffffffffjjjjjj" localSheetId="2" hidden="1">#REF!</definedName>
    <definedName name="fffffffffffffffffffffffffffjjjjjj" localSheetId="3" hidden="1">#REF!</definedName>
    <definedName name="fffffffffffffffffffffffffffjjjjjj" hidden="1">#REF!</definedName>
    <definedName name="fgfg" localSheetId="1" hidden="1">#REF!</definedName>
    <definedName name="fgfg" localSheetId="2" hidden="1">#REF!</definedName>
    <definedName name="fgfg" localSheetId="3" hidden="1">#REF!</definedName>
    <definedName name="fgfg" hidden="1">#REF!</definedName>
    <definedName name="form3cd" localSheetId="1" hidden="1">#REF!</definedName>
    <definedName name="form3cd" localSheetId="2" hidden="1">#REF!</definedName>
    <definedName name="form3cd" localSheetId="3" hidden="1">#REF!</definedName>
    <definedName name="form3cd" hidden="1">#REF!</definedName>
    <definedName name="g" localSheetId="1" hidden="1">#REF!</definedName>
    <definedName name="g" localSheetId="2" hidden="1">#REF!</definedName>
    <definedName name="g" localSheetId="3" hidden="1">#REF!</definedName>
    <definedName name="g" hidden="1">#REF!</definedName>
    <definedName name="gallup" localSheetId="1" hidden="1">{"a4p&amp;L",#N/A,FALSE,"tr &amp; pl"}</definedName>
    <definedName name="gallup" localSheetId="2" hidden="1">{"a4p&amp;L",#N/A,FALSE,"tr &amp; pl"}</definedName>
    <definedName name="gallup" localSheetId="3" hidden="1">{"a4p&amp;L",#N/A,FALSE,"tr &amp; pl"}</definedName>
    <definedName name="gallup" hidden="1">{"a4p&amp;L",#N/A,FALSE,"tr &amp; pl"}</definedName>
    <definedName name="gallup_1" localSheetId="1" hidden="1">{"a4p&amp;L",#N/A,FALSE,"tr &amp; pl"}</definedName>
    <definedName name="gallup_1" localSheetId="2" hidden="1">{"a4p&amp;L",#N/A,FALSE,"tr &amp; pl"}</definedName>
    <definedName name="gallup_1" localSheetId="3" hidden="1">{"a4p&amp;L",#N/A,FALSE,"tr &amp; pl"}</definedName>
    <definedName name="gallup_1" hidden="1">{"a4p&amp;L",#N/A,FALSE,"tr &amp; pl"}</definedName>
    <definedName name="GDF" localSheetId="1" hidden="1">{#N/A,#N/A,FALSE,"COMP"}</definedName>
    <definedName name="GDF" localSheetId="2" hidden="1">{#N/A,#N/A,FALSE,"COMP"}</definedName>
    <definedName name="GDF" localSheetId="3" hidden="1">{#N/A,#N/A,FALSE,"COMP"}</definedName>
    <definedName name="GDF" hidden="1">{#N/A,#N/A,FALSE,"COMP"}</definedName>
    <definedName name="Goal" localSheetId="1" hidden="1">#REF!</definedName>
    <definedName name="Goal" localSheetId="2" hidden="1">#REF!</definedName>
    <definedName name="Goal" localSheetId="3" hidden="1">#REF!</definedName>
    <definedName name="Goal" hidden="1">#REF!</definedName>
    <definedName name="Goal_New" localSheetId="1" hidden="1">#REF!</definedName>
    <definedName name="Goal_New" localSheetId="2" hidden="1">#REF!</definedName>
    <definedName name="Goal_New" localSheetId="3" hidden="1">#REF!</definedName>
    <definedName name="Goal_New" hidden="1">#REF!</definedName>
    <definedName name="Goal_new1" localSheetId="1" hidden="1">#REF!</definedName>
    <definedName name="Goal_new1" localSheetId="2" hidden="1">#REF!</definedName>
    <definedName name="Goal_new1" localSheetId="3" hidden="1">#REF!</definedName>
    <definedName name="Goal_new1" hidden="1">#REF!</definedName>
    <definedName name="Goals_new" localSheetId="1" hidden="1">#REF!</definedName>
    <definedName name="Goals_new" localSheetId="2" hidden="1">#REF!</definedName>
    <definedName name="Goals_new" localSheetId="3" hidden="1">#REF!</definedName>
    <definedName name="Goals_new" hidden="1">#REF!</definedName>
    <definedName name="hgfhtr" localSheetId="1" hidden="1">{#N/A,#N/A,FALSE,"COMP"}</definedName>
    <definedName name="hgfhtr" localSheetId="2" hidden="1">{#N/A,#N/A,FALSE,"COMP"}</definedName>
    <definedName name="hgfhtr" localSheetId="3" hidden="1">{#N/A,#N/A,FALSE,"COMP"}</definedName>
    <definedName name="hgfhtr" hidden="1">{#N/A,#N/A,FALSE,"COMP"}</definedName>
    <definedName name="hgkh" localSheetId="1" hidden="1">{#N/A,#N/A,FALSE,"Aging Summary";#N/A,#N/A,FALSE,"Ratio Analysis";#N/A,#N/A,FALSE,"Test 120 Day Accts";#N/A,#N/A,FALSE,"Tickmarks"}</definedName>
    <definedName name="hgkh" localSheetId="2" hidden="1">{#N/A,#N/A,FALSE,"Aging Summary";#N/A,#N/A,FALSE,"Ratio Analysis";#N/A,#N/A,FALSE,"Test 120 Day Accts";#N/A,#N/A,FALSE,"Tickmarks"}</definedName>
    <definedName name="hgkh" localSheetId="3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1" hidden="1">{"'August 2000'!$A$1:$J$101"}</definedName>
    <definedName name="HTML_Control" localSheetId="2" hidden="1">{"'August 2000'!$A$1:$J$101"}</definedName>
    <definedName name="HTML_Control" localSheetId="3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localSheetId="1" hidden="1">#REF!</definedName>
    <definedName name="jay" localSheetId="2" hidden="1">#REF!</definedName>
    <definedName name="jay" localSheetId="3" hidden="1">#REF!</definedName>
    <definedName name="jay" hidden="1">#REF!</definedName>
    <definedName name="M" hidden="1">#REF!</definedName>
    <definedName name="PEDESTAL2" localSheetId="1" hidden="1">#REF!</definedName>
    <definedName name="PEDESTAL2" localSheetId="2" hidden="1">#REF!</definedName>
    <definedName name="PEDESTAL2" localSheetId="3" hidden="1">#REF!</definedName>
    <definedName name="PEDESTAL2" hidden="1">#REF!</definedName>
    <definedName name="_xlnm.Print_Area" localSheetId="1">'Pkgs Summary Phase 1(Status)'!#REF!</definedName>
    <definedName name="_xlnm.Print_Area" localSheetId="2">'Pkgs Summary Phase 2B (Status)'!#REF!</definedName>
    <definedName name="_xlnm.Print_Area" localSheetId="3">'Pkgs Summary Phase 2C (Status)'!#REF!</definedName>
    <definedName name="_xlnm.Print_Titles" localSheetId="0">'Goals FY 26-27Q3'!$2:$4</definedName>
    <definedName name="_xlnm.Print_Titles" localSheetId="1">'Pkgs Summary Phase 1(Status)'!$1:$7</definedName>
    <definedName name="_xlnm.Print_Titles" localSheetId="2">'Pkgs Summary Phase 2B (Status)'!$1:$7</definedName>
    <definedName name="_xlnm.Print_Titles" localSheetId="3">'Pkgs Summary Phase 2C (Status)'!$1:$7</definedName>
    <definedName name="Prof" localSheetId="1" hidden="1">#REF!</definedName>
    <definedName name="Prof" localSheetId="2" hidden="1">#REF!</definedName>
    <definedName name="Prof" localSheetId="3" hidden="1">#REF!</definedName>
    <definedName name="Prof" hidden="1">#REF!</definedName>
    <definedName name="q" localSheetId="1" hidden="1">#REF!</definedName>
    <definedName name="q" localSheetId="2" hidden="1">#REF!</definedName>
    <definedName name="q" localSheetId="3" hidden="1">#REF!</definedName>
    <definedName name="q" hidden="1">#REF!</definedName>
    <definedName name="sales1" localSheetId="1" hidden="1">{#N/A,#N/A,FALSE,"OPSTATE";#N/A,#N/A,FALSE,"BSLIABILITY";#N/A,#N/A,FALSE,"BSASSETS";#N/A,#N/A,FALSE,"Sheet1"}</definedName>
    <definedName name="sales1" localSheetId="2" hidden="1">{#N/A,#N/A,FALSE,"OPSTATE";#N/A,#N/A,FALSE,"BSLIABILITY";#N/A,#N/A,FALSE,"BSASSETS";#N/A,#N/A,FALSE,"Sheet1"}</definedName>
    <definedName name="sales1" localSheetId="3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1" hidden="1">{"A4depsch",#N/A,FALSE,"fa&amp;dep"}</definedName>
    <definedName name="salws2" localSheetId="2" hidden="1">{"A4depsch",#N/A,FALSE,"fa&amp;dep"}</definedName>
    <definedName name="salws2" localSheetId="3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localSheetId="1" hidden="1">#REF!</definedName>
    <definedName name="shp" localSheetId="2" hidden="1">#REF!</definedName>
    <definedName name="shp" localSheetId="3" hidden="1">#REF!</definedName>
    <definedName name="shp" hidden="1">#REF!</definedName>
    <definedName name="SORT1" localSheetId="1" hidden="1">#REF!</definedName>
    <definedName name="SORT1" localSheetId="2" hidden="1">#REF!</definedName>
    <definedName name="SORT1" localSheetId="3" hidden="1">#REF!</definedName>
    <definedName name="SORT1" hidden="1">#REF!</definedName>
    <definedName name="sss" localSheetId="1" hidden="1">{#N/A,#N/A,FALSE,"COMP"}</definedName>
    <definedName name="sss" localSheetId="2" hidden="1">{#N/A,#N/A,FALSE,"COMP"}</definedName>
    <definedName name="sss" localSheetId="3" hidden="1">{#N/A,#N/A,FALSE,"COMP"}</definedName>
    <definedName name="sss" hidden="1">{#N/A,#N/A,FALSE,"COMP"}</definedName>
    <definedName name="the" localSheetId="1" hidden="1">{#N/A,#N/A,FALSE,"COMP"}</definedName>
    <definedName name="the" localSheetId="2" hidden="1">{#N/A,#N/A,FALSE,"COMP"}</definedName>
    <definedName name="the" localSheetId="3" hidden="1">{#N/A,#N/A,FALSE,"COMP"}</definedName>
    <definedName name="the" hidden="1">{#N/A,#N/A,FALSE,"COMP"}</definedName>
    <definedName name="v" localSheetId="1" hidden="1">#REF!,#REF!</definedName>
    <definedName name="v" localSheetId="2" hidden="1">#REF!,#REF!</definedName>
    <definedName name="v" localSheetId="3" hidden="1">#REF!,#REF!</definedName>
    <definedName name="v" hidden="1">#REF!,#REF!</definedName>
    <definedName name="vivek1" localSheetId="1" hidden="1">#REF!</definedName>
    <definedName name="vivek1" localSheetId="2" hidden="1">#REF!</definedName>
    <definedName name="vivek1" localSheetId="3" hidden="1">#REF!</definedName>
    <definedName name="vivek1" hidden="1">#REF!</definedName>
    <definedName name="vivek11" localSheetId="1" hidden="1">#REF!</definedName>
    <definedName name="vivek11" localSheetId="2" hidden="1">#REF!</definedName>
    <definedName name="vivek11" localSheetId="3" hidden="1">#REF!</definedName>
    <definedName name="vivek11" hidden="1">#REF!</definedName>
    <definedName name="vivek12" localSheetId="1" hidden="1">#REF!</definedName>
    <definedName name="vivek12" localSheetId="2" hidden="1">#REF!</definedName>
    <definedName name="vivek12" localSheetId="3" hidden="1">#REF!</definedName>
    <definedName name="vivek12" hidden="1">#REF!</definedName>
    <definedName name="vivek13" localSheetId="1" hidden="1">#REF!</definedName>
    <definedName name="vivek13" localSheetId="2" hidden="1">#REF!</definedName>
    <definedName name="vivek13" localSheetId="3" hidden="1">#REF!</definedName>
    <definedName name="vivek13" hidden="1">#REF!</definedName>
    <definedName name="vivek17" localSheetId="1" hidden="1">#REF!</definedName>
    <definedName name="vivek17" localSheetId="2" hidden="1">#REF!</definedName>
    <definedName name="vivek17" localSheetId="3" hidden="1">#REF!</definedName>
    <definedName name="vivek17" hidden="1">#REF!</definedName>
    <definedName name="vivek18" localSheetId="1" hidden="1">#REF!</definedName>
    <definedName name="vivek18" localSheetId="2" hidden="1">#REF!</definedName>
    <definedName name="vivek18" localSheetId="3" hidden="1">#REF!</definedName>
    <definedName name="vivek18" hidden="1">#REF!</definedName>
    <definedName name="vivek2" localSheetId="1" hidden="1">#REF!</definedName>
    <definedName name="vivek2" localSheetId="2" hidden="1">#REF!</definedName>
    <definedName name="vivek2" localSheetId="3" hidden="1">#REF!</definedName>
    <definedName name="vivek2" hidden="1">#REF!</definedName>
    <definedName name="vivek220" localSheetId="1" hidden="1">#REF!</definedName>
    <definedName name="vivek220" localSheetId="2" hidden="1">#REF!</definedName>
    <definedName name="vivek220" localSheetId="3" hidden="1">#REF!</definedName>
    <definedName name="vivek220" hidden="1">#REF!</definedName>
    <definedName name="vivek288888" localSheetId="1" hidden="1">#REF!</definedName>
    <definedName name="vivek288888" localSheetId="2" hidden="1">#REF!</definedName>
    <definedName name="vivek288888" localSheetId="3" hidden="1">#REF!</definedName>
    <definedName name="vivek288888" hidden="1">#REF!</definedName>
    <definedName name="vivek2dddddddddddddddd" localSheetId="1" hidden="1">#REF!</definedName>
    <definedName name="vivek2dddddddddddddddd" localSheetId="2" hidden="1">#REF!</definedName>
    <definedName name="vivek2dddddddddddddddd" localSheetId="3" hidden="1">#REF!</definedName>
    <definedName name="vivek2dddddddddddddddd" hidden="1">#REF!</definedName>
    <definedName name="vivek2oooooooooooooooo" localSheetId="1" hidden="1">#REF!</definedName>
    <definedName name="vivek2oooooooooooooooo" localSheetId="2" hidden="1">#REF!</definedName>
    <definedName name="vivek2oooooooooooooooo" localSheetId="3" hidden="1">#REF!</definedName>
    <definedName name="vivek2oooooooooooooooo" hidden="1">#REF!</definedName>
    <definedName name="vivek3" localSheetId="1" hidden="1">#REF!</definedName>
    <definedName name="vivek3" localSheetId="2" hidden="1">#REF!</definedName>
    <definedName name="vivek3" localSheetId="3" hidden="1">#REF!</definedName>
    <definedName name="vivek3" hidden="1">#REF!</definedName>
    <definedName name="vivek4" localSheetId="1" hidden="1">#REF!</definedName>
    <definedName name="vivek4" localSheetId="2" hidden="1">#REF!</definedName>
    <definedName name="vivek4" localSheetId="3" hidden="1">#REF!</definedName>
    <definedName name="vivek4" hidden="1">#REF!</definedName>
    <definedName name="vivek444" localSheetId="1" hidden="1">#REF!</definedName>
    <definedName name="vivek444" localSheetId="2" hidden="1">#REF!</definedName>
    <definedName name="vivek444" localSheetId="3" hidden="1">#REF!</definedName>
    <definedName name="vivek444" hidden="1">#REF!</definedName>
    <definedName name="vivek5" localSheetId="1" hidden="1">#REF!</definedName>
    <definedName name="vivek5" localSheetId="2" hidden="1">#REF!</definedName>
    <definedName name="vivek5" localSheetId="3" hidden="1">#REF!</definedName>
    <definedName name="vivek5" hidden="1">#REF!</definedName>
    <definedName name="vivek6" localSheetId="1" hidden="1">#REF!</definedName>
    <definedName name="vivek6" localSheetId="2" hidden="1">#REF!</definedName>
    <definedName name="vivek6" localSheetId="3" hidden="1">#REF!</definedName>
    <definedName name="vivek6" hidden="1">#REF!</definedName>
    <definedName name="vivek6666" localSheetId="1" hidden="1">#REF!</definedName>
    <definedName name="vivek6666" localSheetId="2" hidden="1">#REF!</definedName>
    <definedName name="vivek6666" localSheetId="3" hidden="1">#REF!</definedName>
    <definedName name="vivek6666" hidden="1">#REF!</definedName>
    <definedName name="vivek9" localSheetId="1" hidden="1">#REF!</definedName>
    <definedName name="vivek9" localSheetId="2" hidden="1">#REF!</definedName>
    <definedName name="vivek9" localSheetId="3" hidden="1">#REF!</definedName>
    <definedName name="vivek9" hidden="1">#REF!</definedName>
    <definedName name="wr" localSheetId="1" hidden="1">{#N/A,#N/A,FALSE,"COMP"}</definedName>
    <definedName name="wr" localSheetId="2" hidden="1">{#N/A,#N/A,FALSE,"COMP"}</definedName>
    <definedName name="wr" localSheetId="3" hidden="1">{#N/A,#N/A,FALSE,"COMP"}</definedName>
    <definedName name="wr" hidden="1">{#N/A,#N/A,FALSE,"COMP"}</definedName>
    <definedName name="WRI" localSheetId="1" hidden="1">{#N/A,#N/A,FALSE,"COMP"}</definedName>
    <definedName name="WRI" localSheetId="2" hidden="1">{#N/A,#N/A,FALSE,"COMP"}</definedName>
    <definedName name="WRI" localSheetId="3" hidden="1">{#N/A,#N/A,FALSE,"COMP"}</definedName>
    <definedName name="WRI" hidden="1">{#N/A,#N/A,FALSE,"COMP"}</definedName>
    <definedName name="wrn.A4BSSCH." localSheetId="1" hidden="1">{"BSSCHA4",#N/A,FALSE,"sch bs"}</definedName>
    <definedName name="wrn.A4BSSCH." localSheetId="2" hidden="1">{"BSSCHA4",#N/A,FALSE,"sch bs"}</definedName>
    <definedName name="wrn.A4BSSCH." localSheetId="3" hidden="1">{"BSSCHA4",#N/A,FALSE,"sch bs"}</definedName>
    <definedName name="wrn.A4BSSCH." hidden="1">{"BSSCHA4",#N/A,FALSE,"sch bs"}</definedName>
    <definedName name="wrn.A4BSSCH._1" localSheetId="1" hidden="1">{"BSSCHA4",#N/A,FALSE,"sch bs"}</definedName>
    <definedName name="wrn.A4BSSCH._1" localSheetId="2" hidden="1">{"BSSCHA4",#N/A,FALSE,"sch bs"}</definedName>
    <definedName name="wrn.A4BSSCH._1" localSheetId="3" hidden="1">{"BSSCHA4",#N/A,FALSE,"sch bs"}</definedName>
    <definedName name="wrn.A4BSSCH._1" hidden="1">{"BSSCHA4",#N/A,FALSE,"sch bs"}</definedName>
    <definedName name="wrn.A4PL." localSheetId="1" hidden="1">{"a4p&amp;L",#N/A,FALSE,"tr &amp; pl"}</definedName>
    <definedName name="wrn.A4PL." localSheetId="2" hidden="1">{"a4p&amp;L",#N/A,FALSE,"tr &amp; pl"}</definedName>
    <definedName name="wrn.A4PL." localSheetId="3" hidden="1">{"a4p&amp;L",#N/A,FALSE,"tr &amp; pl"}</definedName>
    <definedName name="wrn.A4PL." hidden="1">{"a4p&amp;L",#N/A,FALSE,"tr &amp; pl"}</definedName>
    <definedName name="wrn.A4PL._1" localSheetId="1" hidden="1">{"a4p&amp;L",#N/A,FALSE,"tr &amp; pl"}</definedName>
    <definedName name="wrn.A4PL._1" localSheetId="2" hidden="1">{"a4p&amp;L",#N/A,FALSE,"tr &amp; pl"}</definedName>
    <definedName name="wrn.A4PL._1" localSheetId="3" hidden="1">{"a4p&amp;L",#N/A,FALSE,"tr &amp; pl"}</definedName>
    <definedName name="wrn.A4PL._1" hidden="1">{"a4p&amp;L",#N/A,FALSE,"tr &amp; pl"}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1" hidden="1">{#N/A,#N/A,FALSE,"OPSTATE";#N/A,#N/A,FALSE,"BSLIABILITY";#N/A,#N/A,FALSE,"BSASSETS";#N/A,#N/A,FALSE,"Sheet1"}</definedName>
    <definedName name="wrn.AkrutiCMA." localSheetId="2" hidden="1">{#N/A,#N/A,FALSE,"OPSTATE";#N/A,#N/A,FALSE,"BSLIABILITY";#N/A,#N/A,FALSE,"BSASSETS";#N/A,#N/A,FALSE,"Sheet1"}</definedName>
    <definedName name="wrn.AkrutiCMA." localSheetId="3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1" hidden="1">{"A4BS",#N/A,FALSE,"bs"}</definedName>
    <definedName name="wrn.BSA4." localSheetId="2" hidden="1">{"A4BS",#N/A,FALSE,"bs"}</definedName>
    <definedName name="wrn.BSA4." localSheetId="3" hidden="1">{"A4BS",#N/A,FALSE,"bs"}</definedName>
    <definedName name="wrn.BSA4." hidden="1">{"A4BS",#N/A,FALSE,"bs"}</definedName>
    <definedName name="wrn.BSA4._1" localSheetId="1" hidden="1">{"A4BS",#N/A,FALSE,"bs"}</definedName>
    <definedName name="wrn.BSA4._1" localSheetId="2" hidden="1">{"A4BS",#N/A,FALSE,"bs"}</definedName>
    <definedName name="wrn.BSA4._1" localSheetId="3" hidden="1">{"A4BS",#N/A,FALSE,"bs"}</definedName>
    <definedName name="wrn.BSA4._1" hidden="1">{"A4BS",#N/A,FALSE,"bs"}</definedName>
    <definedName name="wrn.capA4." localSheetId="1" hidden="1">{"capA4",#N/A,FALSE,"capt"}</definedName>
    <definedName name="wrn.capA4." localSheetId="2" hidden="1">{"capA4",#N/A,FALSE,"capt"}</definedName>
    <definedName name="wrn.capA4." localSheetId="3" hidden="1">{"capA4",#N/A,FALSE,"capt"}</definedName>
    <definedName name="wrn.capA4." hidden="1">{"capA4",#N/A,FALSE,"capt"}</definedName>
    <definedName name="wrn.capA4._1" localSheetId="1" hidden="1">{"capA4",#N/A,FALSE,"capt"}</definedName>
    <definedName name="wrn.capA4._1" localSheetId="2" hidden="1">{"capA4",#N/A,FALSE,"capt"}</definedName>
    <definedName name="wrn.capA4._1" localSheetId="3" hidden="1">{"capA4",#N/A,FALSE,"capt"}</definedName>
    <definedName name="wrn.capA4._1" hidden="1">{"capA4",#N/A,FALSE,"capt"}</definedName>
    <definedName name="wrn.depschA4." localSheetId="1" hidden="1">{"A4depsch",#N/A,FALSE,"fa&amp;dep"}</definedName>
    <definedName name="wrn.depschA4." localSheetId="2" hidden="1">{"A4depsch",#N/A,FALSE,"fa&amp;dep"}</definedName>
    <definedName name="wrn.depschA4." localSheetId="3" hidden="1">{"A4depsch",#N/A,FALSE,"fa&amp;dep"}</definedName>
    <definedName name="wrn.depschA4." hidden="1">{"A4depsch",#N/A,FALSE,"fa&amp;dep"}</definedName>
    <definedName name="wrn.depschA4._1" localSheetId="1" hidden="1">{"A4depsch",#N/A,FALSE,"fa&amp;dep"}</definedName>
    <definedName name="wrn.depschA4._1" localSheetId="2" hidden="1">{"A4depsch",#N/A,FALSE,"fa&amp;dep"}</definedName>
    <definedName name="wrn.depschA4._1" localSheetId="3" hidden="1">{"A4depsch",#N/A,FALSE,"fa&amp;dep"}</definedName>
    <definedName name="wrn.depschA4._1" hidden="1">{"A4depsch",#N/A,FALSE,"fa&amp;dep"}</definedName>
    <definedName name="wrn.EVEREST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1" hidden="1">{#N/A,#N/A,FALSE,"COMP"}</definedName>
    <definedName name="wrn.FORM1." localSheetId="2" hidden="1">{#N/A,#N/A,FALSE,"COMP"}</definedName>
    <definedName name="wrn.FORM1." localSheetId="3" hidden="1">{#N/A,#N/A,FALSE,"COMP"}</definedName>
    <definedName name="wrn.FORM1." hidden="1">{#N/A,#N/A,FALSE,"COMP"}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localSheetId="2" hidden="1">{#N/A,#N/A,TRUE,"Financials";#N/A,#N/A,TRUE,"Operating Statistics";#N/A,#N/A,TRUE,"Capex &amp; Depreciation";#N/A,#N/A,TRUE,"Debt"}</definedName>
    <definedName name="wrn.Full._.Financials." localSheetId="3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1" hidden="1">{#N/A,#N/A,FALSE,"One Pager";#N/A,#N/A,FALSE,"Technical"}</definedName>
    <definedName name="wrn.One._.Pager._.plus._.Technicals." localSheetId="2" hidden="1">{#N/A,#N/A,FALSE,"One Pager";#N/A,#N/A,FALSE,"Technical"}</definedName>
    <definedName name="wrn.One._.Pager._.plus._.Technicals." localSheetId="3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1" hidden="1">{"A4PLSCH",#N/A,FALSE,"sch pl"}</definedName>
    <definedName name="wrn.PLSCHA4." localSheetId="2" hidden="1">{"A4PLSCH",#N/A,FALSE,"sch pl"}</definedName>
    <definedName name="wrn.PLSCHA4." localSheetId="3" hidden="1">{"A4PLSCH",#N/A,FALSE,"sch pl"}</definedName>
    <definedName name="wrn.PLSCHA4." hidden="1">{"A4PLSCH",#N/A,FALSE,"sch pl"}</definedName>
    <definedName name="wrn.PLSCHA4._1" localSheetId="1" hidden="1">{"A4PLSCH",#N/A,FALSE,"sch pl"}</definedName>
    <definedName name="wrn.PLSCHA4._1" localSheetId="2" hidden="1">{"A4PLSCH",#N/A,FALSE,"sch pl"}</definedName>
    <definedName name="wrn.PLSCHA4._1" localSheetId="3" hidden="1">{"A4PLSCH",#N/A,FALSE,"sch pl"}</definedName>
    <definedName name="wrn.PLSCHA4._1" hidden="1">{"A4PLSCH",#N/A,FALSE,"sch pl"}</definedName>
    <definedName name="wrn.Print." localSheetId="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localSheetId="1" hidden="1">#REF!</definedName>
    <definedName name="XREF_COLUMN_2" localSheetId="2" hidden="1">#REF!</definedName>
    <definedName name="XREF_COLUMN_2" localSheetId="3" hidden="1">#REF!</definedName>
    <definedName name="XREF_COLUMN_2" hidden="1">#REF!</definedName>
    <definedName name="XREF_COLUMN_3" localSheetId="1" hidden="1">#REF!</definedName>
    <definedName name="XREF_COLUMN_3" localSheetId="2" hidden="1">#REF!</definedName>
    <definedName name="XREF_COLUMN_3" localSheetId="3" hidden="1">#REF!</definedName>
    <definedName name="XREF_COLUMN_3" hidden="1">#REF!</definedName>
    <definedName name="XREF_COLUMN_4" localSheetId="1" hidden="1">#REF!</definedName>
    <definedName name="XREF_COLUMN_4" localSheetId="2" hidden="1">#REF!</definedName>
    <definedName name="XREF_COLUMN_4" localSheetId="3" hidden="1">#REF!</definedName>
    <definedName name="XREF_COLUMN_4" hidden="1">#REF!</definedName>
    <definedName name="XREF_COLUMN_5" localSheetId="1" hidden="1">#REF!</definedName>
    <definedName name="XREF_COLUMN_5" localSheetId="2" hidden="1">#REF!</definedName>
    <definedName name="XREF_COLUMN_5" localSheetId="3" hidden="1">#REF!</definedName>
    <definedName name="XREF_COLUMN_5" hidden="1">#REF!</definedName>
    <definedName name="XREF_COLUMN_6" localSheetId="1" hidden="1">#REF!</definedName>
    <definedName name="XREF_COLUMN_6" localSheetId="2" hidden="1">#REF!</definedName>
    <definedName name="XREF_COLUMN_6" localSheetId="3" hidden="1">#REF!</definedName>
    <definedName name="XREF_COLUMN_6" hidden="1">#REF!</definedName>
    <definedName name="XREF_COLUMN_7" localSheetId="1" hidden="1">#REF!</definedName>
    <definedName name="XREF_COLUMN_7" localSheetId="2" hidden="1">#REF!</definedName>
    <definedName name="XREF_COLUMN_7" localSheetId="3" hidden="1">#REF!</definedName>
    <definedName name="XREF_COLUMN_7" hidden="1">#REF!</definedName>
    <definedName name="XREF_COLUMN_8" localSheetId="1" hidden="1">#REF!</definedName>
    <definedName name="XREF_COLUMN_8" localSheetId="2" hidden="1">#REF!</definedName>
    <definedName name="XREF_COLUMN_8" localSheetId="3" hidden="1">#REF!</definedName>
    <definedName name="XREF_COLUMN_8" hidden="1">#REF!</definedName>
    <definedName name="XREF_COLUMN_9" localSheetId="1" hidden="1">#REF!</definedName>
    <definedName name="XREF_COLUMN_9" localSheetId="2" hidden="1">#REF!</definedName>
    <definedName name="XREF_COLUMN_9" localSheetId="3" hidden="1">#REF!</definedName>
    <definedName name="XREF_COLUMN_9" hidden="1">#REF!</definedName>
    <definedName name="XRefCopyRangeCount" hidden="1">6</definedName>
    <definedName name="XRefPasteRangeCount" hidden="1">4</definedName>
    <definedName name="XYZ" localSheetId="1" hidden="1">#REF!,#REF!</definedName>
    <definedName name="XYZ" localSheetId="2" hidden="1">#REF!,#REF!</definedName>
    <definedName name="XYZ" localSheetId="3" hidden="1">#REF!,#REF!</definedName>
    <definedName name="XYZ" hidden="1">#REF!,#REF!</definedName>
    <definedName name="Z_0185ADC1_3830_11D3_88E4_00104B2D4E50_.wvu.FilterData" localSheetId="1" hidden="1">#REF!</definedName>
    <definedName name="Z_0185ADC1_3830_11D3_88E4_00104B2D4E50_.wvu.FilterData" localSheetId="2" hidden="1">#REF!</definedName>
    <definedName name="Z_0185ADC1_3830_11D3_88E4_00104B2D4E50_.wvu.FilterData" localSheetId="3" hidden="1">#REF!</definedName>
    <definedName name="Z_0185ADC1_3830_11D3_88E4_00104B2D4E50_.wvu.FilterData" hidden="1">#REF!</definedName>
    <definedName name="Z_0185ADC2_3830_11D3_88E4_00104B2D4E50_.wvu.FilterData" localSheetId="1" hidden="1">#REF!</definedName>
    <definedName name="Z_0185ADC2_3830_11D3_88E4_00104B2D4E50_.wvu.FilterData" localSheetId="2" hidden="1">#REF!</definedName>
    <definedName name="Z_0185ADC2_3830_11D3_88E4_00104B2D4E50_.wvu.FilterData" localSheetId="3" hidden="1">#REF!</definedName>
    <definedName name="Z_0185ADC2_3830_11D3_88E4_00104B2D4E50_.wvu.FilterData" hidden="1">#REF!</definedName>
    <definedName name="Z_020243C4_4FC9_11D3_88E5_00104B2D4E50_.wvu.FilterData" localSheetId="1" hidden="1">#REF!</definedName>
    <definedName name="Z_020243C4_4FC9_11D3_88E5_00104B2D4E50_.wvu.FilterData" localSheetId="2" hidden="1">#REF!</definedName>
    <definedName name="Z_020243C4_4FC9_11D3_88E5_00104B2D4E50_.wvu.FilterData" localSheetId="3" hidden="1">#REF!</definedName>
    <definedName name="Z_020243C4_4FC9_11D3_88E5_00104B2D4E50_.wvu.FilterData" hidden="1">#REF!</definedName>
    <definedName name="Z_020243C5_4FC9_11D3_88E5_00104B2D4E50_.wvu.FilterData" localSheetId="1" hidden="1">#REF!</definedName>
    <definedName name="Z_020243C5_4FC9_11D3_88E5_00104B2D4E50_.wvu.FilterData" localSheetId="2" hidden="1">#REF!</definedName>
    <definedName name="Z_020243C5_4FC9_11D3_88E5_00104B2D4E50_.wvu.FilterData" localSheetId="3" hidden="1">#REF!</definedName>
    <definedName name="Z_020243C5_4FC9_11D3_88E5_00104B2D4E50_.wvu.FilterData" hidden="1">#REF!</definedName>
    <definedName name="Z_020243D6_4FC9_11D3_88E5_00104B2D4E50_.wvu.FilterData" localSheetId="1" hidden="1">#REF!</definedName>
    <definedName name="Z_020243D6_4FC9_11D3_88E5_00104B2D4E50_.wvu.FilterData" localSheetId="2" hidden="1">#REF!</definedName>
    <definedName name="Z_020243D6_4FC9_11D3_88E5_00104B2D4E50_.wvu.FilterData" localSheetId="3" hidden="1">#REF!</definedName>
    <definedName name="Z_020243D6_4FC9_11D3_88E5_00104B2D4E50_.wvu.FilterData" hidden="1">#REF!</definedName>
    <definedName name="Z_020243D9_4FC9_11D3_88E5_00104B2D4E50_.wvu.FilterData" localSheetId="1" hidden="1">#REF!</definedName>
    <definedName name="Z_020243D9_4FC9_11D3_88E5_00104B2D4E50_.wvu.FilterData" localSheetId="2" hidden="1">#REF!</definedName>
    <definedName name="Z_020243D9_4FC9_11D3_88E5_00104B2D4E50_.wvu.FilterData" localSheetId="3" hidden="1">#REF!</definedName>
    <definedName name="Z_020243D9_4FC9_11D3_88E5_00104B2D4E50_.wvu.FilterData" hidden="1">#REF!</definedName>
    <definedName name="Z_18E867C2_363F_11D3_B384_00104B203064_.wvu.Cols" localSheetId="1" hidden="1">#REF!</definedName>
    <definedName name="Z_18E867C2_363F_11D3_B384_00104B203064_.wvu.Cols" localSheetId="2" hidden="1">#REF!</definedName>
    <definedName name="Z_18E867C2_363F_11D3_B384_00104B203064_.wvu.Cols" localSheetId="3" hidden="1">#REF!</definedName>
    <definedName name="Z_18E867C2_363F_11D3_B384_00104B203064_.wvu.Cols" hidden="1">#REF!</definedName>
    <definedName name="Z_18E867C2_363F_11D3_B384_00104B203064_.wvu.FilterData" localSheetId="1" hidden="1">#REF!</definedName>
    <definedName name="Z_18E867C2_363F_11D3_B384_00104B203064_.wvu.FilterData" localSheetId="2" hidden="1">#REF!</definedName>
    <definedName name="Z_18E867C2_363F_11D3_B384_00104B203064_.wvu.FilterData" localSheetId="3" hidden="1">#REF!</definedName>
    <definedName name="Z_18E867C2_363F_11D3_B384_00104B203064_.wvu.FilterData" hidden="1">#REF!</definedName>
    <definedName name="Z_18E867C6_363F_11D3_B384_00104B203064_.wvu.FilterData" localSheetId="1" hidden="1">#REF!</definedName>
    <definedName name="Z_18E867C6_363F_11D3_B384_00104B203064_.wvu.FilterData" localSheetId="2" hidden="1">#REF!</definedName>
    <definedName name="Z_18E867C6_363F_11D3_B384_00104B203064_.wvu.FilterData" localSheetId="3" hidden="1">#REF!</definedName>
    <definedName name="Z_18E867C6_363F_11D3_B384_00104B203064_.wvu.FilterData" hidden="1">#REF!</definedName>
    <definedName name="Z_2529F30F_675A_11D3_88E6_00104B2D4E50_.wvu.FilterData" localSheetId="1" hidden="1">#REF!</definedName>
    <definedName name="Z_2529F30F_675A_11D3_88E6_00104B2D4E50_.wvu.FilterData" localSheetId="2" hidden="1">#REF!</definedName>
    <definedName name="Z_2529F30F_675A_11D3_88E6_00104B2D4E50_.wvu.FilterData" localSheetId="3" hidden="1">#REF!</definedName>
    <definedName name="Z_2529F30F_675A_11D3_88E6_00104B2D4E50_.wvu.FilterData" hidden="1">#REF!</definedName>
    <definedName name="Z_37C90060_2018_11D3_9FEA_008048EE1BB3_.wvu.Cols" localSheetId="1" hidden="1">#REF!</definedName>
    <definedName name="Z_37C90060_2018_11D3_9FEA_008048EE1BB3_.wvu.Cols" localSheetId="2" hidden="1">#REF!</definedName>
    <definedName name="Z_37C90060_2018_11D3_9FEA_008048EE1BB3_.wvu.Cols" localSheetId="3" hidden="1">#REF!</definedName>
    <definedName name="Z_37C90060_2018_11D3_9FEA_008048EE1BB3_.wvu.Cols" hidden="1">#REF!</definedName>
    <definedName name="Z_37C90060_2018_11D3_9FEA_008048EE1BB3_.wvu.FilterData" localSheetId="1" hidden="1">#REF!</definedName>
    <definedName name="Z_37C90060_2018_11D3_9FEA_008048EE1BB3_.wvu.FilterData" localSheetId="2" hidden="1">#REF!</definedName>
    <definedName name="Z_37C90060_2018_11D3_9FEA_008048EE1BB3_.wvu.FilterData" localSheetId="3" hidden="1">#REF!</definedName>
    <definedName name="Z_37C90060_2018_11D3_9FEA_008048EE1BB3_.wvu.FilterData" hidden="1">#REF!</definedName>
    <definedName name="Z_37C90061_2018_11D3_9FEA_008048EE1BB3_.wvu.FilterData" localSheetId="1" hidden="1">#REF!</definedName>
    <definedName name="Z_37C90061_2018_11D3_9FEA_008048EE1BB3_.wvu.FilterData" localSheetId="2" hidden="1">#REF!</definedName>
    <definedName name="Z_37C90061_2018_11D3_9FEA_008048EE1BB3_.wvu.FilterData" localSheetId="3" hidden="1">#REF!</definedName>
    <definedName name="Z_37C90061_2018_11D3_9FEA_008048EE1BB3_.wvu.FilterData" hidden="1">#REF!</definedName>
    <definedName name="Z_37C90063_2018_11D3_9FEA_008048EE1BB3_.wvu.FilterData" localSheetId="1" hidden="1">#REF!</definedName>
    <definedName name="Z_37C90063_2018_11D3_9FEA_008048EE1BB3_.wvu.FilterData" localSheetId="2" hidden="1">#REF!</definedName>
    <definedName name="Z_37C90063_2018_11D3_9FEA_008048EE1BB3_.wvu.FilterData" localSheetId="3" hidden="1">#REF!</definedName>
    <definedName name="Z_37C90063_2018_11D3_9FEA_008048EE1BB3_.wvu.FilterData" hidden="1">#REF!</definedName>
    <definedName name="Z_42177D60_3622_11D3_B2D2_008048EE2662_.wvu.FilterData" localSheetId="1" hidden="1">#REF!</definedName>
    <definedName name="Z_42177D60_3622_11D3_B2D2_008048EE2662_.wvu.FilterData" localSheetId="2" hidden="1">#REF!</definedName>
    <definedName name="Z_42177D60_3622_11D3_B2D2_008048EE2662_.wvu.FilterData" localSheetId="3" hidden="1">#REF!</definedName>
    <definedName name="Z_42177D60_3622_11D3_B2D2_008048EE2662_.wvu.FilterData" hidden="1">#REF!</definedName>
    <definedName name="Z_87846904_F246_11D2_88E4_00104B2D4E50_.wvu.PrintTitles" localSheetId="1" hidden="1">#REF!,#REF!</definedName>
    <definedName name="Z_87846904_F246_11D2_88E4_00104B2D4E50_.wvu.PrintTitles" localSheetId="2" hidden="1">#REF!,#REF!</definedName>
    <definedName name="Z_87846904_F246_11D2_88E4_00104B2D4E50_.wvu.PrintTitles" localSheetId="3" hidden="1">#REF!,#REF!</definedName>
    <definedName name="Z_87846904_F246_11D2_88E4_00104B2D4E50_.wvu.PrintTitles" hidden="1">#REF!,#REF!</definedName>
    <definedName name="Z_9C36B7A0_8E17_11D3_B2D2_008048EE2662_.wvu.Rows" localSheetId="1" hidden="1">#REF!,#REF!,#REF!</definedName>
    <definedName name="Z_9C36B7A0_8E17_11D3_B2D2_008048EE2662_.wvu.Rows" localSheetId="2" hidden="1">#REF!,#REF!,#REF!</definedName>
    <definedName name="Z_9C36B7A0_8E17_11D3_B2D2_008048EE2662_.wvu.Rows" localSheetId="3" hidden="1">#REF!,#REF!,#REF!</definedName>
    <definedName name="Z_9C36B7A0_8E17_11D3_B2D2_008048EE2662_.wvu.Rows" hidden="1">#REF!,#REF!,#REF!</definedName>
    <definedName name="Z_AF67EA27_37A9_11D3_88E4_00104B2D4E50_.wvu.FilterData" localSheetId="1" hidden="1">#REF!</definedName>
    <definedName name="Z_AF67EA27_37A9_11D3_88E4_00104B2D4E50_.wvu.FilterData" localSheetId="2" hidden="1">#REF!</definedName>
    <definedName name="Z_AF67EA27_37A9_11D3_88E4_00104B2D4E50_.wvu.FilterData" localSheetId="3" hidden="1">#REF!</definedName>
    <definedName name="Z_AF67EA27_37A9_11D3_88E4_00104B2D4E50_.wvu.FilterData" hidden="1">#REF!</definedName>
    <definedName name="Z_CC26C000_67A6_11D3_B801_444553540000_.wvu.FilterData" localSheetId="1" hidden="1">#REF!</definedName>
    <definedName name="Z_CC26C000_67A6_11D3_B801_444553540000_.wvu.FilterData" localSheetId="2" hidden="1">#REF!</definedName>
    <definedName name="Z_CC26C000_67A6_11D3_B801_444553540000_.wvu.FilterData" localSheetId="3" hidden="1">#REF!</definedName>
    <definedName name="Z_CC26C000_67A6_11D3_B801_444553540000_.wvu.FilterData" hidden="1">#REF!</definedName>
    <definedName name="Z_D840F8B1_668B_11D3_88E6_00104B2D4E50_.wvu.FilterData" localSheetId="1" hidden="1">#REF!</definedName>
    <definedName name="Z_D840F8B1_668B_11D3_88E6_00104B2D4E50_.wvu.FilterData" localSheetId="2" hidden="1">#REF!</definedName>
    <definedName name="Z_D840F8B1_668B_11D3_88E6_00104B2D4E50_.wvu.FilterData" localSheetId="3" hidden="1">#REF!</definedName>
    <definedName name="Z_D840F8B1_668B_11D3_88E6_00104B2D4E50_.wvu.FilterData" hidden="1">#REF!</definedName>
    <definedName name="Z_F0339D6F_2232_11D3_88E4_00104B2D4E50_.wvu.FilterData" localSheetId="1" hidden="1">#REF!</definedName>
    <definedName name="Z_F0339D6F_2232_11D3_88E4_00104B2D4E50_.wvu.FilterData" localSheetId="2" hidden="1">#REF!</definedName>
    <definedName name="Z_F0339D6F_2232_11D3_88E4_00104B2D4E50_.wvu.FilterData" localSheetId="3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7" i="1" l="1"/>
  <c r="J40" i="1"/>
  <c r="J13" i="1"/>
  <c r="J24" i="1"/>
  <c r="J134" i="1"/>
  <c r="J131" i="1"/>
  <c r="J37" i="1"/>
  <c r="J36" i="1" s="1"/>
  <c r="K36" i="1"/>
  <c r="I36" i="1"/>
  <c r="H36" i="1"/>
  <c r="J31" i="1"/>
  <c r="J10" i="1"/>
  <c r="L4" i="7" l="1"/>
  <c r="J4" i="7"/>
  <c r="H4" i="7"/>
  <c r="F4" i="7"/>
  <c r="L3" i="7"/>
  <c r="J3" i="7"/>
  <c r="H3" i="7"/>
  <c r="F3" i="7"/>
  <c r="F3" i="5" l="1"/>
  <c r="L4" i="5" l="1"/>
  <c r="J4" i="5"/>
  <c r="H4" i="5"/>
  <c r="F4" i="5"/>
  <c r="L3" i="5"/>
  <c r="J3" i="5"/>
  <c r="H3" i="5"/>
  <c r="J3" i="2"/>
  <c r="H4" i="2"/>
  <c r="H3" i="2"/>
  <c r="F4" i="2"/>
  <c r="A89" i="2" l="1"/>
  <c r="A88" i="2"/>
  <c r="A87" i="2"/>
  <c r="A86" i="2"/>
  <c r="A85" i="2"/>
  <c r="L4" i="2"/>
  <c r="J4" i="2"/>
  <c r="L3" i="2"/>
  <c r="F3" i="2"/>
  <c r="H119" i="1"/>
  <c r="I119" i="1"/>
  <c r="K119" i="1"/>
  <c r="J120" i="1"/>
  <c r="H124" i="1"/>
  <c r="I124" i="1"/>
  <c r="K124" i="1"/>
  <c r="J125" i="1"/>
  <c r="J128" i="1"/>
  <c r="H16" i="1"/>
  <c r="I16" i="1"/>
  <c r="K16" i="1"/>
  <c r="K9" i="1" s="1"/>
  <c r="J17" i="1"/>
  <c r="J21" i="1"/>
  <c r="H30" i="1"/>
  <c r="I30" i="1"/>
  <c r="J30" i="1"/>
  <c r="K30" i="1"/>
  <c r="H44" i="1"/>
  <c r="I44" i="1"/>
  <c r="K44" i="1"/>
  <c r="J45" i="1"/>
  <c r="J48" i="1"/>
  <c r="J51" i="1"/>
  <c r="J54" i="1"/>
  <c r="J57" i="1"/>
  <c r="J60" i="1"/>
  <c r="J63" i="1"/>
  <c r="J66" i="1"/>
  <c r="H69" i="1"/>
  <c r="I69" i="1"/>
  <c r="K69" i="1"/>
  <c r="J79" i="1"/>
  <c r="J85" i="1"/>
  <c r="J89" i="1"/>
  <c r="H92" i="1"/>
  <c r="I92" i="1"/>
  <c r="K92" i="1"/>
  <c r="J93" i="1"/>
  <c r="J92" i="1" s="1"/>
  <c r="H97" i="1"/>
  <c r="I97" i="1"/>
  <c r="K97" i="1"/>
  <c r="J98" i="1"/>
  <c r="J101" i="1"/>
  <c r="J104" i="1"/>
  <c r="H107" i="1"/>
  <c r="I107" i="1"/>
  <c r="K107" i="1"/>
  <c r="J108" i="1"/>
  <c r="J111" i="1"/>
  <c r="H114" i="1"/>
  <c r="I114" i="1"/>
  <c r="K114" i="1"/>
  <c r="J115" i="1"/>
  <c r="H8" i="1" l="1"/>
  <c r="H9" i="1"/>
  <c r="I8" i="1"/>
  <c r="I9" i="1"/>
  <c r="K118" i="1"/>
  <c r="J119" i="1"/>
  <c r="I118" i="1"/>
  <c r="J124" i="1"/>
  <c r="H43" i="1"/>
  <c r="K8" i="1"/>
  <c r="K123" i="1"/>
  <c r="H118" i="1"/>
  <c r="I123" i="1"/>
  <c r="H123" i="1"/>
  <c r="I43" i="1"/>
  <c r="K96" i="1"/>
  <c r="I96" i="1"/>
  <c r="H96" i="1"/>
  <c r="J114" i="1"/>
  <c r="K43" i="1"/>
  <c r="J44" i="1"/>
  <c r="J16" i="1"/>
  <c r="J69" i="1"/>
  <c r="J107" i="1"/>
  <c r="J97" i="1"/>
  <c r="J8" i="1" l="1"/>
  <c r="J9" i="1"/>
  <c r="K6" i="1"/>
  <c r="H6" i="1"/>
  <c r="I6" i="1"/>
  <c r="J123" i="1"/>
  <c r="J96" i="1"/>
  <c r="J118" i="1"/>
  <c r="J43" i="1"/>
  <c r="J6" i="1" l="1"/>
  <c r="I2" i="1"/>
  <c r="K2" i="1"/>
  <c r="H2" i="1"/>
  <c r="AC2" i="1" l="1"/>
  <c r="J2" i="1"/>
  <c r="AB4" i="1" s="1"/>
  <c r="AC4" i="1"/>
  <c r="AB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tc={9D83657E-069A-4860-A3B0-78741BECBF59}</author>
  </authors>
  <commentList>
    <comment ref="D63" authorId="0" shapeId="0" xr:uid="{9D83657E-069A-4860-A3B0-78741BECBF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@Annapoorna Bhat L21 workshop to be schedules 
Electrical layout approval</t>
      </text>
    </comment>
  </commentList>
</comments>
</file>

<file path=xl/sharedStrings.xml><?xml version="1.0" encoding="utf-8"?>
<sst xmlns="http://schemas.openxmlformats.org/spreadsheetml/2006/main" count="939" uniqueCount="327">
  <si>
    <t>FY 2026-27 Q3 | Design Goals + Billing</t>
  </si>
  <si>
    <t>Project</t>
  </si>
  <si>
    <t>Description</t>
  </si>
  <si>
    <t>Release date</t>
  </si>
  <si>
    <t>Responsible</t>
  </si>
  <si>
    <t>Remarks</t>
  </si>
  <si>
    <t>Plan - Billing [Cr.]</t>
  </si>
  <si>
    <t>Plan - Pkgs</t>
  </si>
  <si>
    <t>Actuals - Billing [Cr.]</t>
  </si>
  <si>
    <t>Actuals - Pkgs</t>
  </si>
  <si>
    <t>Phase</t>
  </si>
  <si>
    <t>Discipline</t>
  </si>
  <si>
    <t>Design Lead</t>
  </si>
  <si>
    <t>Lead</t>
  </si>
  <si>
    <t>Person 1</t>
  </si>
  <si>
    <t>Person 2</t>
  </si>
  <si>
    <t>Person 3</t>
  </si>
  <si>
    <t>Draftperson</t>
  </si>
  <si>
    <t>ITQE</t>
  </si>
  <si>
    <t>ITQE-Ph1</t>
  </si>
  <si>
    <t>Package Release</t>
  </si>
  <si>
    <t>Ph 1</t>
  </si>
  <si>
    <t>Aishwarya Hegde</t>
  </si>
  <si>
    <t>Sheethal Prabhu</t>
  </si>
  <si>
    <t>Anand Thoppil</t>
  </si>
  <si>
    <t>Architecture</t>
  </si>
  <si>
    <t>Complete the project</t>
  </si>
  <si>
    <t>Structural</t>
  </si>
  <si>
    <t>Masterplan - Updated driveways &amp; infrastructure [Rework package]</t>
  </si>
  <si>
    <t>Cijey M</t>
  </si>
  <si>
    <t>Prakash C</t>
  </si>
  <si>
    <t>Satish H</t>
  </si>
  <si>
    <t>Raghavendra</t>
  </si>
  <si>
    <t>Vinay</t>
  </si>
  <si>
    <t>Step 1</t>
  </si>
  <si>
    <t>MEP coordinated layout</t>
  </si>
  <si>
    <t>Bhavya, Hareesha</t>
  </si>
  <si>
    <t>Step 2</t>
  </si>
  <si>
    <t>-</t>
  </si>
  <si>
    <t>AUM</t>
  </si>
  <si>
    <t>Revert to AUM for modifications to existing Infrastructure drawings</t>
  </si>
  <si>
    <t>DG/ Transformer yard</t>
  </si>
  <si>
    <t>MEP coordination</t>
  </si>
  <si>
    <t>Hareesha</t>
  </si>
  <si>
    <t>Structure</t>
  </si>
  <si>
    <t>LoD 350 - Amenities &amp; Facilities |  Clubhouse—Outdoor Spaces and Pool</t>
  </si>
  <si>
    <t>Filtration Tank  - sent for approval</t>
  </si>
  <si>
    <t>Satish, Raghavendra, Abhinav</t>
  </si>
  <si>
    <t>Tennis court details</t>
  </si>
  <si>
    <t>Satish, Raghavendra</t>
  </si>
  <si>
    <t>Cafe portal Steel structure</t>
  </si>
  <si>
    <t>Satish, Alwin</t>
  </si>
  <si>
    <t>Preliminary framing is shared on 28th July 26. Awaiting updated arch details. Require final arch drawings by 30th Sep.</t>
  </si>
  <si>
    <t xml:space="preserve">LoD 350 - Amenities &amp; Facilities |  Community spaces </t>
  </si>
  <si>
    <t xml:space="preserve">Pedestal for play equipement </t>
  </si>
  <si>
    <t xml:space="preserve">Arch Drawings </t>
  </si>
  <si>
    <t>Akarsh</t>
  </si>
  <si>
    <t>Landscape</t>
  </si>
  <si>
    <t>Gagan</t>
  </si>
  <si>
    <t>Masterplan - Updated driveways &amp; infrastructure</t>
  </si>
  <si>
    <t>Anisha/chetan</t>
  </si>
  <si>
    <t>Awaiting the updated AR details</t>
  </si>
  <si>
    <t>Tree Avenue details, Play equipments</t>
  </si>
  <si>
    <t>Tree Avenue details</t>
  </si>
  <si>
    <t>Sanjana/Chetan</t>
  </si>
  <si>
    <t>Awaiting the updated AR details for the changes in Road No. 02.</t>
  </si>
  <si>
    <t>Awaiting the updated Services details for the changes in Road No. 02.</t>
  </si>
  <si>
    <t>MEP</t>
  </si>
  <si>
    <t>Ph 2b</t>
  </si>
  <si>
    <t>Salomi</t>
  </si>
  <si>
    <t>Antony</t>
  </si>
  <si>
    <t>Harshitha</t>
  </si>
  <si>
    <t>Task description 1</t>
  </si>
  <si>
    <t>User 1</t>
  </si>
  <si>
    <t>Task description 2</t>
  </si>
  <si>
    <t>User2</t>
  </si>
  <si>
    <t>ITQE-Ph2b</t>
  </si>
  <si>
    <t>LoD 350 - Tower—05 | Building Envelope and Common Areas [Penthouse Levels And Terrace Level]</t>
  </si>
  <si>
    <t>Dinakar Venugopal</t>
  </si>
  <si>
    <t>Akarsh Vagman</t>
  </si>
  <si>
    <t>Hruthika Mylar</t>
  </si>
  <si>
    <t>Khushi Shetty</t>
  </si>
  <si>
    <t>Structural Framing Plans and Sections (Terrace, LMR , OHT)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</si>
  <si>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</si>
  <si>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</si>
  <si>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</si>
  <si>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MEP revised storm water Chamber &amp; Earth pit locations</t>
  </si>
  <si>
    <t>To be updated as per latest property Line &amp; Nala extent</t>
  </si>
  <si>
    <t>Landscape revised Masterplan</t>
  </si>
  <si>
    <t>Lajja, Chetan</t>
  </si>
  <si>
    <t>Updated Masterplan based on Modifications to properrty line , Nala extent , Driveways, Arch Finishes etc.</t>
  </si>
  <si>
    <t>LoD 350 - Master Plan | Site Development</t>
  </si>
  <si>
    <t>LoD 350 - Master Plan | Site MEP</t>
  </si>
  <si>
    <t xml:space="preserve">OWC and Gas Bank </t>
  </si>
  <si>
    <t>Bhavya</t>
  </si>
  <si>
    <t>LoD 350 - ISS 5&amp;6 | Building Envelope and Common Areas</t>
  </si>
  <si>
    <t>LoD 350 - ISS 7 | Building Envelope and Common Areas</t>
  </si>
  <si>
    <t>LoD 350 - Tower 05 | Terrace Level</t>
  </si>
  <si>
    <t xml:space="preserve">Terrace level </t>
  </si>
  <si>
    <t>Satish, Raghavendra, Antony, Raghav gupta</t>
  </si>
  <si>
    <t>OHT + LMR level</t>
  </si>
  <si>
    <t>LoD 350 - Tower 06 | Terrace Level</t>
  </si>
  <si>
    <t>Satish, Raghavendra, Antony, Shiva</t>
  </si>
  <si>
    <t>LoD 350 - Tower 07 | Terrace Level</t>
  </si>
  <si>
    <t>Satish, Raghavendra, Shiva</t>
  </si>
  <si>
    <t>LoD 350 - ISS5&amp;6 |Podium Slab</t>
  </si>
  <si>
    <t>Ajmal (after finishing ATR Site MEP works) &amp; New resource hired, joining in July</t>
  </si>
  <si>
    <t xml:space="preserve">Podium level </t>
  </si>
  <si>
    <t>Satish, Antony, Shahnawaz</t>
  </si>
  <si>
    <t xml:space="preserve">Staircase Headroom </t>
  </si>
  <si>
    <t>Step 3</t>
  </si>
  <si>
    <t>STP</t>
  </si>
  <si>
    <t>Satish, Ajmal</t>
  </si>
  <si>
    <t>LoD 350 - ISS7 | Podium Slab</t>
  </si>
  <si>
    <t>OWC and Gas Bank arch drawings</t>
  </si>
  <si>
    <t>ItQE-Ph2c [T9]</t>
  </si>
  <si>
    <t>Ph 2c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</si>
  <si>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</si>
  <si>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</si>
  <si>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</si>
  <si>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</si>
  <si>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SSL01 Framing Plan</t>
  </si>
  <si>
    <t>LoD 350 - ISS 9 | Foundations &amp; Grade Slab</t>
  </si>
  <si>
    <t>Requires rework on existing plans due to additional 12m road accessing Block 9, 10 &amp; requirement of additional ramp</t>
  </si>
  <si>
    <t>BBMP scrutiny of Block 4 Basement</t>
  </si>
  <si>
    <t>Jagadish</t>
  </si>
  <si>
    <t>Require confirmation on scrutiny of approval drawings regarding number of Ramps</t>
  </si>
  <si>
    <t>MEP schematic &amp; approval on the Arch layouts</t>
  </si>
  <si>
    <t>Requires MEP coordination to be completed to proceed with GFC</t>
  </si>
  <si>
    <t>Sahana</t>
  </si>
  <si>
    <t xml:space="preserve">T09 foundation </t>
  </si>
  <si>
    <t>T09 column details upto SSL04</t>
  </si>
  <si>
    <t xml:space="preserve">SSL01 details </t>
  </si>
  <si>
    <t xml:space="preserve">SSL02 details </t>
  </si>
  <si>
    <t>LoD 350 - T09 [Foundation &amp; Grade Slab], ISS09 [[Foundation &amp; Grade Slab]</t>
  </si>
  <si>
    <t>Hareesha  
Bhavya</t>
  </si>
  <si>
    <t>Byahattimath
Matsarambabu
Prem</t>
  </si>
  <si>
    <t>ItQE-Ph3a [T10-12 &amp; 31 Villas]</t>
  </si>
  <si>
    <t>Ph 3a</t>
  </si>
  <si>
    <t>LoD 300 [Marketing and Sales, Pre Construction Set], LoD 350 [Experience Home + Project Experience]</t>
  </si>
  <si>
    <t>LoD 300 - Pre Construction Set</t>
  </si>
  <si>
    <t>Nischala Akkineni</t>
  </si>
  <si>
    <t>Approvals (RERA number)</t>
  </si>
  <si>
    <t>Visualisations for Brochure</t>
  </si>
  <si>
    <t>Praveen</t>
  </si>
  <si>
    <t>VADERAHALLI</t>
  </si>
  <si>
    <t>Vdrhl</t>
  </si>
  <si>
    <t>LoD 100 [Contract + Design Brief] ,LoD 200 [Schematic Concept]</t>
  </si>
  <si>
    <t>Vdrhl-Res</t>
  </si>
  <si>
    <t>Vaderahalli [Residential]</t>
  </si>
  <si>
    <t>LoD 100 - Contract + Design Brief</t>
  </si>
  <si>
    <t xml:space="preserve">Cijey M </t>
  </si>
  <si>
    <t>Syed Musharaff</t>
  </si>
  <si>
    <t>DP Scrutiny inputs</t>
  </si>
  <si>
    <t>Karthick, Jagadish</t>
  </si>
  <si>
    <t>Requires confirmation on possible Road access, permissible FAR &amp; combined DP feasibility</t>
  </si>
  <si>
    <t>ADLR Map &amp; Survey</t>
  </si>
  <si>
    <t>Required to establish plot boundary with ADLR survey, PRR alignment for Bileshivale and assess feasibility</t>
  </si>
  <si>
    <t>LoD 200 - Schematic Concept</t>
  </si>
  <si>
    <t>Required to establish plot boundary and assess feasibility</t>
  </si>
  <si>
    <t>Vaderahalli [Commercial]</t>
  </si>
  <si>
    <t xml:space="preserve"> Naveen Y</t>
  </si>
  <si>
    <t>LoD 200 - Schematic Concept + Approvals</t>
  </si>
  <si>
    <t xml:space="preserve">New PRR Stitched sketch to be received </t>
  </si>
  <si>
    <t>karthick,Chandan</t>
  </si>
  <si>
    <t>Based on the sketch DBR to be finalised,and reapply DP</t>
  </si>
  <si>
    <t>Swathi,Aswin</t>
  </si>
  <si>
    <t>0063| In That Quite Earth -Phase1| Residential</t>
  </si>
  <si>
    <t>AR</t>
  </si>
  <si>
    <t>ST</t>
  </si>
  <si>
    <t>LS</t>
  </si>
  <si>
    <t>Completed</t>
  </si>
  <si>
    <t>Scope</t>
  </si>
  <si>
    <t>Pending</t>
  </si>
  <si>
    <t>Actuals</t>
  </si>
  <si>
    <t>NA</t>
  </si>
  <si>
    <t>PHASE 1</t>
  </si>
  <si>
    <t>DESIGN CONCEPT</t>
  </si>
  <si>
    <t>Contract + Design Brief</t>
  </si>
  <si>
    <t>Schematic Concept</t>
  </si>
  <si>
    <t>Pre Construction Set</t>
  </si>
  <si>
    <t>Approvals</t>
  </si>
  <si>
    <t>Marketing and Sales</t>
  </si>
  <si>
    <t>CONSTRUCTION DOCUMENTS</t>
  </si>
  <si>
    <t xml:space="preserve">GFC | Independent Subgrade Structure -1 </t>
  </si>
  <si>
    <t>Earthwork</t>
  </si>
  <si>
    <t>Foundations &amp; Sub-Grade</t>
  </si>
  <si>
    <r>
      <t xml:space="preserve">Structrural Slab </t>
    </r>
    <r>
      <rPr>
        <sz val="10"/>
        <rFont val="Meta-Normal"/>
      </rPr>
      <t>01</t>
    </r>
    <r>
      <rPr>
        <sz val="10"/>
        <rFont val="Neo Sans Pro Light"/>
        <family val="2"/>
      </rPr>
      <t xml:space="preserve"> [Basement]</t>
    </r>
  </si>
  <si>
    <t>Podium Slab</t>
  </si>
  <si>
    <t>Building Envelope and Common Areas</t>
  </si>
  <si>
    <t>GFC | Independent Subgrade Structure -2</t>
  </si>
  <si>
    <r>
      <t xml:space="preserve">Structrural Slab </t>
    </r>
    <r>
      <rPr>
        <sz val="10"/>
        <rFont val="Meta-Normal"/>
      </rPr>
      <t>02</t>
    </r>
    <r>
      <rPr>
        <sz val="10"/>
        <rFont val="Neo Sans Pro Light"/>
        <family val="2"/>
      </rPr>
      <t xml:space="preserve"> [Basement]</t>
    </r>
  </si>
  <si>
    <r>
      <t xml:space="preserve">GFC | Phase </t>
    </r>
    <r>
      <rPr>
        <b/>
        <sz val="10"/>
        <color theme="1"/>
        <rFont val="Helvetica Neue Light"/>
        <family val="2"/>
      </rPr>
      <t>1 | Tower—1</t>
    </r>
  </si>
  <si>
    <t>T01-00</t>
  </si>
  <si>
    <t>Foundation and Grade Slab</t>
  </si>
  <si>
    <t>T01-01</t>
  </si>
  <si>
    <t>Parking Level-Sub grade</t>
  </si>
  <si>
    <t>T01-02</t>
  </si>
  <si>
    <t>Building Envelope and Common Areas [Basement]</t>
  </si>
  <si>
    <t>T01-03</t>
  </si>
  <si>
    <t>Habitable Level 01</t>
  </si>
  <si>
    <t>T01-04</t>
  </si>
  <si>
    <t>Habitable Level - Even</t>
  </si>
  <si>
    <t>T01-05</t>
  </si>
  <si>
    <t>Habitable Level - Odd</t>
  </si>
  <si>
    <t>T01-06</t>
  </si>
  <si>
    <t>Building Envelope and Common Areas [Typical Tower Levels]</t>
  </si>
  <si>
    <t>`</t>
  </si>
  <si>
    <t>T01-08</t>
  </si>
  <si>
    <t>Terrace Level</t>
  </si>
  <si>
    <t>T01-09</t>
  </si>
  <si>
    <t>Building Envelope and Common Areas [Penthouse Levels And Terrace Level]</t>
  </si>
  <si>
    <r>
      <t xml:space="preserve">GFC | Phase </t>
    </r>
    <r>
      <rPr>
        <b/>
        <sz val="10"/>
        <color theme="1"/>
        <rFont val="Helvetica Neue Light"/>
        <family val="2"/>
      </rPr>
      <t>1 | Tower—2</t>
    </r>
  </si>
  <si>
    <t>T2V-00</t>
  </si>
  <si>
    <t>T2V-01</t>
  </si>
  <si>
    <t>T2V-02</t>
  </si>
  <si>
    <t>T2V-03</t>
  </si>
  <si>
    <t>T2V-04</t>
  </si>
  <si>
    <t>T2V-05</t>
  </si>
  <si>
    <t>T2V-06</t>
  </si>
  <si>
    <t>T2V-08</t>
  </si>
  <si>
    <t>T2V-09</t>
  </si>
  <si>
    <r>
      <t xml:space="preserve">GFC | Phase </t>
    </r>
    <r>
      <rPr>
        <b/>
        <sz val="10"/>
        <color theme="1"/>
        <rFont val="Helvetica Neue Light"/>
        <family val="2"/>
      </rPr>
      <t>1 | Tower—3</t>
    </r>
  </si>
  <si>
    <t>T2S-00</t>
  </si>
  <si>
    <t>T2S-01</t>
  </si>
  <si>
    <t>T2S-02</t>
  </si>
  <si>
    <t>T2S-03</t>
  </si>
  <si>
    <t>T2S-04</t>
  </si>
  <si>
    <t>T2S-05</t>
  </si>
  <si>
    <t>T2S-06</t>
  </si>
  <si>
    <t>T2S-08</t>
  </si>
  <si>
    <t>T2S-09</t>
  </si>
  <si>
    <r>
      <t xml:space="preserve">GFC | Phase </t>
    </r>
    <r>
      <rPr>
        <b/>
        <sz val="10"/>
        <color theme="1"/>
        <rFont val="Helvetica Neue Light"/>
        <family val="2"/>
      </rPr>
      <t>1 | Tower—4</t>
    </r>
  </si>
  <si>
    <t>TXV-00</t>
  </si>
  <si>
    <t>TXV-01</t>
  </si>
  <si>
    <t>TXV-02</t>
  </si>
  <si>
    <t>TXV-03</t>
  </si>
  <si>
    <t>TXV-04</t>
  </si>
  <si>
    <t>TXV-05</t>
  </si>
  <si>
    <t>TXV-06</t>
  </si>
  <si>
    <t>TXV-08</t>
  </si>
  <si>
    <t>TXV-09</t>
  </si>
  <si>
    <t>GFC | Individual Homes</t>
  </si>
  <si>
    <t>C20-01</t>
  </si>
  <si>
    <t>U10 Default and it's variants</t>
  </si>
  <si>
    <t>L30-01</t>
  </si>
  <si>
    <t>U20 Default and it's variants</t>
  </si>
  <si>
    <t>L45-01</t>
  </si>
  <si>
    <t>H20 Default and it's variants</t>
  </si>
  <si>
    <t>GFC | Master Plan</t>
  </si>
  <si>
    <t>AR-MP-1</t>
  </si>
  <si>
    <t>Master Plan</t>
  </si>
  <si>
    <t>AR-MP-2</t>
  </si>
  <si>
    <t>Site Development</t>
  </si>
  <si>
    <t>AR-MP-3</t>
  </si>
  <si>
    <t>Site MEP</t>
  </si>
  <si>
    <t>AR-MP-4</t>
  </si>
  <si>
    <t>Landscaping</t>
  </si>
  <si>
    <t>GFC | Amenities &amp; Facilities</t>
  </si>
  <si>
    <t>AMN-00</t>
  </si>
  <si>
    <t>Clubhouse—Structure and Envelope</t>
  </si>
  <si>
    <t>AMN-1.1</t>
  </si>
  <si>
    <t>Clubhouse—Interiors and Facilities</t>
  </si>
  <si>
    <t>AMN-1.2</t>
  </si>
  <si>
    <t>Clubhouse—Outdoor Spaces and Pool</t>
  </si>
  <si>
    <t>AMN-1.3</t>
  </si>
  <si>
    <t>Community spaces [Board Walk, Children play area]</t>
  </si>
  <si>
    <t>AMN-1.4</t>
  </si>
  <si>
    <t>Sporting Facilities</t>
  </si>
  <si>
    <t>POST-CONSTRUCTION</t>
  </si>
  <si>
    <t>Archives</t>
  </si>
  <si>
    <t xml:space="preserve">Complete set of "As-Built" drawings, final BoQ and project costs, </t>
  </si>
  <si>
    <t>MAJOR REWORKS</t>
  </si>
  <si>
    <t>0063| In That Quite Earth -Phase2b | Residential</t>
  </si>
  <si>
    <t>PHASE 2B</t>
  </si>
  <si>
    <t>GFC | Independent Subgrade Structure 5 &amp; 6</t>
  </si>
  <si>
    <t>AR-EB5-1</t>
  </si>
  <si>
    <t>AR-EB5-2</t>
  </si>
  <si>
    <t>AR-EB5-3</t>
  </si>
  <si>
    <t>AR-EB5-4</t>
  </si>
  <si>
    <t>AR-EB5-5</t>
  </si>
  <si>
    <t>GFC | Independent Subgrade Structure -7</t>
  </si>
  <si>
    <t>AR-EB7-1</t>
  </si>
  <si>
    <t>AR-EB7-2</t>
  </si>
  <si>
    <t>AR-EB7-3</t>
  </si>
  <si>
    <t>AR-EB7-4</t>
  </si>
  <si>
    <t>AR-EB7-5</t>
  </si>
  <si>
    <r>
      <t xml:space="preserve">GFC | Phase </t>
    </r>
    <r>
      <rPr>
        <b/>
        <sz val="10"/>
        <color theme="1"/>
        <rFont val="Helvetica Neue Light"/>
        <family val="2"/>
      </rPr>
      <t>1 | Tower—5</t>
    </r>
  </si>
  <si>
    <t>T05-1</t>
  </si>
  <si>
    <t>T05-2</t>
  </si>
  <si>
    <t>T05-3</t>
  </si>
  <si>
    <t>T05-4</t>
  </si>
  <si>
    <t>T05-5</t>
  </si>
  <si>
    <t>T05-6</t>
  </si>
  <si>
    <t>T05-8</t>
  </si>
  <si>
    <t>T05-9</t>
  </si>
  <si>
    <t>T05-10</t>
  </si>
  <si>
    <r>
      <t xml:space="preserve">GFC | Phase </t>
    </r>
    <r>
      <rPr>
        <b/>
        <sz val="10"/>
        <color theme="1"/>
        <rFont val="Helvetica Neue Light"/>
        <family val="2"/>
      </rPr>
      <t>1 | Tower—6</t>
    </r>
  </si>
  <si>
    <t>T06-1</t>
  </si>
  <si>
    <t>T06-2</t>
  </si>
  <si>
    <t>T06-3</t>
  </si>
  <si>
    <t>T06-4</t>
  </si>
  <si>
    <t>T06-5</t>
  </si>
  <si>
    <t>T06-6</t>
  </si>
  <si>
    <t>T06-8</t>
  </si>
  <si>
    <t>T06-9</t>
  </si>
  <si>
    <t>T06-10</t>
  </si>
  <si>
    <r>
      <t xml:space="preserve">GFC | Phase </t>
    </r>
    <r>
      <rPr>
        <b/>
        <sz val="10"/>
        <color theme="1"/>
        <rFont val="Helvetica Neue Light"/>
        <family val="2"/>
      </rPr>
      <t>1 | Tower—7</t>
    </r>
  </si>
  <si>
    <t>T07-1</t>
  </si>
  <si>
    <t>T07-2</t>
  </si>
  <si>
    <t>T07-3</t>
  </si>
  <si>
    <t>T07-4</t>
  </si>
  <si>
    <t>T07-5</t>
  </si>
  <si>
    <t>T07-6</t>
  </si>
  <si>
    <t>T07-8</t>
  </si>
  <si>
    <t>T07-9</t>
  </si>
  <si>
    <t>T07-10</t>
  </si>
  <si>
    <t>AR-L21-1</t>
  </si>
  <si>
    <t>L21  Default and it's variants</t>
  </si>
  <si>
    <t>AR-L25-2</t>
  </si>
  <si>
    <t>L25 Default and it's variants</t>
  </si>
  <si>
    <t>0063| In That Quite Earth -Phase 2c| Residential</t>
  </si>
  <si>
    <t>PHASE 2C</t>
  </si>
  <si>
    <t>GFC | Independent Subgrade Structure T9</t>
  </si>
  <si>
    <r>
      <rPr>
        <sz val="10"/>
        <color rgb="FF000000"/>
        <rFont val="Helvetica Neue Light"/>
      </rPr>
      <t xml:space="preserve">GFC | Phase </t>
    </r>
    <r>
      <rPr>
        <b/>
        <sz val="10"/>
        <color rgb="FF000000"/>
        <rFont val="Helvetica Neue Light"/>
      </rPr>
      <t>1 | Tower—9</t>
    </r>
  </si>
  <si>
    <t>Awaiting arch drawings</t>
  </si>
  <si>
    <t>Awaiting closure of Soil consultant analysis results and initial pile load test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</si>
</sst>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%;\-0%;\-;@"/>
  </numFmts>
  <fonts count="51" x14ac:knownFonts="1">
    <font>
      <sz val="10"/>
      <color theme="1"/>
      <name val="Meta-Norm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Helvetica Neue Light"/>
      <family val="2"/>
    </font>
    <font>
      <sz val="14"/>
      <color theme="0"/>
      <name val="Helvetica Neue Condensed Black"/>
      <family val="2"/>
    </font>
    <font>
      <sz val="10"/>
      <color theme="1"/>
      <name val="Meta-Normal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2"/>
      <color theme="1"/>
      <name val="Helvetica Neue Medium"/>
      <family val="2"/>
    </font>
    <font>
      <sz val="10"/>
      <color theme="1"/>
      <name val="Meta-Normal"/>
    </font>
    <font>
      <sz val="11"/>
      <color theme="1"/>
      <name val="Meta-Normal"/>
    </font>
    <font>
      <b/>
      <sz val="10"/>
      <color theme="1"/>
      <name val="Helvetica Neue Light"/>
      <family val="2"/>
    </font>
    <font>
      <b/>
      <sz val="10"/>
      <color theme="1"/>
      <name val="Meta-Normal"/>
    </font>
    <font>
      <b/>
      <sz val="10"/>
      <color theme="1"/>
      <name val="Meta-Normal"/>
      <family val="2"/>
    </font>
    <font>
      <sz val="10"/>
      <name val="Helvetica Neue Light"/>
      <family val="2"/>
    </font>
    <font>
      <b/>
      <sz val="10"/>
      <name val="Helvetica Neue Light"/>
      <family val="2"/>
    </font>
    <font>
      <b/>
      <sz val="10"/>
      <name val="Meta-Normal"/>
      <family val="2"/>
    </font>
    <font>
      <sz val="10"/>
      <color rgb="FF000000"/>
      <name val="Helvetica Neue Light"/>
      <family val="2"/>
    </font>
    <font>
      <sz val="10"/>
      <color theme="1"/>
      <name val="MetaNormal"/>
    </font>
    <font>
      <sz val="9"/>
      <color theme="4" tint="0.39997558519241921"/>
      <name val="Helvetica Neue Light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Helvetica Neue Light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sz val="10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14"/>
      <color theme="0"/>
      <name val="Meta-Normal"/>
      <family val="3"/>
    </font>
    <font>
      <sz val="11"/>
      <color theme="1"/>
      <name val="Meta-Normal"/>
      <family val="3"/>
    </font>
    <font>
      <sz val="9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sz val="10"/>
      <name val="Neo Sans Pro Light"/>
      <family val="2"/>
    </font>
    <font>
      <sz val="8"/>
      <name val="Meta-Normal"/>
      <family val="2"/>
    </font>
    <font>
      <sz val="10"/>
      <name val="Meta-Normal"/>
    </font>
    <font>
      <sz val="10"/>
      <name val="Arial"/>
      <family val="2"/>
    </font>
    <font>
      <sz val="10"/>
      <color rgb="FF000000"/>
      <name val="Helvetica Neue Light"/>
    </font>
    <font>
      <b/>
      <sz val="10"/>
      <color rgb="FF000000"/>
      <name val="Helvetica Neue Light"/>
    </font>
    <font>
      <sz val="10"/>
      <color theme="1"/>
      <name val="Helvetica Neue Light"/>
    </font>
    <font>
      <sz val="9"/>
      <color theme="4" tint="0.39997558519241921"/>
      <name val="Helvetica Neue Light"/>
    </font>
    <font>
      <b/>
      <sz val="10"/>
      <color theme="1"/>
      <name val="Helvetica Neue Light"/>
    </font>
    <font>
      <sz val="10"/>
      <color rgb="FF000000"/>
      <name val="MetaNormal"/>
    </font>
    <font>
      <sz val="10"/>
      <color rgb="FFC00000"/>
      <name val="MetaNormal"/>
    </font>
    <font>
      <sz val="9"/>
      <color rgb="FF8EA9DB"/>
      <name val="Helvetica Neue Light"/>
      <family val="2"/>
    </font>
    <font>
      <sz val="10"/>
      <color rgb="FF8EA9DB"/>
      <name val="MetaNormal"/>
    </font>
    <font>
      <sz val="10"/>
      <color rgb="FFFF0000"/>
      <name val="MetaNormal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2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0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0" fillId="0" borderId="0" applyFont="0" applyFill="0" applyBorder="0" applyAlignment="0" applyProtection="0"/>
  </cellStyleXfs>
  <cellXfs count="153">
    <xf numFmtId="0" fontId="0" fillId="0" borderId="0" xfId="0"/>
    <xf numFmtId="0" fontId="4" fillId="0" borderId="1" xfId="3" applyFont="1" applyBorder="1" applyAlignment="1">
      <alignment vertical="center"/>
    </xf>
    <xf numFmtId="0" fontId="5" fillId="2" borderId="1" xfId="3" applyFont="1" applyFill="1" applyBorder="1" applyAlignment="1">
      <alignment vertical="center"/>
    </xf>
    <xf numFmtId="0" fontId="5" fillId="2" borderId="1" xfId="3" applyFont="1" applyFill="1" applyBorder="1" applyAlignment="1">
      <alignment vertical="center" wrapText="1"/>
    </xf>
    <xf numFmtId="165" fontId="7" fillId="2" borderId="1" xfId="1" applyNumberFormat="1" applyFont="1" applyFill="1" applyBorder="1" applyAlignment="1">
      <alignment horizontal="center" vertical="center"/>
    </xf>
    <xf numFmtId="166" fontId="8" fillId="2" borderId="1" xfId="1" applyNumberFormat="1" applyFont="1" applyFill="1" applyBorder="1" applyAlignment="1">
      <alignment horizontal="center" vertical="center"/>
    </xf>
    <xf numFmtId="0" fontId="4" fillId="0" borderId="2" xfId="3" applyFont="1" applyBorder="1" applyAlignment="1">
      <alignment vertical="center"/>
    </xf>
    <xf numFmtId="0" fontId="4" fillId="3" borderId="0" xfId="3" applyFont="1" applyFill="1" applyAlignment="1">
      <alignment vertical="center"/>
    </xf>
    <xf numFmtId="0" fontId="4" fillId="0" borderId="0" xfId="3" applyFont="1" applyAlignment="1">
      <alignment vertical="center"/>
    </xf>
    <xf numFmtId="166" fontId="8" fillId="2" borderId="1" xfId="1" applyNumberFormat="1" applyFont="1" applyFill="1" applyBorder="1" applyAlignment="1">
      <alignment horizontal="right" vertical="center"/>
    </xf>
    <xf numFmtId="2" fontId="4" fillId="0" borderId="0" xfId="3" applyNumberFormat="1" applyFont="1" applyAlignment="1">
      <alignment vertical="center"/>
    </xf>
    <xf numFmtId="0" fontId="4" fillId="0" borderId="1" xfId="3" applyFont="1" applyBorder="1" applyAlignment="1">
      <alignment vertical="center" wrapText="1"/>
    </xf>
    <xf numFmtId="0" fontId="4" fillId="0" borderId="1" xfId="3" applyFont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/>
    </xf>
    <xf numFmtId="0" fontId="4" fillId="3" borderId="0" xfId="3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9" fontId="4" fillId="0" borderId="0" xfId="2" applyFont="1" applyAlignment="1">
      <alignment vertical="center"/>
    </xf>
    <xf numFmtId="2" fontId="10" fillId="0" borderId="1" xfId="3" applyNumberFormat="1" applyFont="1" applyBorder="1" applyAlignment="1">
      <alignment vertical="center"/>
    </xf>
    <xf numFmtId="1" fontId="10" fillId="0" borderId="1" xfId="3" applyNumberFormat="1" applyFont="1" applyBorder="1" applyAlignment="1">
      <alignment vertical="center"/>
    </xf>
    <xf numFmtId="0" fontId="9" fillId="5" borderId="1" xfId="3" applyFont="1" applyFill="1" applyBorder="1" applyAlignment="1">
      <alignment vertical="center"/>
    </xf>
    <xf numFmtId="0" fontId="9" fillId="5" borderId="1" xfId="3" applyFont="1" applyFill="1" applyBorder="1" applyAlignment="1">
      <alignment vertical="center" wrapText="1"/>
    </xf>
    <xf numFmtId="2" fontId="11" fillId="5" borderId="1" xfId="3" applyNumberFormat="1" applyFont="1" applyFill="1" applyBorder="1" applyAlignment="1">
      <alignment vertical="center"/>
    </xf>
    <xf numFmtId="166" fontId="11" fillId="5" borderId="1" xfId="1" applyNumberFormat="1" applyFont="1" applyFill="1" applyBorder="1" applyAlignment="1">
      <alignment vertical="center"/>
    </xf>
    <xf numFmtId="166" fontId="10" fillId="0" borderId="1" xfId="1" applyNumberFormat="1" applyFont="1" applyBorder="1" applyAlignment="1">
      <alignment vertical="center"/>
    </xf>
    <xf numFmtId="0" fontId="12" fillId="4" borderId="1" xfId="3" applyFont="1" applyFill="1" applyBorder="1" applyAlignment="1">
      <alignment vertical="center"/>
    </xf>
    <xf numFmtId="0" fontId="12" fillId="4" borderId="1" xfId="3" applyFont="1" applyFill="1" applyBorder="1" applyAlignment="1">
      <alignment vertical="center" wrapText="1"/>
    </xf>
    <xf numFmtId="2" fontId="13" fillId="4" borderId="1" xfId="3" applyNumberFormat="1" applyFont="1" applyFill="1" applyBorder="1" applyAlignment="1">
      <alignment vertical="center"/>
    </xf>
    <xf numFmtId="166" fontId="13" fillId="4" borderId="1" xfId="1" applyNumberFormat="1" applyFont="1" applyFill="1" applyBorder="1" applyAlignment="1">
      <alignment vertical="center"/>
    </xf>
    <xf numFmtId="0" fontId="12" fillId="6" borderId="1" xfId="3" applyFont="1" applyFill="1" applyBorder="1" applyAlignment="1">
      <alignment vertical="center"/>
    </xf>
    <xf numFmtId="0" fontId="12" fillId="6" borderId="1" xfId="3" applyFont="1" applyFill="1" applyBorder="1" applyAlignment="1">
      <alignment vertical="center" wrapText="1"/>
    </xf>
    <xf numFmtId="2" fontId="14" fillId="6" borderId="1" xfId="3" applyNumberFormat="1" applyFont="1" applyFill="1" applyBorder="1" applyAlignment="1">
      <alignment vertical="center"/>
    </xf>
    <xf numFmtId="166" fontId="14" fillId="6" borderId="1" xfId="1" applyNumberFormat="1" applyFont="1" applyFill="1" applyBorder="1" applyAlignment="1">
      <alignment vertical="center"/>
    </xf>
    <xf numFmtId="2" fontId="0" fillId="0" borderId="1" xfId="3" applyNumberFormat="1" applyFont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0" fontId="12" fillId="0" borderId="1" xfId="3" applyFont="1" applyBorder="1" applyAlignment="1">
      <alignment vertical="center"/>
    </xf>
    <xf numFmtId="0" fontId="12" fillId="0" borderId="2" xfId="3" applyFont="1" applyBorder="1" applyAlignment="1">
      <alignment vertical="center"/>
    </xf>
    <xf numFmtId="0" fontId="12" fillId="3" borderId="0" xfId="3" applyFont="1" applyFill="1" applyAlignment="1">
      <alignment vertical="center"/>
    </xf>
    <xf numFmtId="0" fontId="12" fillId="0" borderId="0" xfId="3" applyFont="1" applyAlignment="1">
      <alignment vertical="center"/>
    </xf>
    <xf numFmtId="0" fontId="15" fillId="0" borderId="1" xfId="3" applyFont="1" applyBorder="1" applyAlignment="1">
      <alignment vertical="center"/>
    </xf>
    <xf numFmtId="0" fontId="16" fillId="0" borderId="1" xfId="3" applyFont="1" applyBorder="1" applyAlignment="1">
      <alignment vertical="center"/>
    </xf>
    <xf numFmtId="0" fontId="16" fillId="4" borderId="1" xfId="3" applyFont="1" applyFill="1" applyBorder="1" applyAlignment="1">
      <alignment vertical="center"/>
    </xf>
    <xf numFmtId="2" fontId="17" fillId="4" borderId="1" xfId="3" applyNumberFormat="1" applyFont="1" applyFill="1" applyBorder="1" applyAlignment="1">
      <alignment vertical="center"/>
    </xf>
    <xf numFmtId="2" fontId="13" fillId="6" borderId="1" xfId="3" applyNumberFormat="1" applyFont="1" applyFill="1" applyBorder="1" applyAlignment="1">
      <alignment vertical="center"/>
    </xf>
    <xf numFmtId="166" fontId="13" fillId="6" borderId="1" xfId="1" applyNumberFormat="1" applyFont="1" applyFill="1" applyBorder="1" applyAlignment="1">
      <alignment vertical="center"/>
    </xf>
    <xf numFmtId="0" fontId="18" fillId="0" borderId="1" xfId="3" applyFont="1" applyBorder="1" applyAlignment="1">
      <alignment vertical="center" wrapText="1"/>
    </xf>
    <xf numFmtId="0" fontId="16" fillId="6" borderId="1" xfId="3" applyFont="1" applyFill="1" applyBorder="1" applyAlignment="1">
      <alignment vertical="center"/>
    </xf>
    <xf numFmtId="2" fontId="14" fillId="0" borderId="1" xfId="3" applyNumberFormat="1" applyFont="1" applyBorder="1" applyAlignment="1">
      <alignment vertical="center"/>
    </xf>
    <xf numFmtId="166" fontId="13" fillId="0" borderId="1" xfId="1" applyNumberFormat="1" applyFont="1" applyBorder="1" applyAlignment="1">
      <alignment vertical="center"/>
    </xf>
    <xf numFmtId="15" fontId="19" fillId="0" borderId="0" xfId="3" applyNumberFormat="1" applyFont="1" applyAlignment="1">
      <alignment vertical="center"/>
    </xf>
    <xf numFmtId="0" fontId="4" fillId="0" borderId="0" xfId="3" applyFont="1" applyAlignment="1">
      <alignment vertical="center" wrapText="1"/>
    </xf>
    <xf numFmtId="0" fontId="20" fillId="0" borderId="1" xfId="3" applyFont="1" applyBorder="1" applyAlignment="1">
      <alignment vertical="center"/>
    </xf>
    <xf numFmtId="0" fontId="20" fillId="0" borderId="1" xfId="3" applyFont="1" applyBorder="1" applyAlignment="1">
      <alignment vertical="center" wrapText="1"/>
    </xf>
    <xf numFmtId="2" fontId="10" fillId="0" borderId="1" xfId="3" applyNumberFormat="1" applyFont="1" applyBorder="1" applyAlignment="1">
      <alignment horizontal="center" vertical="center"/>
    </xf>
    <xf numFmtId="2" fontId="11" fillId="5" borderId="1" xfId="3" applyNumberFormat="1" applyFont="1" applyFill="1" applyBorder="1" applyAlignment="1">
      <alignment horizontal="center" vertical="center"/>
    </xf>
    <xf numFmtId="2" fontId="17" fillId="4" borderId="1" xfId="3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12" fillId="0" borderId="3" xfId="0" applyFont="1" applyBorder="1" applyAlignment="1">
      <alignment horizontal="right" vertical="center"/>
    </xf>
    <xf numFmtId="0" fontId="22" fillId="0" borderId="3" xfId="0" applyFont="1" applyBorder="1" applyAlignment="1">
      <alignment horizontal="right" vertical="center"/>
    </xf>
    <xf numFmtId="0" fontId="21" fillId="0" borderId="3" xfId="0" applyFont="1" applyBorder="1" applyAlignment="1">
      <alignment vertical="center" wrapText="1"/>
    </xf>
    <xf numFmtId="167" fontId="21" fillId="0" borderId="3" xfId="0" applyNumberFormat="1" applyFont="1" applyBorder="1" applyAlignment="1">
      <alignment horizontal="center" vertical="center"/>
    </xf>
    <xf numFmtId="167" fontId="21" fillId="0" borderId="3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7" fontId="25" fillId="2" borderId="3" xfId="0" applyNumberFormat="1" applyFont="1" applyFill="1" applyBorder="1" applyAlignment="1">
      <alignment horizontal="center" vertical="center"/>
    </xf>
    <xf numFmtId="167" fontId="24" fillId="0" borderId="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6" fontId="4" fillId="0" borderId="3" xfId="5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right" wrapText="1"/>
    </xf>
    <xf numFmtId="0" fontId="26" fillId="0" borderId="0" xfId="0" applyFont="1" applyAlignment="1">
      <alignment horizontal="center" vertical="center"/>
    </xf>
    <xf numFmtId="0" fontId="24" fillId="0" borderId="3" xfId="0" applyFont="1" applyBorder="1" applyAlignment="1">
      <alignment vertical="center" wrapText="1"/>
    </xf>
    <xf numFmtId="0" fontId="24" fillId="0" borderId="3" xfId="0" applyFont="1" applyBorder="1" applyAlignment="1">
      <alignment vertical="center"/>
    </xf>
    <xf numFmtId="167" fontId="24" fillId="0" borderId="3" xfId="0" applyNumberFormat="1" applyFont="1" applyBorder="1" applyAlignment="1">
      <alignment vertical="center"/>
    </xf>
    <xf numFmtId="0" fontId="12" fillId="7" borderId="3" xfId="0" applyFont="1" applyFill="1" applyBorder="1" applyAlignment="1">
      <alignment horizontal="right" vertical="center"/>
    </xf>
    <xf numFmtId="0" fontId="22" fillId="7" borderId="3" xfId="0" applyFont="1" applyFill="1" applyBorder="1" applyAlignment="1">
      <alignment horizontal="right" vertical="center"/>
    </xf>
    <xf numFmtId="0" fontId="24" fillId="7" borderId="3" xfId="0" applyFont="1" applyFill="1" applyBorder="1" applyAlignment="1">
      <alignment vertical="center" wrapText="1"/>
    </xf>
    <xf numFmtId="0" fontId="24" fillId="7" borderId="3" xfId="0" applyFont="1" applyFill="1" applyBorder="1" applyAlignment="1">
      <alignment vertical="center"/>
    </xf>
    <xf numFmtId="167" fontId="21" fillId="7" borderId="3" xfId="0" applyNumberFormat="1" applyFont="1" applyFill="1" applyBorder="1" applyAlignment="1">
      <alignment horizontal="center" vertical="center"/>
    </xf>
    <xf numFmtId="167" fontId="29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7" fontId="30" fillId="0" borderId="3" xfId="0" applyNumberFormat="1" applyFont="1" applyBorder="1" applyAlignment="1">
      <alignment horizontal="center" vertical="center"/>
    </xf>
    <xf numFmtId="167" fontId="31" fillId="0" borderId="3" xfId="0" applyNumberFormat="1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167" fontId="32" fillId="0" borderId="3" xfId="0" applyNumberFormat="1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21" fillId="4" borderId="3" xfId="0" applyFont="1" applyFill="1" applyBorder="1" applyAlignment="1">
      <alignment vertical="center"/>
    </xf>
    <xf numFmtId="166" fontId="26" fillId="0" borderId="3" xfId="5" applyNumberFormat="1" applyFont="1" applyFill="1" applyBorder="1" applyAlignment="1">
      <alignment horizontal="center" vertical="center"/>
    </xf>
    <xf numFmtId="167" fontId="26" fillId="0" borderId="3" xfId="0" applyNumberFormat="1" applyFont="1" applyBorder="1" applyAlignment="1">
      <alignment horizontal="center" vertical="center"/>
    </xf>
    <xf numFmtId="167" fontId="26" fillId="4" borderId="3" xfId="0" applyNumberFormat="1" applyFont="1" applyFill="1" applyBorder="1" applyAlignment="1">
      <alignment horizontal="center" vertical="center"/>
    </xf>
    <xf numFmtId="167" fontId="33" fillId="0" borderId="3" xfId="0" applyNumberFormat="1" applyFont="1" applyBorder="1" applyAlignment="1">
      <alignment horizontal="center" vertical="center"/>
    </xf>
    <xf numFmtId="167" fontId="33" fillId="4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167" fontId="21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vertical="center"/>
    </xf>
    <xf numFmtId="1" fontId="4" fillId="0" borderId="3" xfId="0" applyNumberFormat="1" applyFont="1" applyBorder="1" applyAlignment="1">
      <alignment horizontal="right" vertical="center"/>
    </xf>
    <xf numFmtId="167" fontId="34" fillId="0" borderId="3" xfId="0" applyNumberFormat="1" applyFont="1" applyBorder="1" applyAlignment="1">
      <alignment vertical="center"/>
    </xf>
    <xf numFmtId="167" fontId="34" fillId="0" borderId="3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167" fontId="36" fillId="0" borderId="3" xfId="0" applyNumberFormat="1" applyFont="1" applyBorder="1" applyAlignment="1">
      <alignment vertical="center"/>
    </xf>
    <xf numFmtId="167" fontId="36" fillId="0" borderId="3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2" fontId="12" fillId="0" borderId="3" xfId="0" applyNumberFormat="1" applyFont="1" applyBorder="1" applyAlignment="1">
      <alignment horizontal="right" vertical="center"/>
    </xf>
    <xf numFmtId="0" fontId="2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67" fontId="34" fillId="0" borderId="3" xfId="0" applyNumberFormat="1" applyFont="1" applyBorder="1" applyAlignment="1">
      <alignment vertical="center" wrapText="1"/>
    </xf>
    <xf numFmtId="0" fontId="22" fillId="0" borderId="0" xfId="0" applyFont="1" applyAlignment="1">
      <alignment horizontal="right" vertical="center"/>
    </xf>
    <xf numFmtId="0" fontId="21" fillId="0" borderId="0" xfId="0" applyFont="1" applyAlignment="1">
      <alignment vertical="center" wrapText="1"/>
    </xf>
    <xf numFmtId="15" fontId="19" fillId="0" borderId="1" xfId="3" applyNumberFormat="1" applyFont="1" applyBorder="1" applyAlignment="1">
      <alignment horizontal="center" vertical="center"/>
    </xf>
    <xf numFmtId="1" fontId="39" fillId="0" borderId="1" xfId="7" applyNumberFormat="1" applyFont="1" applyBorder="1" applyAlignment="1">
      <alignment horizontal="right" vertical="center"/>
    </xf>
    <xf numFmtId="0" fontId="9" fillId="5" borderId="5" xfId="3" applyFont="1" applyFill="1" applyBorder="1" applyAlignment="1">
      <alignment horizontal="left" vertical="center" wrapText="1"/>
    </xf>
    <xf numFmtId="0" fontId="10" fillId="0" borderId="1" xfId="7" applyFont="1" applyBorder="1" applyAlignment="1">
      <alignment horizontal="right" vertical="center"/>
    </xf>
    <xf numFmtId="0" fontId="41" fillId="4" borderId="3" xfId="0" applyFont="1" applyFill="1" applyBorder="1" applyAlignment="1">
      <alignment vertical="center"/>
    </xf>
    <xf numFmtId="0" fontId="43" fillId="0" borderId="1" xfId="3" applyFont="1" applyBorder="1" applyAlignment="1">
      <alignment vertical="center"/>
    </xf>
    <xf numFmtId="0" fontId="44" fillId="0" borderId="1" xfId="3" applyFont="1" applyBorder="1" applyAlignment="1">
      <alignment vertical="center"/>
    </xf>
    <xf numFmtId="0" fontId="44" fillId="0" borderId="1" xfId="3" applyFont="1" applyBorder="1" applyAlignment="1">
      <alignment vertical="center" wrapText="1"/>
    </xf>
    <xf numFmtId="0" fontId="43" fillId="3" borderId="0" xfId="3" applyFont="1" applyFill="1" applyAlignment="1">
      <alignment vertical="center"/>
    </xf>
    <xf numFmtId="0" fontId="43" fillId="0" borderId="2" xfId="3" applyFont="1" applyBorder="1" applyAlignment="1">
      <alignment vertical="center"/>
    </xf>
    <xf numFmtId="0" fontId="43" fillId="0" borderId="0" xfId="3" applyFont="1" applyAlignment="1">
      <alignment vertical="center"/>
    </xf>
    <xf numFmtId="0" fontId="45" fillId="0" borderId="0" xfId="3" applyFont="1" applyAlignment="1">
      <alignment vertical="center"/>
    </xf>
    <xf numFmtId="15" fontId="46" fillId="0" borderId="1" xfId="3" applyNumberFormat="1" applyFont="1" applyBorder="1" applyAlignment="1">
      <alignment horizontal="center" vertical="center"/>
    </xf>
    <xf numFmtId="15" fontId="47" fillId="0" borderId="1" xfId="3" applyNumberFormat="1" applyFont="1" applyBorder="1" applyAlignment="1">
      <alignment horizontal="center" vertical="center"/>
    </xf>
    <xf numFmtId="0" fontId="48" fillId="0" borderId="6" xfId="0" applyFont="1" applyBorder="1"/>
    <xf numFmtId="0" fontId="48" fillId="0" borderId="7" xfId="0" applyFont="1" applyBorder="1"/>
    <xf numFmtId="0" fontId="48" fillId="0" borderId="7" xfId="0" applyFont="1" applyBorder="1" applyAlignment="1">
      <alignment wrapText="1"/>
    </xf>
    <xf numFmtId="0" fontId="48" fillId="0" borderId="8" xfId="0" applyFont="1" applyBorder="1"/>
    <xf numFmtId="0" fontId="48" fillId="0" borderId="9" xfId="0" applyFont="1" applyBorder="1" applyAlignment="1">
      <alignment wrapText="1"/>
    </xf>
    <xf numFmtId="15" fontId="49" fillId="0" borderId="7" xfId="0" applyNumberFormat="1" applyFont="1" applyBorder="1" applyAlignment="1">
      <alignment horizontal="center"/>
    </xf>
    <xf numFmtId="0" fontId="12" fillId="6" borderId="1" xfId="3" applyFont="1" applyFill="1" applyBorder="1" applyAlignment="1">
      <alignment horizontal="center" vertical="center"/>
    </xf>
    <xf numFmtId="0" fontId="12" fillId="4" borderId="1" xfId="3" applyFont="1" applyFill="1" applyBorder="1" applyAlignment="1">
      <alignment horizontal="center" vertical="center"/>
    </xf>
    <xf numFmtId="15" fontId="49" fillId="0" borderId="9" xfId="0" applyNumberFormat="1" applyFont="1" applyBorder="1" applyAlignment="1">
      <alignment horizontal="center"/>
    </xf>
    <xf numFmtId="0" fontId="12" fillId="6" borderId="1" xfId="3" applyFont="1" applyFill="1" applyBorder="1" applyAlignment="1">
      <alignment horizontal="center" vertical="center" wrapText="1"/>
    </xf>
    <xf numFmtId="0" fontId="48" fillId="0" borderId="6" xfId="0" applyFont="1" applyBorder="1" applyAlignment="1">
      <alignment wrapText="1"/>
    </xf>
    <xf numFmtId="0" fontId="48" fillId="0" borderId="8" xfId="0" applyFont="1" applyBorder="1" applyAlignment="1">
      <alignment wrapText="1"/>
    </xf>
    <xf numFmtId="0" fontId="18" fillId="0" borderId="6" xfId="0" applyFont="1" applyBorder="1" applyAlignment="1">
      <alignment wrapText="1"/>
    </xf>
    <xf numFmtId="0" fontId="18" fillId="0" borderId="8" xfId="0" applyFont="1" applyBorder="1" applyAlignment="1">
      <alignment wrapText="1"/>
    </xf>
    <xf numFmtId="15" fontId="50" fillId="0" borderId="7" xfId="0" applyNumberFormat="1" applyFont="1" applyBorder="1" applyAlignment="1">
      <alignment horizontal="center"/>
    </xf>
    <xf numFmtId="0" fontId="41" fillId="0" borderId="6" xfId="0" applyFont="1" applyBorder="1" applyAlignment="1">
      <alignment wrapText="1"/>
    </xf>
    <xf numFmtId="0" fontId="41" fillId="0" borderId="8" xfId="0" applyFont="1" applyBorder="1" applyAlignment="1">
      <alignment wrapText="1"/>
    </xf>
    <xf numFmtId="0" fontId="23" fillId="2" borderId="3" xfId="0" applyFont="1" applyFill="1" applyBorder="1" applyAlignment="1">
      <alignment horizontal="left" vertical="center" wrapText="1"/>
    </xf>
    <xf numFmtId="0" fontId="23" fillId="8" borderId="3" xfId="0" applyFont="1" applyFill="1" applyBorder="1" applyAlignment="1">
      <alignment horizontal="left" vertical="center"/>
    </xf>
    <xf numFmtId="0" fontId="23" fillId="8" borderId="3" xfId="0" applyFont="1" applyFill="1" applyBorder="1" applyAlignment="1">
      <alignment horizontal="left" vertical="center" wrapText="1"/>
    </xf>
    <xf numFmtId="0" fontId="9" fillId="5" borderId="5" xfId="3" applyFont="1" applyFill="1" applyBorder="1" applyAlignment="1">
      <alignment horizontal="left" vertical="center" wrapText="1"/>
    </xf>
    <xf numFmtId="0" fontId="9" fillId="5" borderId="4" xfId="3" applyFont="1" applyFill="1" applyBorder="1" applyAlignment="1">
      <alignment horizontal="left" vertical="center" wrapText="1"/>
    </xf>
  </cellXfs>
  <cellStyles count="23">
    <cellStyle name="Comma" xfId="1" builtinId="3"/>
    <cellStyle name="Comma 10" xfId="14" xr:uid="{30C760DA-8A6F-46E7-A769-8F0D29230A6A}"/>
    <cellStyle name="Comma 10 10" xfId="15" xr:uid="{C6A8B88F-4C75-4AE3-89D3-8961E4E82258}"/>
    <cellStyle name="Comma 2" xfId="6" xr:uid="{3A9DBD8A-90EA-4A53-8BA3-F176E8DC4DCC}"/>
    <cellStyle name="Comma 2 10" xfId="13" xr:uid="{B3E62331-B987-4033-82E5-132D621E00C9}"/>
    <cellStyle name="Comma 2 66" xfId="18" xr:uid="{77FB5AC4-F4F3-4F81-AE27-CF6BB57D40CD}"/>
    <cellStyle name="Comma 3" xfId="12" xr:uid="{EA5AEFA2-4623-4BE6-8A88-03EF88D79D59}"/>
    <cellStyle name="Comma 3 11" xfId="21" xr:uid="{A75E1137-09DB-4667-AADA-6A64D998A7F3}"/>
    <cellStyle name="Comma 47" xfId="16" xr:uid="{835B6093-A2D1-489C-BC2A-84BE9270DC69}"/>
    <cellStyle name="Comma 9" xfId="5" xr:uid="{5E94BFA9-0B1B-4BAC-9435-16C9F8B8A874}"/>
    <cellStyle name="Normal" xfId="0" builtinId="0"/>
    <cellStyle name="Normal 2" xfId="7" xr:uid="{34184F80-8A26-4C84-8305-EEFAFC252BB1}"/>
    <cellStyle name="Normal 2 111" xfId="4" xr:uid="{3CA9DFC4-C81B-45AF-AD7D-F48BE9C2D487}"/>
    <cellStyle name="Normal 3" xfId="8" xr:uid="{850C044E-38E7-47B8-8E6E-E2B887A95893}"/>
    <cellStyle name="Normal 3 2" xfId="17" xr:uid="{31EF5BA7-6648-48EB-A218-E19E31B9BF43}"/>
    <cellStyle name="Normal 3 2 2" xfId="20" xr:uid="{6549EABA-6E8C-4340-9CEC-C17674FA64FE}"/>
    <cellStyle name="Normal 3 35" xfId="9" xr:uid="{A80939C3-46EE-4382-A5AD-9E5287A060C3}"/>
    <cellStyle name="Normal 4" xfId="3" xr:uid="{ED4B0F47-9742-4897-8B82-FD65133986D7}"/>
    <cellStyle name="Percent" xfId="2" builtinId="5"/>
    <cellStyle name="Percent 10" xfId="22" xr:uid="{D725B88D-59E5-49AE-AEEE-505051CEE401}"/>
    <cellStyle name="Percent 2" xfId="10" xr:uid="{D35EF8D5-32B2-44C2-9653-0C3FEA3AEDC3}"/>
    <cellStyle name="Percent 3" xfId="11" xr:uid="{B12BDAE1-9534-4BBF-8E9F-73A870807325}"/>
    <cellStyle name="Percent 3 11" xfId="19" xr:uid="{540AA6F0-A784-45B4-9D2F-79580D27D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8C8222AE-1E38-401F-B776-1BB6623F79AD}">
    <Anchor>
      <Comment id="{9D83657E-069A-4860-A3B0-78741BECBF59}"/>
    </Anchor>
    <History>
      <Event time="2023-05-12T08:54:53.53" id="{4AFA803A-4537-4CE2-9214-D5CDEF4D3D46}">
        <Attribution userId="S::suchita.sharma@total-environment.com::22e1a589-456e-45f3-adac-be6829c80874" userName="Suchita Sharma" userProvider="AD"/>
        <Anchor>
          <Comment id="{9D83657E-069A-4860-A3B0-78741BECBF59}"/>
        </Anchor>
        <Create/>
      </Event>
      <Event time="2023-05-12T08:54:53.53" id="{68EB96CA-D9E4-499D-8500-F412C60E6DA0}">
        <Attribution userId="S::suchita.sharma@total-environment.com::22e1a589-456e-45f3-adac-be6829c80874" userName="Suchita Sharma" userProvider="AD"/>
        <Anchor>
          <Comment id="{9D83657E-069A-4860-A3B0-78741BECBF59}"/>
        </Anchor>
        <Assign userId="S::annapoorna.bhat@total-environment.com::c676a0bd-93ce-4ff3-8e79-cccf969c9a3b" userName="Annapoorna Bhat" userProvider="AD"/>
      </Event>
      <Event time="2023-05-12T08:54:53.53" id="{30A62BCB-257E-40E1-A6D7-330C83A45F27}">
        <Attribution userId="S::suchita.sharma@total-environment.com::22e1a589-456e-45f3-adac-be6829c80874" userName="Suchita Sharma" userProvider="AD"/>
        <Anchor>
          <Comment id="{9D83657E-069A-4860-A3B0-78741BECBF59}"/>
        </Anchor>
        <SetTitle title="@Annapoorna Bhat L21 workshop to be schedules "/>
      </Event>
    </History>
  </Task>
</Task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60AD16C-58DC-4B0B-8ACD-FC955A71C9C4}"/>
  <namedSheetView name="View2" id="{639F49C6-F843-415C-B540-5990C7ED9B0D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nnapoorna Bhat" id="{832FF7B9-6C69-4AD2-98D9-F78B219A3A18}" userId="annapoorna.bhat@total-environment.com" providerId="PeoplePicker"/>
  <person displayName="Suchita Sharma" id="{13831999-FA93-49D0-A63E-267E79D8C831}" userId="S::suchita.sharma@total-environment.com::22e1a589-456e-45f3-adac-be6829c80874" providerId="AD"/>
</personList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3" dT="2023-05-12T08:54:53.53" personId="{13831999-FA93-49D0-A63E-267E79D8C831}" id="{9D83657E-069A-4860-A3B0-78741BECBF59}">
    <text>@Annapoorna Bhat L21 workshop to be schedules 
Electrical layout approval</text>
    <mentions>
      <mention mentionpersonId="{832FF7B9-6C69-4AD2-98D9-F78B219A3A18}" mentionId="{711BA738-0C51-4195-B59D-92E183FD82A5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9AC0-416D-43CD-A7E5-701F171614F9}">
  <sheetPr>
    <outlinePr summaryBelow="0" summaryRight="0"/>
    <pageSetUpPr fitToPage="1"/>
  </sheetPr>
  <dimension ref="A2:AE136"/>
  <sheetViews>
    <sheetView tabSelected="1" zoomScaleNormal="100" workbookViewId="0">
      <pane xSplit="2" ySplit="4" topLeftCell="C120" activePane="bottomRight" state="frozen"/>
      <selection pane="topRight"/>
      <selection pane="bottomLeft" activeCell="A8" sqref="A8"/>
      <selection pane="bottomRight" activeCell="C135" sqref="C135"/>
    </sheetView>
  </sheetViews>
  <sheetFormatPr defaultColWidth="9.453125" defaultRowHeight="13" outlineLevelRow="4" outlineLevelCol="1" x14ac:dyDescent="0.25"/>
  <cols>
    <col min="1" max="1" width="0.54296875" style="8" customWidth="1"/>
    <col min="2" max="2" width="25.81640625" style="8" customWidth="1"/>
    <col min="3" max="3" width="53.7265625" style="51" customWidth="1"/>
    <col min="4" max="4" width="16.1796875" style="17" customWidth="1" collapsed="1"/>
    <col min="5" max="5" width="34" style="8" customWidth="1"/>
    <col min="6" max="6" width="104.1796875" style="8" customWidth="1" collapsed="1"/>
    <col min="7" max="7" width="0.54296875" style="8" hidden="1" customWidth="1" outlineLevel="1"/>
    <col min="8" max="8" width="13.26953125" style="8" hidden="1" customWidth="1" outlineLevel="1"/>
    <col min="9" max="9" width="11.453125" style="8" hidden="1" customWidth="1" outlineLevel="1"/>
    <col min="10" max="10" width="18.81640625" style="8" hidden="1" customWidth="1" outlineLevel="1"/>
    <col min="11" max="11" width="14.26953125" style="8" hidden="1" customWidth="1" outlineLevel="1"/>
    <col min="12" max="12" width="17.7265625" style="8" hidden="1" customWidth="1" outlineLevel="1"/>
    <col min="13" max="13" width="16.26953125" style="8" hidden="1" customWidth="1" outlineLevel="1"/>
    <col min="14" max="14" width="14.81640625" style="8" hidden="1" customWidth="1" outlineLevel="1"/>
    <col min="15" max="17" width="0.54296875" style="8" hidden="1" customWidth="1" outlineLevel="1"/>
    <col min="18" max="24" width="14.453125" style="8" hidden="1" customWidth="1" outlineLevel="1"/>
    <col min="25" max="27" width="0.54296875" style="8" customWidth="1"/>
    <col min="28" max="29" width="0" style="8" hidden="1" customWidth="1"/>
    <col min="30" max="30" width="9.453125" style="8"/>
    <col min="31" max="31" width="9.453125" style="8" bestFit="1" customWidth="1"/>
    <col min="32" max="16384" width="9.453125" style="8"/>
  </cols>
  <sheetData>
    <row r="2" spans="1:31" ht="18.5" x14ac:dyDescent="0.25">
      <c r="A2" s="1"/>
      <c r="B2" s="2" t="s">
        <v>0</v>
      </c>
      <c r="C2" s="3"/>
      <c r="D2" s="4"/>
      <c r="E2" s="4"/>
      <c r="F2" s="2"/>
      <c r="G2" s="7"/>
      <c r="H2" s="4">
        <f>SUBTOTAL(9,H6:H130)</f>
        <v>19.435938485776759</v>
      </c>
      <c r="I2" s="5">
        <f>SUBTOTAL(9,I6:I130)</f>
        <v>30</v>
      </c>
      <c r="J2" s="4">
        <f>SUBTOTAL(9,J6:J130)</f>
        <v>0.18</v>
      </c>
      <c r="K2" s="9">
        <f>SUBTOTAL(9,K6:K130)</f>
        <v>1</v>
      </c>
      <c r="L2" s="2"/>
      <c r="M2" s="2"/>
      <c r="N2" s="2"/>
      <c r="O2" s="6"/>
      <c r="P2" s="7"/>
      <c r="R2" s="2"/>
      <c r="S2" s="2"/>
      <c r="T2" s="2"/>
      <c r="U2" s="2"/>
      <c r="V2" s="2"/>
      <c r="W2" s="2"/>
      <c r="X2" s="2"/>
      <c r="Z2" s="7"/>
      <c r="AB2" s="10">
        <f>H2-J2</f>
        <v>19.25593848577676</v>
      </c>
      <c r="AC2" s="10">
        <f>I2-K2</f>
        <v>29</v>
      </c>
    </row>
    <row r="3" spans="1:31" ht="3" customHeight="1" x14ac:dyDescent="0.25">
      <c r="A3" s="1"/>
      <c r="B3" s="1"/>
      <c r="C3" s="11"/>
      <c r="D3" s="12"/>
      <c r="E3" s="1"/>
      <c r="F3" s="1"/>
      <c r="G3" s="7"/>
      <c r="H3" s="1"/>
      <c r="I3" s="1"/>
      <c r="J3" s="1"/>
      <c r="K3" s="1"/>
      <c r="L3" s="1"/>
      <c r="M3" s="1"/>
      <c r="N3" s="1"/>
      <c r="O3" s="6"/>
      <c r="P3" s="7"/>
      <c r="R3" s="1"/>
      <c r="S3" s="1"/>
      <c r="T3" s="1"/>
      <c r="U3" s="1"/>
      <c r="V3" s="1"/>
      <c r="W3" s="1"/>
      <c r="X3" s="1"/>
      <c r="Z3" s="7"/>
    </row>
    <row r="4" spans="1:31" s="17" customFormat="1" ht="30" x14ac:dyDescent="0.25">
      <c r="A4" s="12"/>
      <c r="B4" s="13" t="s">
        <v>1</v>
      </c>
      <c r="C4" s="14" t="s">
        <v>2</v>
      </c>
      <c r="D4" s="13" t="s">
        <v>3</v>
      </c>
      <c r="E4" s="13" t="s">
        <v>4</v>
      </c>
      <c r="F4" s="13" t="s">
        <v>5</v>
      </c>
      <c r="G4" s="16"/>
      <c r="H4" s="14" t="s">
        <v>6</v>
      </c>
      <c r="I4" s="14" t="s">
        <v>7</v>
      </c>
      <c r="J4" s="14" t="s">
        <v>8</v>
      </c>
      <c r="K4" s="14" t="s">
        <v>9</v>
      </c>
      <c r="L4" s="13" t="s">
        <v>10</v>
      </c>
      <c r="M4" s="13" t="s">
        <v>11</v>
      </c>
      <c r="N4" s="13" t="s">
        <v>12</v>
      </c>
      <c r="O4" s="15"/>
      <c r="P4" s="16"/>
      <c r="R4" s="13" t="s">
        <v>12</v>
      </c>
      <c r="S4" s="13" t="s">
        <v>13</v>
      </c>
      <c r="T4" s="13" t="s">
        <v>14</v>
      </c>
      <c r="U4" s="13" t="s">
        <v>15</v>
      </c>
      <c r="V4" s="13" t="s">
        <v>16</v>
      </c>
      <c r="W4" s="13" t="s">
        <v>17</v>
      </c>
      <c r="X4" s="13" t="s">
        <v>5</v>
      </c>
      <c r="Z4" s="16"/>
      <c r="AB4" s="18">
        <f>J2/H2</f>
        <v>9.2611941600722909E-3</v>
      </c>
      <c r="AC4" s="18">
        <f>K2/I2</f>
        <v>3.3333333333333333E-2</v>
      </c>
      <c r="AD4" s="8"/>
    </row>
    <row r="5" spans="1:31" ht="3" customHeight="1" x14ac:dyDescent="0.25">
      <c r="A5" s="1"/>
      <c r="B5" s="1"/>
      <c r="C5" s="11"/>
      <c r="D5" s="54"/>
      <c r="E5" s="19"/>
      <c r="F5" s="1"/>
      <c r="G5" s="7"/>
      <c r="H5" s="19"/>
      <c r="I5" s="20"/>
      <c r="J5" s="19"/>
      <c r="K5" s="20"/>
      <c r="L5" s="1"/>
      <c r="M5" s="1"/>
      <c r="N5" s="1"/>
      <c r="O5" s="6"/>
      <c r="P5" s="7"/>
      <c r="R5" s="1"/>
      <c r="S5" s="1"/>
      <c r="T5" s="1"/>
      <c r="U5" s="1"/>
      <c r="V5" s="1"/>
      <c r="W5" s="1"/>
      <c r="X5" s="1"/>
      <c r="Z5" s="7"/>
      <c r="AB5" s="10"/>
      <c r="AC5" s="10"/>
      <c r="AD5" s="10"/>
      <c r="AE5" s="10"/>
    </row>
    <row r="6" spans="1:31" ht="17.5" customHeight="1" x14ac:dyDescent="0.25">
      <c r="A6" s="1"/>
      <c r="B6" s="21" t="s">
        <v>18</v>
      </c>
      <c r="C6" s="22"/>
      <c r="D6" s="55"/>
      <c r="E6" s="23"/>
      <c r="F6" s="21"/>
      <c r="G6" s="7"/>
      <c r="H6" s="23">
        <f>SUBTOTAL(9,H8:H117)</f>
        <v>2.4031661523141046</v>
      </c>
      <c r="I6" s="24">
        <f>SUBTOTAL(9,I8:I117)</f>
        <v>27</v>
      </c>
      <c r="J6" s="23">
        <f>SUBTOTAL(9,J8:J117)</f>
        <v>0.18</v>
      </c>
      <c r="K6" s="24">
        <f>SUBTOTAL(9,K8:K117)</f>
        <v>1</v>
      </c>
      <c r="L6" s="21"/>
      <c r="M6" s="21"/>
      <c r="N6" s="21"/>
      <c r="O6" s="6"/>
      <c r="P6" s="7"/>
      <c r="R6" s="21"/>
      <c r="S6" s="21"/>
      <c r="T6" s="21"/>
      <c r="U6" s="21"/>
      <c r="V6" s="21"/>
      <c r="W6" s="21"/>
      <c r="X6" s="21"/>
      <c r="Z6" s="7"/>
      <c r="AB6" s="10"/>
      <c r="AC6" s="10"/>
      <c r="AD6" s="10"/>
      <c r="AE6" s="10"/>
    </row>
    <row r="7" spans="1:31" ht="2.15" customHeight="1" outlineLevel="1" x14ac:dyDescent="0.25">
      <c r="A7" s="1"/>
      <c r="B7" s="1"/>
      <c r="C7" s="11"/>
      <c r="D7" s="56"/>
      <c r="E7" s="43"/>
      <c r="F7" s="42"/>
      <c r="G7" s="7"/>
      <c r="H7" s="19"/>
      <c r="I7" s="25"/>
      <c r="J7" s="19"/>
      <c r="K7" s="25"/>
      <c r="L7" s="1"/>
      <c r="M7" s="1"/>
      <c r="N7" s="1"/>
      <c r="O7" s="6"/>
      <c r="P7" s="7"/>
      <c r="R7" s="1"/>
      <c r="S7" s="1"/>
      <c r="T7" s="1"/>
      <c r="U7" s="1"/>
      <c r="V7" s="1"/>
      <c r="W7" s="1"/>
      <c r="X7" s="1"/>
      <c r="Z7" s="7"/>
      <c r="AB7" s="10"/>
      <c r="AC7" s="10"/>
      <c r="AD7" s="10"/>
      <c r="AE7" s="10"/>
    </row>
    <row r="8" spans="1:31" s="39" customFormat="1" outlineLevel="1" x14ac:dyDescent="0.25">
      <c r="A8" s="36"/>
      <c r="B8" s="26" t="s">
        <v>19</v>
      </c>
      <c r="C8" s="27" t="s">
        <v>20</v>
      </c>
      <c r="D8" s="26"/>
      <c r="E8" s="27"/>
      <c r="F8" s="26"/>
      <c r="G8" s="38"/>
      <c r="H8" s="28">
        <f>SUBTOTAL(9,H16:H21)</f>
        <v>2.3823562255988601E-2</v>
      </c>
      <c r="I8" s="29">
        <f>SUBTOTAL(9,I16:I21)</f>
        <v>2</v>
      </c>
      <c r="J8" s="28">
        <f>SUBTOTAL(9,J16:J21)</f>
        <v>0</v>
      </c>
      <c r="K8" s="29">
        <f>SUBTOTAL(9,K16:K33)</f>
        <v>0</v>
      </c>
      <c r="L8" s="26" t="s">
        <v>21</v>
      </c>
      <c r="M8" s="26"/>
      <c r="N8" s="26"/>
      <c r="O8" s="37"/>
      <c r="P8" s="38"/>
      <c r="R8" s="26"/>
      <c r="S8" s="26"/>
      <c r="T8" s="26" t="s">
        <v>22</v>
      </c>
      <c r="U8" s="26" t="s">
        <v>23</v>
      </c>
      <c r="V8" s="26" t="s">
        <v>24</v>
      </c>
      <c r="W8" s="26"/>
      <c r="X8" s="26"/>
      <c r="Z8" s="38"/>
    </row>
    <row r="9" spans="1:31" outlineLevel="2" x14ac:dyDescent="0.25">
      <c r="A9" s="1"/>
      <c r="B9" s="30" t="s">
        <v>25</v>
      </c>
      <c r="C9" s="31" t="s">
        <v>26</v>
      </c>
      <c r="D9" s="30"/>
      <c r="E9" s="31"/>
      <c r="F9" s="30"/>
      <c r="G9" s="7"/>
      <c r="H9" s="44">
        <f>SUBTOTAL(9,H10:H16)</f>
        <v>2.3823562255988601E-2</v>
      </c>
      <c r="I9" s="45">
        <f>SUBTOTAL(9,I10:I16)</f>
        <v>2</v>
      </c>
      <c r="J9" s="44">
        <f>SUBTOTAL(9,J10:J16)</f>
        <v>0</v>
      </c>
      <c r="K9" s="45">
        <f>SUBTOTAL(9,K10:K16)</f>
        <v>0</v>
      </c>
      <c r="L9" s="30" t="s">
        <v>21</v>
      </c>
      <c r="M9" s="30" t="s">
        <v>27</v>
      </c>
      <c r="N9" s="30"/>
      <c r="O9" s="6"/>
      <c r="P9" s="7"/>
      <c r="R9" s="30"/>
      <c r="S9" s="30"/>
      <c r="T9" s="30"/>
      <c r="U9" s="30"/>
      <c r="V9" s="30"/>
      <c r="W9" s="30"/>
      <c r="X9" s="30"/>
      <c r="Z9" s="7"/>
      <c r="AE9" s="128"/>
    </row>
    <row r="10" spans="1:31" ht="33.75" customHeight="1" outlineLevel="3" x14ac:dyDescent="0.25">
      <c r="A10" s="1"/>
      <c r="B10" s="1" t="s">
        <v>19</v>
      </c>
      <c r="C10" s="11" t="s">
        <v>28</v>
      </c>
      <c r="D10" s="117">
        <v>46356</v>
      </c>
      <c r="E10" s="1" t="s">
        <v>29</v>
      </c>
      <c r="F10" s="1"/>
      <c r="G10" s="7"/>
      <c r="H10" s="19">
        <v>1.1911781127994301E-2</v>
      </c>
      <c r="I10" s="25">
        <v>1</v>
      </c>
      <c r="J10" s="34">
        <f>IF(K10=1,H10,0)</f>
        <v>0</v>
      </c>
      <c r="K10" s="35"/>
      <c r="L10" s="1" t="s">
        <v>21</v>
      </c>
      <c r="M10" s="1" t="s">
        <v>27</v>
      </c>
      <c r="N10" s="1" t="s">
        <v>30</v>
      </c>
      <c r="O10" s="6"/>
      <c r="P10" s="7"/>
      <c r="R10" s="1" t="s">
        <v>30</v>
      </c>
      <c r="S10" s="1" t="s">
        <v>31</v>
      </c>
      <c r="T10" s="1" t="s">
        <v>32</v>
      </c>
      <c r="U10" s="1"/>
      <c r="V10" s="1" t="s">
        <v>33</v>
      </c>
      <c r="W10" s="1"/>
      <c r="X10" s="1"/>
      <c r="Z10" s="7"/>
      <c r="AD10" s="50"/>
    </row>
    <row r="11" spans="1:31" outlineLevel="4" x14ac:dyDescent="0.25">
      <c r="A11" s="1"/>
      <c r="B11" s="52" t="s">
        <v>34</v>
      </c>
      <c r="C11" s="53" t="s">
        <v>35</v>
      </c>
      <c r="D11" s="117">
        <v>46325</v>
      </c>
      <c r="E11" s="53" t="s">
        <v>36</v>
      </c>
      <c r="F11" s="1"/>
      <c r="G11" s="7"/>
      <c r="H11" s="19"/>
      <c r="I11" s="25"/>
      <c r="J11" s="34"/>
      <c r="K11" s="35"/>
      <c r="L11" s="1"/>
      <c r="M11" s="1"/>
      <c r="N11" s="1"/>
      <c r="O11" s="6"/>
      <c r="P11" s="7"/>
      <c r="R11" s="1"/>
      <c r="S11" s="1"/>
      <c r="T11" s="1"/>
      <c r="U11" s="1"/>
      <c r="V11" s="1"/>
      <c r="W11" s="1"/>
      <c r="X11" s="1"/>
      <c r="Z11" s="7"/>
      <c r="AD11" s="50"/>
    </row>
    <row r="12" spans="1:31" outlineLevel="4" x14ac:dyDescent="0.25">
      <c r="A12" s="1"/>
      <c r="B12" s="52" t="s">
        <v>37</v>
      </c>
      <c r="C12" s="53" t="s">
        <v>207</v>
      </c>
      <c r="D12" s="117" t="s">
        <v>38</v>
      </c>
      <c r="E12" s="53" t="s">
        <v>39</v>
      </c>
      <c r="F12" s="1" t="s">
        <v>40</v>
      </c>
      <c r="G12" s="7"/>
      <c r="H12" s="19"/>
      <c r="I12" s="25"/>
      <c r="J12" s="34"/>
      <c r="K12" s="35"/>
      <c r="L12" s="1"/>
      <c r="M12" s="1"/>
      <c r="N12" s="1"/>
      <c r="O12" s="6"/>
      <c r="P12" s="7"/>
      <c r="R12" s="1"/>
      <c r="S12" s="1"/>
      <c r="T12" s="1"/>
      <c r="U12" s="1"/>
      <c r="V12" s="1"/>
      <c r="W12" s="1"/>
      <c r="X12" s="1"/>
      <c r="Z12" s="7"/>
      <c r="AD12" s="50"/>
    </row>
    <row r="13" spans="1:31" outlineLevel="3" x14ac:dyDescent="0.25">
      <c r="A13" s="1"/>
      <c r="B13" s="1" t="s">
        <v>19</v>
      </c>
      <c r="C13" s="11" t="s">
        <v>41</v>
      </c>
      <c r="D13" s="117">
        <v>46339</v>
      </c>
      <c r="E13" s="1" t="s">
        <v>29</v>
      </c>
      <c r="F13" s="1"/>
      <c r="G13" s="7"/>
      <c r="H13" s="19">
        <v>1.1911781127994301E-2</v>
      </c>
      <c r="I13" s="25">
        <v>1</v>
      </c>
      <c r="J13" s="34">
        <f>IF(K13=1,H13,0)</f>
        <v>0</v>
      </c>
      <c r="K13" s="35"/>
      <c r="L13" s="1" t="s">
        <v>21</v>
      </c>
      <c r="M13" s="1" t="s">
        <v>27</v>
      </c>
      <c r="N13" s="1" t="s">
        <v>30</v>
      </c>
      <c r="O13" s="6"/>
      <c r="P13" s="7"/>
      <c r="R13" s="1" t="s">
        <v>30</v>
      </c>
      <c r="S13" s="1" t="s">
        <v>31</v>
      </c>
      <c r="T13" s="1" t="s">
        <v>32</v>
      </c>
      <c r="U13" s="1"/>
      <c r="V13" s="1" t="s">
        <v>33</v>
      </c>
      <c r="W13" s="1"/>
      <c r="X13" s="1"/>
      <c r="Z13" s="7"/>
      <c r="AD13" s="50"/>
    </row>
    <row r="14" spans="1:31" outlineLevel="4" x14ac:dyDescent="0.25">
      <c r="A14" s="1"/>
      <c r="B14" s="52" t="s">
        <v>34</v>
      </c>
      <c r="C14" s="53" t="s">
        <v>42</v>
      </c>
      <c r="D14" s="117">
        <v>46308</v>
      </c>
      <c r="E14" s="53" t="s">
        <v>43</v>
      </c>
      <c r="F14" s="1"/>
      <c r="G14" s="7"/>
      <c r="H14" s="19"/>
      <c r="I14" s="25"/>
      <c r="J14" s="34"/>
      <c r="K14" s="35"/>
      <c r="L14" s="1"/>
      <c r="M14" s="1"/>
      <c r="N14" s="1"/>
      <c r="O14" s="6"/>
      <c r="P14" s="7"/>
      <c r="R14" s="1"/>
      <c r="S14" s="1"/>
      <c r="T14" s="1"/>
      <c r="U14" s="1"/>
      <c r="V14" s="1"/>
      <c r="W14" s="1"/>
      <c r="X14" s="1"/>
      <c r="Z14" s="7"/>
      <c r="AD14" s="50"/>
    </row>
    <row r="15" spans="1:31" outlineLevel="4" x14ac:dyDescent="0.25">
      <c r="A15" s="1"/>
      <c r="B15" s="52" t="s">
        <v>37</v>
      </c>
      <c r="C15" s="53"/>
      <c r="D15" s="117"/>
      <c r="E15" s="53"/>
      <c r="F15" s="1"/>
      <c r="G15" s="7"/>
      <c r="H15" s="19"/>
      <c r="I15" s="25"/>
      <c r="J15" s="34"/>
      <c r="K15" s="35"/>
      <c r="L15" s="1"/>
      <c r="M15" s="1"/>
      <c r="N15" s="1"/>
      <c r="O15" s="6"/>
      <c r="P15" s="7"/>
      <c r="R15" s="1"/>
      <c r="S15" s="1"/>
      <c r="T15" s="1"/>
      <c r="U15" s="1"/>
      <c r="V15" s="1"/>
      <c r="W15" s="1"/>
      <c r="X15" s="1"/>
      <c r="Z15" s="7"/>
      <c r="AD15" s="50"/>
    </row>
    <row r="16" spans="1:31" outlineLevel="2" x14ac:dyDescent="0.25">
      <c r="A16" s="1"/>
      <c r="B16" s="30" t="s">
        <v>44</v>
      </c>
      <c r="C16" s="31" t="s">
        <v>26</v>
      </c>
      <c r="D16" s="30"/>
      <c r="E16" s="31"/>
      <c r="F16" s="30"/>
      <c r="G16" s="7"/>
      <c r="H16" s="44">
        <f>SUBTOTAL(9,H17:H21)</f>
        <v>2.3823562255988601E-2</v>
      </c>
      <c r="I16" s="45">
        <f>SUBTOTAL(9,I17:I21)</f>
        <v>2</v>
      </c>
      <c r="J16" s="44">
        <f>SUBTOTAL(9,J17:J21)</f>
        <v>0</v>
      </c>
      <c r="K16" s="45">
        <f>SUBTOTAL(9,K17:K21)</f>
        <v>0</v>
      </c>
      <c r="L16" s="30" t="s">
        <v>21</v>
      </c>
      <c r="M16" s="30" t="s">
        <v>27</v>
      </c>
      <c r="N16" s="30"/>
      <c r="O16" s="6"/>
      <c r="P16" s="7"/>
      <c r="R16" s="30"/>
      <c r="S16" s="30"/>
      <c r="T16" s="30"/>
      <c r="U16" s="30"/>
      <c r="V16" s="30"/>
      <c r="W16" s="30"/>
      <c r="X16" s="30"/>
      <c r="Z16" s="7"/>
      <c r="AE16" s="128"/>
    </row>
    <row r="17" spans="1:30" ht="26" outlineLevel="3" x14ac:dyDescent="0.25">
      <c r="A17" s="1"/>
      <c r="B17" s="1" t="s">
        <v>19</v>
      </c>
      <c r="C17" s="11" t="s">
        <v>45</v>
      </c>
      <c r="D17" s="117">
        <v>46295</v>
      </c>
      <c r="E17" s="1" t="s">
        <v>30</v>
      </c>
      <c r="F17" s="1"/>
      <c r="G17" s="7"/>
      <c r="H17" s="19">
        <v>1.1911781127994301E-2</v>
      </c>
      <c r="I17" s="25">
        <v>1</v>
      </c>
      <c r="J17" s="34">
        <f>IF(K17=1,H17,0)</f>
        <v>0</v>
      </c>
      <c r="K17" s="35"/>
      <c r="L17" s="1" t="s">
        <v>21</v>
      </c>
      <c r="M17" s="1" t="s">
        <v>27</v>
      </c>
      <c r="N17" s="1" t="s">
        <v>30</v>
      </c>
      <c r="O17" s="6"/>
      <c r="P17" s="7"/>
      <c r="R17" s="1" t="s">
        <v>30</v>
      </c>
      <c r="S17" s="1" t="s">
        <v>31</v>
      </c>
      <c r="T17" s="1" t="s">
        <v>32</v>
      </c>
      <c r="U17" s="1"/>
      <c r="V17" s="1" t="s">
        <v>33</v>
      </c>
      <c r="W17" s="1"/>
      <c r="X17" s="1"/>
      <c r="Z17" s="7"/>
      <c r="AD17" s="50"/>
    </row>
    <row r="18" spans="1:30" outlineLevel="4" x14ac:dyDescent="0.25">
      <c r="A18" s="1"/>
      <c r="B18" s="131" t="s">
        <v>34</v>
      </c>
      <c r="C18" s="132" t="s">
        <v>46</v>
      </c>
      <c r="D18" s="136">
        <v>46295</v>
      </c>
      <c r="E18" s="133" t="s">
        <v>47</v>
      </c>
      <c r="F18" s="1"/>
      <c r="G18" s="7"/>
      <c r="H18" s="19"/>
      <c r="I18" s="25"/>
      <c r="J18" s="34"/>
      <c r="K18" s="35"/>
      <c r="L18" s="1"/>
      <c r="M18" s="1"/>
      <c r="N18" s="1"/>
      <c r="O18" s="6"/>
      <c r="P18" s="7"/>
      <c r="R18" s="1"/>
      <c r="S18" s="1"/>
      <c r="T18" s="1"/>
      <c r="U18" s="1"/>
      <c r="V18" s="1"/>
      <c r="W18" s="1"/>
      <c r="X18" s="1"/>
      <c r="Z18" s="7"/>
      <c r="AD18" s="50"/>
    </row>
    <row r="19" spans="1:30" outlineLevel="4" x14ac:dyDescent="0.25">
      <c r="A19" s="1"/>
      <c r="B19" s="52" t="s">
        <v>37</v>
      </c>
      <c r="C19" s="53" t="s">
        <v>48</v>
      </c>
      <c r="D19" s="145">
        <v>46310</v>
      </c>
      <c r="E19" s="133" t="s">
        <v>49</v>
      </c>
      <c r="F19" s="1"/>
      <c r="G19" s="7"/>
      <c r="H19" s="19"/>
      <c r="I19" s="25"/>
      <c r="J19" s="34"/>
      <c r="K19" s="35"/>
      <c r="L19" s="1"/>
      <c r="M19" s="1"/>
      <c r="N19" s="1"/>
      <c r="O19" s="6"/>
      <c r="P19" s="7"/>
      <c r="R19" s="1"/>
      <c r="S19" s="1"/>
      <c r="T19" s="1"/>
      <c r="U19" s="1"/>
      <c r="V19" s="1"/>
      <c r="W19" s="1"/>
      <c r="X19" s="1"/>
      <c r="Z19" s="7"/>
      <c r="AD19" s="50"/>
    </row>
    <row r="20" spans="1:30" ht="20.25" customHeight="1" outlineLevel="4" x14ac:dyDescent="0.25">
      <c r="A20" s="1"/>
      <c r="B20" s="52"/>
      <c r="C20" s="53" t="s">
        <v>50</v>
      </c>
      <c r="D20" s="117">
        <v>46325</v>
      </c>
      <c r="E20" s="53" t="s">
        <v>51</v>
      </c>
      <c r="F20" s="1" t="s">
        <v>52</v>
      </c>
      <c r="G20" s="7"/>
      <c r="H20" s="19"/>
      <c r="I20" s="25"/>
      <c r="J20" s="34"/>
      <c r="K20" s="35"/>
      <c r="L20" s="1"/>
      <c r="M20" s="1"/>
      <c r="N20" s="1"/>
      <c r="O20" s="6"/>
      <c r="P20" s="7"/>
      <c r="R20" s="1"/>
      <c r="S20" s="1"/>
      <c r="T20" s="1"/>
      <c r="U20" s="1"/>
      <c r="V20" s="1"/>
      <c r="W20" s="1"/>
      <c r="X20" s="1"/>
      <c r="Z20" s="7"/>
      <c r="AD20" s="50"/>
    </row>
    <row r="21" spans="1:30" outlineLevel="3" x14ac:dyDescent="0.25">
      <c r="A21" s="1"/>
      <c r="B21" s="1" t="s">
        <v>19</v>
      </c>
      <c r="C21" s="11" t="s">
        <v>53</v>
      </c>
      <c r="D21" s="117">
        <v>46300</v>
      </c>
      <c r="E21" s="1" t="s">
        <v>30</v>
      </c>
      <c r="F21" s="1"/>
      <c r="G21" s="7"/>
      <c r="H21" s="19">
        <v>1.1911781127994301E-2</v>
      </c>
      <c r="I21" s="25">
        <v>1</v>
      </c>
      <c r="J21" s="34">
        <f>IF(K21=1,H21,0)</f>
        <v>0</v>
      </c>
      <c r="K21" s="35"/>
      <c r="L21" s="1" t="s">
        <v>21</v>
      </c>
      <c r="M21" s="1" t="s">
        <v>27</v>
      </c>
      <c r="N21" s="1" t="s">
        <v>30</v>
      </c>
      <c r="O21" s="6"/>
      <c r="P21" s="7"/>
      <c r="R21" s="1" t="s">
        <v>30</v>
      </c>
      <c r="S21" s="1" t="s">
        <v>31</v>
      </c>
      <c r="T21" s="1" t="s">
        <v>32</v>
      </c>
      <c r="U21" s="1"/>
      <c r="V21" s="1" t="s">
        <v>33</v>
      </c>
      <c r="W21" s="1"/>
      <c r="X21" s="1"/>
      <c r="Z21" s="7"/>
      <c r="AD21" s="50"/>
    </row>
    <row r="22" spans="1:30" ht="27.75" customHeight="1" outlineLevel="4" x14ac:dyDescent="0.25">
      <c r="A22" s="1"/>
      <c r="B22" s="131" t="s">
        <v>34</v>
      </c>
      <c r="C22" s="133" t="s">
        <v>54</v>
      </c>
      <c r="D22" s="136">
        <v>46295</v>
      </c>
      <c r="E22" s="133" t="s">
        <v>49</v>
      </c>
      <c r="F22" s="1"/>
      <c r="G22" s="7"/>
      <c r="H22" s="19"/>
      <c r="I22" s="25"/>
      <c r="J22" s="34"/>
      <c r="K22" s="35"/>
      <c r="L22" s="1"/>
      <c r="M22" s="1"/>
      <c r="N22" s="1"/>
      <c r="O22" s="6"/>
      <c r="P22" s="7"/>
      <c r="R22" s="1"/>
      <c r="S22" s="1"/>
      <c r="T22" s="1"/>
      <c r="U22" s="1"/>
      <c r="V22" s="1"/>
      <c r="W22" s="1"/>
      <c r="X22" s="1"/>
      <c r="Z22" s="7"/>
      <c r="AD22" s="50"/>
    </row>
    <row r="23" spans="1:30" outlineLevel="4" x14ac:dyDescent="0.25">
      <c r="A23" s="1"/>
      <c r="B23" s="52"/>
      <c r="C23" s="53"/>
      <c r="D23" s="117"/>
      <c r="E23" s="1"/>
      <c r="F23" s="1"/>
      <c r="G23" s="7"/>
      <c r="H23" s="19"/>
      <c r="I23" s="25"/>
      <c r="J23" s="34"/>
      <c r="K23" s="35"/>
      <c r="L23" s="1"/>
      <c r="M23" s="1"/>
      <c r="N23" s="1"/>
      <c r="O23" s="6"/>
      <c r="P23" s="7"/>
      <c r="R23" s="1"/>
      <c r="S23" s="1"/>
      <c r="T23" s="1"/>
      <c r="U23" s="1"/>
      <c r="V23" s="1"/>
      <c r="W23" s="1"/>
      <c r="X23" s="1"/>
      <c r="Z23" s="7"/>
      <c r="AD23" s="50"/>
    </row>
    <row r="24" spans="1:30" ht="25.5" customHeight="1" outlineLevel="3" x14ac:dyDescent="0.25">
      <c r="A24" s="1"/>
      <c r="B24" s="1" t="s">
        <v>19</v>
      </c>
      <c r="C24" s="11" t="s">
        <v>28</v>
      </c>
      <c r="D24" s="117">
        <v>46387</v>
      </c>
      <c r="E24" s="1" t="s">
        <v>30</v>
      </c>
      <c r="F24" s="1"/>
      <c r="G24" s="7"/>
      <c r="H24" s="19">
        <v>1.1911781127994301E-2</v>
      </c>
      <c r="I24" s="25">
        <v>1</v>
      </c>
      <c r="J24" s="34">
        <f>IF(K24=1,H24,0)</f>
        <v>0</v>
      </c>
      <c r="K24" s="35"/>
      <c r="L24" s="1" t="s">
        <v>21</v>
      </c>
      <c r="M24" s="1" t="s">
        <v>27</v>
      </c>
      <c r="N24" s="1" t="s">
        <v>30</v>
      </c>
      <c r="O24" s="6"/>
      <c r="P24" s="7"/>
      <c r="R24" s="1" t="s">
        <v>30</v>
      </c>
      <c r="S24" s="1" t="s">
        <v>31</v>
      </c>
      <c r="T24" s="1" t="s">
        <v>32</v>
      </c>
      <c r="U24" s="1"/>
      <c r="V24" s="1" t="s">
        <v>33</v>
      </c>
      <c r="W24" s="1"/>
      <c r="X24" s="1"/>
      <c r="Z24" s="7"/>
      <c r="AD24" s="50"/>
    </row>
    <row r="25" spans="1:30" ht="24" customHeight="1" outlineLevel="4" x14ac:dyDescent="0.25">
      <c r="A25" s="1"/>
      <c r="B25" s="52" t="s">
        <v>34</v>
      </c>
      <c r="C25" s="53" t="s">
        <v>55</v>
      </c>
      <c r="D25" s="136">
        <v>46295</v>
      </c>
      <c r="E25" s="53" t="s">
        <v>56</v>
      </c>
      <c r="F25" s="1"/>
      <c r="G25" s="7"/>
      <c r="H25" s="19"/>
      <c r="I25" s="25"/>
      <c r="J25" s="34"/>
      <c r="K25" s="35"/>
      <c r="L25" s="1"/>
      <c r="M25" s="1"/>
      <c r="N25" s="1"/>
      <c r="O25" s="6"/>
      <c r="P25" s="7"/>
      <c r="R25" s="1"/>
      <c r="S25" s="1"/>
      <c r="T25" s="1"/>
      <c r="U25" s="1"/>
      <c r="V25" s="1"/>
      <c r="W25" s="1"/>
      <c r="X25" s="1"/>
      <c r="Z25" s="7"/>
      <c r="AD25" s="50"/>
    </row>
    <row r="26" spans="1:30" outlineLevel="4" x14ac:dyDescent="0.25">
      <c r="A26" s="1"/>
      <c r="B26" s="52"/>
      <c r="C26" s="53"/>
      <c r="D26" s="117"/>
      <c r="E26" s="53"/>
      <c r="F26" s="1"/>
      <c r="G26" s="7"/>
      <c r="H26" s="19"/>
      <c r="I26" s="25"/>
      <c r="J26" s="34"/>
      <c r="K26" s="35"/>
      <c r="L26" s="1"/>
      <c r="M26" s="1"/>
      <c r="N26" s="1"/>
      <c r="O26" s="6"/>
      <c r="P26" s="7"/>
      <c r="R26" s="1"/>
      <c r="S26" s="1"/>
      <c r="T26" s="1"/>
      <c r="U26" s="1"/>
      <c r="V26" s="1"/>
      <c r="W26" s="1"/>
      <c r="X26" s="1"/>
      <c r="Z26" s="7"/>
      <c r="AD26" s="50"/>
    </row>
    <row r="27" spans="1:30" outlineLevel="2" x14ac:dyDescent="0.25">
      <c r="A27" s="1"/>
      <c r="B27" s="30" t="s">
        <v>57</v>
      </c>
      <c r="C27" s="31" t="s">
        <v>26</v>
      </c>
      <c r="D27" s="137"/>
      <c r="E27" s="30"/>
      <c r="F27" s="30"/>
      <c r="G27" s="7"/>
      <c r="H27" s="19">
        <v>1.1911781127994301E-2</v>
      </c>
      <c r="I27" s="25">
        <v>1</v>
      </c>
      <c r="J27" s="34">
        <f>IF(K27=1,H27,0)</f>
        <v>0</v>
      </c>
      <c r="K27" s="35"/>
      <c r="L27" s="1" t="s">
        <v>21</v>
      </c>
      <c r="M27" s="1" t="s">
        <v>27</v>
      </c>
      <c r="N27" s="1" t="s">
        <v>30</v>
      </c>
      <c r="O27" s="6"/>
      <c r="P27" s="7"/>
      <c r="R27" s="1" t="s">
        <v>30</v>
      </c>
      <c r="S27" s="1" t="s">
        <v>31</v>
      </c>
      <c r="T27" s="1" t="s">
        <v>32</v>
      </c>
      <c r="U27" s="1"/>
      <c r="V27" s="1" t="s">
        <v>33</v>
      </c>
      <c r="W27" s="1"/>
      <c r="X27" s="1"/>
      <c r="Z27" s="7"/>
      <c r="AD27" s="50"/>
    </row>
    <row r="28" spans="1:30" outlineLevel="4" x14ac:dyDescent="0.25">
      <c r="A28" s="1"/>
      <c r="B28" s="1" t="s">
        <v>19</v>
      </c>
      <c r="C28" s="11" t="s">
        <v>28</v>
      </c>
      <c r="D28" s="117">
        <v>46371</v>
      </c>
      <c r="E28" s="1" t="s">
        <v>58</v>
      </c>
      <c r="F28" s="1"/>
      <c r="G28" s="7"/>
      <c r="H28" s="19"/>
      <c r="I28" s="25"/>
      <c r="J28" s="34"/>
      <c r="K28" s="35"/>
      <c r="L28" s="1"/>
      <c r="M28" s="1"/>
      <c r="N28" s="1"/>
      <c r="O28" s="6"/>
      <c r="P28" s="7"/>
      <c r="R28" s="1"/>
      <c r="S28" s="1"/>
      <c r="T28" s="1"/>
      <c r="U28" s="1"/>
      <c r="V28" s="1"/>
      <c r="W28" s="1"/>
      <c r="X28" s="1"/>
      <c r="Z28" s="7"/>
      <c r="AD28" s="50"/>
    </row>
    <row r="29" spans="1:30" outlineLevel="4" x14ac:dyDescent="0.25">
      <c r="A29" s="1"/>
      <c r="B29" s="52" t="s">
        <v>34</v>
      </c>
      <c r="C29" s="53" t="s">
        <v>59</v>
      </c>
      <c r="D29" s="117"/>
      <c r="E29" s="53" t="s">
        <v>60</v>
      </c>
      <c r="F29" s="1" t="s">
        <v>61</v>
      </c>
      <c r="G29" s="7"/>
      <c r="H29" s="19"/>
      <c r="I29" s="25"/>
      <c r="J29" s="34"/>
      <c r="K29" s="35"/>
      <c r="L29" s="1"/>
      <c r="M29" s="1"/>
      <c r="N29" s="1"/>
      <c r="O29" s="6"/>
      <c r="P29" s="7"/>
      <c r="R29" s="1"/>
      <c r="S29" s="1"/>
      <c r="T29" s="1"/>
      <c r="U29" s="1"/>
      <c r="V29" s="1"/>
      <c r="W29" s="1"/>
      <c r="X29" s="1"/>
      <c r="Z29" s="7"/>
      <c r="AD29" s="50"/>
    </row>
    <row r="30" spans="1:30" outlineLevel="3" x14ac:dyDescent="0.25">
      <c r="A30" s="1"/>
      <c r="B30" s="41" t="s">
        <v>19</v>
      </c>
      <c r="C30" s="46" t="s">
        <v>62</v>
      </c>
      <c r="D30" s="117">
        <v>46310</v>
      </c>
      <c r="E30" s="1" t="s">
        <v>58</v>
      </c>
      <c r="F30" s="1"/>
      <c r="G30" s="7"/>
      <c r="H30" s="44">
        <f>SUBTOTAL(9,H33)</f>
        <v>0</v>
      </c>
      <c r="I30" s="45">
        <f>SUBTOTAL(9,I33)</f>
        <v>0</v>
      </c>
      <c r="J30" s="44">
        <f>SUBTOTAL(9,J33)</f>
        <v>0</v>
      </c>
      <c r="K30" s="45">
        <f>SUBTOTAL(9,K33)</f>
        <v>0</v>
      </c>
      <c r="L30" s="30" t="s">
        <v>21</v>
      </c>
      <c r="M30" s="30" t="s">
        <v>57</v>
      </c>
      <c r="N30" s="30"/>
      <c r="O30" s="6"/>
      <c r="P30" s="7"/>
      <c r="R30" s="30"/>
      <c r="S30" s="30"/>
      <c r="T30" s="30"/>
      <c r="U30" s="30"/>
      <c r="V30" s="30"/>
      <c r="W30" s="30"/>
      <c r="X30" s="30"/>
      <c r="Z30" s="7"/>
    </row>
    <row r="31" spans="1:30" ht="29.25" customHeight="1" outlineLevel="4" x14ac:dyDescent="0.25">
      <c r="A31" s="1"/>
      <c r="B31" s="52" t="s">
        <v>34</v>
      </c>
      <c r="C31" s="53" t="s">
        <v>63</v>
      </c>
      <c r="D31" s="12"/>
      <c r="E31" s="1" t="s">
        <v>64</v>
      </c>
      <c r="F31" s="1" t="s">
        <v>65</v>
      </c>
      <c r="G31" s="7"/>
      <c r="H31" s="19">
        <v>1.1911781127994301E-2</v>
      </c>
      <c r="I31" s="25">
        <v>1</v>
      </c>
      <c r="J31" s="34">
        <f>IF(K31=1,H31,0)</f>
        <v>0</v>
      </c>
      <c r="K31" s="35"/>
      <c r="L31" s="1" t="s">
        <v>21</v>
      </c>
      <c r="M31" s="1" t="s">
        <v>27</v>
      </c>
      <c r="N31" s="1" t="s">
        <v>30</v>
      </c>
      <c r="O31" s="6"/>
      <c r="P31" s="7"/>
      <c r="R31" s="1" t="s">
        <v>30</v>
      </c>
      <c r="S31" s="1" t="s">
        <v>31</v>
      </c>
      <c r="T31" s="1" t="s">
        <v>32</v>
      </c>
      <c r="U31" s="1"/>
      <c r="V31" s="1" t="s">
        <v>33</v>
      </c>
      <c r="W31" s="1"/>
      <c r="X31" s="1"/>
      <c r="Z31" s="7"/>
      <c r="AD31" s="50"/>
    </row>
    <row r="32" spans="1:30" outlineLevel="4" x14ac:dyDescent="0.25">
      <c r="A32" s="1"/>
      <c r="B32" s="52" t="s">
        <v>37</v>
      </c>
      <c r="C32" s="53" t="s">
        <v>63</v>
      </c>
      <c r="D32" s="12"/>
      <c r="E32" s="1" t="s">
        <v>64</v>
      </c>
      <c r="F32" s="1" t="s">
        <v>66</v>
      </c>
      <c r="G32" s="7"/>
      <c r="H32" s="19"/>
      <c r="I32" s="25"/>
      <c r="J32" s="34"/>
      <c r="K32" s="35"/>
      <c r="L32" s="1"/>
      <c r="M32" s="1"/>
      <c r="N32" s="1"/>
      <c r="O32" s="6"/>
      <c r="P32" s="7"/>
      <c r="R32" s="1"/>
      <c r="S32" s="1"/>
      <c r="T32" s="1"/>
      <c r="U32" s="1"/>
      <c r="V32" s="1"/>
      <c r="W32" s="1"/>
      <c r="X32" s="1"/>
      <c r="Z32" s="7"/>
      <c r="AD32" s="50"/>
    </row>
    <row r="33" spans="1:30" outlineLevel="2" x14ac:dyDescent="0.25">
      <c r="A33" s="1"/>
      <c r="B33" s="30" t="s">
        <v>67</v>
      </c>
      <c r="C33" s="31" t="s">
        <v>26</v>
      </c>
      <c r="D33" s="137"/>
      <c r="E33" s="30"/>
      <c r="F33" s="30"/>
      <c r="G33" s="7"/>
      <c r="H33" s="48"/>
      <c r="I33" s="49"/>
      <c r="J33" s="48"/>
      <c r="K33" s="35"/>
      <c r="L33" s="1" t="s">
        <v>21</v>
      </c>
      <c r="M33" s="1" t="s">
        <v>57</v>
      </c>
      <c r="N33" s="1" t="s">
        <v>58</v>
      </c>
      <c r="O33" s="6"/>
      <c r="P33" s="7"/>
      <c r="R33" s="36"/>
      <c r="S33" s="36"/>
      <c r="T33" s="36"/>
      <c r="U33" s="36"/>
      <c r="V33" s="36"/>
      <c r="W33" s="36"/>
      <c r="X33" s="36"/>
      <c r="Z33" s="7"/>
    </row>
    <row r="34" spans="1:30" outlineLevel="3" x14ac:dyDescent="0.25">
      <c r="A34" s="1"/>
      <c r="B34" s="1" t="s">
        <v>19</v>
      </c>
      <c r="C34" s="11" t="s">
        <v>28</v>
      </c>
      <c r="D34" s="117">
        <v>46325</v>
      </c>
      <c r="E34" s="1" t="s">
        <v>58</v>
      </c>
      <c r="F34" s="1"/>
      <c r="G34" s="7"/>
      <c r="H34" s="48"/>
      <c r="I34" s="49"/>
      <c r="J34" s="48"/>
      <c r="K34" s="35"/>
      <c r="L34" s="1"/>
      <c r="M34" s="1"/>
      <c r="N34" s="1"/>
      <c r="O34" s="6"/>
      <c r="P34" s="7"/>
      <c r="R34" s="36"/>
      <c r="S34" s="36"/>
      <c r="T34" s="36"/>
      <c r="U34" s="36"/>
      <c r="V34" s="36"/>
      <c r="W34" s="36"/>
      <c r="X34" s="36"/>
      <c r="Z34" s="7"/>
    </row>
    <row r="35" spans="1:30" outlineLevel="4" x14ac:dyDescent="0.25">
      <c r="A35" s="1"/>
      <c r="B35" s="52" t="s">
        <v>34</v>
      </c>
      <c r="C35" s="53" t="s">
        <v>72</v>
      </c>
      <c r="D35" s="12"/>
      <c r="E35" s="53" t="s">
        <v>73</v>
      </c>
      <c r="F35" s="1"/>
      <c r="G35" s="7"/>
      <c r="H35" s="48"/>
      <c r="I35" s="49"/>
      <c r="J35" s="48"/>
      <c r="K35" s="35"/>
      <c r="L35" s="1"/>
      <c r="M35" s="1"/>
      <c r="N35" s="1"/>
      <c r="O35" s="6"/>
      <c r="P35" s="7"/>
      <c r="R35" s="36"/>
      <c r="S35" s="36"/>
      <c r="T35" s="36"/>
      <c r="U35" s="36"/>
      <c r="V35" s="36"/>
      <c r="W35" s="36"/>
      <c r="X35" s="36"/>
      <c r="Z35" s="7"/>
    </row>
    <row r="36" spans="1:30" outlineLevel="4" x14ac:dyDescent="0.25">
      <c r="A36" s="1"/>
      <c r="B36" s="52" t="s">
        <v>37</v>
      </c>
      <c r="C36" s="53" t="s">
        <v>74</v>
      </c>
      <c r="D36" s="12"/>
      <c r="E36" s="53" t="s">
        <v>75</v>
      </c>
      <c r="F36" s="1"/>
      <c r="G36" s="7"/>
      <c r="H36" s="44">
        <f>SUBTOTAL(9,H37)</f>
        <v>0.02</v>
      </c>
      <c r="I36" s="45">
        <f>SUBTOTAL(9,I37)</f>
        <v>1</v>
      </c>
      <c r="J36" s="44">
        <f>SUBTOTAL(9,J37)</f>
        <v>0</v>
      </c>
      <c r="K36" s="45">
        <f>SUBTOTAL(9,K37)</f>
        <v>0</v>
      </c>
      <c r="L36" s="30" t="s">
        <v>68</v>
      </c>
      <c r="M36" s="30" t="s">
        <v>67</v>
      </c>
      <c r="N36" s="30"/>
      <c r="O36" s="6"/>
      <c r="P36" s="7"/>
      <c r="R36" s="30"/>
      <c r="S36" s="30"/>
      <c r="T36" s="30"/>
      <c r="U36" s="30"/>
      <c r="V36" s="30"/>
      <c r="W36" s="30"/>
      <c r="X36" s="30"/>
      <c r="Z36" s="7"/>
    </row>
    <row r="37" spans="1:30" outlineLevel="3" x14ac:dyDescent="0.25">
      <c r="A37" s="1"/>
      <c r="B37" s="1" t="s">
        <v>19</v>
      </c>
      <c r="C37" s="11" t="s">
        <v>41</v>
      </c>
      <c r="D37" s="117">
        <v>46325</v>
      </c>
      <c r="E37" s="1" t="s">
        <v>58</v>
      </c>
      <c r="F37" s="1"/>
      <c r="G37" s="7"/>
      <c r="H37" s="34">
        <v>0.02</v>
      </c>
      <c r="I37" s="35">
        <v>1</v>
      </c>
      <c r="J37" s="34">
        <f>IF(K37=1,H37,0)</f>
        <v>0</v>
      </c>
      <c r="K37" s="35" t="s">
        <v>38</v>
      </c>
      <c r="L37" s="1" t="s">
        <v>68</v>
      </c>
      <c r="M37" s="1" t="s">
        <v>67</v>
      </c>
      <c r="N37" s="1" t="s">
        <v>58</v>
      </c>
      <c r="O37" s="6"/>
      <c r="P37" s="7"/>
      <c r="R37" s="1" t="s">
        <v>58</v>
      </c>
      <c r="S37" s="1" t="s">
        <v>69</v>
      </c>
      <c r="T37" s="1" t="s">
        <v>70</v>
      </c>
      <c r="U37" s="1"/>
      <c r="V37" s="1" t="s">
        <v>71</v>
      </c>
      <c r="W37" s="1"/>
      <c r="X37" s="1">
        <v>0</v>
      </c>
      <c r="Z37" s="7"/>
    </row>
    <row r="38" spans="1:30" outlineLevel="4" x14ac:dyDescent="0.25">
      <c r="A38" s="1"/>
      <c r="B38" s="52" t="s">
        <v>34</v>
      </c>
      <c r="C38" s="53"/>
      <c r="D38" s="117"/>
      <c r="E38" s="53"/>
      <c r="F38" s="1"/>
      <c r="G38" s="7"/>
      <c r="H38" s="34"/>
      <c r="I38" s="35"/>
      <c r="J38" s="34"/>
      <c r="K38" s="35"/>
      <c r="L38" s="1"/>
      <c r="M38" s="1"/>
      <c r="N38" s="1"/>
      <c r="O38" s="6"/>
      <c r="P38" s="7"/>
      <c r="R38" s="1"/>
      <c r="S38" s="1"/>
      <c r="T38" s="1"/>
      <c r="U38" s="1"/>
      <c r="V38" s="1"/>
      <c r="W38" s="1"/>
      <c r="X38" s="1"/>
      <c r="Z38" s="7"/>
    </row>
    <row r="39" spans="1:30" outlineLevel="4" x14ac:dyDescent="0.25">
      <c r="A39" s="1"/>
      <c r="B39" s="52" t="s">
        <v>37</v>
      </c>
      <c r="C39" s="53"/>
      <c r="D39" s="117"/>
      <c r="E39" s="53"/>
      <c r="F39" s="1"/>
      <c r="G39" s="7"/>
      <c r="H39" s="34"/>
      <c r="I39" s="35"/>
      <c r="J39" s="34"/>
      <c r="K39" s="35"/>
      <c r="L39" s="1"/>
      <c r="M39" s="1"/>
      <c r="N39" s="1"/>
      <c r="O39" s="6"/>
      <c r="P39" s="7"/>
      <c r="R39" s="1"/>
      <c r="S39" s="1"/>
      <c r="T39" s="1"/>
      <c r="U39" s="1"/>
      <c r="V39" s="1"/>
      <c r="W39" s="1"/>
      <c r="X39" s="1"/>
      <c r="Z39" s="7"/>
    </row>
    <row r="40" spans="1:30" outlineLevel="1" x14ac:dyDescent="0.25">
      <c r="A40" s="1"/>
      <c r="B40" s="26" t="s">
        <v>76</v>
      </c>
      <c r="C40" s="27" t="s">
        <v>20</v>
      </c>
      <c r="D40" s="138"/>
      <c r="E40" s="26"/>
      <c r="F40" s="26"/>
      <c r="G40" s="7"/>
      <c r="H40" s="19">
        <v>1.1911781127994301E-2</v>
      </c>
      <c r="I40" s="25">
        <v>1</v>
      </c>
      <c r="J40" s="34">
        <f>IF(K40=1,H40,0)</f>
        <v>0</v>
      </c>
      <c r="K40" s="35"/>
      <c r="L40" s="1" t="s">
        <v>21</v>
      </c>
      <c r="M40" s="1" t="s">
        <v>27</v>
      </c>
      <c r="N40" s="1" t="s">
        <v>30</v>
      </c>
      <c r="O40" s="6"/>
      <c r="P40" s="7"/>
      <c r="R40" s="1" t="s">
        <v>30</v>
      </c>
      <c r="S40" s="1" t="s">
        <v>31</v>
      </c>
      <c r="T40" s="1" t="s">
        <v>32</v>
      </c>
      <c r="U40" s="1"/>
      <c r="V40" s="1" t="s">
        <v>33</v>
      </c>
      <c r="W40" s="1"/>
      <c r="X40" s="1"/>
      <c r="Z40" s="7"/>
      <c r="AD40" s="50"/>
    </row>
    <row r="41" spans="1:30" outlineLevel="2" x14ac:dyDescent="0.25">
      <c r="A41" s="1"/>
      <c r="B41" s="30" t="s">
        <v>25</v>
      </c>
      <c r="C41" s="31" t="s">
        <v>26</v>
      </c>
      <c r="D41" s="137"/>
      <c r="E41" s="30"/>
      <c r="F41" s="30"/>
      <c r="G41" s="7"/>
      <c r="H41" s="19"/>
      <c r="I41" s="25"/>
      <c r="J41" s="34"/>
      <c r="K41" s="35"/>
      <c r="L41" s="1"/>
      <c r="M41" s="1"/>
      <c r="N41" s="1"/>
      <c r="O41" s="6"/>
      <c r="P41" s="7"/>
      <c r="R41" s="1"/>
      <c r="S41" s="1"/>
      <c r="T41" s="1"/>
      <c r="U41" s="1"/>
      <c r="V41" s="1"/>
      <c r="W41" s="1"/>
      <c r="X41" s="1"/>
      <c r="Z41" s="7"/>
      <c r="AD41" s="50"/>
    </row>
    <row r="42" spans="1:30" ht="26" outlineLevel="3" x14ac:dyDescent="0.25">
      <c r="A42" s="1"/>
      <c r="B42" s="1" t="s">
        <v>76</v>
      </c>
      <c r="C42" s="11" t="s">
        <v>77</v>
      </c>
      <c r="D42" s="117">
        <v>46323</v>
      </c>
      <c r="E42" s="1" t="s">
        <v>29</v>
      </c>
      <c r="F42" s="1"/>
      <c r="G42" s="7"/>
      <c r="H42" s="19"/>
      <c r="I42" s="25"/>
      <c r="J42" s="34"/>
      <c r="K42" s="35"/>
      <c r="L42" s="1"/>
      <c r="M42" s="1"/>
      <c r="N42" s="1"/>
      <c r="O42" s="6"/>
      <c r="P42" s="7"/>
      <c r="R42" s="1"/>
      <c r="S42" s="1"/>
      <c r="T42" s="1"/>
      <c r="U42" s="1"/>
      <c r="V42" s="1"/>
      <c r="W42" s="1"/>
      <c r="X42" s="1"/>
      <c r="Z42" s="7"/>
      <c r="AD42" s="50"/>
    </row>
    <row r="43" spans="1:30" s="39" customFormat="1" outlineLevel="4" x14ac:dyDescent="0.25">
      <c r="A43" s="36"/>
      <c r="B43" s="52" t="s">
        <v>34</v>
      </c>
      <c r="C43" s="53" t="s">
        <v>82</v>
      </c>
      <c r="D43" s="117">
        <v>46304</v>
      </c>
      <c r="E43" s="1" t="s">
        <v>49</v>
      </c>
      <c r="F43" s="1"/>
      <c r="G43" s="38"/>
      <c r="H43" s="28">
        <f>SUBTOTAL(9,H44:H93)</f>
        <v>1.72</v>
      </c>
      <c r="I43" s="29">
        <f>SUBTOTAL(9,I44:I93)</f>
        <v>12</v>
      </c>
      <c r="J43" s="28">
        <f>SUBTOTAL(9,J44:J93)</f>
        <v>0.18</v>
      </c>
      <c r="K43" s="29">
        <f>SUBTOTAL(9,K44:K93)</f>
        <v>1</v>
      </c>
      <c r="L43" s="26" t="s">
        <v>68</v>
      </c>
      <c r="M43" s="26"/>
      <c r="N43" s="26"/>
      <c r="O43" s="37"/>
      <c r="P43" s="38"/>
      <c r="R43" s="26"/>
      <c r="S43" s="26"/>
      <c r="T43" s="26"/>
      <c r="U43" s="26"/>
      <c r="V43" s="26"/>
      <c r="W43" s="26"/>
      <c r="X43" s="26"/>
      <c r="Z43" s="38"/>
    </row>
    <row r="44" spans="1:30" outlineLevel="4" x14ac:dyDescent="0.25">
      <c r="A44" s="1"/>
      <c r="B44" s="52" t="s">
        <v>37</v>
      </c>
      <c r="C44" s="53" t="s">
        <v>74</v>
      </c>
      <c r="D44" s="117"/>
      <c r="E44" s="1"/>
      <c r="F44" s="1"/>
      <c r="G44" s="7"/>
      <c r="H44" s="44">
        <f>SUBTOTAL(9,H45:H66)</f>
        <v>1.52</v>
      </c>
      <c r="I44" s="45">
        <f>SUBTOTAL(9,I45:I66)</f>
        <v>8</v>
      </c>
      <c r="J44" s="44">
        <f>SUBTOTAL(9,J45:J66)</f>
        <v>0</v>
      </c>
      <c r="K44" s="45">
        <f>SUBTOTAL(9,K45:K66)</f>
        <v>0</v>
      </c>
      <c r="L44" s="30" t="s">
        <v>68</v>
      </c>
      <c r="M44" s="30" t="s">
        <v>25</v>
      </c>
      <c r="N44" s="30"/>
      <c r="O44" s="6"/>
      <c r="P44" s="7"/>
      <c r="R44" s="30"/>
      <c r="S44" s="30"/>
      <c r="T44" s="30"/>
      <c r="U44" s="30"/>
      <c r="V44" s="30"/>
      <c r="W44" s="30"/>
      <c r="X44" s="30"/>
      <c r="Z44" s="7"/>
    </row>
    <row r="45" spans="1:30" ht="26" outlineLevel="3" x14ac:dyDescent="0.25">
      <c r="A45" s="1"/>
      <c r="B45" s="1" t="s">
        <v>76</v>
      </c>
      <c r="C45" s="11" t="s">
        <v>83</v>
      </c>
      <c r="D45" s="117">
        <v>46323</v>
      </c>
      <c r="E45" s="1" t="s">
        <v>29</v>
      </c>
      <c r="F45" s="1"/>
      <c r="G45" s="7"/>
      <c r="H45" s="19">
        <v>0.22</v>
      </c>
      <c r="I45" s="25">
        <v>1</v>
      </c>
      <c r="J45" s="34">
        <f>IF(K45=1,H45,0)</f>
        <v>0</v>
      </c>
      <c r="K45" s="35"/>
      <c r="L45" s="1" t="s">
        <v>68</v>
      </c>
      <c r="M45" s="1" t="s">
        <v>25</v>
      </c>
      <c r="N45" s="1" t="s">
        <v>29</v>
      </c>
      <c r="O45" s="6"/>
      <c r="P45" s="7"/>
      <c r="R45" s="1" t="s">
        <v>29</v>
      </c>
      <c r="S45" s="1" t="s">
        <v>78</v>
      </c>
      <c r="T45" s="1" t="s">
        <v>79</v>
      </c>
      <c r="U45" s="1" t="s">
        <v>80</v>
      </c>
      <c r="V45" s="1" t="s">
        <v>81</v>
      </c>
      <c r="W45" s="1"/>
      <c r="X45" s="1"/>
      <c r="Z45" s="7"/>
      <c r="AD45" s="50"/>
    </row>
    <row r="46" spans="1:30" outlineLevel="4" x14ac:dyDescent="0.25">
      <c r="A46" s="1"/>
      <c r="B46" s="52" t="s">
        <v>34</v>
      </c>
      <c r="C46" s="53" t="s">
        <v>82</v>
      </c>
      <c r="D46" s="117">
        <v>46304</v>
      </c>
      <c r="E46" s="1" t="s">
        <v>49</v>
      </c>
      <c r="F46" s="1"/>
      <c r="G46" s="7"/>
      <c r="H46" s="19"/>
      <c r="I46" s="25"/>
      <c r="J46" s="34"/>
      <c r="K46" s="35"/>
      <c r="L46" s="1"/>
      <c r="M46" s="1"/>
      <c r="N46" s="1"/>
      <c r="O46" s="6"/>
      <c r="P46" s="7"/>
      <c r="R46" s="1"/>
      <c r="S46" s="1"/>
      <c r="T46" s="1"/>
      <c r="U46" s="1"/>
      <c r="V46" s="1"/>
      <c r="W46" s="1"/>
      <c r="X46" s="1"/>
      <c r="Z46" s="7"/>
      <c r="AD46" s="50"/>
    </row>
    <row r="47" spans="1:30" outlineLevel="4" x14ac:dyDescent="0.25">
      <c r="A47" s="1"/>
      <c r="B47" s="52" t="s">
        <v>37</v>
      </c>
      <c r="C47" s="53" t="s">
        <v>74</v>
      </c>
      <c r="D47" s="117"/>
      <c r="E47" s="1"/>
      <c r="F47" s="1"/>
      <c r="G47" s="7"/>
      <c r="H47" s="19"/>
      <c r="I47" s="25"/>
      <c r="J47" s="34"/>
      <c r="K47" s="35"/>
      <c r="L47" s="1"/>
      <c r="M47" s="1"/>
      <c r="N47" s="1"/>
      <c r="O47" s="6"/>
      <c r="P47" s="7"/>
      <c r="R47" s="1"/>
      <c r="S47" s="1"/>
      <c r="T47" s="1"/>
      <c r="U47" s="1"/>
      <c r="V47" s="1"/>
      <c r="W47" s="1"/>
      <c r="X47" s="1"/>
      <c r="Z47" s="7"/>
      <c r="AD47" s="50"/>
    </row>
    <row r="48" spans="1:30" ht="26" outlineLevel="3" x14ac:dyDescent="0.25">
      <c r="A48" s="1"/>
      <c r="B48" s="1" t="s">
        <v>76</v>
      </c>
      <c r="C48" s="11" t="s">
        <v>84</v>
      </c>
      <c r="D48" s="117">
        <v>46323</v>
      </c>
      <c r="E48" s="1" t="s">
        <v>29</v>
      </c>
      <c r="F48" s="1"/>
      <c r="G48" s="7"/>
      <c r="H48" s="19">
        <v>0.22</v>
      </c>
      <c r="I48" s="25">
        <v>1</v>
      </c>
      <c r="J48" s="34">
        <f>IF(K48=1,H48,0)</f>
        <v>0</v>
      </c>
      <c r="K48" s="35"/>
      <c r="L48" s="1" t="s">
        <v>68</v>
      </c>
      <c r="M48" s="1" t="s">
        <v>25</v>
      </c>
      <c r="N48" s="1" t="s">
        <v>29</v>
      </c>
      <c r="O48" s="6"/>
      <c r="P48" s="7"/>
      <c r="R48" s="1" t="s">
        <v>29</v>
      </c>
      <c r="S48" s="1" t="s">
        <v>78</v>
      </c>
      <c r="T48" s="1" t="s">
        <v>79</v>
      </c>
      <c r="U48" s="1" t="s">
        <v>80</v>
      </c>
      <c r="V48" s="1" t="s">
        <v>81</v>
      </c>
      <c r="W48" s="1"/>
      <c r="X48" s="1"/>
      <c r="Z48" s="7"/>
      <c r="AD48" s="50"/>
    </row>
    <row r="49" spans="1:30" outlineLevel="4" x14ac:dyDescent="0.25">
      <c r="A49" s="1"/>
      <c r="B49" s="52" t="s">
        <v>34</v>
      </c>
      <c r="C49" s="53" t="s">
        <v>82</v>
      </c>
      <c r="D49" s="117">
        <v>46304</v>
      </c>
      <c r="E49" s="1" t="s">
        <v>49</v>
      </c>
      <c r="F49" s="1"/>
      <c r="G49" s="7"/>
      <c r="H49" s="19"/>
      <c r="I49" s="25"/>
      <c r="J49" s="34"/>
      <c r="K49" s="35"/>
      <c r="L49" s="1"/>
      <c r="M49" s="1"/>
      <c r="N49" s="1"/>
      <c r="O49" s="6"/>
      <c r="P49" s="7"/>
      <c r="R49" s="1"/>
      <c r="S49" s="1"/>
      <c r="T49" s="1"/>
      <c r="U49" s="1"/>
      <c r="V49" s="1"/>
      <c r="W49" s="1"/>
      <c r="X49" s="1"/>
      <c r="Z49" s="7"/>
      <c r="AD49" s="50"/>
    </row>
    <row r="50" spans="1:30" outlineLevel="4" x14ac:dyDescent="0.25">
      <c r="A50" s="1"/>
      <c r="B50" s="52" t="s">
        <v>37</v>
      </c>
      <c r="C50" s="53" t="s">
        <v>74</v>
      </c>
      <c r="D50" s="117"/>
      <c r="E50" s="1"/>
      <c r="F50" s="1"/>
      <c r="G50" s="7"/>
      <c r="H50" s="19"/>
      <c r="I50" s="25"/>
      <c r="J50" s="34"/>
      <c r="K50" s="35"/>
      <c r="L50" s="1"/>
      <c r="M50" s="1"/>
      <c r="N50" s="1"/>
      <c r="O50" s="6"/>
      <c r="P50" s="7"/>
      <c r="R50" s="1"/>
      <c r="S50" s="1"/>
      <c r="T50" s="1"/>
      <c r="U50" s="1"/>
      <c r="V50" s="1"/>
      <c r="W50" s="1"/>
      <c r="X50" s="1"/>
      <c r="Z50" s="7"/>
      <c r="AD50" s="50"/>
    </row>
    <row r="51" spans="1:30" outlineLevel="3" x14ac:dyDescent="0.25">
      <c r="A51" s="1"/>
      <c r="B51" s="1" t="s">
        <v>76</v>
      </c>
      <c r="C51" s="11" t="s">
        <v>85</v>
      </c>
      <c r="D51" s="117">
        <v>46387</v>
      </c>
      <c r="E51" s="1" t="s">
        <v>29</v>
      </c>
      <c r="F51" s="1"/>
      <c r="G51" s="7"/>
      <c r="H51" s="19">
        <v>0.22</v>
      </c>
      <c r="I51" s="25">
        <v>1</v>
      </c>
      <c r="J51" s="34">
        <f>IF(K51=1,H51,0)</f>
        <v>0</v>
      </c>
      <c r="K51" s="35"/>
      <c r="L51" s="1" t="s">
        <v>68</v>
      </c>
      <c r="M51" s="1" t="s">
        <v>25</v>
      </c>
      <c r="N51" s="1" t="s">
        <v>29</v>
      </c>
      <c r="O51" s="6"/>
      <c r="P51" s="7"/>
      <c r="R51" s="1" t="s">
        <v>29</v>
      </c>
      <c r="S51" s="1" t="s">
        <v>78</v>
      </c>
      <c r="T51" s="1" t="s">
        <v>79</v>
      </c>
      <c r="U51" s="1" t="s">
        <v>80</v>
      </c>
      <c r="V51" s="1" t="s">
        <v>81</v>
      </c>
      <c r="W51" s="1"/>
      <c r="X51" s="1"/>
      <c r="Z51" s="7"/>
      <c r="AD51" s="50"/>
    </row>
    <row r="52" spans="1:30" outlineLevel="4" x14ac:dyDescent="0.25">
      <c r="A52" s="1"/>
      <c r="B52" s="52" t="s">
        <v>34</v>
      </c>
      <c r="C52" s="53" t="s">
        <v>86</v>
      </c>
      <c r="D52" s="117">
        <v>46356</v>
      </c>
      <c r="E52" s="1" t="s">
        <v>36</v>
      </c>
      <c r="F52" s="1" t="s">
        <v>87</v>
      </c>
      <c r="G52" s="7"/>
      <c r="H52" s="19"/>
      <c r="I52" s="25"/>
      <c r="J52" s="34"/>
      <c r="K52" s="35"/>
      <c r="L52" s="1"/>
      <c r="M52" s="1"/>
      <c r="N52" s="1"/>
      <c r="O52" s="6"/>
      <c r="P52" s="7"/>
      <c r="R52" s="1"/>
      <c r="S52" s="1"/>
      <c r="T52" s="1"/>
      <c r="U52" s="1"/>
      <c r="V52" s="1"/>
      <c r="W52" s="1"/>
      <c r="X52" s="1"/>
      <c r="Z52" s="7"/>
      <c r="AD52" s="50"/>
    </row>
    <row r="53" spans="1:30" outlineLevel="4" x14ac:dyDescent="0.25">
      <c r="A53" s="1"/>
      <c r="B53" s="52" t="s">
        <v>37</v>
      </c>
      <c r="C53" s="53" t="s">
        <v>88</v>
      </c>
      <c r="D53" s="117">
        <v>46356</v>
      </c>
      <c r="E53" s="1" t="s">
        <v>89</v>
      </c>
      <c r="F53" s="1" t="s">
        <v>90</v>
      </c>
      <c r="G53" s="7"/>
      <c r="H53" s="19"/>
      <c r="I53" s="25"/>
      <c r="J53" s="34"/>
      <c r="K53" s="35"/>
      <c r="L53" s="1"/>
      <c r="M53" s="1"/>
      <c r="N53" s="1"/>
      <c r="O53" s="6"/>
      <c r="P53" s="7"/>
      <c r="R53" s="1"/>
      <c r="S53" s="1"/>
      <c r="T53" s="1"/>
      <c r="U53" s="1"/>
      <c r="V53" s="1"/>
      <c r="W53" s="1"/>
      <c r="X53" s="1"/>
      <c r="Z53" s="7"/>
      <c r="AD53" s="50"/>
    </row>
    <row r="54" spans="1:30" outlineLevel="3" x14ac:dyDescent="0.25">
      <c r="A54" s="1"/>
      <c r="B54" s="1" t="s">
        <v>76</v>
      </c>
      <c r="C54" s="11" t="s">
        <v>91</v>
      </c>
      <c r="D54" s="117">
        <v>46308</v>
      </c>
      <c r="E54" s="1" t="s">
        <v>29</v>
      </c>
      <c r="F54" s="1"/>
      <c r="G54" s="7"/>
      <c r="H54" s="19">
        <v>0.03</v>
      </c>
      <c r="I54" s="25">
        <v>1</v>
      </c>
      <c r="J54" s="34">
        <f>IF(K54=1,H54,0)</f>
        <v>0</v>
      </c>
      <c r="K54" s="35"/>
      <c r="L54" s="1" t="s">
        <v>68</v>
      </c>
      <c r="M54" s="1" t="s">
        <v>25</v>
      </c>
      <c r="N54" s="1" t="s">
        <v>29</v>
      </c>
      <c r="O54" s="6"/>
      <c r="P54" s="7"/>
      <c r="R54" s="1" t="s">
        <v>29</v>
      </c>
      <c r="S54" s="1" t="s">
        <v>78</v>
      </c>
      <c r="T54" s="1" t="s">
        <v>79</v>
      </c>
      <c r="U54" s="1" t="s">
        <v>80</v>
      </c>
      <c r="V54" s="1" t="s">
        <v>81</v>
      </c>
      <c r="W54" s="1"/>
      <c r="X54" s="1"/>
      <c r="Z54" s="7"/>
    </row>
    <row r="55" spans="1:30" outlineLevel="4" x14ac:dyDescent="0.25">
      <c r="A55" s="1"/>
      <c r="B55" s="52" t="s">
        <v>34</v>
      </c>
      <c r="C55" s="53" t="s">
        <v>72</v>
      </c>
      <c r="D55" s="12"/>
      <c r="E55" s="1"/>
      <c r="F55" s="1"/>
      <c r="G55" s="7"/>
      <c r="H55" s="19"/>
      <c r="I55" s="25"/>
      <c r="J55" s="34"/>
      <c r="K55" s="35"/>
      <c r="L55" s="1"/>
      <c r="M55" s="1"/>
      <c r="N55" s="1"/>
      <c r="O55" s="6"/>
      <c r="P55" s="7"/>
      <c r="R55" s="1"/>
      <c r="S55" s="1"/>
      <c r="T55" s="1"/>
      <c r="U55" s="1"/>
      <c r="V55" s="1"/>
      <c r="W55" s="1"/>
      <c r="X55" s="1"/>
      <c r="Z55" s="7"/>
    </row>
    <row r="56" spans="1:30" outlineLevel="4" x14ac:dyDescent="0.25">
      <c r="A56" s="1"/>
      <c r="B56" s="52" t="s">
        <v>37</v>
      </c>
      <c r="C56" s="53" t="s">
        <v>74</v>
      </c>
      <c r="D56" s="12"/>
      <c r="E56" s="1"/>
      <c r="F56" s="1"/>
      <c r="G56" s="7"/>
      <c r="H56" s="19"/>
      <c r="I56" s="25"/>
      <c r="J56" s="34"/>
      <c r="K56" s="35"/>
      <c r="L56" s="1"/>
      <c r="M56" s="1"/>
      <c r="N56" s="1"/>
      <c r="O56" s="6"/>
      <c r="P56" s="7"/>
      <c r="R56" s="1"/>
      <c r="S56" s="1"/>
      <c r="T56" s="1"/>
      <c r="U56" s="1"/>
      <c r="V56" s="1"/>
      <c r="W56" s="1"/>
      <c r="X56" s="1"/>
      <c r="Z56" s="7"/>
    </row>
    <row r="57" spans="1:30" outlineLevel="3" x14ac:dyDescent="0.25">
      <c r="A57" s="1"/>
      <c r="B57" s="1" t="s">
        <v>76</v>
      </c>
      <c r="C57" s="11" t="s">
        <v>92</v>
      </c>
      <c r="D57" s="117">
        <v>46365</v>
      </c>
      <c r="E57" s="1" t="s">
        <v>29</v>
      </c>
      <c r="F57" s="1"/>
      <c r="G57" s="7"/>
      <c r="H57" s="34">
        <v>0.02</v>
      </c>
      <c r="I57" s="35">
        <v>1</v>
      </c>
      <c r="J57" s="34">
        <f>IF(K57=1,H57,0)</f>
        <v>0</v>
      </c>
      <c r="K57" s="35"/>
      <c r="L57" s="1" t="s">
        <v>68</v>
      </c>
      <c r="M57" s="1" t="s">
        <v>25</v>
      </c>
      <c r="N57" s="1" t="s">
        <v>29</v>
      </c>
      <c r="O57" s="6"/>
      <c r="P57" s="7"/>
      <c r="R57" s="1" t="s">
        <v>29</v>
      </c>
      <c r="S57" s="1" t="s">
        <v>78</v>
      </c>
      <c r="T57" s="1" t="s">
        <v>79</v>
      </c>
      <c r="U57" s="1" t="s">
        <v>80</v>
      </c>
      <c r="V57" s="1" t="s">
        <v>81</v>
      </c>
      <c r="W57" s="1"/>
      <c r="X57" s="1"/>
      <c r="Z57" s="7"/>
    </row>
    <row r="58" spans="1:30" outlineLevel="4" x14ac:dyDescent="0.25">
      <c r="A58" s="1"/>
      <c r="B58" s="52" t="s">
        <v>34</v>
      </c>
      <c r="C58" s="53" t="s">
        <v>93</v>
      </c>
      <c r="D58" s="117">
        <v>46326</v>
      </c>
      <c r="E58" s="1" t="s">
        <v>94</v>
      </c>
      <c r="F58" s="1"/>
      <c r="G58" s="7"/>
      <c r="H58" s="34"/>
      <c r="I58" s="35"/>
      <c r="J58" s="34"/>
      <c r="K58" s="35"/>
      <c r="L58" s="1"/>
      <c r="M58" s="1"/>
      <c r="N58" s="1"/>
      <c r="O58" s="6"/>
      <c r="P58" s="7"/>
      <c r="R58" s="1"/>
      <c r="S58" s="1"/>
      <c r="T58" s="1"/>
      <c r="U58" s="1"/>
      <c r="V58" s="1"/>
      <c r="W58" s="1"/>
      <c r="X58" s="1"/>
      <c r="Z58" s="7"/>
    </row>
    <row r="59" spans="1:30" outlineLevel="4" x14ac:dyDescent="0.25">
      <c r="A59" s="1"/>
      <c r="B59" s="52" t="s">
        <v>37</v>
      </c>
      <c r="C59" s="53" t="s">
        <v>74</v>
      </c>
      <c r="D59" s="12"/>
      <c r="E59" s="1"/>
      <c r="F59" s="1"/>
      <c r="G59" s="7"/>
      <c r="H59" s="34"/>
      <c r="I59" s="35"/>
      <c r="J59" s="34"/>
      <c r="K59" s="35"/>
      <c r="L59" s="1"/>
      <c r="M59" s="1"/>
      <c r="N59" s="1"/>
      <c r="O59" s="6"/>
      <c r="P59" s="7"/>
      <c r="R59" s="1"/>
      <c r="S59" s="1"/>
      <c r="T59" s="1"/>
      <c r="U59" s="1"/>
      <c r="V59" s="1"/>
      <c r="W59" s="1"/>
      <c r="X59" s="1"/>
      <c r="Z59" s="7"/>
    </row>
    <row r="60" spans="1:30" outlineLevel="3" x14ac:dyDescent="0.25">
      <c r="A60" s="1"/>
      <c r="B60" s="1" t="s">
        <v>76</v>
      </c>
      <c r="C60" s="11" t="s">
        <v>95</v>
      </c>
      <c r="D60" s="117">
        <v>46326</v>
      </c>
      <c r="E60" s="1" t="s">
        <v>29</v>
      </c>
      <c r="F60" s="1"/>
      <c r="G60" s="7"/>
      <c r="H60" s="34">
        <v>0.01</v>
      </c>
      <c r="I60" s="35">
        <v>1</v>
      </c>
      <c r="J60" s="34">
        <f>IF(K60=1,H60,0)</f>
        <v>0</v>
      </c>
      <c r="K60" s="35"/>
      <c r="L60" s="1" t="s">
        <v>68</v>
      </c>
      <c r="M60" s="1" t="s">
        <v>25</v>
      </c>
      <c r="N60" s="1" t="s">
        <v>29</v>
      </c>
      <c r="O60" s="6"/>
      <c r="P60" s="7"/>
      <c r="R60" s="1" t="s">
        <v>29</v>
      </c>
      <c r="S60" s="1" t="s">
        <v>78</v>
      </c>
      <c r="T60" s="1" t="s">
        <v>79</v>
      </c>
      <c r="U60" s="1" t="s">
        <v>80</v>
      </c>
      <c r="V60" s="1" t="s">
        <v>81</v>
      </c>
      <c r="W60" s="1"/>
      <c r="X60" s="1"/>
      <c r="Z60" s="7"/>
    </row>
    <row r="61" spans="1:30" outlineLevel="4" x14ac:dyDescent="0.25">
      <c r="A61" s="1"/>
      <c r="B61" s="52" t="s">
        <v>34</v>
      </c>
      <c r="C61" s="53" t="s">
        <v>72</v>
      </c>
      <c r="D61" s="117"/>
      <c r="E61" s="1"/>
      <c r="F61" s="1"/>
      <c r="G61" s="7"/>
      <c r="H61" s="34"/>
      <c r="I61" s="35"/>
      <c r="J61" s="34"/>
      <c r="K61" s="35"/>
      <c r="L61" s="1"/>
      <c r="M61" s="1"/>
      <c r="N61" s="1"/>
      <c r="O61" s="6"/>
      <c r="P61" s="7"/>
      <c r="R61" s="1"/>
      <c r="S61" s="1"/>
      <c r="T61" s="1"/>
      <c r="U61" s="1"/>
      <c r="V61" s="1"/>
      <c r="W61" s="1"/>
      <c r="X61" s="1"/>
      <c r="Z61" s="7"/>
    </row>
    <row r="62" spans="1:30" outlineLevel="4" x14ac:dyDescent="0.25">
      <c r="A62" s="1"/>
      <c r="B62" s="52" t="s">
        <v>37</v>
      </c>
      <c r="C62" s="53" t="s">
        <v>74</v>
      </c>
      <c r="D62" s="117"/>
      <c r="E62" s="1"/>
      <c r="F62" s="1"/>
      <c r="G62" s="7"/>
      <c r="H62" s="34"/>
      <c r="I62" s="35"/>
      <c r="J62" s="34"/>
      <c r="K62" s="35"/>
      <c r="L62" s="1"/>
      <c r="M62" s="1"/>
      <c r="N62" s="1"/>
      <c r="O62" s="6"/>
      <c r="P62" s="7"/>
      <c r="R62" s="1"/>
      <c r="S62" s="1"/>
      <c r="T62" s="1"/>
      <c r="U62" s="1"/>
      <c r="V62" s="1"/>
      <c r="W62" s="1"/>
      <c r="X62" s="1"/>
      <c r="Z62" s="7"/>
    </row>
    <row r="63" spans="1:30" outlineLevel="3" x14ac:dyDescent="0.25">
      <c r="A63" s="1"/>
      <c r="B63" s="1" t="s">
        <v>76</v>
      </c>
      <c r="C63" s="11" t="s">
        <v>96</v>
      </c>
      <c r="D63" s="117">
        <v>46326</v>
      </c>
      <c r="E63" s="1" t="s">
        <v>29</v>
      </c>
      <c r="F63" s="1"/>
      <c r="G63" s="7"/>
      <c r="H63" s="19">
        <v>0.4</v>
      </c>
      <c r="I63" s="25">
        <v>1</v>
      </c>
      <c r="J63" s="34">
        <f>IF(K63=1,H63,0)</f>
        <v>0</v>
      </c>
      <c r="K63" s="35"/>
      <c r="L63" s="1" t="s">
        <v>68</v>
      </c>
      <c r="M63" s="1" t="s">
        <v>25</v>
      </c>
      <c r="N63" s="1" t="s">
        <v>29</v>
      </c>
      <c r="O63" s="6"/>
      <c r="P63" s="7"/>
      <c r="R63" s="1" t="s">
        <v>29</v>
      </c>
      <c r="S63" s="1" t="s">
        <v>78</v>
      </c>
      <c r="T63" s="1" t="s">
        <v>79</v>
      </c>
      <c r="U63" s="1" t="s">
        <v>80</v>
      </c>
      <c r="V63" s="1" t="s">
        <v>81</v>
      </c>
      <c r="W63" s="1"/>
      <c r="X63" s="1"/>
      <c r="Z63" s="7"/>
      <c r="AD63" s="50"/>
    </row>
    <row r="64" spans="1:30" outlineLevel="4" x14ac:dyDescent="0.25">
      <c r="A64" s="1"/>
      <c r="B64" s="52" t="s">
        <v>34</v>
      </c>
      <c r="C64" s="53" t="s">
        <v>72</v>
      </c>
      <c r="D64" s="117"/>
      <c r="E64" s="1"/>
      <c r="F64" s="1"/>
      <c r="G64" s="7"/>
      <c r="H64" s="19"/>
      <c r="I64" s="25"/>
      <c r="J64" s="34"/>
      <c r="K64" s="35"/>
      <c r="L64" s="1"/>
      <c r="M64" s="1"/>
      <c r="N64" s="1"/>
      <c r="O64" s="6"/>
      <c r="P64" s="7"/>
      <c r="R64" s="1"/>
      <c r="S64" s="1"/>
      <c r="T64" s="1"/>
      <c r="U64" s="1"/>
      <c r="V64" s="1"/>
      <c r="W64" s="1"/>
      <c r="X64" s="1"/>
      <c r="Z64" s="7"/>
      <c r="AD64" s="50"/>
    </row>
    <row r="65" spans="1:30" outlineLevel="4" x14ac:dyDescent="0.25">
      <c r="A65" s="1"/>
      <c r="B65" s="52" t="s">
        <v>37</v>
      </c>
      <c r="C65" s="53" t="s">
        <v>74</v>
      </c>
      <c r="D65" s="117"/>
      <c r="E65" s="1"/>
      <c r="F65" s="1"/>
      <c r="G65" s="7"/>
      <c r="H65" s="19"/>
      <c r="I65" s="25"/>
      <c r="J65" s="34"/>
      <c r="K65" s="35"/>
      <c r="L65" s="1"/>
      <c r="M65" s="1"/>
      <c r="N65" s="1"/>
      <c r="O65" s="6"/>
      <c r="P65" s="7"/>
      <c r="R65" s="1"/>
      <c r="S65" s="1"/>
      <c r="T65" s="1"/>
      <c r="U65" s="1"/>
      <c r="V65" s="1"/>
      <c r="W65" s="1"/>
      <c r="X65" s="1"/>
      <c r="Z65" s="7"/>
      <c r="AD65" s="50"/>
    </row>
    <row r="66" spans="1:30" outlineLevel="2" x14ac:dyDescent="0.25">
      <c r="A66" s="1"/>
      <c r="B66" s="30" t="s">
        <v>44</v>
      </c>
      <c r="C66" s="31" t="s">
        <v>26</v>
      </c>
      <c r="D66" s="137"/>
      <c r="E66" s="30"/>
      <c r="F66" s="30"/>
      <c r="G66" s="7"/>
      <c r="H66" s="19">
        <v>0.4</v>
      </c>
      <c r="I66" s="25">
        <v>1</v>
      </c>
      <c r="J66" s="34">
        <f>IF(K66=1,H66,0)</f>
        <v>0</v>
      </c>
      <c r="K66" s="35"/>
      <c r="L66" s="1" t="s">
        <v>68</v>
      </c>
      <c r="M66" s="1" t="s">
        <v>25</v>
      </c>
      <c r="N66" s="1" t="s">
        <v>29</v>
      </c>
      <c r="O66" s="6"/>
      <c r="P66" s="7"/>
      <c r="R66" s="1" t="s">
        <v>29</v>
      </c>
      <c r="S66" s="1" t="s">
        <v>78</v>
      </c>
      <c r="T66" s="1" t="s">
        <v>79</v>
      </c>
      <c r="U66" s="1" t="s">
        <v>80</v>
      </c>
      <c r="V66" s="1" t="s">
        <v>81</v>
      </c>
      <c r="W66" s="1"/>
      <c r="X66" s="1"/>
      <c r="Z66" s="7"/>
      <c r="AD66" s="50"/>
    </row>
    <row r="67" spans="1:30" outlineLevel="3" x14ac:dyDescent="0.25">
      <c r="A67" s="1"/>
      <c r="B67" s="1" t="s">
        <v>76</v>
      </c>
      <c r="C67" s="11" t="s">
        <v>97</v>
      </c>
      <c r="D67" s="117">
        <v>46304</v>
      </c>
      <c r="E67" s="1" t="s">
        <v>30</v>
      </c>
      <c r="F67" s="1"/>
      <c r="G67" s="7"/>
      <c r="H67" s="19"/>
      <c r="I67" s="25"/>
      <c r="J67" s="34"/>
      <c r="K67" s="35"/>
      <c r="L67" s="1"/>
      <c r="M67" s="1"/>
      <c r="N67" s="1"/>
      <c r="O67" s="6"/>
      <c r="P67" s="7"/>
      <c r="R67" s="1"/>
      <c r="S67" s="1"/>
      <c r="T67" s="1"/>
      <c r="U67" s="1"/>
      <c r="V67" s="1"/>
      <c r="W67" s="1"/>
      <c r="X67" s="1"/>
      <c r="Z67" s="7"/>
      <c r="AD67" s="50"/>
    </row>
    <row r="68" spans="1:30" outlineLevel="4" x14ac:dyDescent="0.25">
      <c r="A68" s="1"/>
      <c r="B68" s="131" t="s">
        <v>34</v>
      </c>
      <c r="C68" s="133" t="s">
        <v>98</v>
      </c>
      <c r="D68" s="136">
        <v>46305</v>
      </c>
      <c r="E68" s="133" t="s">
        <v>99</v>
      </c>
      <c r="F68" s="1"/>
      <c r="G68" s="7"/>
      <c r="H68" s="19"/>
      <c r="I68" s="25"/>
      <c r="J68" s="34"/>
      <c r="K68" s="35"/>
      <c r="L68" s="1"/>
      <c r="M68" s="1"/>
      <c r="N68" s="1"/>
      <c r="O68" s="6"/>
      <c r="P68" s="7"/>
      <c r="R68" s="1"/>
      <c r="S68" s="1"/>
      <c r="T68" s="1"/>
      <c r="U68" s="1"/>
      <c r="V68" s="1"/>
      <c r="W68" s="1"/>
      <c r="X68" s="1"/>
      <c r="Z68" s="7"/>
      <c r="AD68" s="50"/>
    </row>
    <row r="69" spans="1:30" outlineLevel="4" x14ac:dyDescent="0.25">
      <c r="A69" s="1"/>
      <c r="B69" s="134" t="s">
        <v>37</v>
      </c>
      <c r="C69" s="135" t="s">
        <v>100</v>
      </c>
      <c r="D69" s="139">
        <v>46315</v>
      </c>
      <c r="E69" s="135" t="s">
        <v>99</v>
      </c>
      <c r="F69" s="1"/>
      <c r="G69" s="7"/>
      <c r="H69" s="44">
        <f>SUBTOTAL(9,H70:H89)</f>
        <v>0.18</v>
      </c>
      <c r="I69" s="45">
        <f>SUBTOTAL(9,I70:I89)</f>
        <v>3</v>
      </c>
      <c r="J69" s="44">
        <f>SUBTOTAL(9,J70:J89)</f>
        <v>0.18</v>
      </c>
      <c r="K69" s="45">
        <f>SUBTOTAL(9,K70:K89)</f>
        <v>1</v>
      </c>
      <c r="L69" s="30" t="s">
        <v>68</v>
      </c>
      <c r="M69" s="30" t="s">
        <v>27</v>
      </c>
      <c r="N69" s="30"/>
      <c r="O69" s="6"/>
      <c r="P69" s="7"/>
      <c r="R69" s="30"/>
      <c r="S69" s="30"/>
      <c r="T69" s="30"/>
      <c r="U69" s="30"/>
      <c r="V69" s="30"/>
      <c r="W69" s="30"/>
      <c r="X69" s="30"/>
      <c r="Z69" s="7"/>
    </row>
    <row r="70" spans="1:30" ht="26.25" customHeight="1" outlineLevel="3" x14ac:dyDescent="0.25">
      <c r="A70" s="1"/>
      <c r="B70" s="1" t="s">
        <v>76</v>
      </c>
      <c r="C70" s="11" t="s">
        <v>101</v>
      </c>
      <c r="D70" s="117">
        <v>46304</v>
      </c>
      <c r="E70" s="1" t="s">
        <v>30</v>
      </c>
      <c r="F70" s="1"/>
      <c r="G70" s="7"/>
      <c r="H70" s="19"/>
      <c r="I70" s="25"/>
      <c r="J70" s="34"/>
      <c r="K70" s="35"/>
      <c r="L70" s="1"/>
      <c r="M70" s="1"/>
      <c r="N70" s="1"/>
      <c r="O70" s="6"/>
      <c r="P70" s="7"/>
      <c r="R70" s="1"/>
      <c r="S70" s="1"/>
      <c r="T70" s="1"/>
      <c r="U70" s="1"/>
      <c r="V70" s="1"/>
      <c r="W70" s="1"/>
      <c r="X70" s="1"/>
      <c r="Z70" s="7"/>
    </row>
    <row r="71" spans="1:30" ht="30" customHeight="1" outlineLevel="4" x14ac:dyDescent="0.25">
      <c r="A71" s="1"/>
      <c r="B71" s="131" t="s">
        <v>34</v>
      </c>
      <c r="C71" s="133" t="s">
        <v>98</v>
      </c>
      <c r="D71" s="136">
        <v>46336</v>
      </c>
      <c r="E71" s="133" t="s">
        <v>102</v>
      </c>
      <c r="F71" s="1"/>
      <c r="G71" s="7"/>
      <c r="H71" s="19"/>
      <c r="I71" s="25"/>
      <c r="J71" s="34"/>
      <c r="K71" s="35"/>
      <c r="L71" s="1"/>
      <c r="M71" s="1"/>
      <c r="N71" s="1"/>
      <c r="O71" s="6"/>
      <c r="P71" s="7"/>
      <c r="R71" s="1"/>
      <c r="S71" s="1"/>
      <c r="T71" s="1"/>
      <c r="U71" s="1"/>
      <c r="V71" s="1"/>
      <c r="W71" s="1"/>
      <c r="X71" s="1"/>
      <c r="Z71" s="7"/>
    </row>
    <row r="72" spans="1:30" outlineLevel="4" x14ac:dyDescent="0.25">
      <c r="A72" s="1"/>
      <c r="B72" s="134" t="s">
        <v>37</v>
      </c>
      <c r="C72" s="135" t="s">
        <v>100</v>
      </c>
      <c r="D72" s="139">
        <v>46346</v>
      </c>
      <c r="E72" s="135" t="s">
        <v>102</v>
      </c>
      <c r="F72" s="1"/>
      <c r="G72" s="7"/>
      <c r="H72" s="19"/>
      <c r="I72" s="25"/>
      <c r="J72" s="34"/>
      <c r="K72" s="35"/>
      <c r="L72" s="1"/>
      <c r="M72" s="1"/>
      <c r="N72" s="1"/>
      <c r="O72" s="6"/>
      <c r="P72" s="7"/>
      <c r="R72" s="1"/>
      <c r="S72" s="1"/>
      <c r="T72" s="1"/>
      <c r="U72" s="1"/>
      <c r="V72" s="1"/>
      <c r="W72" s="1"/>
      <c r="X72" s="1"/>
      <c r="Z72" s="7"/>
    </row>
    <row r="73" spans="1:30" outlineLevel="3" x14ac:dyDescent="0.25">
      <c r="A73" s="1"/>
      <c r="B73" s="1" t="s">
        <v>76</v>
      </c>
      <c r="C73" s="11" t="s">
        <v>103</v>
      </c>
      <c r="D73" s="117">
        <v>46304</v>
      </c>
      <c r="E73" s="1" t="s">
        <v>30</v>
      </c>
      <c r="F73" s="1"/>
      <c r="G73" s="7"/>
      <c r="H73" s="19"/>
      <c r="I73" s="25"/>
      <c r="J73" s="34"/>
      <c r="K73" s="35"/>
      <c r="L73" s="1"/>
      <c r="M73" s="1"/>
      <c r="N73" s="1"/>
      <c r="O73" s="6"/>
      <c r="P73" s="7"/>
      <c r="R73" s="1"/>
      <c r="S73" s="1"/>
      <c r="T73" s="1"/>
      <c r="U73" s="1"/>
      <c r="V73" s="1"/>
      <c r="W73" s="1"/>
      <c r="X73" s="1"/>
      <c r="Z73" s="7"/>
    </row>
    <row r="74" spans="1:30" outlineLevel="4" x14ac:dyDescent="0.25">
      <c r="A74" s="1"/>
      <c r="B74" s="131" t="s">
        <v>34</v>
      </c>
      <c r="C74" s="133" t="s">
        <v>98</v>
      </c>
      <c r="D74" s="136">
        <v>46325</v>
      </c>
      <c r="E74" s="133" t="s">
        <v>104</v>
      </c>
      <c r="F74" s="1"/>
      <c r="G74" s="7"/>
      <c r="H74" s="19"/>
      <c r="I74" s="25"/>
      <c r="J74" s="34"/>
      <c r="K74" s="35"/>
      <c r="L74" s="1"/>
      <c r="M74" s="1"/>
      <c r="N74" s="1"/>
      <c r="O74" s="6"/>
      <c r="P74" s="7"/>
      <c r="R74" s="1"/>
      <c r="S74" s="1"/>
      <c r="T74" s="1"/>
      <c r="U74" s="1"/>
      <c r="V74" s="1"/>
      <c r="W74" s="1"/>
      <c r="X74" s="1"/>
      <c r="Z74" s="7"/>
    </row>
    <row r="75" spans="1:30" outlineLevel="4" x14ac:dyDescent="0.25">
      <c r="A75" s="1"/>
      <c r="B75" s="134" t="s">
        <v>37</v>
      </c>
      <c r="C75" s="135" t="s">
        <v>100</v>
      </c>
      <c r="D75" s="139">
        <v>46325</v>
      </c>
      <c r="E75" s="135" t="s">
        <v>104</v>
      </c>
      <c r="F75" s="1"/>
      <c r="G75" s="7"/>
      <c r="H75" s="19"/>
      <c r="I75" s="25"/>
      <c r="J75" s="34"/>
      <c r="K75" s="35"/>
      <c r="L75" s="1"/>
      <c r="M75" s="1"/>
      <c r="N75" s="1"/>
      <c r="O75" s="6"/>
      <c r="P75" s="7"/>
      <c r="R75" s="1"/>
      <c r="S75" s="1"/>
      <c r="T75" s="1"/>
      <c r="U75" s="1"/>
      <c r="V75" s="1"/>
      <c r="W75" s="1"/>
      <c r="X75" s="1"/>
      <c r="Z75" s="7"/>
    </row>
    <row r="76" spans="1:30" outlineLevel="3" x14ac:dyDescent="0.25">
      <c r="A76" s="1"/>
      <c r="B76" s="1" t="s">
        <v>76</v>
      </c>
      <c r="C76" s="11" t="s">
        <v>105</v>
      </c>
      <c r="D76" s="117">
        <v>46370</v>
      </c>
      <c r="E76" s="1" t="s">
        <v>30</v>
      </c>
      <c r="F76" s="1"/>
      <c r="G76" s="7"/>
      <c r="H76" s="19"/>
      <c r="I76" s="25"/>
      <c r="J76" s="34"/>
      <c r="K76" s="35"/>
      <c r="L76" s="1"/>
      <c r="M76" s="1"/>
      <c r="N76" s="1"/>
      <c r="O76" s="6"/>
      <c r="P76" s="7"/>
      <c r="R76" s="1"/>
      <c r="S76" s="1"/>
      <c r="T76" s="1"/>
      <c r="U76" s="1"/>
      <c r="V76" s="1"/>
      <c r="W76" s="1"/>
      <c r="X76" s="1"/>
      <c r="Z76" s="7"/>
    </row>
    <row r="77" spans="1:30" outlineLevel="4" x14ac:dyDescent="0.25">
      <c r="A77" s="1"/>
      <c r="B77" s="131" t="s">
        <v>34</v>
      </c>
      <c r="C77" s="133" t="s">
        <v>107</v>
      </c>
      <c r="D77" s="139">
        <v>46387</v>
      </c>
      <c r="E77" s="133" t="s">
        <v>108</v>
      </c>
      <c r="F77" s="1"/>
      <c r="G77" s="7"/>
      <c r="H77" s="19"/>
      <c r="I77" s="25"/>
      <c r="J77" s="34"/>
      <c r="K77" s="35"/>
      <c r="L77" s="1"/>
      <c r="M77" s="1"/>
      <c r="N77" s="1"/>
      <c r="O77" s="6"/>
      <c r="P77" s="7"/>
      <c r="R77" s="1"/>
      <c r="S77" s="1"/>
      <c r="T77" s="1"/>
      <c r="U77" s="1"/>
      <c r="V77" s="1"/>
      <c r="W77" s="1"/>
      <c r="X77" s="1"/>
      <c r="Z77" s="7"/>
    </row>
    <row r="78" spans="1:30" outlineLevel="4" x14ac:dyDescent="0.25">
      <c r="A78" s="1"/>
      <c r="B78" s="134" t="s">
        <v>37</v>
      </c>
      <c r="C78" s="135" t="s">
        <v>109</v>
      </c>
      <c r="D78" s="139">
        <v>46387</v>
      </c>
      <c r="E78" s="135" t="s">
        <v>108</v>
      </c>
      <c r="F78" s="1"/>
      <c r="G78" s="7"/>
      <c r="H78" s="19"/>
      <c r="I78" s="25"/>
      <c r="J78" s="34"/>
      <c r="K78" s="35"/>
      <c r="L78" s="1"/>
      <c r="M78" s="1"/>
      <c r="N78" s="1"/>
      <c r="O78" s="6"/>
      <c r="P78" s="7"/>
      <c r="R78" s="1"/>
      <c r="S78" s="1"/>
      <c r="T78" s="1"/>
      <c r="U78" s="1"/>
      <c r="V78" s="1"/>
      <c r="W78" s="1"/>
      <c r="X78" s="1"/>
      <c r="Z78" s="7"/>
    </row>
    <row r="79" spans="1:30" outlineLevel="4" x14ac:dyDescent="0.25">
      <c r="A79" s="1"/>
      <c r="B79" s="134" t="s">
        <v>110</v>
      </c>
      <c r="C79" s="135" t="s">
        <v>111</v>
      </c>
      <c r="D79" s="139">
        <v>46387</v>
      </c>
      <c r="E79" s="135" t="s">
        <v>112</v>
      </c>
      <c r="F79" s="1"/>
      <c r="G79" s="7"/>
      <c r="H79" s="34">
        <v>0.18</v>
      </c>
      <c r="I79" s="35">
        <v>1</v>
      </c>
      <c r="J79" s="34">
        <f>IF(K79=1,H79,0)</f>
        <v>0.18</v>
      </c>
      <c r="K79" s="35">
        <v>1</v>
      </c>
      <c r="L79" s="1" t="s">
        <v>68</v>
      </c>
      <c r="M79" s="1" t="s">
        <v>27</v>
      </c>
      <c r="N79" s="1" t="s">
        <v>30</v>
      </c>
      <c r="O79" s="6"/>
      <c r="P79" s="7"/>
      <c r="R79" s="1" t="s">
        <v>30</v>
      </c>
      <c r="S79" s="1" t="s">
        <v>31</v>
      </c>
      <c r="T79" s="1" t="s">
        <v>106</v>
      </c>
      <c r="U79" s="1"/>
      <c r="V79" s="1" t="s">
        <v>71</v>
      </c>
      <c r="W79" s="1"/>
      <c r="X79" s="1">
        <v>0</v>
      </c>
      <c r="Z79" s="7"/>
    </row>
    <row r="80" spans="1:30" outlineLevel="3" x14ac:dyDescent="0.25">
      <c r="A80" s="1"/>
      <c r="B80" s="1" t="s">
        <v>76</v>
      </c>
      <c r="C80" s="11" t="s">
        <v>113</v>
      </c>
      <c r="D80" s="117">
        <v>46370</v>
      </c>
      <c r="E80" s="1" t="s">
        <v>30</v>
      </c>
      <c r="F80" s="1"/>
      <c r="G80" s="7"/>
      <c r="H80" s="34"/>
      <c r="I80" s="35"/>
      <c r="J80" s="34"/>
      <c r="K80" s="35"/>
      <c r="L80" s="1"/>
      <c r="M80" s="1"/>
      <c r="N80" s="1"/>
      <c r="O80" s="6"/>
      <c r="P80" s="7"/>
      <c r="R80" s="1"/>
      <c r="S80" s="1"/>
      <c r="T80" s="1"/>
      <c r="U80" s="1"/>
      <c r="V80" s="1"/>
      <c r="W80" s="1"/>
      <c r="X80" s="1"/>
      <c r="Z80" s="7"/>
    </row>
    <row r="81" spans="1:26" outlineLevel="4" x14ac:dyDescent="0.25">
      <c r="A81" s="1"/>
      <c r="B81" s="131" t="s">
        <v>34</v>
      </c>
      <c r="C81" s="133" t="s">
        <v>107</v>
      </c>
      <c r="D81" s="139">
        <v>46387</v>
      </c>
      <c r="E81" s="133" t="s">
        <v>108</v>
      </c>
      <c r="F81" s="1"/>
      <c r="G81" s="7"/>
      <c r="H81" s="34"/>
      <c r="I81" s="35"/>
      <c r="J81" s="34"/>
      <c r="K81" s="35"/>
      <c r="L81" s="1"/>
      <c r="M81" s="1"/>
      <c r="N81" s="1"/>
      <c r="O81" s="6"/>
      <c r="P81" s="7"/>
      <c r="R81" s="1"/>
      <c r="S81" s="1"/>
      <c r="T81" s="1"/>
      <c r="U81" s="1"/>
      <c r="V81" s="1"/>
      <c r="W81" s="1"/>
      <c r="X81" s="1"/>
      <c r="Z81" s="7"/>
    </row>
    <row r="82" spans="1:26" outlineLevel="4" x14ac:dyDescent="0.25">
      <c r="A82" s="1"/>
      <c r="B82" s="134" t="s">
        <v>37</v>
      </c>
      <c r="C82" s="135" t="s">
        <v>109</v>
      </c>
      <c r="D82" s="139">
        <v>46387</v>
      </c>
      <c r="E82" s="135" t="s">
        <v>108</v>
      </c>
      <c r="F82" s="1"/>
      <c r="G82" s="7"/>
      <c r="H82" s="34"/>
      <c r="I82" s="35"/>
      <c r="J82" s="34"/>
      <c r="K82" s="35"/>
      <c r="L82" s="1"/>
      <c r="M82" s="1"/>
      <c r="N82" s="1"/>
      <c r="O82" s="6"/>
      <c r="P82" s="7"/>
      <c r="R82" s="1"/>
      <c r="S82" s="1"/>
      <c r="T82" s="1"/>
      <c r="U82" s="1"/>
      <c r="V82" s="1"/>
      <c r="W82" s="1"/>
      <c r="X82" s="1"/>
      <c r="Z82" s="7"/>
    </row>
    <row r="83" spans="1:26" outlineLevel="3" x14ac:dyDescent="0.25">
      <c r="A83" s="1"/>
      <c r="B83" s="1" t="s">
        <v>76</v>
      </c>
      <c r="C83" s="11" t="s">
        <v>91</v>
      </c>
      <c r="D83" s="117">
        <v>46339</v>
      </c>
      <c r="E83" s="1" t="s">
        <v>30</v>
      </c>
      <c r="F83" s="1"/>
      <c r="G83" s="7"/>
      <c r="H83" s="34"/>
      <c r="I83" s="35"/>
      <c r="J83" s="34"/>
      <c r="K83" s="35"/>
      <c r="L83" s="1"/>
      <c r="M83" s="1"/>
      <c r="N83" s="1"/>
      <c r="O83" s="6"/>
      <c r="P83" s="7"/>
      <c r="R83" s="1"/>
      <c r="S83" s="1"/>
      <c r="T83" s="1"/>
      <c r="U83" s="1"/>
      <c r="V83" s="1"/>
      <c r="W83" s="1"/>
      <c r="X83" s="1"/>
      <c r="Z83" s="7"/>
    </row>
    <row r="84" spans="1:26" outlineLevel="4" x14ac:dyDescent="0.25">
      <c r="A84" s="1"/>
      <c r="B84" s="52" t="s">
        <v>34</v>
      </c>
      <c r="C84" s="53" t="s">
        <v>72</v>
      </c>
      <c r="D84" s="12"/>
      <c r="E84" s="1"/>
      <c r="F84" s="1" t="s">
        <v>325</v>
      </c>
      <c r="G84" s="7"/>
      <c r="H84" s="34"/>
      <c r="I84" s="35"/>
      <c r="J84" s="34"/>
      <c r="K84" s="35"/>
      <c r="L84" s="1"/>
      <c r="M84" s="1"/>
      <c r="N84" s="1"/>
      <c r="O84" s="6"/>
      <c r="P84" s="7"/>
      <c r="R84" s="1"/>
      <c r="S84" s="1"/>
      <c r="T84" s="1"/>
      <c r="U84" s="1"/>
      <c r="V84" s="1"/>
      <c r="W84" s="1"/>
      <c r="X84" s="1"/>
      <c r="Z84" s="7"/>
    </row>
    <row r="85" spans="1:26" outlineLevel="3" x14ac:dyDescent="0.25">
      <c r="A85" s="1"/>
      <c r="B85" s="1" t="s">
        <v>76</v>
      </c>
      <c r="C85" s="11" t="s">
        <v>92</v>
      </c>
      <c r="D85" s="117">
        <v>46356</v>
      </c>
      <c r="E85" s="1" t="s">
        <v>30</v>
      </c>
      <c r="F85" s="1"/>
      <c r="G85" s="7"/>
      <c r="H85" s="19">
        <v>0</v>
      </c>
      <c r="I85" s="25">
        <v>1</v>
      </c>
      <c r="J85" s="34">
        <f>IF(K85=1,H85,0)</f>
        <v>0</v>
      </c>
      <c r="K85" s="35"/>
      <c r="L85" s="1" t="s">
        <v>68</v>
      </c>
      <c r="M85" s="1" t="s">
        <v>27</v>
      </c>
      <c r="N85" s="1" t="s">
        <v>30</v>
      </c>
      <c r="O85" s="6"/>
      <c r="P85" s="7"/>
      <c r="R85" s="1" t="s">
        <v>30</v>
      </c>
      <c r="S85" s="1" t="s">
        <v>31</v>
      </c>
      <c r="T85" s="1" t="s">
        <v>106</v>
      </c>
      <c r="U85" s="1"/>
      <c r="V85" s="1" t="s">
        <v>71</v>
      </c>
      <c r="W85" s="1"/>
      <c r="X85" s="1">
        <v>0</v>
      </c>
      <c r="Z85" s="7"/>
    </row>
    <row r="86" spans="1:26" outlineLevel="4" x14ac:dyDescent="0.25">
      <c r="A86" s="1"/>
      <c r="B86" s="52" t="s">
        <v>34</v>
      </c>
      <c r="C86" s="53" t="s">
        <v>114</v>
      </c>
      <c r="D86" s="139">
        <v>46365</v>
      </c>
      <c r="E86" s="133" t="s">
        <v>56</v>
      </c>
      <c r="F86" s="1" t="s">
        <v>325</v>
      </c>
      <c r="G86" s="7"/>
      <c r="H86" s="19"/>
      <c r="I86" s="25"/>
      <c r="J86" s="34"/>
      <c r="K86" s="35"/>
      <c r="L86" s="1"/>
      <c r="M86" s="1"/>
      <c r="N86" s="1"/>
      <c r="O86" s="6"/>
      <c r="P86" s="7"/>
      <c r="R86" s="1"/>
      <c r="S86" s="1"/>
      <c r="T86" s="1"/>
      <c r="U86" s="1"/>
      <c r="V86" s="1"/>
      <c r="W86" s="1"/>
      <c r="X86" s="1"/>
      <c r="Z86" s="7"/>
    </row>
    <row r="87" spans="1:26" outlineLevel="4" x14ac:dyDescent="0.25">
      <c r="A87" s="1"/>
      <c r="B87" s="52"/>
      <c r="C87" s="53"/>
      <c r="D87" s="12"/>
      <c r="E87" s="1"/>
      <c r="F87" s="1"/>
      <c r="G87" s="7"/>
      <c r="H87" s="19"/>
      <c r="I87" s="25"/>
      <c r="J87" s="34"/>
      <c r="K87" s="35"/>
      <c r="L87" s="1"/>
      <c r="M87" s="1"/>
      <c r="N87" s="1"/>
      <c r="O87" s="6"/>
      <c r="P87" s="7"/>
      <c r="R87" s="1"/>
      <c r="S87" s="1"/>
      <c r="T87" s="1"/>
      <c r="U87" s="1"/>
      <c r="V87" s="1"/>
      <c r="W87" s="1"/>
      <c r="X87" s="1"/>
      <c r="Z87" s="7"/>
    </row>
    <row r="88" spans="1:26" outlineLevel="2" x14ac:dyDescent="0.25">
      <c r="A88" s="1"/>
      <c r="B88" s="30" t="s">
        <v>67</v>
      </c>
      <c r="C88" s="31" t="s">
        <v>26</v>
      </c>
      <c r="D88" s="137"/>
      <c r="E88" s="30"/>
      <c r="F88" s="30"/>
      <c r="G88" s="7"/>
      <c r="H88" s="19"/>
      <c r="I88" s="25"/>
      <c r="J88" s="34"/>
      <c r="K88" s="35"/>
      <c r="L88" s="1"/>
      <c r="M88" s="1"/>
      <c r="N88" s="1"/>
      <c r="O88" s="6"/>
      <c r="P88" s="7"/>
      <c r="R88" s="1"/>
      <c r="S88" s="1"/>
      <c r="T88" s="1"/>
      <c r="U88" s="1"/>
      <c r="V88" s="1"/>
      <c r="W88" s="1"/>
      <c r="X88" s="1"/>
      <c r="Z88" s="7"/>
    </row>
    <row r="89" spans="1:26" outlineLevel="3" x14ac:dyDescent="0.25">
      <c r="A89" s="1"/>
      <c r="B89" s="1" t="s">
        <v>76</v>
      </c>
      <c r="C89" s="11" t="s">
        <v>92</v>
      </c>
      <c r="D89" s="117">
        <v>46367</v>
      </c>
      <c r="E89" s="1" t="s">
        <v>58</v>
      </c>
      <c r="F89" s="1"/>
      <c r="G89" s="7"/>
      <c r="H89" s="19">
        <v>0</v>
      </c>
      <c r="I89" s="25">
        <v>1</v>
      </c>
      <c r="J89" s="34">
        <f>IF(K89=1,H89,0)</f>
        <v>0</v>
      </c>
      <c r="K89" s="35"/>
      <c r="L89" s="1" t="s">
        <v>68</v>
      </c>
      <c r="M89" s="1" t="s">
        <v>27</v>
      </c>
      <c r="N89" s="1" t="s">
        <v>30</v>
      </c>
      <c r="O89" s="6"/>
      <c r="P89" s="7"/>
      <c r="R89" s="1" t="s">
        <v>30</v>
      </c>
      <c r="S89" s="1" t="s">
        <v>31</v>
      </c>
      <c r="T89" s="1" t="s">
        <v>106</v>
      </c>
      <c r="U89" s="1"/>
      <c r="V89" s="1" t="s">
        <v>71</v>
      </c>
      <c r="W89" s="1"/>
      <c r="X89" s="1">
        <v>0</v>
      </c>
      <c r="Z89" s="7"/>
    </row>
    <row r="90" spans="1:26" outlineLevel="4" x14ac:dyDescent="0.25">
      <c r="A90" s="1"/>
      <c r="B90" s="52" t="s">
        <v>34</v>
      </c>
      <c r="C90" s="53" t="s">
        <v>72</v>
      </c>
      <c r="D90" s="12"/>
      <c r="E90" s="1"/>
      <c r="F90" s="1"/>
      <c r="G90" s="7"/>
      <c r="H90" s="19"/>
      <c r="I90" s="25"/>
      <c r="J90" s="34"/>
      <c r="K90" s="35"/>
      <c r="L90" s="1"/>
      <c r="M90" s="1"/>
      <c r="N90" s="1"/>
      <c r="O90" s="6"/>
      <c r="P90" s="7"/>
      <c r="R90" s="1"/>
      <c r="S90" s="1"/>
      <c r="T90" s="1"/>
      <c r="U90" s="1"/>
      <c r="V90" s="1"/>
      <c r="W90" s="1"/>
      <c r="X90" s="1"/>
      <c r="Z90" s="7"/>
    </row>
    <row r="91" spans="1:26" outlineLevel="4" x14ac:dyDescent="0.25">
      <c r="A91" s="1"/>
      <c r="B91" s="52" t="s">
        <v>37</v>
      </c>
      <c r="C91" s="53" t="s">
        <v>74</v>
      </c>
      <c r="D91" s="12"/>
      <c r="E91" s="1"/>
      <c r="F91" s="1"/>
      <c r="G91" s="7"/>
      <c r="H91" s="19"/>
      <c r="I91" s="25"/>
      <c r="J91" s="34"/>
      <c r="K91" s="35"/>
      <c r="L91" s="1"/>
      <c r="M91" s="1"/>
      <c r="N91" s="1"/>
      <c r="O91" s="6"/>
      <c r="P91" s="7"/>
      <c r="R91" s="1"/>
      <c r="S91" s="1"/>
      <c r="T91" s="1"/>
      <c r="U91" s="1"/>
      <c r="V91" s="1"/>
      <c r="W91" s="1"/>
      <c r="X91" s="1"/>
      <c r="Z91" s="7"/>
    </row>
    <row r="92" spans="1:26" outlineLevel="1" x14ac:dyDescent="0.25">
      <c r="A92" s="1"/>
      <c r="B92" s="26" t="s">
        <v>115</v>
      </c>
      <c r="C92" s="27" t="s">
        <v>20</v>
      </c>
      <c r="D92" s="138"/>
      <c r="E92" s="26"/>
      <c r="F92" s="26"/>
      <c r="G92" s="7"/>
      <c r="H92" s="44">
        <f>SUBTOTAL(9,H93)</f>
        <v>0.02</v>
      </c>
      <c r="I92" s="45">
        <f>SUBTOTAL(9,I93)</f>
        <v>1</v>
      </c>
      <c r="J92" s="44">
        <f>SUBTOTAL(9,J93)</f>
        <v>0</v>
      </c>
      <c r="K92" s="45">
        <f>SUBTOTAL(9,K93)</f>
        <v>0</v>
      </c>
      <c r="L92" s="30" t="s">
        <v>68</v>
      </c>
      <c r="M92" s="30" t="s">
        <v>67</v>
      </c>
      <c r="N92" s="30"/>
      <c r="O92" s="6"/>
      <c r="P92" s="7"/>
      <c r="R92" s="30"/>
      <c r="S92" s="30"/>
      <c r="T92" s="30"/>
      <c r="U92" s="30"/>
      <c r="V92" s="30"/>
      <c r="W92" s="30"/>
      <c r="X92" s="30"/>
      <c r="Z92" s="7"/>
    </row>
    <row r="93" spans="1:26" ht="26" outlineLevel="2" x14ac:dyDescent="0.25">
      <c r="A93" s="1"/>
      <c r="B93" s="30" t="s">
        <v>25</v>
      </c>
      <c r="C93" s="31" t="s">
        <v>117</v>
      </c>
      <c r="D93" s="137"/>
      <c r="E93" s="30"/>
      <c r="F93" s="30"/>
      <c r="G93" s="7"/>
      <c r="H93" s="34">
        <v>0.02</v>
      </c>
      <c r="I93" s="35">
        <v>1</v>
      </c>
      <c r="J93" s="34">
        <f>IF(K93=1,H93,0)</f>
        <v>0</v>
      </c>
      <c r="K93" s="35" t="s">
        <v>38</v>
      </c>
      <c r="L93" s="1" t="s">
        <v>68</v>
      </c>
      <c r="M93" s="1" t="s">
        <v>67</v>
      </c>
      <c r="N93" s="1" t="s">
        <v>58</v>
      </c>
      <c r="O93" s="6"/>
      <c r="P93" s="7"/>
      <c r="R93" s="1" t="s">
        <v>58</v>
      </c>
      <c r="S93" s="1" t="s">
        <v>69</v>
      </c>
      <c r="T93" s="1" t="s">
        <v>70</v>
      </c>
      <c r="U93" s="1"/>
      <c r="V93" s="1" t="s">
        <v>71</v>
      </c>
      <c r="W93" s="1"/>
      <c r="X93" s="1">
        <v>0</v>
      </c>
      <c r="Z93" s="7"/>
    </row>
    <row r="94" spans="1:26" outlineLevel="3" x14ac:dyDescent="0.25">
      <c r="A94" s="1"/>
      <c r="B94" s="1" t="s">
        <v>115</v>
      </c>
      <c r="C94" s="11" t="s">
        <v>118</v>
      </c>
      <c r="D94" s="117">
        <v>46310</v>
      </c>
      <c r="E94" s="1" t="s">
        <v>29</v>
      </c>
      <c r="F94" s="1"/>
      <c r="G94" s="7"/>
      <c r="H94" s="34"/>
      <c r="I94" s="35"/>
      <c r="J94" s="34"/>
      <c r="K94" s="35"/>
      <c r="L94" s="1"/>
      <c r="M94" s="1"/>
      <c r="N94" s="1"/>
      <c r="O94" s="6"/>
      <c r="P94" s="7"/>
      <c r="R94" s="1"/>
      <c r="S94" s="1"/>
      <c r="T94" s="1"/>
      <c r="U94" s="1"/>
      <c r="V94" s="1"/>
      <c r="W94" s="1"/>
      <c r="X94" s="1"/>
      <c r="Z94" s="7"/>
    </row>
    <row r="95" spans="1:26" outlineLevel="4" x14ac:dyDescent="0.25">
      <c r="A95" s="1"/>
      <c r="B95" s="52" t="s">
        <v>34</v>
      </c>
      <c r="C95" s="53" t="s">
        <v>72</v>
      </c>
      <c r="D95" s="12"/>
      <c r="E95" s="1"/>
      <c r="F95" s="1"/>
      <c r="G95" s="7"/>
      <c r="H95" s="34"/>
      <c r="I95" s="35"/>
      <c r="J95" s="34"/>
      <c r="K95" s="35"/>
      <c r="L95" s="1"/>
      <c r="M95" s="1"/>
      <c r="N95" s="1"/>
      <c r="O95" s="6"/>
      <c r="P95" s="7"/>
      <c r="R95" s="1"/>
      <c r="S95" s="1"/>
      <c r="T95" s="1"/>
      <c r="U95" s="1"/>
      <c r="V95" s="1"/>
      <c r="W95" s="1"/>
      <c r="X95" s="1"/>
      <c r="Z95" s="7"/>
    </row>
    <row r="96" spans="1:26" s="39" customFormat="1" outlineLevel="4" x14ac:dyDescent="0.25">
      <c r="A96" s="36"/>
      <c r="B96" s="52" t="s">
        <v>37</v>
      </c>
      <c r="C96" s="53" t="s">
        <v>74</v>
      </c>
      <c r="D96" s="12"/>
      <c r="E96" s="1"/>
      <c r="F96" s="1"/>
      <c r="G96" s="38"/>
      <c r="H96" s="28">
        <f>SUBTOTAL(9,H97:H117)</f>
        <v>0.56787190329014992</v>
      </c>
      <c r="I96" s="29">
        <f>SUBTOTAL(9,I97:I117)</f>
        <v>6</v>
      </c>
      <c r="J96" s="28">
        <f>SUBTOTAL(9,J97:J117)</f>
        <v>0</v>
      </c>
      <c r="K96" s="29">
        <f>SUBTOTAL(9,K97:K117)</f>
        <v>0</v>
      </c>
      <c r="L96" s="26" t="s">
        <v>116</v>
      </c>
      <c r="M96" s="26"/>
      <c r="N96" s="26"/>
      <c r="O96" s="37"/>
      <c r="P96" s="38"/>
      <c r="R96" s="26"/>
      <c r="S96" s="26"/>
      <c r="T96" s="26"/>
      <c r="U96" s="26"/>
      <c r="V96" s="26"/>
      <c r="W96" s="26"/>
      <c r="X96" s="26"/>
      <c r="Z96" s="38"/>
    </row>
    <row r="97" spans="1:26" outlineLevel="3" x14ac:dyDescent="0.25">
      <c r="A97" s="1"/>
      <c r="B97" s="1" t="s">
        <v>115</v>
      </c>
      <c r="C97" s="11" t="s">
        <v>120</v>
      </c>
      <c r="D97" s="117">
        <v>46387</v>
      </c>
      <c r="E97" s="1" t="s">
        <v>29</v>
      </c>
      <c r="G97" s="7"/>
      <c r="H97" s="44">
        <f>SUBTOTAL(9,H98:H104)</f>
        <v>0.30105801900000001</v>
      </c>
      <c r="I97" s="45">
        <f>SUBTOTAL(9,I98:I104)</f>
        <v>3</v>
      </c>
      <c r="J97" s="44">
        <f>SUBTOTAL(9,J98:J104)</f>
        <v>0</v>
      </c>
      <c r="K97" s="45">
        <f>SUBTOTAL(9,K98:K104)</f>
        <v>0</v>
      </c>
      <c r="L97" s="30" t="s">
        <v>116</v>
      </c>
      <c r="M97" s="30" t="s">
        <v>25</v>
      </c>
      <c r="N97" s="30"/>
      <c r="O97" s="6"/>
      <c r="P97" s="7"/>
      <c r="R97" s="30"/>
      <c r="S97" s="30"/>
      <c r="T97" s="30"/>
      <c r="U97" s="30"/>
      <c r="V97" s="30"/>
      <c r="W97" s="30"/>
      <c r="X97" s="30"/>
      <c r="Z97" s="7"/>
    </row>
    <row r="98" spans="1:26" outlineLevel="4" x14ac:dyDescent="0.25">
      <c r="A98" s="1"/>
      <c r="B98" s="52" t="s">
        <v>34</v>
      </c>
      <c r="C98" s="53" t="s">
        <v>121</v>
      </c>
      <c r="D98" s="129">
        <v>46310</v>
      </c>
      <c r="E98" s="1"/>
      <c r="G98" s="7"/>
      <c r="H98" s="34">
        <v>0.13060359000000002</v>
      </c>
      <c r="I98" s="35">
        <v>1</v>
      </c>
      <c r="J98" s="34">
        <f>IF(K98=1,H98,0)</f>
        <v>0</v>
      </c>
      <c r="K98" s="35"/>
      <c r="L98" s="1" t="s">
        <v>116</v>
      </c>
      <c r="M98" s="1" t="s">
        <v>25</v>
      </c>
      <c r="N98" s="1" t="s">
        <v>29</v>
      </c>
      <c r="O98" s="6"/>
      <c r="P98" s="7"/>
      <c r="R98" s="1" t="s">
        <v>29</v>
      </c>
      <c r="S98" s="1" t="s">
        <v>78</v>
      </c>
      <c r="T98" s="1" t="s">
        <v>79</v>
      </c>
      <c r="U98" s="1" t="s">
        <v>119</v>
      </c>
      <c r="V98" s="1" t="s">
        <v>80</v>
      </c>
      <c r="W98" s="1"/>
      <c r="X98" s="1"/>
      <c r="Z98" s="7"/>
    </row>
    <row r="99" spans="1:26" outlineLevel="4" x14ac:dyDescent="0.25">
      <c r="A99" s="1"/>
      <c r="B99" s="52" t="s">
        <v>37</v>
      </c>
      <c r="C99" s="53" t="s">
        <v>74</v>
      </c>
      <c r="D99" s="12"/>
      <c r="E99" s="1"/>
      <c r="G99" s="7"/>
      <c r="H99" s="34"/>
      <c r="I99" s="35"/>
      <c r="J99" s="34"/>
      <c r="K99" s="35"/>
      <c r="L99" s="1"/>
      <c r="M99" s="1"/>
      <c r="N99" s="1"/>
      <c r="O99" s="6"/>
      <c r="P99" s="7"/>
      <c r="R99" s="1"/>
      <c r="S99" s="1"/>
      <c r="T99" s="1"/>
      <c r="U99" s="1"/>
      <c r="V99" s="1"/>
      <c r="W99" s="1"/>
      <c r="X99" s="1"/>
      <c r="Z99" s="7"/>
    </row>
    <row r="100" spans="1:26" outlineLevel="3" x14ac:dyDescent="0.25">
      <c r="A100" s="1"/>
      <c r="B100" s="1" t="s">
        <v>115</v>
      </c>
      <c r="C100" s="11" t="s">
        <v>122</v>
      </c>
      <c r="D100" s="130">
        <v>46387</v>
      </c>
      <c r="E100" s="1" t="s">
        <v>29</v>
      </c>
      <c r="F100" s="1" t="s">
        <v>123</v>
      </c>
      <c r="G100" s="7"/>
      <c r="H100" s="34"/>
      <c r="I100" s="35"/>
      <c r="J100" s="34"/>
      <c r="K100" s="35"/>
      <c r="L100" s="1"/>
      <c r="M100" s="1"/>
      <c r="N100" s="1"/>
      <c r="O100" s="6"/>
      <c r="P100" s="7"/>
      <c r="R100" s="1"/>
      <c r="S100" s="1"/>
      <c r="T100" s="1"/>
      <c r="U100" s="1"/>
      <c r="V100" s="1"/>
      <c r="W100" s="1"/>
      <c r="X100" s="1"/>
      <c r="Z100" s="7"/>
    </row>
    <row r="101" spans="1:26" outlineLevel="4" x14ac:dyDescent="0.25">
      <c r="A101" s="1"/>
      <c r="B101" s="52" t="s">
        <v>34</v>
      </c>
      <c r="C101" s="53" t="s">
        <v>124</v>
      </c>
      <c r="D101" s="117">
        <v>46295</v>
      </c>
      <c r="E101" s="1" t="s">
        <v>125</v>
      </c>
      <c r="F101" s="1" t="s">
        <v>126</v>
      </c>
      <c r="G101" s="7"/>
      <c r="H101" s="34">
        <v>7.8362154000000003E-2</v>
      </c>
      <c r="I101" s="35">
        <v>1</v>
      </c>
      <c r="J101" s="34">
        <f>IF(K101=1,H101,0)</f>
        <v>0</v>
      </c>
      <c r="K101" s="35"/>
      <c r="L101" s="1" t="s">
        <v>116</v>
      </c>
      <c r="M101" s="1" t="s">
        <v>25</v>
      </c>
      <c r="N101" s="1" t="s">
        <v>29</v>
      </c>
      <c r="O101" s="6"/>
      <c r="P101" s="7"/>
      <c r="R101" s="1" t="s">
        <v>29</v>
      </c>
      <c r="S101" s="1" t="s">
        <v>78</v>
      </c>
      <c r="T101" s="1" t="s">
        <v>79</v>
      </c>
      <c r="U101" s="1" t="s">
        <v>119</v>
      </c>
      <c r="V101" s="1" t="s">
        <v>80</v>
      </c>
      <c r="W101" s="1"/>
      <c r="X101" s="1"/>
      <c r="Z101" s="7"/>
    </row>
    <row r="102" spans="1:26" outlineLevel="4" x14ac:dyDescent="0.25">
      <c r="A102" s="1"/>
      <c r="B102" s="52" t="s">
        <v>37</v>
      </c>
      <c r="C102" s="53" t="s">
        <v>127</v>
      </c>
      <c r="D102" s="130">
        <v>46356</v>
      </c>
      <c r="E102" s="1" t="s">
        <v>36</v>
      </c>
      <c r="F102" s="1" t="s">
        <v>128</v>
      </c>
      <c r="G102" s="7"/>
      <c r="H102" s="34"/>
      <c r="I102" s="35"/>
      <c r="J102" s="34"/>
      <c r="K102" s="35"/>
      <c r="L102" s="1"/>
      <c r="M102" s="1"/>
      <c r="N102" s="1"/>
      <c r="O102" s="6"/>
      <c r="P102" s="7"/>
      <c r="R102" s="1"/>
      <c r="S102" s="1"/>
      <c r="T102" s="1"/>
      <c r="U102" s="1"/>
      <c r="V102" s="1"/>
      <c r="W102" s="1"/>
      <c r="X102" s="1"/>
      <c r="Z102" s="7"/>
    </row>
    <row r="103" spans="1:26" ht="26" outlineLevel="2" x14ac:dyDescent="0.25">
      <c r="A103" s="1"/>
      <c r="B103" s="30" t="s">
        <v>44</v>
      </c>
      <c r="C103" s="31" t="s">
        <v>117</v>
      </c>
      <c r="D103" s="137"/>
      <c r="E103" s="30"/>
      <c r="F103" s="30"/>
      <c r="G103" s="7"/>
      <c r="H103" s="34"/>
      <c r="I103" s="35"/>
      <c r="J103" s="34"/>
      <c r="K103" s="35"/>
      <c r="L103" s="1"/>
      <c r="M103" s="1"/>
      <c r="N103" s="1"/>
      <c r="O103" s="6"/>
      <c r="P103" s="7"/>
      <c r="R103" s="1"/>
      <c r="S103" s="1"/>
      <c r="T103" s="1"/>
      <c r="U103" s="1"/>
      <c r="V103" s="1"/>
      <c r="W103" s="1"/>
      <c r="X103" s="1"/>
      <c r="Z103" s="7"/>
    </row>
    <row r="104" spans="1:26" outlineLevel="3" x14ac:dyDescent="0.25">
      <c r="A104" s="1"/>
      <c r="B104" s="1" t="s">
        <v>115</v>
      </c>
      <c r="C104" s="11" t="s">
        <v>118</v>
      </c>
      <c r="D104" s="117">
        <v>46371</v>
      </c>
      <c r="E104" s="1" t="s">
        <v>30</v>
      </c>
      <c r="F104" s="1"/>
      <c r="G104" s="7"/>
      <c r="H104" s="34">
        <v>9.2092275000000001E-2</v>
      </c>
      <c r="I104" s="35">
        <v>1</v>
      </c>
      <c r="J104" s="34">
        <f>IF(K104=1,H104,0)</f>
        <v>0</v>
      </c>
      <c r="K104" s="35"/>
      <c r="L104" s="1" t="s">
        <v>116</v>
      </c>
      <c r="M104" s="1" t="s">
        <v>25</v>
      </c>
      <c r="N104" s="1" t="s">
        <v>29</v>
      </c>
      <c r="O104" s="6"/>
      <c r="P104" s="7"/>
      <c r="R104" s="1" t="s">
        <v>29</v>
      </c>
      <c r="S104" s="1" t="s">
        <v>78</v>
      </c>
      <c r="T104" s="1" t="s">
        <v>79</v>
      </c>
      <c r="U104" s="1" t="s">
        <v>119</v>
      </c>
      <c r="V104" s="1" t="s">
        <v>80</v>
      </c>
      <c r="W104" s="1"/>
      <c r="X104" s="1"/>
      <c r="Z104" s="7"/>
    </row>
    <row r="105" spans="1:26" outlineLevel="4" x14ac:dyDescent="0.3">
      <c r="A105" s="1"/>
      <c r="B105" s="52" t="s">
        <v>34</v>
      </c>
      <c r="C105" s="141" t="s">
        <v>130</v>
      </c>
      <c r="D105" s="12"/>
      <c r="E105" s="143"/>
      <c r="F105" s="146" t="s">
        <v>326</v>
      </c>
      <c r="G105" s="7"/>
      <c r="H105" s="34"/>
      <c r="I105" s="35"/>
      <c r="J105" s="34"/>
      <c r="K105" s="35"/>
      <c r="L105" s="1"/>
      <c r="M105" s="1"/>
      <c r="N105" s="1"/>
      <c r="O105" s="6"/>
      <c r="P105" s="7"/>
      <c r="R105" s="1"/>
      <c r="S105" s="1"/>
      <c r="T105" s="1"/>
      <c r="U105" s="1"/>
      <c r="V105" s="1"/>
      <c r="W105" s="1"/>
      <c r="X105" s="1"/>
      <c r="Z105" s="7"/>
    </row>
    <row r="106" spans="1:26" outlineLevel="4" x14ac:dyDescent="0.3">
      <c r="A106" s="1"/>
      <c r="B106" s="52" t="s">
        <v>37</v>
      </c>
      <c r="C106" s="142" t="s">
        <v>131</v>
      </c>
      <c r="D106" s="12"/>
      <c r="E106" s="144"/>
      <c r="F106" s="147"/>
      <c r="G106" s="7"/>
      <c r="H106" s="34"/>
      <c r="I106" s="35"/>
      <c r="J106" s="34"/>
      <c r="K106" s="35"/>
      <c r="L106" s="1"/>
      <c r="M106" s="1"/>
      <c r="N106" s="1"/>
      <c r="O106" s="6"/>
      <c r="P106" s="7"/>
      <c r="R106" s="1"/>
      <c r="S106" s="1"/>
      <c r="T106" s="1"/>
      <c r="U106" s="1"/>
      <c r="V106" s="1"/>
      <c r="W106" s="1"/>
      <c r="X106" s="1"/>
      <c r="Z106" s="7"/>
    </row>
    <row r="107" spans="1:26" outlineLevel="3" x14ac:dyDescent="0.25">
      <c r="A107" s="1"/>
      <c r="B107" s="1" t="s">
        <v>115</v>
      </c>
      <c r="C107" s="11" t="s">
        <v>120</v>
      </c>
      <c r="D107" s="117">
        <v>46384</v>
      </c>
      <c r="E107" s="1" t="s">
        <v>30</v>
      </c>
      <c r="F107" s="1"/>
      <c r="G107" s="7"/>
      <c r="H107" s="44">
        <f>SUBTOTAL(9,H108:H113)</f>
        <v>0.23599143705014983</v>
      </c>
      <c r="I107" s="45">
        <f>SUBTOTAL(9,I108:I113)</f>
        <v>2</v>
      </c>
      <c r="J107" s="44">
        <f>SUBTOTAL(9,J108:J113)</f>
        <v>0</v>
      </c>
      <c r="K107" s="45">
        <f>SUBTOTAL(9,K108:K113)</f>
        <v>0</v>
      </c>
      <c r="L107" s="30" t="s">
        <v>116</v>
      </c>
      <c r="M107" s="30" t="s">
        <v>27</v>
      </c>
      <c r="N107" s="30"/>
      <c r="O107" s="6"/>
      <c r="P107" s="7"/>
      <c r="R107" s="30"/>
      <c r="S107" s="30"/>
      <c r="T107" s="30"/>
      <c r="U107" s="30"/>
      <c r="V107" s="30"/>
      <c r="W107" s="30"/>
      <c r="X107" s="30"/>
      <c r="Z107" s="7"/>
    </row>
    <row r="108" spans="1:26" outlineLevel="4" x14ac:dyDescent="0.3">
      <c r="A108" s="1"/>
      <c r="B108" s="52" t="s">
        <v>34</v>
      </c>
      <c r="C108" s="141" t="s">
        <v>132</v>
      </c>
      <c r="D108" s="12"/>
      <c r="E108" s="143"/>
      <c r="F108" s="147"/>
      <c r="G108" s="7"/>
      <c r="H108" s="34">
        <v>0.11799571852507491</v>
      </c>
      <c r="I108" s="35">
        <v>1</v>
      </c>
      <c r="J108" s="34">
        <f>IF(K108=1,H108,0)</f>
        <v>0</v>
      </c>
      <c r="K108" s="35"/>
      <c r="L108" s="1" t="s">
        <v>116</v>
      </c>
      <c r="M108" s="1" t="s">
        <v>27</v>
      </c>
      <c r="N108" s="1" t="s">
        <v>30</v>
      </c>
      <c r="O108" s="6"/>
      <c r="P108" s="7"/>
      <c r="R108" s="1" t="s">
        <v>30</v>
      </c>
      <c r="S108" s="1" t="s">
        <v>31</v>
      </c>
      <c r="T108" s="1" t="s">
        <v>32</v>
      </c>
      <c r="U108" s="1"/>
      <c r="V108" s="1" t="s">
        <v>129</v>
      </c>
      <c r="W108" s="1"/>
      <c r="X108" s="1">
        <v>0</v>
      </c>
      <c r="Z108" s="7"/>
    </row>
    <row r="109" spans="1:26" ht="43.5" customHeight="1" outlineLevel="4" x14ac:dyDescent="0.3">
      <c r="A109" s="1"/>
      <c r="B109" s="52" t="s">
        <v>37</v>
      </c>
      <c r="C109" s="142" t="s">
        <v>133</v>
      </c>
      <c r="D109" s="12"/>
      <c r="E109" s="144"/>
      <c r="F109" s="147"/>
      <c r="G109" s="7"/>
      <c r="H109" s="34"/>
      <c r="I109" s="35"/>
      <c r="J109" s="34"/>
      <c r="K109" s="35"/>
      <c r="L109" s="1"/>
      <c r="M109" s="1"/>
      <c r="N109" s="1"/>
      <c r="O109" s="6"/>
      <c r="P109" s="7"/>
      <c r="R109" s="1"/>
      <c r="S109" s="1"/>
      <c r="T109" s="1"/>
      <c r="U109" s="1"/>
      <c r="V109" s="1"/>
      <c r="W109" s="1"/>
      <c r="X109" s="1"/>
      <c r="Z109" s="7"/>
    </row>
    <row r="110" spans="1:26" ht="54" customHeight="1" outlineLevel="2" x14ac:dyDescent="0.25">
      <c r="A110" s="1"/>
      <c r="B110" s="30" t="s">
        <v>67</v>
      </c>
      <c r="C110" s="31" t="s">
        <v>134</v>
      </c>
      <c r="D110" s="137"/>
      <c r="E110" s="30"/>
      <c r="F110" s="30"/>
      <c r="G110" s="7"/>
      <c r="H110" s="34"/>
      <c r="I110" s="35"/>
      <c r="J110" s="34"/>
      <c r="K110" s="35"/>
      <c r="L110" s="1"/>
      <c r="M110" s="1"/>
      <c r="N110" s="1"/>
      <c r="O110" s="6"/>
      <c r="P110" s="7"/>
      <c r="R110" s="1"/>
      <c r="S110" s="1"/>
      <c r="T110" s="1"/>
      <c r="U110" s="1"/>
      <c r="V110" s="1"/>
      <c r="W110" s="1"/>
      <c r="X110" s="1"/>
      <c r="Z110" s="7"/>
    </row>
    <row r="111" spans="1:26" outlineLevel="3" x14ac:dyDescent="0.25">
      <c r="A111" s="1"/>
      <c r="B111" s="1" t="s">
        <v>115</v>
      </c>
      <c r="C111" s="11" t="s">
        <v>118</v>
      </c>
      <c r="D111" s="117">
        <v>46364</v>
      </c>
      <c r="E111" s="1" t="s">
        <v>58</v>
      </c>
      <c r="F111" s="1"/>
      <c r="G111" s="7"/>
      <c r="H111" s="34">
        <v>0.11799571852507491</v>
      </c>
      <c r="I111" s="35">
        <v>1</v>
      </c>
      <c r="J111" s="34">
        <f>IF(K111=1,H111,0)</f>
        <v>0</v>
      </c>
      <c r="K111" s="35"/>
      <c r="L111" s="1" t="s">
        <v>116</v>
      </c>
      <c r="M111" s="1" t="s">
        <v>27</v>
      </c>
      <c r="N111" s="1" t="s">
        <v>30</v>
      </c>
      <c r="O111" s="6"/>
      <c r="P111" s="7"/>
      <c r="R111" s="1" t="s">
        <v>30</v>
      </c>
      <c r="S111" s="1" t="s">
        <v>31</v>
      </c>
      <c r="T111" s="1" t="s">
        <v>32</v>
      </c>
      <c r="U111" s="1"/>
      <c r="V111" s="1" t="s">
        <v>129</v>
      </c>
      <c r="W111" s="1"/>
      <c r="X111" s="1">
        <v>0</v>
      </c>
      <c r="Z111" s="7"/>
    </row>
    <row r="112" spans="1:26" outlineLevel="4" x14ac:dyDescent="0.25">
      <c r="A112" s="1"/>
      <c r="B112" s="52" t="s">
        <v>34</v>
      </c>
      <c r="C112" s="53" t="s">
        <v>72</v>
      </c>
      <c r="D112" s="12"/>
      <c r="E112" s="1"/>
      <c r="F112" s="1"/>
      <c r="G112" s="7"/>
      <c r="H112" s="34"/>
      <c r="I112" s="35"/>
      <c r="J112" s="34"/>
      <c r="K112" s="35"/>
      <c r="L112" s="1"/>
      <c r="M112" s="1"/>
      <c r="N112" s="1"/>
      <c r="O112" s="6"/>
      <c r="P112" s="7"/>
      <c r="R112" s="1"/>
      <c r="S112" s="1"/>
      <c r="T112" s="1"/>
      <c r="U112" s="1"/>
      <c r="V112" s="1"/>
      <c r="W112" s="1"/>
      <c r="X112" s="1"/>
      <c r="Z112" s="7"/>
    </row>
    <row r="113" spans="1:31" outlineLevel="4" x14ac:dyDescent="0.25">
      <c r="A113" s="1"/>
      <c r="B113" s="52" t="s">
        <v>37</v>
      </c>
      <c r="C113" s="53" t="s">
        <v>74</v>
      </c>
      <c r="D113" s="12"/>
      <c r="E113" s="1"/>
      <c r="F113" s="1"/>
      <c r="G113" s="7"/>
      <c r="H113" s="34"/>
      <c r="I113" s="35"/>
      <c r="J113" s="34"/>
      <c r="K113" s="35"/>
      <c r="L113" s="1"/>
      <c r="M113" s="1"/>
      <c r="N113" s="1"/>
      <c r="O113" s="6"/>
      <c r="P113" s="7"/>
      <c r="R113" s="1"/>
      <c r="S113" s="1"/>
      <c r="T113" s="1"/>
      <c r="U113" s="1"/>
      <c r="V113" s="1"/>
      <c r="W113" s="1"/>
      <c r="X113" s="1"/>
      <c r="Z113" s="7"/>
    </row>
    <row r="114" spans="1:31" outlineLevel="1" x14ac:dyDescent="0.25">
      <c r="A114" s="1"/>
      <c r="B114" s="26" t="s">
        <v>137</v>
      </c>
      <c r="C114" s="27" t="s">
        <v>20</v>
      </c>
      <c r="D114" s="138"/>
      <c r="E114" s="27"/>
      <c r="F114" s="26"/>
      <c r="G114" s="7"/>
      <c r="H114" s="44">
        <f>SUBTOTAL(9,H115:H117)</f>
        <v>3.0822447240000002E-2</v>
      </c>
      <c r="I114" s="45">
        <f>SUBTOTAL(9,I115:I117)</f>
        <v>1</v>
      </c>
      <c r="J114" s="44">
        <f>SUBTOTAL(9,J115:J117)</f>
        <v>0</v>
      </c>
      <c r="K114" s="45">
        <f>SUBTOTAL(9,K115:K117)</f>
        <v>0</v>
      </c>
      <c r="L114" s="30" t="s">
        <v>116</v>
      </c>
      <c r="M114" s="30" t="s">
        <v>67</v>
      </c>
      <c r="N114" s="30"/>
      <c r="O114" s="6"/>
      <c r="P114" s="7"/>
      <c r="R114" s="30"/>
      <c r="S114" s="30"/>
      <c r="T114" s="30"/>
      <c r="U114" s="30"/>
      <c r="V114" s="30"/>
      <c r="W114" s="30"/>
      <c r="X114" s="30"/>
      <c r="Z114" s="7"/>
    </row>
    <row r="115" spans="1:31" ht="26" outlineLevel="2" x14ac:dyDescent="0.25">
      <c r="A115" s="1"/>
      <c r="B115" s="30" t="s">
        <v>25</v>
      </c>
      <c r="C115" s="31" t="s">
        <v>139</v>
      </c>
      <c r="D115" s="140"/>
      <c r="E115" s="31"/>
      <c r="F115" s="31"/>
      <c r="G115" s="7"/>
      <c r="H115" s="34">
        <v>3.0822447240000002E-2</v>
      </c>
      <c r="I115" s="35">
        <v>1</v>
      </c>
      <c r="J115" s="34">
        <f>IF(K115=1,H115,0)</f>
        <v>0</v>
      </c>
      <c r="K115" s="35"/>
      <c r="L115" s="1" t="s">
        <v>116</v>
      </c>
      <c r="M115" s="1" t="s">
        <v>67</v>
      </c>
      <c r="N115" s="1" t="s">
        <v>58</v>
      </c>
      <c r="O115" s="6"/>
      <c r="P115" s="7"/>
      <c r="R115" s="1" t="s">
        <v>58</v>
      </c>
      <c r="S115" s="1" t="s">
        <v>69</v>
      </c>
      <c r="T115" s="1" t="s">
        <v>135</v>
      </c>
      <c r="U115" s="1" t="s">
        <v>136</v>
      </c>
      <c r="V115" s="1"/>
      <c r="W115" s="1"/>
      <c r="X115" s="1"/>
      <c r="Z115" s="7"/>
    </row>
    <row r="116" spans="1:31" outlineLevel="3" x14ac:dyDescent="0.25">
      <c r="A116" s="1"/>
      <c r="B116" s="1" t="s">
        <v>137</v>
      </c>
      <c r="C116" s="11" t="s">
        <v>140</v>
      </c>
      <c r="D116" s="129">
        <v>46384</v>
      </c>
      <c r="E116" s="1" t="s">
        <v>29</v>
      </c>
      <c r="F116" s="1"/>
      <c r="G116" s="7"/>
      <c r="H116" s="34"/>
      <c r="I116" s="35"/>
      <c r="J116" s="34"/>
      <c r="K116" s="35"/>
      <c r="L116" s="1"/>
      <c r="M116" s="1"/>
      <c r="N116" s="1"/>
      <c r="O116" s="6"/>
      <c r="P116" s="7"/>
      <c r="R116" s="1"/>
      <c r="S116" s="1"/>
      <c r="T116" s="1"/>
      <c r="U116" s="1"/>
      <c r="V116" s="1"/>
      <c r="W116" s="1"/>
      <c r="X116" s="1"/>
      <c r="Z116" s="7"/>
    </row>
    <row r="117" spans="1:31" outlineLevel="4" x14ac:dyDescent="0.25">
      <c r="A117" s="1"/>
      <c r="B117" s="52" t="s">
        <v>34</v>
      </c>
      <c r="C117" s="53" t="s">
        <v>142</v>
      </c>
      <c r="D117" s="117">
        <v>46295</v>
      </c>
      <c r="E117" s="1" t="s">
        <v>125</v>
      </c>
      <c r="F117" s="1"/>
      <c r="G117" s="7"/>
      <c r="H117" s="34"/>
      <c r="I117" s="35"/>
      <c r="J117" s="34"/>
      <c r="K117" s="35"/>
      <c r="L117" s="1"/>
      <c r="M117" s="1"/>
      <c r="N117" s="1"/>
      <c r="O117" s="6"/>
      <c r="P117" s="7"/>
      <c r="R117" s="1"/>
      <c r="S117" s="1"/>
      <c r="T117" s="1"/>
      <c r="U117" s="1"/>
      <c r="V117" s="1"/>
      <c r="W117" s="1"/>
      <c r="X117" s="1"/>
      <c r="Z117" s="7"/>
    </row>
    <row r="118" spans="1:31" s="39" customFormat="1" outlineLevel="4" x14ac:dyDescent="0.25">
      <c r="A118" s="36"/>
      <c r="B118" s="52" t="s">
        <v>37</v>
      </c>
      <c r="C118" s="53" t="s">
        <v>143</v>
      </c>
      <c r="D118" s="129">
        <v>46356</v>
      </c>
      <c r="E118" s="1" t="s">
        <v>144</v>
      </c>
      <c r="F118" s="1"/>
      <c r="G118" s="38"/>
      <c r="H118" s="28">
        <f>SUBTOTAL(9,H119:H122)</f>
        <v>4.3906973852126532</v>
      </c>
      <c r="I118" s="29">
        <f>SUBTOTAL(9,I119:I122)</f>
        <v>1</v>
      </c>
      <c r="J118" s="28">
        <f>SUBTOTAL(9,J119:J122)</f>
        <v>0</v>
      </c>
      <c r="K118" s="29">
        <f>SUBTOTAL(9,K119:K122)</f>
        <v>0</v>
      </c>
      <c r="L118" s="26" t="s">
        <v>138</v>
      </c>
      <c r="M118" s="26"/>
      <c r="N118" s="26"/>
      <c r="O118" s="37"/>
      <c r="P118" s="38"/>
      <c r="R118" s="26"/>
      <c r="S118" s="26"/>
      <c r="T118" s="26"/>
      <c r="U118" s="26"/>
      <c r="V118" s="26"/>
      <c r="W118" s="26"/>
      <c r="X118" s="26"/>
      <c r="Z118" s="38"/>
    </row>
    <row r="119" spans="1:31" ht="30.75" customHeight="1" x14ac:dyDescent="0.25">
      <c r="A119" s="1"/>
      <c r="B119" s="21" t="s">
        <v>145</v>
      </c>
      <c r="C119" s="22"/>
      <c r="D119" s="55"/>
      <c r="E119" s="23"/>
      <c r="F119" s="21"/>
      <c r="G119" s="7"/>
      <c r="H119" s="32">
        <f>SUBTOTAL(9,H120:H122)</f>
        <v>4.3906973852126532</v>
      </c>
      <c r="I119" s="33">
        <f>SUBTOTAL(9,I120:I122)</f>
        <v>1</v>
      </c>
      <c r="J119" s="32">
        <f>SUBTOTAL(9,J120:J122)</f>
        <v>0</v>
      </c>
      <c r="K119" s="33">
        <f>SUBTOTAL(9,K120:K122)</f>
        <v>0</v>
      </c>
      <c r="L119" s="30" t="s">
        <v>138</v>
      </c>
      <c r="M119" s="30" t="s">
        <v>25</v>
      </c>
      <c r="N119" s="30"/>
      <c r="O119" s="6"/>
      <c r="P119" s="7"/>
      <c r="R119" s="30"/>
      <c r="S119" s="30"/>
      <c r="T119" s="30"/>
      <c r="U119" s="30"/>
      <c r="V119" s="30"/>
      <c r="W119" s="30"/>
      <c r="X119" s="30"/>
      <c r="Z119" s="7"/>
    </row>
    <row r="120" spans="1:31" ht="26" outlineLevel="2" x14ac:dyDescent="0.25">
      <c r="A120" s="1"/>
      <c r="B120" s="30" t="s">
        <v>25</v>
      </c>
      <c r="C120" s="31" t="s">
        <v>147</v>
      </c>
      <c r="D120" s="31"/>
      <c r="E120" s="31"/>
      <c r="F120" s="31"/>
      <c r="G120" s="7"/>
      <c r="H120" s="34">
        <v>4.3906973852126532</v>
      </c>
      <c r="I120" s="35">
        <v>1</v>
      </c>
      <c r="J120" s="34">
        <f>IF(K120=1,H120,0)</f>
        <v>0</v>
      </c>
      <c r="K120" s="35"/>
      <c r="L120" s="1" t="s">
        <v>138</v>
      </c>
      <c r="M120" s="1" t="s">
        <v>25</v>
      </c>
      <c r="N120" s="1" t="s">
        <v>29</v>
      </c>
      <c r="O120" s="6"/>
      <c r="P120" s="7"/>
      <c r="R120" s="1" t="s">
        <v>29</v>
      </c>
      <c r="S120" s="1" t="s">
        <v>78</v>
      </c>
      <c r="T120" s="1" t="s">
        <v>79</v>
      </c>
      <c r="U120" s="1" t="s">
        <v>141</v>
      </c>
      <c r="V120" s="1" t="s">
        <v>80</v>
      </c>
      <c r="W120" s="1"/>
      <c r="X120" s="1"/>
      <c r="Z120" s="7"/>
    </row>
    <row r="121" spans="1:31" outlineLevel="3" x14ac:dyDescent="0.25">
      <c r="A121" s="1"/>
      <c r="B121" s="1" t="s">
        <v>149</v>
      </c>
      <c r="C121" s="11" t="s">
        <v>150</v>
      </c>
      <c r="D121" s="117">
        <v>46356</v>
      </c>
      <c r="E121" s="1" t="s">
        <v>151</v>
      </c>
      <c r="F121" s="1"/>
      <c r="G121" s="7"/>
      <c r="H121" s="19"/>
      <c r="I121" s="25"/>
      <c r="J121" s="34"/>
      <c r="K121" s="35"/>
      <c r="L121" s="1"/>
      <c r="M121" s="1"/>
      <c r="N121" s="1"/>
      <c r="O121" s="6"/>
      <c r="P121" s="7"/>
      <c r="R121" s="1"/>
      <c r="S121" s="1"/>
      <c r="T121" s="1"/>
      <c r="U121" s="1"/>
      <c r="V121" s="1"/>
      <c r="W121" s="1"/>
      <c r="X121" s="1"/>
      <c r="Z121" s="7"/>
    </row>
    <row r="122" spans="1:31" outlineLevel="4" x14ac:dyDescent="0.25">
      <c r="A122" s="1"/>
      <c r="B122" s="52" t="s">
        <v>34</v>
      </c>
      <c r="C122" s="53" t="s">
        <v>153</v>
      </c>
      <c r="D122" s="117">
        <v>46325</v>
      </c>
      <c r="E122" s="1" t="s">
        <v>154</v>
      </c>
      <c r="F122" s="1" t="s">
        <v>155</v>
      </c>
      <c r="G122" s="7"/>
      <c r="H122" s="19"/>
      <c r="I122" s="25"/>
      <c r="J122" s="34"/>
      <c r="K122" s="35"/>
      <c r="L122" s="1"/>
      <c r="M122" s="1"/>
      <c r="N122" s="1"/>
      <c r="O122" s="6"/>
      <c r="P122" s="7"/>
      <c r="R122" s="1"/>
      <c r="S122" s="1"/>
      <c r="T122" s="1"/>
      <c r="U122" s="1"/>
      <c r="V122" s="1"/>
      <c r="W122" s="1"/>
      <c r="X122" s="1"/>
      <c r="Z122" s="7"/>
    </row>
    <row r="123" spans="1:31" ht="15" outlineLevel="4" x14ac:dyDescent="0.25">
      <c r="A123" s="1"/>
      <c r="B123" s="52" t="s">
        <v>37</v>
      </c>
      <c r="C123" s="124" t="s">
        <v>156</v>
      </c>
      <c r="D123" s="117">
        <v>46325</v>
      </c>
      <c r="E123" s="1" t="s">
        <v>154</v>
      </c>
      <c r="F123" s="122" t="s">
        <v>157</v>
      </c>
      <c r="G123" s="7"/>
      <c r="H123" s="23">
        <f>SUBTOTAL(9,H124:H130)</f>
        <v>12.642074948250002</v>
      </c>
      <c r="I123" s="24">
        <f>SUBTOTAL(9,I124:I130)</f>
        <v>2</v>
      </c>
      <c r="J123" s="23">
        <f>SUBTOTAL(9,J124:J130)</f>
        <v>0</v>
      </c>
      <c r="K123" s="24">
        <f>SUBTOTAL(9,K124:K130)</f>
        <v>0</v>
      </c>
      <c r="L123" s="21" t="s">
        <v>146</v>
      </c>
      <c r="M123" s="21"/>
      <c r="N123" s="21"/>
      <c r="O123" s="6"/>
      <c r="P123" s="7"/>
      <c r="R123" s="21"/>
      <c r="S123" s="21"/>
      <c r="T123" s="21"/>
      <c r="U123" s="21"/>
      <c r="V123" s="21"/>
      <c r="W123" s="21"/>
      <c r="X123" s="21"/>
      <c r="Z123" s="7"/>
      <c r="AB123" s="10"/>
      <c r="AC123" s="10"/>
      <c r="AD123" s="10"/>
      <c r="AE123" s="10"/>
    </row>
    <row r="124" spans="1:31" outlineLevel="3" x14ac:dyDescent="0.25">
      <c r="A124" s="1"/>
      <c r="B124" s="1" t="s">
        <v>149</v>
      </c>
      <c r="C124" s="11" t="s">
        <v>158</v>
      </c>
      <c r="D124" s="117">
        <v>46356</v>
      </c>
      <c r="E124" s="1" t="s">
        <v>151</v>
      </c>
      <c r="F124" s="1"/>
      <c r="G124" s="7"/>
      <c r="H124" s="32">
        <f>SUBTOTAL(9,H125:H130)</f>
        <v>12.642074948250002</v>
      </c>
      <c r="I124" s="33">
        <f>SUBTOTAL(9,I125:I130)</f>
        <v>2</v>
      </c>
      <c r="J124" s="32">
        <f>SUBTOTAL(9,J125:J130)</f>
        <v>0</v>
      </c>
      <c r="K124" s="33">
        <f>SUBTOTAL(9,K125:K130)</f>
        <v>0</v>
      </c>
      <c r="L124" s="47" t="s">
        <v>148</v>
      </c>
      <c r="M124" s="30" t="s">
        <v>25</v>
      </c>
      <c r="N124" s="30"/>
      <c r="O124" s="6"/>
      <c r="P124" s="7"/>
      <c r="R124" s="30"/>
      <c r="S124" s="30"/>
      <c r="T124" s="30"/>
      <c r="U124" s="30"/>
      <c r="V124" s="30"/>
      <c r="W124" s="30"/>
      <c r="X124" s="30"/>
      <c r="Z124" s="7"/>
    </row>
    <row r="125" spans="1:31" outlineLevel="4" x14ac:dyDescent="0.25">
      <c r="A125" s="1"/>
      <c r="B125" s="123" t="s">
        <v>34</v>
      </c>
      <c r="C125" s="124" t="s">
        <v>156</v>
      </c>
      <c r="D125" s="117">
        <v>46325</v>
      </c>
      <c r="E125" s="1" t="s">
        <v>154</v>
      </c>
      <c r="F125" s="122" t="s">
        <v>159</v>
      </c>
      <c r="G125" s="7"/>
      <c r="H125" s="34">
        <v>6.3210374741250011</v>
      </c>
      <c r="I125" s="35">
        <v>1</v>
      </c>
      <c r="J125" s="34">
        <f>IF(K125=1,H125,0)</f>
        <v>0</v>
      </c>
      <c r="K125" s="35"/>
      <c r="L125" s="40" t="s">
        <v>148</v>
      </c>
      <c r="M125" s="1" t="s">
        <v>25</v>
      </c>
      <c r="N125" s="1" t="s">
        <v>29</v>
      </c>
      <c r="O125" s="6"/>
      <c r="P125" s="7"/>
      <c r="R125" s="1" t="s">
        <v>29</v>
      </c>
      <c r="S125" s="1" t="s">
        <v>78</v>
      </c>
      <c r="T125" s="1" t="s">
        <v>79</v>
      </c>
      <c r="U125" s="1" t="s">
        <v>152</v>
      </c>
      <c r="V125" s="1"/>
      <c r="W125" s="1"/>
      <c r="X125" s="1"/>
      <c r="Z125" s="7"/>
    </row>
    <row r="126" spans="1:31" outlineLevel="4" x14ac:dyDescent="0.25">
      <c r="A126" s="1"/>
      <c r="B126" s="123" t="s">
        <v>37</v>
      </c>
      <c r="C126" s="124" t="s">
        <v>74</v>
      </c>
      <c r="D126" s="117"/>
      <c r="E126" s="122"/>
      <c r="F126" s="122"/>
      <c r="G126" s="7"/>
      <c r="H126" s="19"/>
      <c r="I126" s="25"/>
      <c r="J126" s="34"/>
      <c r="K126" s="35"/>
      <c r="L126" s="1"/>
      <c r="M126" s="1"/>
      <c r="N126" s="1"/>
      <c r="O126" s="6"/>
      <c r="P126" s="7"/>
      <c r="R126" s="1"/>
      <c r="S126" s="1"/>
      <c r="T126" s="1"/>
      <c r="U126" s="1"/>
      <c r="V126" s="1"/>
      <c r="W126" s="1"/>
      <c r="X126" s="1"/>
      <c r="Z126" s="7"/>
    </row>
    <row r="127" spans="1:31" outlineLevel="3" x14ac:dyDescent="0.25">
      <c r="A127" s="1"/>
      <c r="B127" s="1" t="s">
        <v>160</v>
      </c>
      <c r="C127" s="11" t="s">
        <v>150</v>
      </c>
      <c r="D127" s="117">
        <v>46310</v>
      </c>
      <c r="E127" s="1" t="s">
        <v>161</v>
      </c>
      <c r="F127" s="1"/>
      <c r="G127" s="7"/>
      <c r="H127" s="19"/>
      <c r="I127" s="25"/>
      <c r="J127" s="34"/>
      <c r="K127" s="35"/>
      <c r="L127" s="1"/>
      <c r="M127" s="1"/>
      <c r="N127" s="1"/>
      <c r="O127" s="6"/>
      <c r="P127" s="7"/>
      <c r="R127" s="1"/>
      <c r="S127" s="1"/>
      <c r="T127" s="1"/>
      <c r="U127" s="1"/>
      <c r="V127" s="1"/>
      <c r="W127" s="1"/>
      <c r="X127" s="1"/>
      <c r="Z127" s="7"/>
    </row>
    <row r="128" spans="1:31" outlineLevel="4" x14ac:dyDescent="0.25">
      <c r="A128" s="1"/>
      <c r="B128" s="52" t="s">
        <v>34</v>
      </c>
      <c r="C128" s="53" t="s">
        <v>72</v>
      </c>
      <c r="D128" s="117"/>
      <c r="E128" s="1"/>
      <c r="F128" s="1"/>
      <c r="G128" s="7"/>
      <c r="H128" s="34">
        <v>6.3210374741250011</v>
      </c>
      <c r="I128" s="35">
        <v>1</v>
      </c>
      <c r="J128" s="34">
        <f>IF(K128=1,H128,0)</f>
        <v>0</v>
      </c>
      <c r="K128" s="35"/>
      <c r="L128" s="40" t="s">
        <v>148</v>
      </c>
      <c r="M128" s="1" t="s">
        <v>25</v>
      </c>
      <c r="N128" s="1" t="s">
        <v>29</v>
      </c>
      <c r="O128" s="6"/>
      <c r="P128" s="7"/>
      <c r="R128" s="1" t="s">
        <v>29</v>
      </c>
      <c r="S128" s="1" t="s">
        <v>78</v>
      </c>
      <c r="T128" s="1" t="s">
        <v>79</v>
      </c>
      <c r="U128" s="1" t="s">
        <v>152</v>
      </c>
      <c r="V128" s="1"/>
      <c r="W128" s="1"/>
      <c r="X128" s="1"/>
      <c r="Z128" s="7"/>
    </row>
    <row r="129" spans="1:31" outlineLevel="4" x14ac:dyDescent="0.25">
      <c r="A129" s="122"/>
      <c r="B129" s="52" t="s">
        <v>37</v>
      </c>
      <c r="C129" s="53" t="s">
        <v>74</v>
      </c>
      <c r="D129" s="117"/>
      <c r="E129" s="1"/>
      <c r="F129" s="1"/>
      <c r="G129" s="125"/>
      <c r="H129" s="34"/>
      <c r="I129" s="35"/>
      <c r="J129" s="34"/>
      <c r="K129" s="35"/>
      <c r="L129" s="122"/>
      <c r="M129" s="122"/>
      <c r="N129" s="122"/>
      <c r="O129" s="126"/>
      <c r="P129" s="125"/>
      <c r="Q129" s="127"/>
      <c r="R129" s="122"/>
      <c r="S129" s="122"/>
      <c r="T129" s="122"/>
      <c r="U129" s="122"/>
      <c r="V129" s="122"/>
      <c r="W129" s="122"/>
      <c r="X129" s="122"/>
      <c r="Y129" s="127"/>
      <c r="Z129" s="125"/>
      <c r="AA129" s="127"/>
      <c r="AB129" s="127"/>
      <c r="AC129" s="127"/>
      <c r="AD129" s="127"/>
      <c r="AE129" s="127"/>
    </row>
    <row r="130" spans="1:31" outlineLevel="3" x14ac:dyDescent="0.25">
      <c r="A130" s="122"/>
      <c r="B130" s="1" t="s">
        <v>160</v>
      </c>
      <c r="C130" s="11" t="s">
        <v>162</v>
      </c>
      <c r="D130" s="12"/>
      <c r="E130" s="1" t="s">
        <v>161</v>
      </c>
      <c r="F130" s="1"/>
      <c r="G130" s="125"/>
      <c r="H130" s="34"/>
      <c r="I130" s="35"/>
      <c r="J130" s="34"/>
      <c r="K130" s="35"/>
      <c r="L130" s="122"/>
      <c r="M130" s="122"/>
      <c r="N130" s="122"/>
      <c r="O130" s="126"/>
      <c r="P130" s="125"/>
      <c r="Q130" s="127"/>
      <c r="R130" s="122"/>
      <c r="S130" s="122"/>
      <c r="T130" s="122"/>
      <c r="U130" s="122"/>
      <c r="V130" s="122"/>
      <c r="W130" s="122"/>
      <c r="X130" s="122"/>
      <c r="Y130" s="127"/>
      <c r="Z130" s="125"/>
      <c r="AA130" s="127"/>
      <c r="AB130" s="127"/>
      <c r="AC130" s="127"/>
      <c r="AD130" s="127"/>
      <c r="AE130" s="127"/>
    </row>
    <row r="131" spans="1:31" outlineLevel="4" x14ac:dyDescent="0.25">
      <c r="A131" s="1"/>
      <c r="B131" s="123" t="s">
        <v>34</v>
      </c>
      <c r="C131" s="124" t="s">
        <v>163</v>
      </c>
      <c r="D131" s="117"/>
      <c r="E131" s="122" t="s">
        <v>164</v>
      </c>
      <c r="F131" s="122"/>
      <c r="G131" s="7"/>
      <c r="H131" s="34">
        <v>6.3210374741250011</v>
      </c>
      <c r="I131" s="35">
        <v>1</v>
      </c>
      <c r="J131" s="34">
        <f>IF(K131=1,H131,0)</f>
        <v>0</v>
      </c>
      <c r="K131" s="35"/>
      <c r="L131" s="40" t="s">
        <v>148</v>
      </c>
      <c r="M131" s="1" t="s">
        <v>25</v>
      </c>
      <c r="N131" s="1" t="s">
        <v>29</v>
      </c>
      <c r="O131" s="6"/>
      <c r="P131" s="7"/>
      <c r="R131" s="1" t="s">
        <v>29</v>
      </c>
      <c r="S131" s="1" t="s">
        <v>78</v>
      </c>
      <c r="T131" s="1" t="s">
        <v>79</v>
      </c>
      <c r="U131" s="1" t="s">
        <v>152</v>
      </c>
      <c r="V131" s="1"/>
      <c r="W131" s="1"/>
      <c r="X131" s="1"/>
      <c r="Z131" s="7"/>
    </row>
    <row r="132" spans="1:31" outlineLevel="4" x14ac:dyDescent="0.25">
      <c r="A132" s="1"/>
      <c r="B132" s="123" t="s">
        <v>37</v>
      </c>
      <c r="C132" s="124" t="s">
        <v>165</v>
      </c>
      <c r="D132" s="117"/>
      <c r="E132" s="122" t="s">
        <v>166</v>
      </c>
      <c r="F132" s="122"/>
      <c r="G132" s="7"/>
      <c r="H132" s="19"/>
      <c r="I132" s="25"/>
      <c r="J132" s="34"/>
      <c r="K132" s="35"/>
      <c r="L132" s="1"/>
      <c r="M132" s="1"/>
      <c r="N132" s="1"/>
      <c r="O132" s="6"/>
      <c r="P132" s="7"/>
      <c r="R132" s="1"/>
      <c r="S132" s="1"/>
      <c r="T132" s="1"/>
      <c r="U132" s="1"/>
      <c r="V132" s="1"/>
      <c r="W132" s="1"/>
      <c r="X132" s="1"/>
      <c r="Z132" s="7"/>
    </row>
    <row r="133" spans="1:31" x14ac:dyDescent="0.25">
      <c r="A133" s="1"/>
      <c r="G133" s="7"/>
      <c r="H133" s="19"/>
      <c r="I133" s="25"/>
      <c r="J133" s="34"/>
      <c r="K133" s="35"/>
      <c r="L133" s="1"/>
      <c r="M133" s="1"/>
      <c r="N133" s="1"/>
      <c r="O133" s="6"/>
      <c r="P133" s="7"/>
      <c r="R133" s="1"/>
      <c r="S133" s="1"/>
      <c r="T133" s="1"/>
      <c r="U133" s="1"/>
      <c r="V133" s="1"/>
      <c r="W133" s="1"/>
      <c r="X133" s="1"/>
      <c r="Z133" s="7"/>
    </row>
    <row r="134" spans="1:31" x14ac:dyDescent="0.25">
      <c r="A134" s="1"/>
      <c r="G134" s="7"/>
      <c r="H134" s="34">
        <v>6.3210374741250011</v>
      </c>
      <c r="I134" s="35">
        <v>1</v>
      </c>
      <c r="J134" s="34">
        <f>IF(K134=1,H134,0)</f>
        <v>0</v>
      </c>
      <c r="K134" s="35"/>
      <c r="L134" s="40" t="s">
        <v>148</v>
      </c>
      <c r="M134" s="1" t="s">
        <v>25</v>
      </c>
      <c r="N134" s="1" t="s">
        <v>29</v>
      </c>
      <c r="O134" s="6"/>
      <c r="P134" s="7"/>
      <c r="R134" s="1" t="s">
        <v>29</v>
      </c>
      <c r="S134" s="1" t="s">
        <v>78</v>
      </c>
      <c r="T134" s="1" t="s">
        <v>79</v>
      </c>
      <c r="U134" s="1" t="s">
        <v>152</v>
      </c>
      <c r="V134" s="1"/>
      <c r="W134" s="1"/>
      <c r="X134" s="1"/>
      <c r="Z134" s="7"/>
    </row>
    <row r="135" spans="1:31" x14ac:dyDescent="0.25">
      <c r="A135" s="122"/>
      <c r="G135" s="125"/>
      <c r="H135" s="34"/>
      <c r="I135" s="35"/>
      <c r="J135" s="34"/>
      <c r="K135" s="35"/>
      <c r="L135" s="122"/>
      <c r="M135" s="122"/>
      <c r="N135" s="122"/>
      <c r="O135" s="126"/>
      <c r="P135" s="125"/>
      <c r="Q135" s="127"/>
      <c r="R135" s="122"/>
      <c r="S135" s="122"/>
      <c r="T135" s="122"/>
      <c r="U135" s="122"/>
      <c r="V135" s="122"/>
      <c r="W135" s="122"/>
      <c r="X135" s="122"/>
      <c r="Y135" s="127"/>
      <c r="Z135" s="125"/>
      <c r="AA135" s="127"/>
      <c r="AB135" s="127"/>
      <c r="AC135" s="127"/>
      <c r="AD135" s="127"/>
      <c r="AE135" s="127"/>
    </row>
    <row r="136" spans="1:31" x14ac:dyDescent="0.25">
      <c r="A136" s="122"/>
      <c r="G136" s="125"/>
      <c r="H136" s="34"/>
      <c r="I136" s="35"/>
      <c r="J136" s="34"/>
      <c r="K136" s="35"/>
      <c r="L136" s="122"/>
      <c r="M136" s="122"/>
      <c r="N136" s="122"/>
      <c r="O136" s="126"/>
      <c r="P136" s="125"/>
      <c r="Q136" s="127"/>
      <c r="R136" s="122"/>
      <c r="S136" s="122"/>
      <c r="T136" s="122"/>
      <c r="U136" s="122"/>
      <c r="V136" s="122"/>
      <c r="W136" s="122"/>
      <c r="X136" s="122"/>
      <c r="Y136" s="127"/>
      <c r="Z136" s="125"/>
      <c r="AA136" s="127"/>
      <c r="AB136" s="127"/>
      <c r="AC136" s="127"/>
      <c r="AD136" s="127"/>
      <c r="AE136" s="127"/>
    </row>
  </sheetData>
  <autoFilter ref="B4:AA13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3B62-D2A3-46DC-9C03-F9CFC905AB74}">
  <sheetPr>
    <outlinePr summaryBelow="0" summaryRight="0"/>
    <pageSetUpPr fitToPage="1"/>
  </sheetPr>
  <dimension ref="A1:Z119"/>
  <sheetViews>
    <sheetView zoomScaleNormal="100" zoomScaleSheetLayoutView="35" workbookViewId="0">
      <pane xSplit="5" ySplit="7" topLeftCell="F15" activePane="bottomRight" state="frozen"/>
      <selection pane="topRight" activeCell="F1" sqref="F1"/>
      <selection pane="bottomLeft" activeCell="A7" sqref="A7"/>
      <selection pane="bottomRight" activeCell="D107" sqref="D107"/>
    </sheetView>
  </sheetViews>
  <sheetFormatPr defaultColWidth="11.453125" defaultRowHeight="11.9" customHeight="1" outlineLevelRow="3" x14ac:dyDescent="0.25"/>
  <cols>
    <col min="1" max="1" width="0.54296875" style="63" customWidth="1"/>
    <col min="2" max="2" width="7.81640625" style="99" bestFit="1" customWidth="1"/>
    <col min="3" max="3" width="5.453125" style="115" bestFit="1" customWidth="1"/>
    <col min="4" max="4" width="69.453125" style="116" bestFit="1" customWidth="1"/>
    <col min="5" max="5" width="0.453125" style="63" customWidth="1"/>
    <col min="6" max="6" width="7.54296875" style="100" customWidth="1"/>
    <col min="7" max="7" width="0.453125" style="101" customWidth="1"/>
    <col min="8" max="8" width="7.54296875" style="100" customWidth="1"/>
    <col min="9" max="9" width="0.453125" style="101" customWidth="1"/>
    <col min="10" max="10" width="7.54296875" style="100" customWidth="1"/>
    <col min="11" max="11" width="0.453125" style="101" customWidth="1"/>
    <col min="12" max="12" width="7.54296875" style="100" customWidth="1"/>
    <col min="13" max="13" width="0.453125" style="101" customWidth="1"/>
    <col min="14" max="16384" width="11.453125" style="63"/>
  </cols>
  <sheetData>
    <row r="1" spans="1:16" ht="3" customHeight="1" x14ac:dyDescent="0.25">
      <c r="A1" s="57"/>
      <c r="B1" s="58"/>
      <c r="C1" s="59"/>
      <c r="D1" s="60"/>
      <c r="E1" s="57"/>
      <c r="F1" s="61"/>
      <c r="G1" s="62"/>
      <c r="H1" s="61"/>
      <c r="I1" s="62"/>
      <c r="J1" s="61"/>
      <c r="K1" s="62"/>
      <c r="L1" s="61"/>
      <c r="M1" s="62"/>
    </row>
    <row r="2" spans="1:16" s="69" customFormat="1" ht="18.5" x14ac:dyDescent="0.25">
      <c r="A2" s="64"/>
      <c r="B2" s="65"/>
      <c r="C2" s="148" t="s">
        <v>167</v>
      </c>
      <c r="D2" s="148"/>
      <c r="E2" s="66"/>
      <c r="F2" s="67" t="s">
        <v>168</v>
      </c>
      <c r="G2" s="68"/>
      <c r="H2" s="67" t="s">
        <v>169</v>
      </c>
      <c r="I2" s="68"/>
      <c r="J2" s="67" t="s">
        <v>67</v>
      </c>
      <c r="K2" s="68"/>
      <c r="L2" s="67" t="s">
        <v>170</v>
      </c>
      <c r="M2" s="68"/>
      <c r="O2" s="70">
        <v>1</v>
      </c>
      <c r="P2" s="65" t="s">
        <v>171</v>
      </c>
    </row>
    <row r="3" spans="1:16" s="75" customFormat="1" ht="15" x14ac:dyDescent="0.3">
      <c r="A3" s="71"/>
      <c r="B3" s="72"/>
      <c r="C3" s="73"/>
      <c r="D3" s="74" t="s">
        <v>172</v>
      </c>
      <c r="E3" s="71"/>
      <c r="F3" s="71">
        <f>COUNTA(F$9:F$95)</f>
        <v>62</v>
      </c>
      <c r="G3" s="71"/>
      <c r="H3" s="71">
        <f>COUNTA(H$9:H$95)</f>
        <v>41</v>
      </c>
      <c r="I3" s="71"/>
      <c r="J3" s="71">
        <f>COUNTA(J$9:J$95)</f>
        <v>36</v>
      </c>
      <c r="K3" s="71"/>
      <c r="L3" s="71">
        <f>COUNTA(L$9:L$95)</f>
        <v>13</v>
      </c>
      <c r="M3" s="71"/>
      <c r="O3" s="70">
        <v>-1</v>
      </c>
      <c r="P3" s="65" t="s">
        <v>173</v>
      </c>
    </row>
    <row r="4" spans="1:16" s="75" customFormat="1" ht="15" x14ac:dyDescent="0.3">
      <c r="A4" s="71"/>
      <c r="B4" s="72"/>
      <c r="C4" s="73"/>
      <c r="D4" s="74" t="s">
        <v>174</v>
      </c>
      <c r="E4" s="71"/>
      <c r="F4" s="71">
        <f>COUNTIF(F$9:F$95,1)</f>
        <v>61</v>
      </c>
      <c r="G4" s="71"/>
      <c r="H4" s="71">
        <f>COUNTIF(H$9:H$95,1)</f>
        <v>38</v>
      </c>
      <c r="I4" s="71"/>
      <c r="J4" s="71">
        <f>COUNTIF(J$9:J$95,1)</f>
        <v>35</v>
      </c>
      <c r="K4" s="71"/>
      <c r="L4" s="71">
        <f>COUNTIF(L$9:L$95,1)</f>
        <v>12</v>
      </c>
      <c r="M4" s="71"/>
      <c r="O4" s="65"/>
      <c r="P4" s="65" t="s">
        <v>175</v>
      </c>
    </row>
    <row r="5" spans="1:16" ht="3" customHeight="1" x14ac:dyDescent="0.25">
      <c r="A5" s="57"/>
      <c r="B5" s="58"/>
      <c r="C5" s="59"/>
      <c r="D5" s="76"/>
      <c r="E5" s="77"/>
      <c r="F5" s="61"/>
      <c r="G5" s="78"/>
      <c r="H5" s="61"/>
      <c r="I5" s="78"/>
      <c r="J5" s="61"/>
      <c r="K5" s="78"/>
      <c r="L5" s="61"/>
      <c r="M5" s="78"/>
    </row>
    <row r="6" spans="1:16" ht="3" customHeight="1" x14ac:dyDescent="0.25">
      <c r="A6" s="57"/>
      <c r="B6" s="79"/>
      <c r="C6" s="80"/>
      <c r="D6" s="81"/>
      <c r="E6" s="82"/>
      <c r="F6" s="83"/>
      <c r="G6" s="83"/>
      <c r="H6" s="83"/>
      <c r="I6" s="83"/>
      <c r="J6" s="83"/>
      <c r="K6" s="83"/>
      <c r="L6" s="83"/>
      <c r="M6" s="83"/>
    </row>
    <row r="7" spans="1:16" ht="3.65" customHeight="1" x14ac:dyDescent="0.25">
      <c r="A7" s="57"/>
      <c r="B7" s="58"/>
      <c r="C7" s="59"/>
      <c r="D7" s="76"/>
      <c r="E7" s="77"/>
      <c r="F7" s="84"/>
      <c r="G7" s="78"/>
      <c r="H7" s="84"/>
      <c r="I7" s="78"/>
      <c r="J7" s="84"/>
      <c r="K7" s="78"/>
      <c r="L7" s="84"/>
      <c r="M7" s="78"/>
    </row>
    <row r="8" spans="1:16" ht="24" customHeight="1" x14ac:dyDescent="0.25">
      <c r="A8" s="57"/>
      <c r="B8" s="22"/>
      <c r="C8" s="151" t="s">
        <v>176</v>
      </c>
      <c r="D8" s="152"/>
      <c r="E8" s="77"/>
      <c r="F8" s="151"/>
      <c r="G8" s="152"/>
      <c r="H8" s="151"/>
      <c r="I8" s="152"/>
      <c r="J8" s="151"/>
      <c r="K8" s="152"/>
      <c r="L8" s="119"/>
      <c r="M8" s="78"/>
    </row>
    <row r="9" spans="1:16" ht="17.5" outlineLevel="1" x14ac:dyDescent="0.25">
      <c r="A9" s="57"/>
      <c r="B9" s="85"/>
      <c r="C9" s="149" t="s">
        <v>177</v>
      </c>
      <c r="D9" s="149"/>
      <c r="E9" s="77"/>
      <c r="F9" s="86"/>
      <c r="G9" s="87"/>
      <c r="H9" s="86"/>
      <c r="I9" s="87"/>
      <c r="J9" s="86"/>
      <c r="K9" s="87"/>
      <c r="L9" s="86"/>
      <c r="M9" s="87"/>
    </row>
    <row r="10" spans="1:16" ht="3" customHeight="1" outlineLevel="2" x14ac:dyDescent="0.25">
      <c r="A10" s="57"/>
      <c r="B10" s="58"/>
      <c r="C10" s="58"/>
      <c r="D10" s="88"/>
      <c r="E10" s="77"/>
      <c r="F10" s="84"/>
      <c r="G10" s="89"/>
      <c r="H10" s="84"/>
      <c r="I10" s="89"/>
      <c r="J10" s="84"/>
      <c r="K10" s="89"/>
      <c r="L10" s="84"/>
      <c r="M10" s="89"/>
    </row>
    <row r="11" spans="1:16" ht="13" outlineLevel="2" x14ac:dyDescent="0.25">
      <c r="A11" s="57"/>
      <c r="B11" s="90">
        <v>1</v>
      </c>
      <c r="C11" s="91">
        <v>1</v>
      </c>
      <c r="D11" s="92" t="s">
        <v>178</v>
      </c>
      <c r="E11" s="93"/>
      <c r="F11" s="94">
        <v>1</v>
      </c>
      <c r="G11" s="95"/>
      <c r="H11" s="94"/>
      <c r="I11" s="95"/>
      <c r="J11" s="94"/>
      <c r="K11" s="95"/>
      <c r="L11" s="94"/>
      <c r="M11" s="96"/>
    </row>
    <row r="12" spans="1:16" ht="13" outlineLevel="2" x14ac:dyDescent="0.25">
      <c r="A12" s="57"/>
      <c r="B12" s="90">
        <v>2</v>
      </c>
      <c r="C12" s="91">
        <v>2</v>
      </c>
      <c r="D12" s="92" t="s">
        <v>179</v>
      </c>
      <c r="E12" s="93"/>
      <c r="F12" s="94">
        <v>1</v>
      </c>
      <c r="G12" s="95"/>
      <c r="H12" s="94">
        <v>1</v>
      </c>
      <c r="I12" s="95"/>
      <c r="J12" s="94">
        <v>1</v>
      </c>
      <c r="K12" s="95"/>
      <c r="L12" s="94">
        <v>1</v>
      </c>
      <c r="M12" s="96"/>
    </row>
    <row r="13" spans="1:16" ht="14" outlineLevel="2" x14ac:dyDescent="0.25">
      <c r="B13" s="90">
        <v>3</v>
      </c>
      <c r="C13" s="91">
        <v>3</v>
      </c>
      <c r="D13" s="92" t="s">
        <v>180</v>
      </c>
      <c r="E13" s="93"/>
      <c r="F13" s="94">
        <v>1</v>
      </c>
      <c r="G13" s="97"/>
      <c r="H13" s="94">
        <v>1</v>
      </c>
      <c r="I13" s="97"/>
      <c r="J13" s="94">
        <v>1</v>
      </c>
      <c r="K13" s="97"/>
      <c r="L13" s="94">
        <v>1</v>
      </c>
      <c r="M13" s="98"/>
    </row>
    <row r="14" spans="1:16" ht="14" outlineLevel="2" x14ac:dyDescent="0.25">
      <c r="B14" s="90">
        <v>4</v>
      </c>
      <c r="C14" s="91">
        <v>4</v>
      </c>
      <c r="D14" s="92" t="s">
        <v>181</v>
      </c>
      <c r="E14" s="93"/>
      <c r="F14" s="94">
        <v>1</v>
      </c>
      <c r="G14" s="97"/>
      <c r="H14" s="94"/>
      <c r="I14" s="97"/>
      <c r="J14" s="94">
        <v>1</v>
      </c>
      <c r="K14" s="97"/>
      <c r="L14" s="94">
        <v>1</v>
      </c>
      <c r="M14" s="98"/>
    </row>
    <row r="15" spans="1:16" ht="14" outlineLevel="2" x14ac:dyDescent="0.25">
      <c r="B15" s="90">
        <v>5</v>
      </c>
      <c r="C15" s="91">
        <v>5</v>
      </c>
      <c r="D15" s="92" t="s">
        <v>182</v>
      </c>
      <c r="E15" s="93"/>
      <c r="F15" s="94">
        <v>1</v>
      </c>
      <c r="G15" s="97"/>
      <c r="H15" s="94"/>
      <c r="I15" s="97"/>
      <c r="J15" s="94"/>
      <c r="K15" s="97"/>
      <c r="L15" s="94">
        <v>1</v>
      </c>
      <c r="M15" s="98"/>
    </row>
    <row r="16" spans="1:16" ht="20.5" customHeight="1" outlineLevel="1" x14ac:dyDescent="0.25">
      <c r="B16" s="85"/>
      <c r="C16" s="149" t="s">
        <v>183</v>
      </c>
      <c r="D16" s="149"/>
      <c r="E16" s="77"/>
      <c r="F16" s="86"/>
      <c r="G16" s="87"/>
      <c r="H16" s="86"/>
      <c r="I16" s="87"/>
      <c r="J16" s="86"/>
      <c r="K16" s="87"/>
      <c r="L16" s="86"/>
      <c r="M16" s="87"/>
    </row>
    <row r="17" spans="2:13" ht="13" outlineLevel="2" x14ac:dyDescent="0.25">
      <c r="B17" s="91"/>
      <c r="C17" s="91"/>
      <c r="D17" s="92" t="s">
        <v>184</v>
      </c>
      <c r="E17" s="93"/>
      <c r="F17" s="96"/>
      <c r="G17" s="96"/>
      <c r="H17" s="96"/>
      <c r="I17" s="96"/>
      <c r="J17" s="96"/>
      <c r="K17" s="96"/>
      <c r="L17" s="96"/>
      <c r="M17" s="96"/>
    </row>
    <row r="18" spans="2:13" ht="15" customHeight="1" outlineLevel="3" x14ac:dyDescent="0.25">
      <c r="C18" s="102">
        <v>1</v>
      </c>
      <c r="D18" s="85" t="s">
        <v>185</v>
      </c>
      <c r="F18" s="94"/>
      <c r="H18" s="94">
        <v>1</v>
      </c>
    </row>
    <row r="19" spans="2:13" ht="15" customHeight="1" outlineLevel="3" x14ac:dyDescent="0.25">
      <c r="C19" s="102">
        <v>2</v>
      </c>
      <c r="D19" s="85" t="s">
        <v>186</v>
      </c>
      <c r="F19" s="94">
        <v>1</v>
      </c>
      <c r="H19" s="94">
        <v>1</v>
      </c>
      <c r="J19" s="94">
        <v>1</v>
      </c>
    </row>
    <row r="20" spans="2:13" ht="15" customHeight="1" outlineLevel="3" x14ac:dyDescent="0.25">
      <c r="C20" s="102">
        <v>3</v>
      </c>
      <c r="D20" s="85" t="s">
        <v>187</v>
      </c>
      <c r="F20" s="94">
        <v>1</v>
      </c>
      <c r="H20" s="94">
        <v>1</v>
      </c>
      <c r="J20" s="94">
        <v>1</v>
      </c>
    </row>
    <row r="21" spans="2:13" ht="15" customHeight="1" outlineLevel="3" x14ac:dyDescent="0.25">
      <c r="C21" s="102">
        <v>4</v>
      </c>
      <c r="D21" s="85" t="s">
        <v>188</v>
      </c>
      <c r="F21" s="94">
        <v>1</v>
      </c>
      <c r="H21" s="94">
        <v>1</v>
      </c>
      <c r="J21" s="94">
        <v>1</v>
      </c>
    </row>
    <row r="22" spans="2:13" ht="15" customHeight="1" outlineLevel="3" x14ac:dyDescent="0.25">
      <c r="C22" s="102">
        <v>5</v>
      </c>
      <c r="D22" s="85" t="s">
        <v>189</v>
      </c>
      <c r="F22" s="94">
        <v>1</v>
      </c>
      <c r="J22" s="94">
        <v>1</v>
      </c>
    </row>
    <row r="23" spans="2:13" ht="13" outlineLevel="2" x14ac:dyDescent="0.25">
      <c r="B23" s="91"/>
      <c r="C23" s="91"/>
      <c r="D23" s="92" t="s">
        <v>190</v>
      </c>
      <c r="E23" s="93"/>
      <c r="F23" s="96"/>
      <c r="G23" s="96"/>
      <c r="H23" s="96"/>
      <c r="I23" s="96"/>
      <c r="J23" s="96"/>
      <c r="K23" s="96"/>
      <c r="L23" s="96"/>
      <c r="M23" s="96"/>
    </row>
    <row r="24" spans="2:13" ht="15" customHeight="1" outlineLevel="3" x14ac:dyDescent="0.25">
      <c r="C24" s="102">
        <v>1</v>
      </c>
      <c r="D24" s="85" t="s">
        <v>185</v>
      </c>
      <c r="F24" s="94"/>
      <c r="H24" s="94">
        <v>1</v>
      </c>
    </row>
    <row r="25" spans="2:13" ht="15" customHeight="1" outlineLevel="3" x14ac:dyDescent="0.25">
      <c r="C25" s="102">
        <v>2</v>
      </c>
      <c r="D25" s="85" t="s">
        <v>186</v>
      </c>
      <c r="F25" s="94">
        <v>1</v>
      </c>
      <c r="H25" s="94">
        <v>1</v>
      </c>
      <c r="J25" s="94">
        <v>1</v>
      </c>
    </row>
    <row r="26" spans="2:13" ht="15" customHeight="1" outlineLevel="3" x14ac:dyDescent="0.25">
      <c r="C26" s="102">
        <v>3</v>
      </c>
      <c r="D26" s="85" t="s">
        <v>191</v>
      </c>
      <c r="F26" s="94">
        <v>1</v>
      </c>
      <c r="H26" s="94">
        <v>1</v>
      </c>
      <c r="J26" s="94">
        <v>1</v>
      </c>
    </row>
    <row r="27" spans="2:13" ht="15" customHeight="1" outlineLevel="3" x14ac:dyDescent="0.25">
      <c r="C27" s="102">
        <v>4</v>
      </c>
      <c r="D27" s="85" t="s">
        <v>188</v>
      </c>
      <c r="F27" s="94">
        <v>1</v>
      </c>
      <c r="H27" s="94">
        <v>1</v>
      </c>
      <c r="J27" s="94">
        <v>1</v>
      </c>
    </row>
    <row r="28" spans="2:13" ht="15" customHeight="1" outlineLevel="3" x14ac:dyDescent="0.25">
      <c r="C28" s="102">
        <v>5</v>
      </c>
      <c r="D28" s="85" t="s">
        <v>189</v>
      </c>
      <c r="F28" s="94">
        <v>1</v>
      </c>
      <c r="J28" s="94">
        <v>1</v>
      </c>
    </row>
    <row r="29" spans="2:13" ht="13" outlineLevel="2" x14ac:dyDescent="0.25">
      <c r="B29" s="91">
        <v>4</v>
      </c>
      <c r="C29" s="91">
        <v>1</v>
      </c>
      <c r="D29" s="92" t="s">
        <v>192</v>
      </c>
      <c r="E29" s="93"/>
      <c r="F29" s="96"/>
      <c r="G29" s="96"/>
      <c r="H29" s="96"/>
      <c r="I29" s="96"/>
      <c r="J29" s="96"/>
      <c r="K29" s="96"/>
      <c r="L29" s="96"/>
      <c r="M29" s="96"/>
    </row>
    <row r="30" spans="2:13" ht="13" outlineLevel="3" x14ac:dyDescent="0.25">
      <c r="B30" s="118" t="s">
        <v>193</v>
      </c>
      <c r="C30" s="102">
        <v>1</v>
      </c>
      <c r="D30" s="85" t="s">
        <v>194</v>
      </c>
      <c r="E30" s="57"/>
      <c r="F30" s="94">
        <v>1</v>
      </c>
      <c r="G30" s="103"/>
      <c r="H30" s="94">
        <v>1</v>
      </c>
      <c r="I30" s="103"/>
      <c r="J30" s="94">
        <v>1</v>
      </c>
      <c r="K30" s="103"/>
      <c r="L30" s="94"/>
      <c r="M30" s="103"/>
    </row>
    <row r="31" spans="2:13" ht="13" outlineLevel="3" x14ac:dyDescent="0.25">
      <c r="B31" s="118" t="s">
        <v>195</v>
      </c>
      <c r="C31" s="102">
        <v>2</v>
      </c>
      <c r="D31" s="85" t="s">
        <v>196</v>
      </c>
      <c r="E31" s="57"/>
      <c r="F31" s="94">
        <v>1</v>
      </c>
      <c r="G31" s="103"/>
      <c r="H31" s="94">
        <v>1</v>
      </c>
      <c r="I31" s="103"/>
      <c r="J31" s="94"/>
      <c r="K31" s="103"/>
      <c r="L31" s="94"/>
      <c r="M31" s="103"/>
    </row>
    <row r="32" spans="2:13" ht="13" outlineLevel="3" x14ac:dyDescent="0.25">
      <c r="B32" s="118" t="s">
        <v>197</v>
      </c>
      <c r="C32" s="102">
        <v>3</v>
      </c>
      <c r="D32" s="85" t="s">
        <v>198</v>
      </c>
      <c r="E32" s="57"/>
      <c r="F32" s="94">
        <v>1</v>
      </c>
      <c r="G32" s="103"/>
      <c r="H32" s="94"/>
      <c r="I32" s="103"/>
      <c r="J32" s="94"/>
      <c r="K32" s="103"/>
      <c r="L32" s="94"/>
      <c r="M32" s="103"/>
    </row>
    <row r="33" spans="2:26" ht="13" outlineLevel="3" x14ac:dyDescent="0.25">
      <c r="B33" s="118" t="s">
        <v>199</v>
      </c>
      <c r="C33" s="102">
        <v>4</v>
      </c>
      <c r="D33" s="85" t="s">
        <v>200</v>
      </c>
      <c r="E33" s="57"/>
      <c r="F33" s="94">
        <v>1</v>
      </c>
      <c r="G33" s="103"/>
      <c r="H33" s="94">
        <v>1</v>
      </c>
      <c r="I33" s="103"/>
      <c r="J33" s="94">
        <v>1</v>
      </c>
      <c r="K33" s="103"/>
      <c r="L33" s="94"/>
      <c r="M33" s="103"/>
    </row>
    <row r="34" spans="2:26" ht="13" outlineLevel="3" x14ac:dyDescent="0.25">
      <c r="B34" s="118" t="s">
        <v>201</v>
      </c>
      <c r="C34" s="102">
        <v>5</v>
      </c>
      <c r="D34" s="85" t="s">
        <v>202</v>
      </c>
      <c r="E34" s="57"/>
      <c r="F34" s="94">
        <v>1</v>
      </c>
      <c r="G34" s="103"/>
      <c r="H34" s="94">
        <v>1</v>
      </c>
      <c r="I34" s="103"/>
      <c r="J34" s="94"/>
      <c r="K34" s="103"/>
      <c r="L34" s="94"/>
      <c r="M34" s="103"/>
    </row>
    <row r="35" spans="2:26" ht="13" outlineLevel="3" x14ac:dyDescent="0.25">
      <c r="B35" s="118" t="s">
        <v>203</v>
      </c>
      <c r="C35" s="102">
        <v>6</v>
      </c>
      <c r="D35" s="85" t="s">
        <v>204</v>
      </c>
      <c r="E35" s="57"/>
      <c r="F35" s="94">
        <v>1</v>
      </c>
      <c r="G35" s="103"/>
      <c r="H35" s="94">
        <v>1</v>
      </c>
      <c r="I35" s="103"/>
      <c r="J35" s="94"/>
      <c r="K35" s="103"/>
      <c r="L35" s="94"/>
      <c r="M35" s="103"/>
    </row>
    <row r="36" spans="2:26" s="110" customFormat="1" ht="13" outlineLevel="3" x14ac:dyDescent="0.25">
      <c r="B36" s="118" t="s">
        <v>205</v>
      </c>
      <c r="C36" s="105">
        <v>7</v>
      </c>
      <c r="D36" s="106" t="s">
        <v>206</v>
      </c>
      <c r="E36" s="107"/>
      <c r="F36" s="94">
        <v>1</v>
      </c>
      <c r="G36" s="103"/>
      <c r="H36" s="94"/>
      <c r="I36" s="103"/>
      <c r="J36" s="94">
        <v>1</v>
      </c>
      <c r="K36" s="103"/>
      <c r="L36" s="94"/>
      <c r="M36" s="108"/>
      <c r="N36" s="94"/>
      <c r="Z36" s="110" t="s">
        <v>207</v>
      </c>
    </row>
    <row r="37" spans="2:26" s="110" customFormat="1" ht="13" outlineLevel="3" x14ac:dyDescent="0.25">
      <c r="B37" s="118" t="s">
        <v>208</v>
      </c>
      <c r="C37" s="105">
        <v>9</v>
      </c>
      <c r="D37" s="106" t="s">
        <v>209</v>
      </c>
      <c r="E37" s="107"/>
      <c r="F37" s="94">
        <v>1</v>
      </c>
      <c r="G37" s="103"/>
      <c r="H37" s="94">
        <v>1</v>
      </c>
      <c r="I37" s="103"/>
      <c r="J37" s="94">
        <v>1</v>
      </c>
      <c r="K37" s="103"/>
      <c r="L37" s="94"/>
      <c r="M37" s="108"/>
    </row>
    <row r="38" spans="2:26" s="110" customFormat="1" ht="13" outlineLevel="3" x14ac:dyDescent="0.25">
      <c r="B38" s="118" t="s">
        <v>210</v>
      </c>
      <c r="C38" s="105">
        <v>10</v>
      </c>
      <c r="D38" s="106" t="s">
        <v>211</v>
      </c>
      <c r="E38" s="107"/>
      <c r="F38" s="94">
        <v>1</v>
      </c>
      <c r="G38" s="103"/>
      <c r="H38" s="94"/>
      <c r="I38" s="103"/>
      <c r="J38" s="94"/>
      <c r="K38" s="103"/>
      <c r="L38" s="94"/>
      <c r="M38" s="108"/>
    </row>
    <row r="39" spans="2:26" ht="3" customHeight="1" outlineLevel="2" x14ac:dyDescent="0.25">
      <c r="B39" s="111"/>
      <c r="C39" s="111"/>
      <c r="D39" s="85"/>
      <c r="E39" s="57"/>
      <c r="F39" s="95"/>
      <c r="G39" s="95"/>
      <c r="H39" s="95"/>
      <c r="I39" s="95"/>
      <c r="J39" s="95"/>
      <c r="K39" s="95"/>
      <c r="L39" s="95"/>
      <c r="M39" s="95"/>
    </row>
    <row r="40" spans="2:26" ht="13" outlineLevel="2" x14ac:dyDescent="0.25">
      <c r="B40" s="91">
        <v>5</v>
      </c>
      <c r="C40" s="91">
        <v>2</v>
      </c>
      <c r="D40" s="92" t="s">
        <v>212</v>
      </c>
      <c r="E40" s="93"/>
      <c r="F40" s="96"/>
      <c r="G40" s="96"/>
      <c r="H40" s="96"/>
      <c r="I40" s="96"/>
      <c r="J40" s="96"/>
      <c r="K40" s="96"/>
      <c r="L40" s="96"/>
      <c r="M40" s="96"/>
    </row>
    <row r="41" spans="2:26" ht="13" outlineLevel="3" x14ac:dyDescent="0.25">
      <c r="B41" s="118" t="s">
        <v>213</v>
      </c>
      <c r="C41" s="102">
        <v>1</v>
      </c>
      <c r="D41" s="85" t="s">
        <v>194</v>
      </c>
      <c r="E41" s="57"/>
      <c r="F41" s="94">
        <v>1</v>
      </c>
      <c r="G41" s="103"/>
      <c r="H41" s="94">
        <v>1</v>
      </c>
      <c r="I41" s="103"/>
      <c r="J41" s="94">
        <v>1</v>
      </c>
      <c r="K41" s="103"/>
      <c r="L41" s="94"/>
      <c r="M41" s="103"/>
    </row>
    <row r="42" spans="2:26" ht="13" outlineLevel="3" x14ac:dyDescent="0.25">
      <c r="B42" s="118" t="s">
        <v>214</v>
      </c>
      <c r="C42" s="102">
        <v>2</v>
      </c>
      <c r="D42" s="85" t="s">
        <v>196</v>
      </c>
      <c r="E42" s="57"/>
      <c r="F42" s="94">
        <v>1</v>
      </c>
      <c r="G42" s="103"/>
      <c r="H42" s="94">
        <v>1</v>
      </c>
      <c r="I42" s="103"/>
      <c r="J42" s="94"/>
      <c r="K42" s="103"/>
      <c r="L42" s="94"/>
      <c r="M42" s="103"/>
    </row>
    <row r="43" spans="2:26" s="110" customFormat="1" ht="13" outlineLevel="3" x14ac:dyDescent="0.25">
      <c r="B43" s="118" t="s">
        <v>215</v>
      </c>
      <c r="C43" s="105">
        <v>3</v>
      </c>
      <c r="D43" s="106" t="s">
        <v>198</v>
      </c>
      <c r="E43" s="107"/>
      <c r="F43" s="94">
        <v>1</v>
      </c>
      <c r="G43" s="103"/>
      <c r="H43" s="94"/>
      <c r="I43" s="103"/>
      <c r="J43" s="94"/>
      <c r="K43" s="103"/>
      <c r="L43" s="94"/>
      <c r="M43" s="108"/>
    </row>
    <row r="44" spans="2:26" ht="13" outlineLevel="3" x14ac:dyDescent="0.25">
      <c r="B44" s="118" t="s">
        <v>216</v>
      </c>
      <c r="C44" s="102">
        <v>4</v>
      </c>
      <c r="D44" s="85" t="s">
        <v>200</v>
      </c>
      <c r="E44" s="57"/>
      <c r="F44" s="94">
        <v>1</v>
      </c>
      <c r="G44" s="103"/>
      <c r="H44" s="94">
        <v>1</v>
      </c>
      <c r="I44" s="103"/>
      <c r="J44" s="94">
        <v>1</v>
      </c>
      <c r="K44" s="103"/>
      <c r="L44" s="94"/>
      <c r="M44" s="103"/>
    </row>
    <row r="45" spans="2:26" ht="13" outlineLevel="3" x14ac:dyDescent="0.25">
      <c r="B45" s="118" t="s">
        <v>217</v>
      </c>
      <c r="C45" s="102">
        <v>5</v>
      </c>
      <c r="D45" s="85" t="s">
        <v>202</v>
      </c>
      <c r="E45" s="57"/>
      <c r="F45" s="94">
        <v>1</v>
      </c>
      <c r="G45" s="103"/>
      <c r="H45" s="94">
        <v>1</v>
      </c>
      <c r="I45" s="103"/>
      <c r="J45" s="94"/>
      <c r="K45" s="103"/>
      <c r="L45" s="94"/>
      <c r="M45" s="103"/>
    </row>
    <row r="46" spans="2:26" ht="13" outlineLevel="3" x14ac:dyDescent="0.25">
      <c r="B46" s="118" t="s">
        <v>218</v>
      </c>
      <c r="C46" s="102">
        <v>6</v>
      </c>
      <c r="D46" s="85" t="s">
        <v>204</v>
      </c>
      <c r="E46" s="57"/>
      <c r="F46" s="94">
        <v>1</v>
      </c>
      <c r="G46" s="103"/>
      <c r="H46" s="94">
        <v>1</v>
      </c>
      <c r="I46" s="103"/>
      <c r="J46" s="94"/>
      <c r="K46" s="103"/>
      <c r="L46" s="94"/>
      <c r="M46" s="103"/>
    </row>
    <row r="47" spans="2:26" s="110" customFormat="1" ht="13" outlineLevel="3" x14ac:dyDescent="0.25">
      <c r="B47" s="118" t="s">
        <v>219</v>
      </c>
      <c r="C47" s="105">
        <v>7</v>
      </c>
      <c r="D47" s="106" t="s">
        <v>206</v>
      </c>
      <c r="E47" s="107"/>
      <c r="F47" s="94">
        <v>1</v>
      </c>
      <c r="G47" s="103"/>
      <c r="H47" s="94"/>
      <c r="I47" s="103"/>
      <c r="J47" s="94">
        <v>1</v>
      </c>
      <c r="K47" s="103"/>
      <c r="L47" s="94"/>
      <c r="M47" s="108"/>
    </row>
    <row r="48" spans="2:26" ht="13" outlineLevel="3" x14ac:dyDescent="0.25">
      <c r="B48" s="118" t="s">
        <v>220</v>
      </c>
      <c r="C48" s="102">
        <v>9</v>
      </c>
      <c r="D48" s="106" t="s">
        <v>209</v>
      </c>
      <c r="E48" s="57"/>
      <c r="F48" s="94">
        <v>1</v>
      </c>
      <c r="G48" s="103"/>
      <c r="H48" s="94">
        <v>1</v>
      </c>
      <c r="I48" s="103"/>
      <c r="J48" s="94">
        <v>1</v>
      </c>
      <c r="K48" s="103"/>
      <c r="L48" s="94"/>
      <c r="M48" s="103"/>
    </row>
    <row r="49" spans="2:13" ht="13" outlineLevel="3" x14ac:dyDescent="0.25">
      <c r="B49" s="118" t="s">
        <v>221</v>
      </c>
      <c r="C49" s="102">
        <v>10</v>
      </c>
      <c r="D49" s="85" t="s">
        <v>211</v>
      </c>
      <c r="E49" s="57"/>
      <c r="F49" s="94">
        <v>1</v>
      </c>
      <c r="G49" s="103"/>
      <c r="H49" s="94"/>
      <c r="I49" s="103"/>
      <c r="J49" s="94"/>
      <c r="K49" s="103"/>
      <c r="L49" s="94"/>
      <c r="M49" s="103"/>
    </row>
    <row r="50" spans="2:13" ht="3" customHeight="1" outlineLevel="2" x14ac:dyDescent="0.25">
      <c r="B50" s="111"/>
      <c r="C50" s="111"/>
      <c r="D50" s="85"/>
      <c r="E50" s="57"/>
      <c r="F50" s="104"/>
      <c r="G50" s="103"/>
      <c r="H50" s="104"/>
      <c r="I50" s="103"/>
      <c r="J50" s="104"/>
      <c r="K50" s="103"/>
      <c r="L50" s="104"/>
      <c r="M50" s="103"/>
    </row>
    <row r="51" spans="2:13" ht="13" outlineLevel="2" x14ac:dyDescent="0.25">
      <c r="B51" s="91">
        <v>6</v>
      </c>
      <c r="C51" s="91">
        <v>3</v>
      </c>
      <c r="D51" s="92" t="s">
        <v>222</v>
      </c>
      <c r="E51" s="93"/>
      <c r="F51" s="96"/>
      <c r="G51" s="96"/>
      <c r="H51" s="96"/>
      <c r="I51" s="96"/>
      <c r="J51" s="96"/>
      <c r="K51" s="96"/>
      <c r="L51" s="96"/>
      <c r="M51" s="96"/>
    </row>
    <row r="52" spans="2:13" ht="13" outlineLevel="3" x14ac:dyDescent="0.25">
      <c r="B52" s="118" t="s">
        <v>223</v>
      </c>
      <c r="C52" s="102">
        <v>1</v>
      </c>
      <c r="D52" s="85" t="s">
        <v>194</v>
      </c>
      <c r="E52" s="57"/>
      <c r="F52" s="94">
        <v>1</v>
      </c>
      <c r="G52" s="103"/>
      <c r="H52" s="94">
        <v>1</v>
      </c>
      <c r="I52" s="103"/>
      <c r="J52" s="94">
        <v>1</v>
      </c>
      <c r="K52" s="103"/>
      <c r="L52" s="94"/>
      <c r="M52" s="103"/>
    </row>
    <row r="53" spans="2:13" ht="13" outlineLevel="3" x14ac:dyDescent="0.25">
      <c r="B53" s="118" t="s">
        <v>224</v>
      </c>
      <c r="C53" s="102">
        <v>2</v>
      </c>
      <c r="D53" s="85" t="s">
        <v>196</v>
      </c>
      <c r="E53" s="57"/>
      <c r="F53" s="94">
        <v>1</v>
      </c>
      <c r="G53" s="103"/>
      <c r="H53" s="94">
        <v>1</v>
      </c>
      <c r="I53" s="103"/>
      <c r="J53" s="94"/>
      <c r="K53" s="103"/>
      <c r="L53" s="94"/>
      <c r="M53" s="103"/>
    </row>
    <row r="54" spans="2:13" s="110" customFormat="1" ht="13" outlineLevel="3" x14ac:dyDescent="0.25">
      <c r="B54" s="118" t="s">
        <v>225</v>
      </c>
      <c r="C54" s="105">
        <v>3</v>
      </c>
      <c r="D54" s="106" t="s">
        <v>198</v>
      </c>
      <c r="E54" s="107"/>
      <c r="F54" s="94">
        <v>1</v>
      </c>
      <c r="G54" s="103"/>
      <c r="H54" s="94"/>
      <c r="I54" s="103"/>
      <c r="J54" s="94"/>
      <c r="K54" s="103"/>
      <c r="L54" s="94"/>
      <c r="M54" s="108"/>
    </row>
    <row r="55" spans="2:13" ht="13" outlineLevel="3" x14ac:dyDescent="0.25">
      <c r="B55" s="118" t="s">
        <v>226</v>
      </c>
      <c r="C55" s="102">
        <v>4</v>
      </c>
      <c r="D55" s="85" t="s">
        <v>200</v>
      </c>
      <c r="E55" s="57"/>
      <c r="F55" s="94">
        <v>1</v>
      </c>
      <c r="G55" s="103"/>
      <c r="H55" s="94">
        <v>1</v>
      </c>
      <c r="I55" s="103"/>
      <c r="J55" s="94">
        <v>1</v>
      </c>
      <c r="K55" s="103"/>
      <c r="L55" s="94"/>
      <c r="M55" s="103"/>
    </row>
    <row r="56" spans="2:13" ht="13" outlineLevel="3" x14ac:dyDescent="0.25">
      <c r="B56" s="118" t="s">
        <v>227</v>
      </c>
      <c r="C56" s="102">
        <v>5</v>
      </c>
      <c r="D56" s="85" t="s">
        <v>202</v>
      </c>
      <c r="E56" s="57"/>
      <c r="F56" s="94">
        <v>1</v>
      </c>
      <c r="G56" s="103"/>
      <c r="H56" s="94">
        <v>1</v>
      </c>
      <c r="I56" s="103"/>
      <c r="J56" s="94"/>
      <c r="K56" s="103"/>
      <c r="L56" s="94"/>
      <c r="M56" s="103"/>
    </row>
    <row r="57" spans="2:13" ht="13" outlineLevel="3" x14ac:dyDescent="0.25">
      <c r="B57" s="118" t="s">
        <v>228</v>
      </c>
      <c r="C57" s="102">
        <v>6</v>
      </c>
      <c r="D57" s="85" t="s">
        <v>204</v>
      </c>
      <c r="E57" s="57"/>
      <c r="F57" s="94">
        <v>1</v>
      </c>
      <c r="G57" s="103"/>
      <c r="H57" s="94">
        <v>1</v>
      </c>
      <c r="I57" s="103"/>
      <c r="J57" s="94"/>
      <c r="K57" s="103"/>
      <c r="L57" s="94"/>
      <c r="M57" s="103"/>
    </row>
    <row r="58" spans="2:13" s="110" customFormat="1" ht="13" outlineLevel="3" x14ac:dyDescent="0.25">
      <c r="B58" s="118" t="s">
        <v>229</v>
      </c>
      <c r="C58" s="105">
        <v>7</v>
      </c>
      <c r="D58" s="106" t="s">
        <v>206</v>
      </c>
      <c r="E58" s="107"/>
      <c r="F58" s="94">
        <v>1</v>
      </c>
      <c r="G58" s="103"/>
      <c r="H58" s="94"/>
      <c r="I58" s="103"/>
      <c r="J58" s="94">
        <v>1</v>
      </c>
      <c r="K58" s="103"/>
      <c r="L58" s="94"/>
      <c r="M58" s="108"/>
    </row>
    <row r="59" spans="2:13" ht="13" outlineLevel="3" x14ac:dyDescent="0.25">
      <c r="B59" s="118" t="s">
        <v>230</v>
      </c>
      <c r="C59" s="102">
        <v>9</v>
      </c>
      <c r="D59" s="106" t="s">
        <v>209</v>
      </c>
      <c r="E59" s="57"/>
      <c r="F59" s="94">
        <v>1</v>
      </c>
      <c r="G59" s="103"/>
      <c r="H59" s="94">
        <v>1</v>
      </c>
      <c r="I59" s="103"/>
      <c r="J59" s="94">
        <v>1</v>
      </c>
      <c r="K59" s="103"/>
      <c r="L59" s="94"/>
      <c r="M59" s="103"/>
    </row>
    <row r="60" spans="2:13" ht="13" outlineLevel="3" x14ac:dyDescent="0.25">
      <c r="B60" s="118" t="s">
        <v>231</v>
      </c>
      <c r="C60" s="102">
        <v>10</v>
      </c>
      <c r="D60" s="85" t="s">
        <v>211</v>
      </c>
      <c r="E60" s="57"/>
      <c r="F60" s="94">
        <v>1</v>
      </c>
      <c r="G60" s="103"/>
      <c r="H60" s="94"/>
      <c r="I60" s="103"/>
      <c r="J60" s="94"/>
      <c r="K60" s="103"/>
      <c r="L60" s="94"/>
      <c r="M60" s="103"/>
    </row>
    <row r="61" spans="2:13" ht="3" customHeight="1" outlineLevel="2" x14ac:dyDescent="0.25">
      <c r="B61" s="111"/>
      <c r="C61" s="111"/>
      <c r="D61" s="85"/>
      <c r="E61" s="57"/>
      <c r="F61" s="104"/>
      <c r="G61" s="103"/>
      <c r="H61" s="104"/>
      <c r="I61" s="103"/>
      <c r="J61" s="104"/>
      <c r="K61" s="103"/>
      <c r="L61" s="104"/>
      <c r="M61" s="103"/>
    </row>
    <row r="62" spans="2:13" ht="13" outlineLevel="2" x14ac:dyDescent="0.25">
      <c r="B62" s="91">
        <v>7</v>
      </c>
      <c r="C62" s="91">
        <v>4</v>
      </c>
      <c r="D62" s="92" t="s">
        <v>232</v>
      </c>
      <c r="E62" s="93"/>
      <c r="F62" s="96"/>
      <c r="G62" s="96"/>
      <c r="H62" s="96"/>
      <c r="I62" s="96"/>
      <c r="J62" s="96"/>
      <c r="K62" s="96"/>
      <c r="L62" s="96"/>
      <c r="M62" s="96"/>
    </row>
    <row r="63" spans="2:13" ht="13" outlineLevel="3" x14ac:dyDescent="0.25">
      <c r="B63" s="118" t="s">
        <v>233</v>
      </c>
      <c r="C63" s="102">
        <v>1</v>
      </c>
      <c r="D63" s="85" t="s">
        <v>194</v>
      </c>
      <c r="E63" s="57"/>
      <c r="F63" s="94">
        <v>1</v>
      </c>
      <c r="G63" s="103"/>
      <c r="H63" s="94">
        <v>1</v>
      </c>
      <c r="I63" s="103"/>
      <c r="J63" s="94">
        <v>1</v>
      </c>
      <c r="K63" s="103"/>
      <c r="L63" s="94"/>
      <c r="M63" s="103"/>
    </row>
    <row r="64" spans="2:13" ht="13" outlineLevel="3" x14ac:dyDescent="0.25">
      <c r="B64" s="118" t="s">
        <v>234</v>
      </c>
      <c r="C64" s="102">
        <v>2</v>
      </c>
      <c r="D64" s="85" t="s">
        <v>196</v>
      </c>
      <c r="E64" s="57"/>
      <c r="F64" s="94">
        <v>1</v>
      </c>
      <c r="G64" s="103"/>
      <c r="H64" s="94">
        <v>1</v>
      </c>
      <c r="I64" s="103"/>
      <c r="J64" s="94"/>
      <c r="K64" s="103"/>
      <c r="L64" s="94"/>
      <c r="M64" s="103"/>
    </row>
    <row r="65" spans="1:13" ht="13" outlineLevel="3" x14ac:dyDescent="0.25">
      <c r="B65" s="118" t="s">
        <v>235</v>
      </c>
      <c r="C65" s="105">
        <v>3</v>
      </c>
      <c r="D65" s="106" t="s">
        <v>198</v>
      </c>
      <c r="E65" s="107"/>
      <c r="F65" s="94">
        <v>1</v>
      </c>
      <c r="G65" s="103"/>
      <c r="H65" s="94"/>
      <c r="I65" s="103"/>
      <c r="J65" s="94"/>
      <c r="K65" s="103"/>
      <c r="L65" s="94"/>
      <c r="M65" s="103"/>
    </row>
    <row r="66" spans="1:13" ht="13" outlineLevel="3" x14ac:dyDescent="0.25">
      <c r="B66" s="118" t="s">
        <v>236</v>
      </c>
      <c r="C66" s="102">
        <v>4</v>
      </c>
      <c r="D66" s="85" t="s">
        <v>200</v>
      </c>
      <c r="E66" s="57"/>
      <c r="F66" s="94">
        <v>1</v>
      </c>
      <c r="G66" s="103"/>
      <c r="H66" s="94">
        <v>1</v>
      </c>
      <c r="I66" s="103"/>
      <c r="J66" s="94">
        <v>1</v>
      </c>
      <c r="K66" s="103"/>
      <c r="L66" s="94"/>
      <c r="M66" s="103"/>
    </row>
    <row r="67" spans="1:13" ht="13" outlineLevel="3" x14ac:dyDescent="0.25">
      <c r="B67" s="118" t="s">
        <v>237</v>
      </c>
      <c r="C67" s="102">
        <v>5</v>
      </c>
      <c r="D67" s="85" t="s">
        <v>202</v>
      </c>
      <c r="E67" s="57"/>
      <c r="F67" s="94">
        <v>1</v>
      </c>
      <c r="G67" s="103"/>
      <c r="H67" s="94">
        <v>1</v>
      </c>
      <c r="I67" s="103"/>
      <c r="J67" s="94"/>
      <c r="K67" s="103"/>
      <c r="L67" s="94"/>
      <c r="M67" s="103"/>
    </row>
    <row r="68" spans="1:13" s="110" customFormat="1" ht="13" outlineLevel="3" x14ac:dyDescent="0.25">
      <c r="B68" s="118" t="s">
        <v>238</v>
      </c>
      <c r="C68" s="102">
        <v>6</v>
      </c>
      <c r="D68" s="85" t="s">
        <v>204</v>
      </c>
      <c r="E68" s="57"/>
      <c r="F68" s="94">
        <v>1</v>
      </c>
      <c r="G68" s="103"/>
      <c r="H68" s="94">
        <v>1</v>
      </c>
      <c r="I68" s="103"/>
      <c r="J68" s="94"/>
      <c r="K68" s="103"/>
      <c r="L68" s="94"/>
      <c r="M68" s="108"/>
    </row>
    <row r="69" spans="1:13" ht="13" outlineLevel="3" x14ac:dyDescent="0.25">
      <c r="B69" s="118" t="s">
        <v>239</v>
      </c>
      <c r="C69" s="105">
        <v>7</v>
      </c>
      <c r="D69" s="106" t="s">
        <v>206</v>
      </c>
      <c r="E69" s="107"/>
      <c r="F69" s="94">
        <v>1</v>
      </c>
      <c r="G69" s="103"/>
      <c r="H69" s="94"/>
      <c r="I69" s="103"/>
      <c r="J69" s="94">
        <v>1</v>
      </c>
      <c r="K69" s="103"/>
      <c r="L69" s="94"/>
      <c r="M69" s="103"/>
    </row>
    <row r="70" spans="1:13" ht="13" outlineLevel="3" x14ac:dyDescent="0.25">
      <c r="B70" s="118" t="s">
        <v>240</v>
      </c>
      <c r="C70" s="102">
        <v>9</v>
      </c>
      <c r="D70" s="106" t="s">
        <v>209</v>
      </c>
      <c r="E70" s="57"/>
      <c r="F70" s="94">
        <v>1</v>
      </c>
      <c r="G70" s="103"/>
      <c r="H70" s="94">
        <v>1</v>
      </c>
      <c r="I70" s="103"/>
      <c r="J70" s="94">
        <v>1</v>
      </c>
      <c r="K70" s="103"/>
      <c r="L70" s="94"/>
      <c r="M70" s="103"/>
    </row>
    <row r="71" spans="1:13" ht="13" outlineLevel="3" x14ac:dyDescent="0.25">
      <c r="B71" s="118" t="s">
        <v>241</v>
      </c>
      <c r="C71" s="102">
        <v>10</v>
      </c>
      <c r="D71" s="85" t="s">
        <v>211</v>
      </c>
      <c r="E71" s="57"/>
      <c r="F71" s="94">
        <v>1</v>
      </c>
      <c r="G71" s="103"/>
      <c r="H71" s="94"/>
      <c r="I71" s="103"/>
      <c r="J71" s="94"/>
      <c r="K71" s="103"/>
      <c r="L71" s="94"/>
      <c r="M71" s="103"/>
    </row>
    <row r="72" spans="1:13" ht="3" customHeight="1" outlineLevel="2" x14ac:dyDescent="0.25">
      <c r="B72" s="111"/>
      <c r="C72" s="111"/>
      <c r="D72" s="85"/>
      <c r="E72" s="57"/>
      <c r="F72" s="104"/>
      <c r="G72" s="103"/>
      <c r="H72" s="104"/>
      <c r="I72" s="103"/>
      <c r="J72" s="104"/>
      <c r="K72" s="103"/>
      <c r="L72" s="104"/>
      <c r="M72" s="103"/>
    </row>
    <row r="73" spans="1:13" ht="13" outlineLevel="2" x14ac:dyDescent="0.25">
      <c r="B73" s="91">
        <v>15</v>
      </c>
      <c r="C73" s="91">
        <v>14</v>
      </c>
      <c r="D73" s="92" t="s">
        <v>242</v>
      </c>
      <c r="E73" s="93"/>
      <c r="F73" s="96"/>
      <c r="G73" s="96"/>
      <c r="H73" s="96"/>
      <c r="I73" s="96"/>
      <c r="J73" s="96"/>
      <c r="K73" s="96"/>
      <c r="L73" s="96"/>
      <c r="M73" s="96"/>
    </row>
    <row r="74" spans="1:13" ht="13" outlineLevel="3" x14ac:dyDescent="0.25">
      <c r="B74" s="118" t="s">
        <v>243</v>
      </c>
      <c r="C74" s="102">
        <v>1</v>
      </c>
      <c r="D74" s="85" t="s">
        <v>244</v>
      </c>
      <c r="E74" s="57"/>
      <c r="F74" s="94">
        <v>1</v>
      </c>
      <c r="G74" s="103"/>
      <c r="H74" s="104"/>
      <c r="I74" s="103"/>
      <c r="J74" s="94">
        <v>1</v>
      </c>
      <c r="K74" s="94"/>
      <c r="L74" s="94">
        <v>1</v>
      </c>
      <c r="M74" s="103"/>
    </row>
    <row r="75" spans="1:13" ht="13" outlineLevel="3" x14ac:dyDescent="0.25">
      <c r="B75" s="118" t="s">
        <v>245</v>
      </c>
      <c r="C75" s="102">
        <v>2</v>
      </c>
      <c r="D75" s="85" t="s">
        <v>246</v>
      </c>
      <c r="E75" s="57"/>
      <c r="F75" s="94">
        <v>1</v>
      </c>
      <c r="G75" s="103"/>
      <c r="H75" s="104"/>
      <c r="I75" s="103"/>
      <c r="J75" s="94">
        <v>1</v>
      </c>
      <c r="K75" s="94"/>
      <c r="L75" s="94">
        <v>1</v>
      </c>
      <c r="M75" s="103"/>
    </row>
    <row r="76" spans="1:13" ht="13" outlineLevel="3" x14ac:dyDescent="0.25">
      <c r="A76" s="57"/>
      <c r="B76" s="118" t="s">
        <v>247</v>
      </c>
      <c r="C76" s="102">
        <v>3</v>
      </c>
      <c r="D76" s="85" t="s">
        <v>248</v>
      </c>
      <c r="E76" s="57"/>
      <c r="F76" s="94">
        <v>1</v>
      </c>
      <c r="G76" s="103"/>
      <c r="H76" s="104"/>
      <c r="I76" s="103"/>
      <c r="J76" s="94">
        <v>1</v>
      </c>
      <c r="K76" s="94"/>
      <c r="L76" s="94">
        <v>1</v>
      </c>
      <c r="M76" s="103"/>
    </row>
    <row r="77" spans="1:13" ht="3" customHeight="1" outlineLevel="2" x14ac:dyDescent="0.25">
      <c r="A77" s="57"/>
      <c r="B77" s="58"/>
      <c r="C77" s="58"/>
      <c r="D77" s="85"/>
      <c r="E77" s="57"/>
      <c r="F77" s="104"/>
      <c r="G77" s="103"/>
      <c r="H77" s="104"/>
      <c r="I77" s="103"/>
      <c r="J77" s="104"/>
      <c r="K77" s="103"/>
      <c r="L77" s="104"/>
      <c r="M77" s="103"/>
    </row>
    <row r="78" spans="1:13" ht="13" outlineLevel="2" x14ac:dyDescent="0.25">
      <c r="A78" s="57"/>
      <c r="B78" s="91">
        <v>16</v>
      </c>
      <c r="C78" s="91">
        <v>15</v>
      </c>
      <c r="D78" s="92" t="s">
        <v>249</v>
      </c>
      <c r="E78" s="93"/>
      <c r="F78" s="96"/>
      <c r="G78" s="96"/>
      <c r="H78" s="96"/>
      <c r="I78" s="96"/>
      <c r="J78" s="96"/>
      <c r="K78" s="96"/>
      <c r="L78" s="96"/>
      <c r="M78" s="96"/>
    </row>
    <row r="79" spans="1:13" ht="13" outlineLevel="3" x14ac:dyDescent="0.25">
      <c r="A79" s="57"/>
      <c r="B79" s="118" t="s">
        <v>250</v>
      </c>
      <c r="C79" s="102">
        <v>1</v>
      </c>
      <c r="D79" s="85" t="s">
        <v>251</v>
      </c>
      <c r="E79" s="57"/>
      <c r="F79" s="94">
        <v>1</v>
      </c>
      <c r="G79" s="103"/>
      <c r="H79" s="104"/>
      <c r="I79" s="103"/>
      <c r="J79" s="94">
        <v>1</v>
      </c>
      <c r="K79" s="103"/>
      <c r="L79" s="94">
        <v>1</v>
      </c>
      <c r="M79" s="103"/>
    </row>
    <row r="80" spans="1:13" ht="13" outlineLevel="3" x14ac:dyDescent="0.25">
      <c r="A80" s="57"/>
      <c r="B80" s="118" t="s">
        <v>252</v>
      </c>
      <c r="C80" s="102">
        <v>2</v>
      </c>
      <c r="D80" s="85" t="s">
        <v>253</v>
      </c>
      <c r="E80" s="57"/>
      <c r="F80" s="94">
        <v>1</v>
      </c>
      <c r="G80" s="103"/>
      <c r="H80" s="94">
        <v>1</v>
      </c>
      <c r="I80" s="103"/>
      <c r="J80" s="94"/>
      <c r="K80" s="103"/>
      <c r="L80" s="104"/>
      <c r="M80" s="103"/>
    </row>
    <row r="81" spans="1:13" ht="13" outlineLevel="3" x14ac:dyDescent="0.25">
      <c r="A81" s="57"/>
      <c r="B81" s="118" t="s">
        <v>254</v>
      </c>
      <c r="C81" s="102">
        <v>3</v>
      </c>
      <c r="D81" s="85" t="s">
        <v>255</v>
      </c>
      <c r="E81" s="57"/>
      <c r="F81" s="94">
        <v>1</v>
      </c>
      <c r="G81" s="103"/>
      <c r="H81" s="94">
        <v>1</v>
      </c>
      <c r="I81" s="103"/>
      <c r="J81" s="94">
        <v>1</v>
      </c>
      <c r="K81" s="103"/>
      <c r="L81" s="104"/>
      <c r="M81" s="103"/>
    </row>
    <row r="82" spans="1:13" ht="13" outlineLevel="3" x14ac:dyDescent="0.25">
      <c r="A82" s="57"/>
      <c r="B82" s="118" t="s">
        <v>256</v>
      </c>
      <c r="C82" s="102">
        <v>4</v>
      </c>
      <c r="D82" s="85" t="s">
        <v>257</v>
      </c>
      <c r="E82" s="57"/>
      <c r="F82" s="94">
        <v>1</v>
      </c>
      <c r="G82" s="103"/>
      <c r="H82" s="104"/>
      <c r="I82" s="103"/>
      <c r="J82" s="104"/>
      <c r="K82" s="103"/>
      <c r="L82" s="94">
        <v>1</v>
      </c>
      <c r="M82" s="103"/>
    </row>
    <row r="83" spans="1:13" ht="3" customHeight="1" outlineLevel="2" x14ac:dyDescent="0.25">
      <c r="A83" s="57"/>
      <c r="B83" s="58"/>
      <c r="C83" s="58"/>
      <c r="D83" s="85"/>
      <c r="E83" s="57"/>
      <c r="F83" s="104"/>
      <c r="G83" s="103"/>
      <c r="H83" s="104"/>
      <c r="I83" s="103"/>
      <c r="J83" s="104"/>
      <c r="K83" s="103"/>
      <c r="L83" s="104"/>
      <c r="M83" s="103"/>
    </row>
    <row r="84" spans="1:13" ht="13" outlineLevel="2" x14ac:dyDescent="0.25">
      <c r="A84" s="57"/>
      <c r="B84" s="91">
        <v>17</v>
      </c>
      <c r="C84" s="91">
        <v>16</v>
      </c>
      <c r="D84" s="92" t="s">
        <v>258</v>
      </c>
      <c r="E84" s="93"/>
      <c r="F84" s="96"/>
      <c r="G84" s="96"/>
      <c r="H84" s="96"/>
      <c r="I84" s="96"/>
      <c r="J84" s="96"/>
      <c r="K84" s="96"/>
      <c r="L84" s="96"/>
      <c r="M84" s="96"/>
    </row>
    <row r="85" spans="1:13" ht="13" outlineLevel="3" x14ac:dyDescent="0.25">
      <c r="A85" s="57" t="str">
        <f>"Amenities &amp; Facilities - "&amp;D85</f>
        <v>Amenities &amp; Facilities - Clubhouse—Structure and Envelope</v>
      </c>
      <c r="B85" s="118" t="s">
        <v>259</v>
      </c>
      <c r="C85" s="102">
        <v>1</v>
      </c>
      <c r="D85" s="106" t="s">
        <v>260</v>
      </c>
      <c r="E85" s="57"/>
      <c r="F85" s="94">
        <v>1</v>
      </c>
      <c r="G85" s="103"/>
      <c r="H85" s="94">
        <v>1</v>
      </c>
      <c r="I85" s="103"/>
      <c r="J85" s="94">
        <v>1</v>
      </c>
      <c r="K85" s="103"/>
      <c r="L85" s="104"/>
      <c r="M85" s="103"/>
    </row>
    <row r="86" spans="1:13" ht="13" outlineLevel="3" x14ac:dyDescent="0.25">
      <c r="A86" s="57" t="str">
        <f t="shared" ref="A86:A89" si="0">"Amenities &amp; Facilities - "&amp;D86</f>
        <v>Amenities &amp; Facilities - Clubhouse—Interiors and Facilities</v>
      </c>
      <c r="B86" s="118" t="s">
        <v>261</v>
      </c>
      <c r="C86" s="102">
        <v>2</v>
      </c>
      <c r="D86" s="106" t="s">
        <v>262</v>
      </c>
      <c r="E86" s="57"/>
      <c r="F86" s="94">
        <v>1</v>
      </c>
      <c r="G86" s="103"/>
      <c r="H86" s="94"/>
      <c r="I86" s="103"/>
      <c r="J86" s="94">
        <v>1</v>
      </c>
      <c r="K86" s="103"/>
      <c r="L86" s="94">
        <v>1</v>
      </c>
      <c r="M86" s="103"/>
    </row>
    <row r="87" spans="1:13" s="110" customFormat="1" ht="13" outlineLevel="3" x14ac:dyDescent="0.25">
      <c r="A87" s="57" t="str">
        <f t="shared" si="0"/>
        <v>Amenities &amp; Facilities - Clubhouse—Outdoor Spaces and Pool</v>
      </c>
      <c r="B87" s="118" t="s">
        <v>263</v>
      </c>
      <c r="C87" s="102">
        <v>3</v>
      </c>
      <c r="D87" s="106" t="s">
        <v>264</v>
      </c>
      <c r="E87" s="107"/>
      <c r="F87" s="94">
        <v>1</v>
      </c>
      <c r="G87" s="108"/>
      <c r="H87" s="70">
        <v>-1</v>
      </c>
      <c r="I87" s="108"/>
      <c r="J87" s="109"/>
      <c r="K87" s="108"/>
      <c r="L87" s="94">
        <v>1</v>
      </c>
      <c r="M87" s="108"/>
    </row>
    <row r="88" spans="1:13" ht="13" outlineLevel="3" x14ac:dyDescent="0.25">
      <c r="A88" s="57" t="str">
        <f t="shared" si="0"/>
        <v>Amenities &amp; Facilities - Community spaces [Board Walk, Children play area]</v>
      </c>
      <c r="B88" s="118" t="s">
        <v>265</v>
      </c>
      <c r="C88" s="102">
        <v>4</v>
      </c>
      <c r="D88" s="106" t="s">
        <v>266</v>
      </c>
      <c r="E88" s="57"/>
      <c r="F88" s="94">
        <v>1</v>
      </c>
      <c r="G88" s="103"/>
      <c r="H88" s="70">
        <v>-1</v>
      </c>
      <c r="I88" s="103"/>
      <c r="J88" s="104"/>
      <c r="K88" s="103"/>
      <c r="L88" s="94">
        <v>1</v>
      </c>
      <c r="M88" s="103"/>
    </row>
    <row r="89" spans="1:13" ht="13" outlineLevel="3" x14ac:dyDescent="0.25">
      <c r="A89" s="57" t="str">
        <f t="shared" si="0"/>
        <v>Amenities &amp; Facilities - Sporting Facilities</v>
      </c>
      <c r="B89" s="118" t="s">
        <v>267</v>
      </c>
      <c r="C89" s="102">
        <v>5</v>
      </c>
      <c r="D89" s="106" t="s">
        <v>268</v>
      </c>
      <c r="E89" s="57"/>
      <c r="F89" s="94">
        <v>1</v>
      </c>
      <c r="G89" s="103"/>
      <c r="H89" s="94">
        <v>1</v>
      </c>
      <c r="I89" s="103"/>
      <c r="J89" s="94">
        <v>1</v>
      </c>
      <c r="K89" s="103"/>
      <c r="L89" s="104"/>
      <c r="M89" s="103"/>
    </row>
    <row r="90" spans="1:13" ht="17.5" outlineLevel="1" x14ac:dyDescent="0.25">
      <c r="A90" s="57"/>
      <c r="B90" s="85"/>
      <c r="C90" s="150" t="s">
        <v>269</v>
      </c>
      <c r="D90" s="150"/>
      <c r="E90" s="77"/>
      <c r="F90" s="86"/>
      <c r="G90" s="87"/>
      <c r="H90" s="86"/>
      <c r="I90" s="87"/>
      <c r="J90" s="86"/>
      <c r="K90" s="87"/>
      <c r="L90" s="86"/>
      <c r="M90" s="87"/>
    </row>
    <row r="91" spans="1:13" ht="3" customHeight="1" outlineLevel="2" x14ac:dyDescent="0.25">
      <c r="A91" s="57"/>
      <c r="B91" s="58"/>
      <c r="C91" s="58"/>
      <c r="D91" s="112"/>
      <c r="E91" s="77"/>
      <c r="F91" s="84"/>
      <c r="G91" s="89"/>
      <c r="H91" s="84"/>
      <c r="I91" s="89"/>
      <c r="J91" s="84"/>
      <c r="K91" s="89"/>
      <c r="L91" s="84"/>
      <c r="M91" s="89"/>
    </row>
    <row r="92" spans="1:13" ht="13" outlineLevel="2" x14ac:dyDescent="0.25">
      <c r="A92" s="57"/>
      <c r="B92" s="91">
        <v>1</v>
      </c>
      <c r="C92" s="91">
        <v>1</v>
      </c>
      <c r="D92" s="92" t="s">
        <v>270</v>
      </c>
      <c r="E92" s="93"/>
      <c r="F92" s="96"/>
      <c r="G92" s="96"/>
      <c r="H92" s="96"/>
      <c r="I92" s="96"/>
      <c r="J92" s="96"/>
      <c r="K92" s="96"/>
      <c r="L92" s="96"/>
      <c r="M92" s="96"/>
    </row>
    <row r="93" spans="1:13" ht="13" outlineLevel="3" x14ac:dyDescent="0.25">
      <c r="A93" s="57"/>
      <c r="B93" s="102">
        <v>1</v>
      </c>
      <c r="C93" s="102">
        <v>1</v>
      </c>
      <c r="D93" s="113" t="s">
        <v>271</v>
      </c>
      <c r="E93" s="60"/>
      <c r="F93" s="70">
        <v>-1</v>
      </c>
      <c r="G93" s="104" t="s">
        <v>38</v>
      </c>
      <c r="H93" s="70">
        <v>-1</v>
      </c>
      <c r="I93" s="104" t="s">
        <v>38</v>
      </c>
      <c r="J93" s="70">
        <v>-1</v>
      </c>
      <c r="K93" s="104" t="s">
        <v>38</v>
      </c>
      <c r="L93" s="70">
        <v>-1</v>
      </c>
      <c r="M93" s="114"/>
    </row>
    <row r="94" spans="1:13" ht="3" customHeight="1" x14ac:dyDescent="0.25">
      <c r="A94" s="57"/>
      <c r="B94" s="102"/>
      <c r="C94" s="102"/>
      <c r="D94" s="113"/>
      <c r="E94" s="60"/>
      <c r="F94" s="104"/>
      <c r="G94" s="114"/>
      <c r="H94" s="104"/>
      <c r="I94" s="114"/>
      <c r="J94" s="104"/>
      <c r="K94" s="114"/>
      <c r="L94" s="104"/>
      <c r="M94" s="114"/>
    </row>
    <row r="95" spans="1:13" ht="17.5" hidden="1" x14ac:dyDescent="0.25">
      <c r="A95" s="57"/>
      <c r="B95" s="85"/>
      <c r="C95" s="150" t="s">
        <v>272</v>
      </c>
      <c r="D95" s="150"/>
      <c r="E95" s="77"/>
      <c r="F95" s="86"/>
      <c r="G95" s="87"/>
      <c r="H95" s="86"/>
      <c r="I95" s="87"/>
      <c r="J95" s="86"/>
      <c r="K95" s="87"/>
      <c r="L95" s="86"/>
      <c r="M95" s="87"/>
    </row>
    <row r="116" spans="2:9" ht="11.9" customHeight="1" x14ac:dyDescent="0.25">
      <c r="B116" s="63"/>
      <c r="C116" s="63"/>
      <c r="D116" s="63"/>
      <c r="F116" s="63"/>
      <c r="G116" s="63"/>
      <c r="H116" s="63"/>
      <c r="I116" s="63"/>
    </row>
    <row r="117" spans="2:9" ht="11.9" customHeight="1" x14ac:dyDescent="0.25">
      <c r="B117" s="63"/>
      <c r="C117" s="63"/>
      <c r="D117" s="63"/>
      <c r="F117" s="63"/>
      <c r="G117" s="63"/>
      <c r="H117" s="63"/>
      <c r="I117" s="63"/>
    </row>
    <row r="119" spans="2:9" ht="11.9" customHeight="1" x14ac:dyDescent="0.25">
      <c r="B119" s="63"/>
      <c r="C119" s="63"/>
      <c r="D119" s="63"/>
      <c r="F119" s="63"/>
      <c r="G119" s="63"/>
      <c r="H119" s="63"/>
      <c r="I119" s="63"/>
    </row>
  </sheetData>
  <mergeCells count="9">
    <mergeCell ref="F8:G8"/>
    <mergeCell ref="H8:I8"/>
    <mergeCell ref="J8:K8"/>
    <mergeCell ref="C2:D2"/>
    <mergeCell ref="C9:D9"/>
    <mergeCell ref="C16:D16"/>
    <mergeCell ref="C90:D90"/>
    <mergeCell ref="C95:D95"/>
    <mergeCell ref="C8:D8"/>
  </mergeCells>
  <phoneticPr fontId="38" type="noConversion"/>
  <conditionalFormatting sqref="F11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F12:F13">
    <cfRule type="iconSet" priority="93">
      <iconSet iconSet="3Symbols2" showValue="0">
        <cfvo type="percent" val="0"/>
        <cfvo type="num" val="0"/>
        <cfvo type="num" val="1"/>
      </iconSet>
    </cfRule>
  </conditionalFormatting>
  <conditionalFormatting sqref="F14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F15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F18:F22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F24:F28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H15">
    <cfRule type="iconSet" priority="85">
      <iconSet iconSet="3Symbols2" showValue="0">
        <cfvo type="percent" val="0"/>
        <cfvo type="num" val="0"/>
        <cfvo type="num" val="1"/>
      </iconSet>
    </cfRule>
  </conditionalFormatting>
  <conditionalFormatting sqref="H18:H21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H24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H25:H27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H87:H88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J14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J19:J22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J25:J28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J31:J32 J34:J35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J42:J43 J45:J46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J53:J54 J56:J57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J64:J65 J67:J68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L14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L15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L30:L38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L41:L49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L52:L60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L63:L71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L93 J93 H93 F93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66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5" id="{7F3030B9-30D4-42D5-85B8-22645026B4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F30:F38</xm:sqref>
        </x14:conditionalFormatting>
        <x14:conditionalFormatting xmlns:xm="http://schemas.microsoft.com/office/excel/2006/main">
          <x14:cfRule type="iconSet" priority="40" id="{F16B2104-2B19-4A08-A988-A7C910E2BF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F41:F49</xm:sqref>
        </x14:conditionalFormatting>
        <x14:conditionalFormatting xmlns:xm="http://schemas.microsoft.com/office/excel/2006/main">
          <x14:cfRule type="iconSet" priority="34" id="{4DD74611-0CDB-4747-91FE-F96028FA6B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F52:F60</xm:sqref>
        </x14:conditionalFormatting>
        <x14:conditionalFormatting xmlns:xm="http://schemas.microsoft.com/office/excel/2006/main">
          <x14:cfRule type="iconSet" priority="28" id="{C80352B9-D223-4E97-8F81-19DF5B11E3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F63:F71</xm:sqref>
        </x14:conditionalFormatting>
        <x14:conditionalFormatting xmlns:xm="http://schemas.microsoft.com/office/excel/2006/main">
          <x14:cfRule type="iconSet" priority="22" id="{1A4EC60B-ABAF-4082-9A06-A3ED167E18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F74:F76</xm:sqref>
        </x14:conditionalFormatting>
        <x14:conditionalFormatting xmlns:xm="http://schemas.microsoft.com/office/excel/2006/main">
          <x14:cfRule type="iconSet" priority="20" id="{7F572632-324A-42B8-815A-BEBD846F92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F79:F82</xm:sqref>
        </x14:conditionalFormatting>
        <x14:conditionalFormatting xmlns:xm="http://schemas.microsoft.com/office/excel/2006/main">
          <x14:cfRule type="iconSet" priority="15" id="{2F12CF84-32B4-4A1C-BD1E-8A907257E2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F85:F89</xm:sqref>
        </x14:conditionalFormatting>
        <x14:conditionalFormatting xmlns:xm="http://schemas.microsoft.com/office/excel/2006/main">
          <x14:cfRule type="iconSet" priority="56" id="{FF664F4B-091B-43A4-85C6-ECBBDA1DB4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H32 H36 H38</xm:sqref>
        </x14:conditionalFormatting>
        <x14:conditionalFormatting xmlns:xm="http://schemas.microsoft.com/office/excel/2006/main">
          <x14:cfRule type="iconSet" priority="48" id="{516F7DFB-AF09-4CC6-A6E1-0EF89755D2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H37 H33:H35 H30:H31</xm:sqref>
        </x14:conditionalFormatting>
        <x14:conditionalFormatting xmlns:xm="http://schemas.microsoft.com/office/excel/2006/main">
          <x14:cfRule type="iconSet" priority="39" id="{CC5AB853-95FC-42CB-ADF8-767C67AE47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H43 H47 H49</xm:sqref>
        </x14:conditionalFormatting>
        <x14:conditionalFormatting xmlns:xm="http://schemas.microsoft.com/office/excel/2006/main">
          <x14:cfRule type="iconSet" priority="38" id="{56032F18-3B52-4DBC-B6B1-E79892E04F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H48 H44:H46 H41:H42</xm:sqref>
        </x14:conditionalFormatting>
        <x14:conditionalFormatting xmlns:xm="http://schemas.microsoft.com/office/excel/2006/main">
          <x14:cfRule type="iconSet" priority="33" id="{2573FB69-87AF-4593-A550-6E9E01E2D8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H54 H58 H60</xm:sqref>
        </x14:conditionalFormatting>
        <x14:conditionalFormatting xmlns:xm="http://schemas.microsoft.com/office/excel/2006/main">
          <x14:cfRule type="iconSet" priority="32" id="{33D99B7A-E3A3-4A58-9479-C1861321A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H59 H55:H57 H52:H53</xm:sqref>
        </x14:conditionalFormatting>
        <x14:conditionalFormatting xmlns:xm="http://schemas.microsoft.com/office/excel/2006/main">
          <x14:cfRule type="iconSet" priority="27" id="{099F5AF9-A080-4079-85D0-6806A23C26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H65 H69 H71</xm:sqref>
        </x14:conditionalFormatting>
        <x14:conditionalFormatting xmlns:xm="http://schemas.microsoft.com/office/excel/2006/main">
          <x14:cfRule type="iconSet" priority="26" id="{90DF9F2A-ED1D-4A4E-AEE4-164AE53787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H70 H66:H68 H63:H64</xm:sqref>
        </x14:conditionalFormatting>
        <x14:conditionalFormatting xmlns:xm="http://schemas.microsoft.com/office/excel/2006/main">
          <x14:cfRule type="iconSet" priority="19" id="{F6D68F96-5D9A-46B1-85C3-9709A87D3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H80:H81</xm:sqref>
        </x14:conditionalFormatting>
        <x14:conditionalFormatting xmlns:xm="http://schemas.microsoft.com/office/excel/2006/main">
          <x14:cfRule type="iconSet" priority="12" id="{3B9FF341-BC48-428B-8823-3D132D2097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H89 H85:H86</xm:sqref>
        </x14:conditionalFormatting>
        <x14:conditionalFormatting xmlns:xm="http://schemas.microsoft.com/office/excel/2006/main">
          <x14:cfRule type="iconSet" priority="43" id="{59C988DC-2362-4FB2-809F-F692F4322C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J36:J38 J33 J30</xm:sqref>
        </x14:conditionalFormatting>
        <x14:conditionalFormatting xmlns:xm="http://schemas.microsoft.com/office/excel/2006/main">
          <x14:cfRule type="iconSet" priority="37" id="{3A147DC2-85EF-4F31-AB48-588467DD96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J47:J49 J44 J41</xm:sqref>
        </x14:conditionalFormatting>
        <x14:conditionalFormatting xmlns:xm="http://schemas.microsoft.com/office/excel/2006/main">
          <x14:cfRule type="iconSet" priority="31" id="{46F4C450-F8C3-41BB-ADCA-542003AE21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J58:J60 J55 J52</xm:sqref>
        </x14:conditionalFormatting>
        <x14:conditionalFormatting xmlns:xm="http://schemas.microsoft.com/office/excel/2006/main">
          <x14:cfRule type="iconSet" priority="25" id="{071DC4D1-C67D-4189-B7F3-F1B1A9A58A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J69:J71 J66 J63</xm:sqref>
        </x14:conditionalFormatting>
        <x14:conditionalFormatting xmlns:xm="http://schemas.microsoft.com/office/excel/2006/main">
          <x14:cfRule type="iconSet" priority="18" id="{7C413DB2-1E52-491C-82D6-3A9044B49A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J79:J81</xm:sqref>
        </x14:conditionalFormatting>
        <x14:conditionalFormatting xmlns:xm="http://schemas.microsoft.com/office/excel/2006/main">
          <x14:cfRule type="iconSet" priority="8" id="{FE22E60D-6737-4367-9D00-C50F8D013C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J89 J85:J86</xm:sqref>
        </x14:conditionalFormatting>
        <x14:conditionalFormatting xmlns:xm="http://schemas.microsoft.com/office/excel/2006/main">
          <x14:cfRule type="iconSet" priority="21" id="{745CE474-5E26-414E-BE21-C4B3BA6F14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J74:L76</xm:sqref>
        </x14:conditionalFormatting>
        <x14:conditionalFormatting xmlns:xm="http://schemas.microsoft.com/office/excel/2006/main">
          <x14:cfRule type="iconSet" priority="16" id="{1F4C3EE2-8920-4F1F-96AA-B4C917FCAC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L82 L79</xm:sqref>
        </x14:conditionalFormatting>
        <x14:conditionalFormatting xmlns:xm="http://schemas.microsoft.com/office/excel/2006/main">
          <x14:cfRule type="iconSet" priority="7" id="{4F851AF9-E4A7-4781-BF95-DF5FDB6EB8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L86:L88</xm:sqref>
        </x14:conditionalFormatting>
        <x14:conditionalFormatting xmlns:xm="http://schemas.microsoft.com/office/excel/2006/main">
          <x14:cfRule type="iconSet" priority="54" id="{69D78050-9D69-423C-81EF-CB54A773AF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F1A8-9DDD-4B22-9CDB-63969271217E}">
  <sheetPr>
    <outlinePr summaryBelow="0" summaryRight="0"/>
    <pageSetUpPr fitToPage="1"/>
  </sheetPr>
  <dimension ref="A1:Z101"/>
  <sheetViews>
    <sheetView zoomScaleNormal="100" zoomScaleSheetLayoutView="35" workbookViewId="0">
      <pane xSplit="5" ySplit="7" topLeftCell="F54" activePane="bottomRight" state="frozen"/>
      <selection pane="topRight" activeCell="F1" sqref="F1"/>
      <selection pane="bottomLeft" activeCell="A7" sqref="A7"/>
      <selection pane="bottomRight" activeCell="P22" sqref="P22"/>
    </sheetView>
  </sheetViews>
  <sheetFormatPr defaultColWidth="11.453125" defaultRowHeight="11.9" customHeight="1" outlineLevelRow="3" x14ac:dyDescent="0.25"/>
  <cols>
    <col min="1" max="1" width="0.54296875" style="63" customWidth="1"/>
    <col min="2" max="2" width="7.81640625" style="99" bestFit="1" customWidth="1"/>
    <col min="3" max="3" width="5.453125" style="115" bestFit="1" customWidth="1"/>
    <col min="4" max="4" width="69.453125" style="116" bestFit="1" customWidth="1"/>
    <col min="5" max="5" width="0.453125" style="63" customWidth="1"/>
    <col min="6" max="6" width="7.54296875" style="100" customWidth="1"/>
    <col min="7" max="7" width="0.453125" style="101" customWidth="1"/>
    <col min="8" max="8" width="7.54296875" style="100" customWidth="1"/>
    <col min="9" max="9" width="0.453125" style="101" customWidth="1"/>
    <col min="10" max="10" width="7.54296875" style="100" customWidth="1"/>
    <col min="11" max="11" width="0.453125" style="101" customWidth="1"/>
    <col min="12" max="12" width="7.54296875" style="100" customWidth="1"/>
    <col min="13" max="13" width="0.453125" style="101" customWidth="1"/>
    <col min="14" max="16384" width="11.453125" style="63"/>
  </cols>
  <sheetData>
    <row r="1" spans="1:16" ht="3" customHeight="1" x14ac:dyDescent="0.25">
      <c r="A1" s="57"/>
      <c r="B1" s="58"/>
      <c r="C1" s="59"/>
      <c r="D1" s="60"/>
      <c r="E1" s="57"/>
      <c r="F1" s="61"/>
      <c r="G1" s="62"/>
      <c r="H1" s="61"/>
      <c r="I1" s="62"/>
      <c r="J1" s="61"/>
      <c r="K1" s="62"/>
      <c r="L1" s="61"/>
      <c r="M1" s="62"/>
    </row>
    <row r="2" spans="1:16" s="69" customFormat="1" ht="18.5" x14ac:dyDescent="0.25">
      <c r="A2" s="64"/>
      <c r="B2" s="65"/>
      <c r="C2" s="148" t="s">
        <v>273</v>
      </c>
      <c r="D2" s="148"/>
      <c r="E2" s="66"/>
      <c r="F2" s="67" t="s">
        <v>168</v>
      </c>
      <c r="G2" s="68"/>
      <c r="H2" s="67" t="s">
        <v>169</v>
      </c>
      <c r="I2" s="68"/>
      <c r="J2" s="67" t="s">
        <v>67</v>
      </c>
      <c r="K2" s="68"/>
      <c r="L2" s="67" t="s">
        <v>170</v>
      </c>
      <c r="M2" s="68"/>
      <c r="O2" s="70">
        <v>1</v>
      </c>
      <c r="P2" s="65" t="s">
        <v>171</v>
      </c>
    </row>
    <row r="3" spans="1:16" s="75" customFormat="1" ht="15" x14ac:dyDescent="0.3">
      <c r="A3" s="71"/>
      <c r="B3" s="72"/>
      <c r="C3" s="73"/>
      <c r="D3" s="74" t="s">
        <v>172</v>
      </c>
      <c r="E3" s="71"/>
      <c r="F3" s="71">
        <f>COUNTA(F$9:F$78)</f>
        <v>47</v>
      </c>
      <c r="G3" s="71"/>
      <c r="H3" s="71">
        <f>COUNTA(H$9:H$78)</f>
        <v>31</v>
      </c>
      <c r="I3" s="71"/>
      <c r="J3" s="71">
        <f>COUNTA(J$9:J$78)</f>
        <v>28</v>
      </c>
      <c r="K3" s="71"/>
      <c r="L3" s="71">
        <f>COUNTA(L$9:L$78)</f>
        <v>9</v>
      </c>
      <c r="M3" s="71"/>
      <c r="O3" s="70">
        <v>-1</v>
      </c>
      <c r="P3" s="65" t="s">
        <v>173</v>
      </c>
    </row>
    <row r="4" spans="1:16" s="75" customFormat="1" ht="15" x14ac:dyDescent="0.3">
      <c r="A4" s="71"/>
      <c r="B4" s="72"/>
      <c r="C4" s="73"/>
      <c r="D4" s="74" t="s">
        <v>174</v>
      </c>
      <c r="E4" s="71"/>
      <c r="F4" s="71">
        <f>COUNTIF(F$9:F$78,1)</f>
        <v>38</v>
      </c>
      <c r="G4" s="71"/>
      <c r="H4" s="71">
        <f>COUNTIF(H$9:H$78,1)</f>
        <v>22</v>
      </c>
      <c r="I4" s="71"/>
      <c r="J4" s="71">
        <f>COUNTIF(J$9:J$78,1)</f>
        <v>26</v>
      </c>
      <c r="K4" s="71"/>
      <c r="L4" s="71">
        <f>COUNTIF(L$9:L$78,1)</f>
        <v>8</v>
      </c>
      <c r="M4" s="71"/>
      <c r="O4" s="65"/>
      <c r="P4" s="65" t="s">
        <v>175</v>
      </c>
    </row>
    <row r="5" spans="1:16" ht="3" customHeight="1" x14ac:dyDescent="0.25">
      <c r="A5" s="57"/>
      <c r="B5" s="58"/>
      <c r="C5" s="59"/>
      <c r="D5" s="76"/>
      <c r="E5" s="77"/>
      <c r="F5" s="61"/>
      <c r="G5" s="78"/>
      <c r="H5" s="61"/>
      <c r="I5" s="78"/>
      <c r="J5" s="61"/>
      <c r="K5" s="78"/>
      <c r="L5" s="61"/>
      <c r="M5" s="78"/>
    </row>
    <row r="6" spans="1:16" ht="3" customHeight="1" x14ac:dyDescent="0.25">
      <c r="A6" s="57"/>
      <c r="B6" s="79"/>
      <c r="C6" s="80"/>
      <c r="D6" s="81"/>
      <c r="E6" s="82"/>
      <c r="F6" s="83"/>
      <c r="G6" s="83"/>
      <c r="H6" s="83"/>
      <c r="I6" s="83"/>
      <c r="J6" s="83"/>
      <c r="K6" s="83"/>
      <c r="L6" s="83"/>
      <c r="M6" s="83"/>
    </row>
    <row r="7" spans="1:16" ht="3.65" customHeight="1" x14ac:dyDescent="0.25">
      <c r="A7" s="57"/>
      <c r="B7" s="58"/>
      <c r="C7" s="59"/>
      <c r="D7" s="76"/>
      <c r="E7" s="77"/>
      <c r="F7" s="84"/>
      <c r="G7" s="78"/>
      <c r="H7" s="84"/>
      <c r="I7" s="78"/>
      <c r="J7" s="84"/>
      <c r="K7" s="78"/>
      <c r="L7" s="84"/>
      <c r="M7" s="78"/>
    </row>
    <row r="8" spans="1:16" ht="24" customHeight="1" x14ac:dyDescent="0.25">
      <c r="A8" s="57"/>
      <c r="B8" s="22"/>
      <c r="C8" s="151" t="s">
        <v>274</v>
      </c>
      <c r="D8" s="152"/>
      <c r="E8" s="77"/>
      <c r="F8" s="151"/>
      <c r="G8" s="152"/>
      <c r="H8" s="151"/>
      <c r="I8" s="152"/>
      <c r="J8" s="151"/>
      <c r="K8" s="152"/>
      <c r="L8" s="119"/>
      <c r="M8" s="78"/>
    </row>
    <row r="9" spans="1:16" ht="17.5" outlineLevel="1" x14ac:dyDescent="0.25">
      <c r="A9" s="57"/>
      <c r="B9" s="85"/>
      <c r="C9" s="149" t="s">
        <v>177</v>
      </c>
      <c r="D9" s="149"/>
      <c r="E9" s="77"/>
      <c r="F9" s="86"/>
      <c r="G9" s="87"/>
      <c r="H9" s="86"/>
      <c r="I9" s="87"/>
      <c r="J9" s="86"/>
      <c r="K9" s="87"/>
      <c r="L9" s="86"/>
      <c r="M9" s="87"/>
    </row>
    <row r="10" spans="1:16" ht="3" customHeight="1" outlineLevel="2" x14ac:dyDescent="0.25">
      <c r="A10" s="57"/>
      <c r="B10" s="58"/>
      <c r="C10" s="58"/>
      <c r="D10" s="88"/>
      <c r="E10" s="77"/>
      <c r="F10" s="84"/>
      <c r="G10" s="89"/>
      <c r="H10" s="84"/>
      <c r="I10" s="89"/>
      <c r="J10" s="84"/>
      <c r="K10" s="89"/>
      <c r="L10" s="84"/>
      <c r="M10" s="89"/>
    </row>
    <row r="11" spans="1:16" ht="13" outlineLevel="2" x14ac:dyDescent="0.25">
      <c r="A11" s="57"/>
      <c r="B11" s="90">
        <v>1</v>
      </c>
      <c r="C11" s="91">
        <v>1</v>
      </c>
      <c r="D11" s="92" t="s">
        <v>178</v>
      </c>
      <c r="E11" s="93"/>
      <c r="F11" s="94">
        <v>1</v>
      </c>
      <c r="G11" s="95"/>
      <c r="H11" s="94"/>
      <c r="I11" s="95"/>
      <c r="J11" s="94"/>
      <c r="K11" s="95"/>
      <c r="L11" s="94"/>
      <c r="M11" s="96"/>
    </row>
    <row r="12" spans="1:16" ht="13" outlineLevel="2" x14ac:dyDescent="0.25">
      <c r="A12" s="57"/>
      <c r="B12" s="90">
        <v>2</v>
      </c>
      <c r="C12" s="91">
        <v>2</v>
      </c>
      <c r="D12" s="92" t="s">
        <v>179</v>
      </c>
      <c r="E12" s="93"/>
      <c r="F12" s="94">
        <v>1</v>
      </c>
      <c r="G12" s="95"/>
      <c r="H12" s="94">
        <v>1</v>
      </c>
      <c r="I12" s="95"/>
      <c r="J12" s="94">
        <v>1</v>
      </c>
      <c r="K12" s="95"/>
      <c r="L12" s="94">
        <v>1</v>
      </c>
      <c r="M12" s="96"/>
    </row>
    <row r="13" spans="1:16" ht="14" outlineLevel="2" x14ac:dyDescent="0.25">
      <c r="B13" s="90">
        <v>3</v>
      </c>
      <c r="C13" s="91">
        <v>3</v>
      </c>
      <c r="D13" s="92" t="s">
        <v>180</v>
      </c>
      <c r="E13" s="93"/>
      <c r="F13" s="94">
        <v>1</v>
      </c>
      <c r="G13" s="97"/>
      <c r="H13" s="94">
        <v>1</v>
      </c>
      <c r="I13" s="97"/>
      <c r="J13" s="94">
        <v>1</v>
      </c>
      <c r="K13" s="97"/>
      <c r="L13" s="94">
        <v>1</v>
      </c>
      <c r="M13" s="98"/>
    </row>
    <row r="14" spans="1:16" ht="14" outlineLevel="2" x14ac:dyDescent="0.25">
      <c r="B14" s="90">
        <v>4</v>
      </c>
      <c r="C14" s="91">
        <v>4</v>
      </c>
      <c r="D14" s="92" t="s">
        <v>181</v>
      </c>
      <c r="E14" s="93"/>
      <c r="F14" s="94">
        <v>1</v>
      </c>
      <c r="G14" s="97"/>
      <c r="H14" s="94"/>
      <c r="I14" s="97"/>
      <c r="J14" s="94">
        <v>1</v>
      </c>
      <c r="K14" s="97"/>
      <c r="L14" s="94">
        <v>1</v>
      </c>
      <c r="M14" s="98"/>
    </row>
    <row r="15" spans="1:16" ht="14" outlineLevel="2" x14ac:dyDescent="0.25">
      <c r="B15" s="90">
        <v>5</v>
      </c>
      <c r="C15" s="91">
        <v>5</v>
      </c>
      <c r="D15" s="92" t="s">
        <v>182</v>
      </c>
      <c r="E15" s="93"/>
      <c r="F15" s="94">
        <v>1</v>
      </c>
      <c r="G15" s="97"/>
      <c r="H15" s="94"/>
      <c r="I15" s="97"/>
      <c r="J15" s="94"/>
      <c r="K15" s="97"/>
      <c r="L15" s="94">
        <v>1</v>
      </c>
      <c r="M15" s="98"/>
    </row>
    <row r="16" spans="1:16" ht="20.5" customHeight="1" outlineLevel="1" x14ac:dyDescent="0.25">
      <c r="B16" s="85"/>
      <c r="C16" s="149" t="s">
        <v>183</v>
      </c>
      <c r="D16" s="149"/>
      <c r="E16" s="77"/>
      <c r="F16" s="86"/>
      <c r="G16" s="87"/>
      <c r="H16" s="86"/>
      <c r="I16" s="87"/>
      <c r="J16" s="86"/>
      <c r="K16" s="87"/>
      <c r="L16" s="86"/>
      <c r="M16" s="87"/>
    </row>
    <row r="17" spans="2:13" ht="13" outlineLevel="2" x14ac:dyDescent="0.25">
      <c r="B17" s="91"/>
      <c r="C17" s="91"/>
      <c r="D17" s="92" t="s">
        <v>275</v>
      </c>
      <c r="E17" s="93"/>
      <c r="F17" s="96"/>
      <c r="G17" s="96"/>
      <c r="H17" s="96"/>
      <c r="I17" s="96"/>
      <c r="J17" s="96"/>
      <c r="K17" s="96"/>
      <c r="L17" s="96"/>
      <c r="M17" s="96"/>
    </row>
    <row r="18" spans="2:13" ht="15" customHeight="1" outlineLevel="3" x14ac:dyDescent="0.25">
      <c r="B18" s="118" t="s">
        <v>276</v>
      </c>
      <c r="C18" s="102">
        <v>1</v>
      </c>
      <c r="D18" s="85" t="s">
        <v>185</v>
      </c>
      <c r="F18" s="94"/>
      <c r="H18" s="94">
        <v>1</v>
      </c>
    </row>
    <row r="19" spans="2:13" ht="15" customHeight="1" outlineLevel="3" x14ac:dyDescent="0.25">
      <c r="B19" s="118" t="s">
        <v>277</v>
      </c>
      <c r="C19" s="102">
        <v>2</v>
      </c>
      <c r="D19" s="85" t="s">
        <v>186</v>
      </c>
      <c r="F19" s="94">
        <v>1</v>
      </c>
      <c r="H19" s="94">
        <v>1</v>
      </c>
      <c r="J19" s="94">
        <v>1</v>
      </c>
    </row>
    <row r="20" spans="2:13" ht="15" customHeight="1" outlineLevel="3" x14ac:dyDescent="0.25">
      <c r="B20" s="118" t="s">
        <v>278</v>
      </c>
      <c r="C20" s="102">
        <v>3</v>
      </c>
      <c r="D20" s="85" t="s">
        <v>187</v>
      </c>
      <c r="F20" s="94">
        <v>1</v>
      </c>
      <c r="H20" s="94">
        <v>1</v>
      </c>
      <c r="J20" s="94">
        <v>1</v>
      </c>
    </row>
    <row r="21" spans="2:13" ht="15" customHeight="1" outlineLevel="3" x14ac:dyDescent="0.25">
      <c r="B21" s="118" t="s">
        <v>279</v>
      </c>
      <c r="C21" s="102">
        <v>4</v>
      </c>
      <c r="D21" s="85" t="s">
        <v>188</v>
      </c>
      <c r="F21" s="94">
        <v>1</v>
      </c>
      <c r="H21" s="70">
        <v>-1</v>
      </c>
      <c r="J21" s="94">
        <v>1</v>
      </c>
    </row>
    <row r="22" spans="2:13" ht="15" customHeight="1" outlineLevel="3" x14ac:dyDescent="0.25">
      <c r="B22" s="118" t="s">
        <v>280</v>
      </c>
      <c r="C22" s="102">
        <v>5</v>
      </c>
      <c r="D22" s="85" t="s">
        <v>189</v>
      </c>
      <c r="F22" s="70">
        <v>-1</v>
      </c>
      <c r="J22" s="94">
        <v>1</v>
      </c>
    </row>
    <row r="23" spans="2:13" ht="13" outlineLevel="2" x14ac:dyDescent="0.25">
      <c r="B23" s="91"/>
      <c r="C23" s="91"/>
      <c r="D23" s="92" t="s">
        <v>281</v>
      </c>
      <c r="E23" s="93"/>
      <c r="F23" s="96"/>
      <c r="G23" s="96"/>
      <c r="H23" s="96"/>
      <c r="I23" s="96"/>
      <c r="J23" s="96"/>
      <c r="K23" s="96"/>
      <c r="L23" s="96"/>
      <c r="M23" s="96"/>
    </row>
    <row r="24" spans="2:13" ht="15" customHeight="1" outlineLevel="3" x14ac:dyDescent="0.25">
      <c r="B24" s="120" t="s">
        <v>282</v>
      </c>
      <c r="C24" s="102">
        <v>1</v>
      </c>
      <c r="D24" s="85" t="s">
        <v>185</v>
      </c>
      <c r="F24" s="94"/>
      <c r="H24" s="94">
        <v>1</v>
      </c>
    </row>
    <row r="25" spans="2:13" ht="15" customHeight="1" outlineLevel="3" x14ac:dyDescent="0.25">
      <c r="B25" s="120" t="s">
        <v>283</v>
      </c>
      <c r="C25" s="102">
        <v>2</v>
      </c>
      <c r="D25" s="85" t="s">
        <v>186</v>
      </c>
      <c r="F25" s="94">
        <v>1</v>
      </c>
      <c r="H25" s="70">
        <v>-1</v>
      </c>
      <c r="J25" s="94">
        <v>1</v>
      </c>
    </row>
    <row r="26" spans="2:13" ht="15" customHeight="1" outlineLevel="3" x14ac:dyDescent="0.25">
      <c r="B26" s="120" t="s">
        <v>284</v>
      </c>
      <c r="C26" s="102">
        <v>3</v>
      </c>
      <c r="D26" s="85" t="s">
        <v>191</v>
      </c>
      <c r="F26" s="94">
        <v>1</v>
      </c>
      <c r="H26" s="94">
        <v>1</v>
      </c>
      <c r="J26" s="94">
        <v>1</v>
      </c>
    </row>
    <row r="27" spans="2:13" ht="15" customHeight="1" outlineLevel="3" x14ac:dyDescent="0.25">
      <c r="B27" s="120" t="s">
        <v>285</v>
      </c>
      <c r="C27" s="102">
        <v>4</v>
      </c>
      <c r="D27" s="85" t="s">
        <v>188</v>
      </c>
      <c r="F27" s="94">
        <v>1</v>
      </c>
      <c r="H27" s="70">
        <v>-1</v>
      </c>
      <c r="J27" s="94">
        <v>1</v>
      </c>
    </row>
    <row r="28" spans="2:13" ht="15" customHeight="1" outlineLevel="3" x14ac:dyDescent="0.25">
      <c r="B28" s="120" t="s">
        <v>286</v>
      </c>
      <c r="C28" s="102">
        <v>5</v>
      </c>
      <c r="D28" s="85" t="s">
        <v>189</v>
      </c>
      <c r="F28" s="70">
        <v>-1</v>
      </c>
      <c r="J28" s="94">
        <v>1</v>
      </c>
    </row>
    <row r="29" spans="2:13" ht="13" outlineLevel="2" x14ac:dyDescent="0.25">
      <c r="B29" s="91">
        <v>4</v>
      </c>
      <c r="C29" s="91">
        <v>1</v>
      </c>
      <c r="D29" s="92" t="s">
        <v>287</v>
      </c>
      <c r="E29" s="93"/>
      <c r="F29" s="96"/>
      <c r="G29" s="96"/>
      <c r="H29" s="96"/>
      <c r="I29" s="96"/>
      <c r="J29" s="96"/>
      <c r="K29" s="96"/>
      <c r="L29" s="96"/>
      <c r="M29" s="96"/>
    </row>
    <row r="30" spans="2:13" ht="13" outlineLevel="3" x14ac:dyDescent="0.25">
      <c r="B30" s="118" t="s">
        <v>288</v>
      </c>
      <c r="C30" s="102">
        <v>1</v>
      </c>
      <c r="D30" s="85" t="s">
        <v>194</v>
      </c>
      <c r="E30" s="57"/>
      <c r="F30" s="94">
        <v>1</v>
      </c>
      <c r="G30" s="103"/>
      <c r="H30" s="94">
        <v>1</v>
      </c>
      <c r="I30" s="103"/>
      <c r="J30" s="94">
        <v>1</v>
      </c>
      <c r="K30" s="103"/>
      <c r="L30" s="94"/>
      <c r="M30" s="103"/>
    </row>
    <row r="31" spans="2:13" ht="13" outlineLevel="3" x14ac:dyDescent="0.25">
      <c r="B31" s="118" t="s">
        <v>289</v>
      </c>
      <c r="C31" s="102">
        <v>2</v>
      </c>
      <c r="D31" s="85" t="s">
        <v>196</v>
      </c>
      <c r="E31" s="57"/>
      <c r="F31" s="94">
        <v>1</v>
      </c>
      <c r="G31" s="103"/>
      <c r="H31" s="94">
        <v>1</v>
      </c>
      <c r="I31" s="103"/>
      <c r="J31" s="94"/>
      <c r="K31" s="103"/>
      <c r="L31" s="94"/>
      <c r="M31" s="103"/>
    </row>
    <row r="32" spans="2:13" ht="13" outlineLevel="3" x14ac:dyDescent="0.25">
      <c r="B32" s="118" t="s">
        <v>290</v>
      </c>
      <c r="C32" s="102">
        <v>3</v>
      </c>
      <c r="D32" s="85" t="s">
        <v>198</v>
      </c>
      <c r="E32" s="57"/>
      <c r="F32" s="94">
        <v>1</v>
      </c>
      <c r="G32" s="103"/>
      <c r="H32" s="94"/>
      <c r="I32" s="103"/>
      <c r="J32" s="94"/>
      <c r="K32" s="103"/>
      <c r="L32" s="94"/>
      <c r="M32" s="103"/>
    </row>
    <row r="33" spans="2:26" ht="13" outlineLevel="3" x14ac:dyDescent="0.25">
      <c r="B33" s="118" t="s">
        <v>291</v>
      </c>
      <c r="C33" s="102">
        <v>4</v>
      </c>
      <c r="D33" s="85" t="s">
        <v>200</v>
      </c>
      <c r="E33" s="57"/>
      <c r="F33" s="94">
        <v>1</v>
      </c>
      <c r="G33" s="103"/>
      <c r="H33" s="94">
        <v>1</v>
      </c>
      <c r="I33" s="103"/>
      <c r="J33" s="94">
        <v>1</v>
      </c>
      <c r="K33" s="103"/>
      <c r="L33" s="94"/>
      <c r="M33" s="103"/>
    </row>
    <row r="34" spans="2:26" ht="13" outlineLevel="3" x14ac:dyDescent="0.25">
      <c r="B34" s="118" t="s">
        <v>292</v>
      </c>
      <c r="C34" s="102">
        <v>5</v>
      </c>
      <c r="D34" s="85" t="s">
        <v>202</v>
      </c>
      <c r="E34" s="57"/>
      <c r="F34" s="94">
        <v>1</v>
      </c>
      <c r="G34" s="103"/>
      <c r="H34" s="94">
        <v>1</v>
      </c>
      <c r="I34" s="103"/>
      <c r="J34" s="94"/>
      <c r="K34" s="103"/>
      <c r="L34" s="94"/>
      <c r="M34" s="103"/>
    </row>
    <row r="35" spans="2:26" ht="13" outlineLevel="3" x14ac:dyDescent="0.25">
      <c r="B35" s="118" t="s">
        <v>293</v>
      </c>
      <c r="C35" s="102">
        <v>6</v>
      </c>
      <c r="D35" s="85" t="s">
        <v>204</v>
      </c>
      <c r="E35" s="57"/>
      <c r="F35" s="94">
        <v>1</v>
      </c>
      <c r="G35" s="103"/>
      <c r="H35" s="94">
        <v>1</v>
      </c>
      <c r="I35" s="103"/>
      <c r="J35" s="94"/>
      <c r="K35" s="103"/>
      <c r="L35" s="94"/>
      <c r="M35" s="103"/>
    </row>
    <row r="36" spans="2:26" s="110" customFormat="1" ht="13" outlineLevel="3" x14ac:dyDescent="0.25">
      <c r="B36" s="118" t="s">
        <v>294</v>
      </c>
      <c r="C36" s="105">
        <v>7</v>
      </c>
      <c r="D36" s="106" t="s">
        <v>206</v>
      </c>
      <c r="E36" s="107"/>
      <c r="F36" s="94">
        <v>1</v>
      </c>
      <c r="G36" s="103"/>
      <c r="H36" s="94"/>
      <c r="I36" s="103"/>
      <c r="J36" s="94">
        <v>1</v>
      </c>
      <c r="K36" s="103"/>
      <c r="L36" s="94"/>
      <c r="M36" s="108"/>
      <c r="N36" s="94"/>
      <c r="Z36" s="110" t="s">
        <v>207</v>
      </c>
    </row>
    <row r="37" spans="2:26" s="110" customFormat="1" ht="13" outlineLevel="3" x14ac:dyDescent="0.25">
      <c r="B37" s="118" t="s">
        <v>295</v>
      </c>
      <c r="C37" s="105">
        <v>9</v>
      </c>
      <c r="D37" s="106" t="s">
        <v>209</v>
      </c>
      <c r="E37" s="107"/>
      <c r="F37" s="94">
        <v>1</v>
      </c>
      <c r="G37" s="103"/>
      <c r="H37" s="70">
        <v>-1</v>
      </c>
      <c r="I37" s="103"/>
      <c r="J37" s="94">
        <v>1</v>
      </c>
      <c r="K37" s="103"/>
      <c r="L37" s="94"/>
      <c r="M37" s="108"/>
    </row>
    <row r="38" spans="2:26" s="110" customFormat="1" ht="13" outlineLevel="3" x14ac:dyDescent="0.25">
      <c r="B38" s="118" t="s">
        <v>296</v>
      </c>
      <c r="C38" s="105">
        <v>10</v>
      </c>
      <c r="D38" s="106" t="s">
        <v>211</v>
      </c>
      <c r="E38" s="107"/>
      <c r="F38" s="70">
        <v>-1</v>
      </c>
      <c r="G38" s="103"/>
      <c r="H38" s="94"/>
      <c r="I38" s="103"/>
      <c r="J38" s="94"/>
      <c r="K38" s="103"/>
      <c r="L38" s="94"/>
      <c r="M38" s="108"/>
    </row>
    <row r="39" spans="2:26" ht="3" customHeight="1" outlineLevel="2" x14ac:dyDescent="0.25">
      <c r="B39" s="111"/>
      <c r="C39" s="111"/>
      <c r="D39" s="85"/>
      <c r="E39" s="57"/>
      <c r="F39" s="95"/>
      <c r="G39" s="95"/>
      <c r="H39" s="95"/>
      <c r="I39" s="95"/>
      <c r="J39" s="95"/>
      <c r="K39" s="95"/>
      <c r="L39" s="95"/>
      <c r="M39" s="95"/>
    </row>
    <row r="40" spans="2:26" ht="13" outlineLevel="2" x14ac:dyDescent="0.25">
      <c r="B40" s="91">
        <v>5</v>
      </c>
      <c r="C40" s="91">
        <v>2</v>
      </c>
      <c r="D40" s="92" t="s">
        <v>297</v>
      </c>
      <c r="E40" s="93"/>
      <c r="F40" s="96"/>
      <c r="G40" s="96"/>
      <c r="H40" s="96"/>
      <c r="I40" s="96"/>
      <c r="J40" s="96"/>
      <c r="K40" s="96"/>
      <c r="L40" s="96"/>
      <c r="M40" s="96"/>
    </row>
    <row r="41" spans="2:26" ht="13" outlineLevel="3" x14ac:dyDescent="0.25">
      <c r="B41" s="118" t="s">
        <v>298</v>
      </c>
      <c r="C41" s="102">
        <v>1</v>
      </c>
      <c r="D41" s="85" t="s">
        <v>194</v>
      </c>
      <c r="E41" s="57"/>
      <c r="F41" s="94">
        <v>1</v>
      </c>
      <c r="G41" s="103"/>
      <c r="H41" s="94">
        <v>1</v>
      </c>
      <c r="I41" s="103"/>
      <c r="J41" s="94">
        <v>1</v>
      </c>
      <c r="K41" s="103"/>
      <c r="L41" s="94"/>
      <c r="M41" s="103"/>
    </row>
    <row r="42" spans="2:26" ht="13" outlineLevel="3" x14ac:dyDescent="0.25">
      <c r="B42" s="118" t="s">
        <v>299</v>
      </c>
      <c r="C42" s="102">
        <v>2</v>
      </c>
      <c r="D42" s="85" t="s">
        <v>196</v>
      </c>
      <c r="E42" s="57"/>
      <c r="F42" s="94">
        <v>1</v>
      </c>
      <c r="G42" s="103"/>
      <c r="H42" s="94">
        <v>1</v>
      </c>
      <c r="I42" s="103"/>
      <c r="J42" s="94"/>
      <c r="K42" s="103"/>
      <c r="L42" s="94"/>
      <c r="M42" s="103"/>
    </row>
    <row r="43" spans="2:26" s="110" customFormat="1" ht="13" outlineLevel="3" x14ac:dyDescent="0.25">
      <c r="B43" s="118" t="s">
        <v>300</v>
      </c>
      <c r="C43" s="105">
        <v>3</v>
      </c>
      <c r="D43" s="106" t="s">
        <v>198</v>
      </c>
      <c r="E43" s="107"/>
      <c r="F43" s="94">
        <v>1</v>
      </c>
      <c r="G43" s="103"/>
      <c r="H43" s="94"/>
      <c r="I43" s="103"/>
      <c r="J43" s="94"/>
      <c r="K43" s="103"/>
      <c r="L43" s="94"/>
      <c r="M43" s="108"/>
    </row>
    <row r="44" spans="2:26" ht="13" outlineLevel="3" x14ac:dyDescent="0.25">
      <c r="B44" s="118" t="s">
        <v>301</v>
      </c>
      <c r="C44" s="102">
        <v>4</v>
      </c>
      <c r="D44" s="85" t="s">
        <v>200</v>
      </c>
      <c r="E44" s="57"/>
      <c r="F44" s="94">
        <v>1</v>
      </c>
      <c r="G44" s="103"/>
      <c r="H44" s="94">
        <v>1</v>
      </c>
      <c r="I44" s="103"/>
      <c r="J44" s="94">
        <v>1</v>
      </c>
      <c r="K44" s="103"/>
      <c r="L44" s="94"/>
      <c r="M44" s="103"/>
    </row>
    <row r="45" spans="2:26" ht="13" outlineLevel="3" x14ac:dyDescent="0.25">
      <c r="B45" s="118" t="s">
        <v>302</v>
      </c>
      <c r="C45" s="102">
        <v>5</v>
      </c>
      <c r="D45" s="85" t="s">
        <v>202</v>
      </c>
      <c r="E45" s="57"/>
      <c r="F45" s="94">
        <v>1</v>
      </c>
      <c r="G45" s="103"/>
      <c r="H45" s="94">
        <v>1</v>
      </c>
      <c r="I45" s="103"/>
      <c r="J45" s="94"/>
      <c r="K45" s="103"/>
      <c r="L45" s="94"/>
      <c r="M45" s="103"/>
    </row>
    <row r="46" spans="2:26" ht="13" outlineLevel="3" x14ac:dyDescent="0.25">
      <c r="B46" s="118" t="s">
        <v>303</v>
      </c>
      <c r="C46" s="102">
        <v>6</v>
      </c>
      <c r="D46" s="85" t="s">
        <v>204</v>
      </c>
      <c r="E46" s="57"/>
      <c r="F46" s="94">
        <v>1</v>
      </c>
      <c r="G46" s="103"/>
      <c r="H46" s="94">
        <v>1</v>
      </c>
      <c r="I46" s="103"/>
      <c r="J46" s="94"/>
      <c r="K46" s="103"/>
      <c r="L46" s="94"/>
      <c r="M46" s="103"/>
    </row>
    <row r="47" spans="2:26" s="110" customFormat="1" ht="13" outlineLevel="3" x14ac:dyDescent="0.25">
      <c r="B47" s="118" t="s">
        <v>304</v>
      </c>
      <c r="C47" s="105">
        <v>7</v>
      </c>
      <c r="D47" s="106" t="s">
        <v>206</v>
      </c>
      <c r="E47" s="107"/>
      <c r="F47" s="94">
        <v>1</v>
      </c>
      <c r="G47" s="103"/>
      <c r="H47" s="94"/>
      <c r="I47" s="103"/>
      <c r="J47" s="94">
        <v>1</v>
      </c>
      <c r="K47" s="103"/>
      <c r="L47" s="94"/>
      <c r="M47" s="108"/>
    </row>
    <row r="48" spans="2:26" ht="13" outlineLevel="3" x14ac:dyDescent="0.25">
      <c r="B48" s="118" t="s">
        <v>305</v>
      </c>
      <c r="C48" s="102">
        <v>9</v>
      </c>
      <c r="D48" s="106" t="s">
        <v>209</v>
      </c>
      <c r="E48" s="57"/>
      <c r="F48" s="94">
        <v>1</v>
      </c>
      <c r="G48" s="103"/>
      <c r="H48" s="70">
        <v>-1</v>
      </c>
      <c r="I48" s="103"/>
      <c r="J48" s="94">
        <v>1</v>
      </c>
      <c r="K48" s="103"/>
      <c r="L48" s="94"/>
      <c r="M48" s="103"/>
    </row>
    <row r="49" spans="2:13" ht="13" outlineLevel="3" x14ac:dyDescent="0.25">
      <c r="B49" s="118" t="s">
        <v>306</v>
      </c>
      <c r="C49" s="102">
        <v>10</v>
      </c>
      <c r="D49" s="85" t="s">
        <v>211</v>
      </c>
      <c r="E49" s="57"/>
      <c r="F49" s="70">
        <v>-1</v>
      </c>
      <c r="G49" s="103"/>
      <c r="H49" s="94"/>
      <c r="I49" s="103"/>
      <c r="J49" s="94"/>
      <c r="K49" s="103"/>
      <c r="L49" s="94"/>
      <c r="M49" s="103"/>
    </row>
    <row r="50" spans="2:13" ht="3" customHeight="1" outlineLevel="2" x14ac:dyDescent="0.25">
      <c r="B50" s="111"/>
      <c r="C50" s="111"/>
      <c r="D50" s="85"/>
      <c r="E50" s="57"/>
      <c r="F50" s="104"/>
      <c r="G50" s="103"/>
      <c r="H50" s="104"/>
      <c r="I50" s="103"/>
      <c r="J50" s="104"/>
      <c r="K50" s="103"/>
      <c r="L50" s="104"/>
      <c r="M50" s="103"/>
    </row>
    <row r="51" spans="2:13" ht="13" outlineLevel="2" x14ac:dyDescent="0.25">
      <c r="B51" s="91">
        <v>6</v>
      </c>
      <c r="C51" s="91">
        <v>3</v>
      </c>
      <c r="D51" s="92" t="s">
        <v>307</v>
      </c>
      <c r="E51" s="93"/>
      <c r="F51" s="96"/>
      <c r="G51" s="96"/>
      <c r="H51" s="96"/>
      <c r="I51" s="96"/>
      <c r="J51" s="96"/>
      <c r="K51" s="96"/>
      <c r="L51" s="96"/>
      <c r="M51" s="96"/>
    </row>
    <row r="52" spans="2:13" ht="13" outlineLevel="3" x14ac:dyDescent="0.25">
      <c r="B52" s="118" t="s">
        <v>308</v>
      </c>
      <c r="C52" s="102">
        <v>1</v>
      </c>
      <c r="D52" s="85" t="s">
        <v>194</v>
      </c>
      <c r="E52" s="57"/>
      <c r="F52" s="94">
        <v>1</v>
      </c>
      <c r="G52" s="103"/>
      <c r="H52" s="94">
        <v>1</v>
      </c>
      <c r="I52" s="103"/>
      <c r="J52" s="94">
        <v>1</v>
      </c>
      <c r="K52" s="103"/>
      <c r="L52" s="94"/>
      <c r="M52" s="103"/>
    </row>
    <row r="53" spans="2:13" ht="13" outlineLevel="3" x14ac:dyDescent="0.25">
      <c r="B53" s="118" t="s">
        <v>309</v>
      </c>
      <c r="C53" s="102">
        <v>2</v>
      </c>
      <c r="D53" s="85" t="s">
        <v>196</v>
      </c>
      <c r="E53" s="57"/>
      <c r="F53" s="94">
        <v>1</v>
      </c>
      <c r="G53" s="103"/>
      <c r="H53" s="94">
        <v>1</v>
      </c>
      <c r="I53" s="103"/>
      <c r="J53" s="94"/>
      <c r="K53" s="103"/>
      <c r="L53" s="94"/>
      <c r="M53" s="103"/>
    </row>
    <row r="54" spans="2:13" s="110" customFormat="1" ht="13" outlineLevel="3" x14ac:dyDescent="0.25">
      <c r="B54" s="118" t="s">
        <v>310</v>
      </c>
      <c r="C54" s="105">
        <v>3</v>
      </c>
      <c r="D54" s="106" t="s">
        <v>198</v>
      </c>
      <c r="E54" s="107"/>
      <c r="F54" s="94">
        <v>1</v>
      </c>
      <c r="G54" s="103"/>
      <c r="H54" s="94"/>
      <c r="I54" s="103"/>
      <c r="J54" s="94"/>
      <c r="K54" s="103"/>
      <c r="L54" s="94"/>
      <c r="M54" s="108"/>
    </row>
    <row r="55" spans="2:13" ht="13" outlineLevel="3" x14ac:dyDescent="0.25">
      <c r="B55" s="118" t="s">
        <v>311</v>
      </c>
      <c r="C55" s="102">
        <v>4</v>
      </c>
      <c r="D55" s="85" t="s">
        <v>200</v>
      </c>
      <c r="E55" s="57"/>
      <c r="F55" s="94">
        <v>1</v>
      </c>
      <c r="G55" s="103"/>
      <c r="H55" s="94">
        <v>1</v>
      </c>
      <c r="I55" s="103"/>
      <c r="J55" s="94">
        <v>1</v>
      </c>
      <c r="K55" s="103"/>
      <c r="L55" s="94"/>
      <c r="M55" s="103"/>
    </row>
    <row r="56" spans="2:13" ht="13" outlineLevel="3" x14ac:dyDescent="0.25">
      <c r="B56" s="118" t="s">
        <v>312</v>
      </c>
      <c r="C56" s="102">
        <v>5</v>
      </c>
      <c r="D56" s="85" t="s">
        <v>202</v>
      </c>
      <c r="E56" s="57"/>
      <c r="F56" s="94">
        <v>1</v>
      </c>
      <c r="G56" s="103"/>
      <c r="H56" s="94">
        <v>1</v>
      </c>
      <c r="I56" s="103"/>
      <c r="J56" s="94"/>
      <c r="K56" s="103"/>
      <c r="L56" s="94"/>
      <c r="M56" s="103"/>
    </row>
    <row r="57" spans="2:13" ht="13" outlineLevel="3" x14ac:dyDescent="0.25">
      <c r="B57" s="118" t="s">
        <v>313</v>
      </c>
      <c r="C57" s="102">
        <v>6</v>
      </c>
      <c r="D57" s="85" t="s">
        <v>204</v>
      </c>
      <c r="E57" s="57"/>
      <c r="F57" s="94">
        <v>1</v>
      </c>
      <c r="G57" s="103"/>
      <c r="H57" s="94">
        <v>1</v>
      </c>
      <c r="I57" s="103"/>
      <c r="J57" s="94"/>
      <c r="K57" s="103"/>
      <c r="L57" s="94"/>
      <c r="M57" s="103"/>
    </row>
    <row r="58" spans="2:13" s="110" customFormat="1" ht="13" outlineLevel="3" x14ac:dyDescent="0.25">
      <c r="B58" s="118" t="s">
        <v>314</v>
      </c>
      <c r="C58" s="105">
        <v>7</v>
      </c>
      <c r="D58" s="106" t="s">
        <v>206</v>
      </c>
      <c r="E58" s="107"/>
      <c r="F58" s="94">
        <v>1</v>
      </c>
      <c r="G58" s="103"/>
      <c r="H58" s="94"/>
      <c r="I58" s="103"/>
      <c r="J58" s="94">
        <v>1</v>
      </c>
      <c r="K58" s="103"/>
      <c r="L58" s="94"/>
      <c r="M58" s="108"/>
    </row>
    <row r="59" spans="2:13" ht="13" outlineLevel="3" x14ac:dyDescent="0.25">
      <c r="B59" s="118" t="s">
        <v>315</v>
      </c>
      <c r="C59" s="102">
        <v>9</v>
      </c>
      <c r="D59" s="106" t="s">
        <v>209</v>
      </c>
      <c r="E59" s="57"/>
      <c r="F59" s="94">
        <v>1</v>
      </c>
      <c r="G59" s="103"/>
      <c r="H59" s="70">
        <v>-1</v>
      </c>
      <c r="I59" s="103"/>
      <c r="J59" s="94">
        <v>1</v>
      </c>
      <c r="K59" s="103"/>
      <c r="L59" s="94"/>
      <c r="M59" s="103"/>
    </row>
    <row r="60" spans="2:13" ht="13" outlineLevel="3" x14ac:dyDescent="0.25">
      <c r="B60" s="118" t="s">
        <v>316</v>
      </c>
      <c r="C60" s="102">
        <v>10</v>
      </c>
      <c r="D60" s="85" t="s">
        <v>211</v>
      </c>
      <c r="E60" s="57"/>
      <c r="F60" s="70">
        <v>-1</v>
      </c>
      <c r="G60" s="103"/>
      <c r="H60" s="94"/>
      <c r="I60" s="103"/>
      <c r="J60" s="94"/>
      <c r="K60" s="103"/>
      <c r="L60" s="94"/>
      <c r="M60" s="103"/>
    </row>
    <row r="61" spans="2:13" ht="3" customHeight="1" outlineLevel="2" x14ac:dyDescent="0.25">
      <c r="B61" s="111"/>
      <c r="C61" s="111"/>
      <c r="D61" s="85"/>
      <c r="E61" s="57"/>
      <c r="F61" s="104"/>
      <c r="G61" s="103"/>
      <c r="H61" s="104"/>
      <c r="I61" s="103"/>
      <c r="J61" s="104"/>
      <c r="K61" s="103"/>
      <c r="L61" s="104"/>
      <c r="M61" s="103"/>
    </row>
    <row r="62" spans="2:13" ht="13" outlineLevel="2" x14ac:dyDescent="0.25">
      <c r="B62" s="91">
        <v>15</v>
      </c>
      <c r="C62" s="91">
        <v>14</v>
      </c>
      <c r="D62" s="92" t="s">
        <v>242</v>
      </c>
      <c r="E62" s="93"/>
      <c r="F62" s="96"/>
      <c r="G62" s="96"/>
      <c r="H62" s="96"/>
      <c r="I62" s="96"/>
      <c r="J62" s="96"/>
      <c r="K62" s="96"/>
      <c r="L62" s="96"/>
      <c r="M62" s="96"/>
    </row>
    <row r="63" spans="2:13" ht="13" outlineLevel="3" x14ac:dyDescent="0.25">
      <c r="B63" s="118" t="s">
        <v>317</v>
      </c>
      <c r="C63" s="118">
        <v>1</v>
      </c>
      <c r="D63" s="85" t="s">
        <v>318</v>
      </c>
      <c r="E63" s="57"/>
      <c r="F63" s="94">
        <v>1</v>
      </c>
      <c r="G63" s="103"/>
      <c r="H63" s="104"/>
      <c r="I63" s="103"/>
      <c r="J63" s="94">
        <v>1</v>
      </c>
      <c r="K63" s="94"/>
      <c r="L63" s="94">
        <v>1</v>
      </c>
      <c r="M63" s="103"/>
    </row>
    <row r="64" spans="2:13" ht="13" outlineLevel="3" x14ac:dyDescent="0.25">
      <c r="B64" s="118" t="s">
        <v>319</v>
      </c>
      <c r="C64" s="118">
        <v>2</v>
      </c>
      <c r="D64" s="85" t="s">
        <v>320</v>
      </c>
      <c r="E64" s="57"/>
      <c r="F64" s="94">
        <v>1</v>
      </c>
      <c r="G64" s="103"/>
      <c r="H64" s="104"/>
      <c r="I64" s="103"/>
      <c r="J64" s="94">
        <v>1</v>
      </c>
      <c r="K64" s="94"/>
      <c r="L64" s="94">
        <v>1</v>
      </c>
      <c r="M64" s="103"/>
    </row>
    <row r="65" spans="1:16" ht="3" customHeight="1" outlineLevel="2" x14ac:dyDescent="0.25">
      <c r="A65" s="57"/>
      <c r="B65" s="58"/>
      <c r="C65" s="58"/>
      <c r="D65" s="85"/>
      <c r="E65" s="57"/>
      <c r="F65" s="104"/>
      <c r="G65" s="103"/>
      <c r="H65" s="104"/>
      <c r="I65" s="103"/>
      <c r="J65" s="104"/>
      <c r="K65" s="103"/>
      <c r="L65" s="104"/>
      <c r="M65" s="103"/>
    </row>
    <row r="66" spans="1:16" ht="13" outlineLevel="2" x14ac:dyDescent="0.25">
      <c r="A66" s="57"/>
      <c r="B66" s="91">
        <v>16</v>
      </c>
      <c r="C66" s="91">
        <v>15</v>
      </c>
      <c r="D66" s="92" t="s">
        <v>249</v>
      </c>
      <c r="E66" s="93"/>
      <c r="F66" s="96"/>
      <c r="G66" s="96"/>
      <c r="H66" s="96"/>
      <c r="I66" s="96"/>
      <c r="J66" s="96"/>
      <c r="K66" s="96"/>
      <c r="L66" s="96"/>
      <c r="M66" s="96"/>
    </row>
    <row r="67" spans="1:16" ht="13" outlineLevel="3" x14ac:dyDescent="0.25">
      <c r="A67" s="57"/>
      <c r="B67" s="118" t="s">
        <v>250</v>
      </c>
      <c r="C67" s="102">
        <v>1</v>
      </c>
      <c r="D67" s="85" t="s">
        <v>251</v>
      </c>
      <c r="E67" s="57"/>
      <c r="F67" s="70">
        <v>-1</v>
      </c>
      <c r="G67" s="103"/>
      <c r="H67" s="104"/>
      <c r="I67" s="103"/>
      <c r="J67" s="94">
        <v>1</v>
      </c>
      <c r="K67" s="103"/>
      <c r="L67" s="94">
        <v>1</v>
      </c>
      <c r="M67" s="103"/>
      <c r="P67" s="118"/>
    </row>
    <row r="68" spans="1:16" ht="13" outlineLevel="3" x14ac:dyDescent="0.25">
      <c r="A68" s="57"/>
      <c r="B68" s="118" t="s">
        <v>252</v>
      </c>
      <c r="C68" s="102">
        <v>2</v>
      </c>
      <c r="D68" s="85" t="s">
        <v>253</v>
      </c>
      <c r="E68" s="57"/>
      <c r="F68" s="70">
        <v>-1</v>
      </c>
      <c r="G68" s="103"/>
      <c r="H68" s="70">
        <v>-1</v>
      </c>
      <c r="I68" s="103"/>
      <c r="J68" s="94"/>
      <c r="K68" s="103"/>
      <c r="L68" s="104"/>
      <c r="M68" s="103"/>
    </row>
    <row r="69" spans="1:16" ht="13" outlineLevel="3" x14ac:dyDescent="0.25">
      <c r="A69" s="57"/>
      <c r="B69" s="118" t="s">
        <v>254</v>
      </c>
      <c r="C69" s="102">
        <v>3</v>
      </c>
      <c r="D69" s="85" t="s">
        <v>255</v>
      </c>
      <c r="E69" s="57"/>
      <c r="F69" s="70">
        <v>-1</v>
      </c>
      <c r="G69" s="103"/>
      <c r="H69" s="70">
        <v>-1</v>
      </c>
      <c r="I69" s="103"/>
      <c r="J69" s="70">
        <v>-1</v>
      </c>
      <c r="K69" s="103"/>
      <c r="L69" s="104"/>
      <c r="M69" s="103"/>
    </row>
    <row r="70" spans="1:16" ht="13" outlineLevel="3" x14ac:dyDescent="0.25">
      <c r="A70" s="57"/>
      <c r="B70" s="118" t="s">
        <v>256</v>
      </c>
      <c r="C70" s="102">
        <v>4</v>
      </c>
      <c r="D70" s="85" t="s">
        <v>257</v>
      </c>
      <c r="E70" s="57"/>
      <c r="F70" s="94">
        <v>1</v>
      </c>
      <c r="G70" s="103"/>
      <c r="H70" s="104"/>
      <c r="I70" s="103"/>
      <c r="J70" s="104"/>
      <c r="K70" s="103"/>
      <c r="L70" s="94">
        <v>1</v>
      </c>
      <c r="M70" s="103"/>
    </row>
    <row r="71" spans="1:16" ht="3" customHeight="1" outlineLevel="2" x14ac:dyDescent="0.25">
      <c r="A71" s="57"/>
      <c r="B71" s="58"/>
      <c r="C71" s="58"/>
      <c r="D71" s="85"/>
      <c r="E71" s="57"/>
      <c r="F71" s="104"/>
      <c r="G71" s="103"/>
      <c r="H71" s="104"/>
      <c r="I71" s="103"/>
      <c r="J71" s="104"/>
      <c r="K71" s="103"/>
      <c r="L71" s="104"/>
      <c r="M71" s="103"/>
    </row>
    <row r="72" spans="1:16" ht="3" customHeight="1" outlineLevel="1" x14ac:dyDescent="0.25">
      <c r="A72" s="57"/>
      <c r="B72" s="58"/>
      <c r="C72" s="58"/>
      <c r="D72" s="88"/>
      <c r="E72" s="77"/>
      <c r="F72" s="84"/>
      <c r="G72" s="89"/>
      <c r="H72" s="84"/>
      <c r="I72" s="89"/>
      <c r="J72" s="84"/>
      <c r="K72" s="89"/>
      <c r="L72" s="84"/>
      <c r="M72" s="89"/>
    </row>
    <row r="73" spans="1:16" ht="17.5" outlineLevel="1" x14ac:dyDescent="0.25">
      <c r="A73" s="57"/>
      <c r="B73" s="85"/>
      <c r="C73" s="150" t="s">
        <v>269</v>
      </c>
      <c r="D73" s="150"/>
      <c r="E73" s="77"/>
      <c r="F73" s="86"/>
      <c r="G73" s="87"/>
      <c r="H73" s="86"/>
      <c r="I73" s="87"/>
      <c r="J73" s="86"/>
      <c r="K73" s="87"/>
      <c r="L73" s="86"/>
      <c r="M73" s="87"/>
    </row>
    <row r="74" spans="1:16" ht="3" customHeight="1" outlineLevel="2" x14ac:dyDescent="0.25">
      <c r="A74" s="57"/>
      <c r="B74" s="58"/>
      <c r="C74" s="58"/>
      <c r="D74" s="112"/>
      <c r="E74" s="77"/>
      <c r="F74" s="84"/>
      <c r="G74" s="89"/>
      <c r="H74" s="84"/>
      <c r="I74" s="89"/>
      <c r="J74" s="84"/>
      <c r="K74" s="89"/>
      <c r="L74" s="84"/>
      <c r="M74" s="89"/>
    </row>
    <row r="75" spans="1:16" ht="13" outlineLevel="2" x14ac:dyDescent="0.25">
      <c r="A75" s="57"/>
      <c r="B75" s="91">
        <v>1</v>
      </c>
      <c r="C75" s="91">
        <v>1</v>
      </c>
      <c r="D75" s="92" t="s">
        <v>270</v>
      </c>
      <c r="E75" s="93"/>
      <c r="F75" s="96"/>
      <c r="G75" s="96"/>
      <c r="H75" s="96"/>
      <c r="I75" s="96"/>
      <c r="J75" s="96"/>
      <c r="K75" s="96"/>
      <c r="L75" s="96"/>
      <c r="M75" s="96"/>
    </row>
    <row r="76" spans="1:16" ht="13" outlineLevel="3" x14ac:dyDescent="0.25">
      <c r="A76" s="57"/>
      <c r="B76" s="102">
        <v>1</v>
      </c>
      <c r="C76" s="102">
        <v>1</v>
      </c>
      <c r="D76" s="113" t="s">
        <v>271</v>
      </c>
      <c r="E76" s="60"/>
      <c r="F76" s="70">
        <v>-1</v>
      </c>
      <c r="G76" s="70"/>
      <c r="H76" s="70">
        <v>-1</v>
      </c>
      <c r="I76" s="70"/>
      <c r="J76" s="70">
        <v>-1</v>
      </c>
      <c r="K76" s="70"/>
      <c r="L76" s="70">
        <v>-1</v>
      </c>
      <c r="M76" s="114"/>
    </row>
    <row r="77" spans="1:16" ht="3" customHeight="1" x14ac:dyDescent="0.25">
      <c r="A77" s="57"/>
      <c r="B77" s="102"/>
      <c r="C77" s="102"/>
      <c r="D77" s="113"/>
      <c r="E77" s="60"/>
      <c r="F77" s="104"/>
      <c r="G77" s="114"/>
      <c r="H77" s="104"/>
      <c r="I77" s="114"/>
      <c r="J77" s="104"/>
      <c r="K77" s="114"/>
      <c r="L77" s="104"/>
      <c r="M77" s="114"/>
    </row>
    <row r="78" spans="1:16" ht="17.5" hidden="1" x14ac:dyDescent="0.25">
      <c r="A78" s="57"/>
      <c r="B78" s="85"/>
      <c r="C78" s="150" t="s">
        <v>272</v>
      </c>
      <c r="D78" s="150"/>
      <c r="E78" s="77"/>
      <c r="F78" s="86"/>
      <c r="G78" s="87"/>
      <c r="H78" s="86"/>
      <c r="I78" s="87"/>
      <c r="J78" s="86"/>
      <c r="K78" s="87"/>
      <c r="L78" s="86"/>
      <c r="M78" s="87"/>
    </row>
    <row r="98" spans="2:9" ht="11.9" customHeight="1" x14ac:dyDescent="0.25">
      <c r="B98" s="63"/>
      <c r="C98" s="63"/>
      <c r="D98" s="63"/>
      <c r="F98" s="63"/>
      <c r="G98" s="63"/>
      <c r="H98" s="63"/>
      <c r="I98" s="63"/>
    </row>
    <row r="99" spans="2:9" ht="11.9" customHeight="1" x14ac:dyDescent="0.25">
      <c r="B99" s="63"/>
      <c r="C99" s="63"/>
      <c r="D99" s="63"/>
      <c r="F99" s="63"/>
      <c r="G99" s="63"/>
      <c r="H99" s="63"/>
      <c r="I99" s="63"/>
    </row>
    <row r="101" spans="2:9" ht="11.9" customHeight="1" x14ac:dyDescent="0.25">
      <c r="B101" s="63"/>
      <c r="C101" s="63"/>
      <c r="D101" s="63"/>
      <c r="F101" s="63"/>
      <c r="G101" s="63"/>
      <c r="H101" s="63"/>
      <c r="I101" s="63"/>
    </row>
  </sheetData>
  <mergeCells count="9">
    <mergeCell ref="C9:D9"/>
    <mergeCell ref="C16:D16"/>
    <mergeCell ref="C73:D73"/>
    <mergeCell ref="C78:D78"/>
    <mergeCell ref="C2:D2"/>
    <mergeCell ref="C8:D8"/>
    <mergeCell ref="F8:G8"/>
    <mergeCell ref="H8:I8"/>
    <mergeCell ref="J8:K8"/>
  </mergeCells>
  <phoneticPr fontId="38" type="noConversion"/>
  <conditionalFormatting sqref="F11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F12:F13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F14">
    <cfRule type="iconSet" priority="85">
      <iconSet iconSet="3Symbols2" showValue="0">
        <cfvo type="percent" val="0"/>
        <cfvo type="num" val="0"/>
        <cfvo type="num" val="1"/>
      </iconSet>
    </cfRule>
  </conditionalFormatting>
  <conditionalFormatting sqref="F15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F18:F21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F22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F24:F27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F28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F38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F49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F60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F67:F69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F76:L76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H15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H18:H20">
    <cfRule type="iconSet" priority="65">
      <iconSet iconSet="3Symbols2" showValue="0">
        <cfvo type="percent" val="0"/>
        <cfvo type="num" val="0"/>
        <cfvo type="num" val="1"/>
      </iconSet>
    </cfRule>
  </conditionalFormatting>
  <conditionalFormatting sqref="H21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H24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H25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H26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H27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H37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H48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H59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H68:H69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J14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J19:J22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J25:J28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J31:J32 J34:J35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J42:J43 J45:J46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J53:J54 J56:J57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J69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L14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L15">
    <cfRule type="iconSet" priority="69">
      <iconSet iconSet="3Symbols2" showValue="0">
        <cfvo type="percent" val="0"/>
        <cfvo type="num" val="0"/>
        <cfvo type="num" val="1"/>
      </iconSet>
    </cfRule>
  </conditionalFormatting>
  <conditionalFormatting sqref="L30:L38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L41:L49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L52:L60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67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8" id="{229959F2-A79F-4F72-979B-950FDF2946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F30:F37</xm:sqref>
        </x14:conditionalFormatting>
        <x14:conditionalFormatting xmlns:xm="http://schemas.microsoft.com/office/excel/2006/main">
          <x14:cfRule type="iconSet" priority="25" id="{0B0EADEE-B9F6-46CD-85AB-F51AF99441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F41:F48</xm:sqref>
        </x14:conditionalFormatting>
        <x14:conditionalFormatting xmlns:xm="http://schemas.microsoft.com/office/excel/2006/main">
          <x14:cfRule type="iconSet" priority="19" id="{A8BD311D-1B96-4236-9E47-97486E0C48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F52:F59</xm:sqref>
        </x14:conditionalFormatting>
        <x14:conditionalFormatting xmlns:xm="http://schemas.microsoft.com/office/excel/2006/main">
          <x14:cfRule type="iconSet" priority="111" id="{8DA65BBE-C5E6-44FE-B297-1148AA133D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F63:F64</xm:sqref>
        </x14:conditionalFormatting>
        <x14:conditionalFormatting xmlns:xm="http://schemas.microsoft.com/office/excel/2006/main">
          <x14:cfRule type="iconSet" priority="36" id="{127ED7F0-1D45-47CA-961A-04848CAB74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F70</xm:sqref>
        </x14:conditionalFormatting>
        <x14:conditionalFormatting xmlns:xm="http://schemas.microsoft.com/office/excel/2006/main">
          <x14:cfRule type="iconSet" priority="60" id="{C7942403-533A-4DBF-BD29-3E21E90E92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H32 H36 H38</xm:sqref>
        </x14:conditionalFormatting>
        <x14:conditionalFormatting xmlns:xm="http://schemas.microsoft.com/office/excel/2006/main">
          <x14:cfRule type="iconSet" priority="58" id="{4F09ED0D-8FC5-4C60-A464-33EF37F024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H33:H35 H30:H31</xm:sqref>
        </x14:conditionalFormatting>
        <x14:conditionalFormatting xmlns:xm="http://schemas.microsoft.com/office/excel/2006/main">
          <x14:cfRule type="iconSet" priority="24" id="{E22A9F6D-162D-4C05-B958-19B14B0036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H43 H47 H49</xm:sqref>
        </x14:conditionalFormatting>
        <x14:conditionalFormatting xmlns:xm="http://schemas.microsoft.com/office/excel/2006/main">
          <x14:cfRule type="iconSet" priority="23" id="{220CF8A1-B84A-4354-BA80-4B8B16D1DB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H44:H46 H41:H42</xm:sqref>
        </x14:conditionalFormatting>
        <x14:conditionalFormatting xmlns:xm="http://schemas.microsoft.com/office/excel/2006/main">
          <x14:cfRule type="iconSet" priority="18" id="{E9C4D6C0-986C-4A06-BA7E-ED923888D7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H54 H58 H60</xm:sqref>
        </x14:conditionalFormatting>
        <x14:conditionalFormatting xmlns:xm="http://schemas.microsoft.com/office/excel/2006/main">
          <x14:cfRule type="iconSet" priority="17" id="{EFFC17CE-A7DE-4D30-ADC0-FE702D373E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H55:H57 H52:H53</xm:sqref>
        </x14:conditionalFormatting>
        <x14:conditionalFormatting xmlns:xm="http://schemas.microsoft.com/office/excel/2006/main">
          <x14:cfRule type="iconSet" priority="57" id="{0758A625-09A4-4BB4-B6D1-6A0D21A203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J36:J38 J33 J30</xm:sqref>
        </x14:conditionalFormatting>
        <x14:conditionalFormatting xmlns:xm="http://schemas.microsoft.com/office/excel/2006/main">
          <x14:cfRule type="iconSet" priority="22" id="{36EE89B8-F90F-42E2-B864-D2E6EAFD5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J47:J49 J44 J41</xm:sqref>
        </x14:conditionalFormatting>
        <x14:conditionalFormatting xmlns:xm="http://schemas.microsoft.com/office/excel/2006/main">
          <x14:cfRule type="iconSet" priority="16" id="{B2C057CB-A3FC-4022-BECF-3EE16B00E0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J58:J60 J55 J52</xm:sqref>
        </x14:conditionalFormatting>
        <x14:conditionalFormatting xmlns:xm="http://schemas.microsoft.com/office/excel/2006/main">
          <x14:cfRule type="iconSet" priority="34" id="{68B9F314-E290-4398-BCAF-3A7EEFE332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J67:J68</xm:sqref>
        </x14:conditionalFormatting>
        <x14:conditionalFormatting xmlns:xm="http://schemas.microsoft.com/office/excel/2006/main">
          <x14:cfRule type="iconSet" priority="112" id="{375CBE61-B3AB-4BFD-880E-B5AF07E778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J63:L64</xm:sqref>
        </x14:conditionalFormatting>
        <x14:conditionalFormatting xmlns:xm="http://schemas.microsoft.com/office/excel/2006/main">
          <x14:cfRule type="iconSet" priority="33" id="{9208BFAC-04C9-44EE-ABD0-E6381C31DD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L70 L67</xm:sqref>
        </x14:conditionalFormatting>
        <x14:conditionalFormatting xmlns:xm="http://schemas.microsoft.com/office/excel/2006/main">
          <x14:cfRule type="iconSet" priority="59" id="{D54A2FC3-1E5D-4870-9AC2-944EF6C7EF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D857-A18A-4A3A-930E-93F62597EAC1}">
  <sheetPr>
    <outlinePr summaryBelow="0" summaryRight="0"/>
    <pageSetUpPr fitToPage="1"/>
  </sheetPr>
  <dimension ref="A1:Z73"/>
  <sheetViews>
    <sheetView zoomScaleNormal="100" zoomScaleSheetLayoutView="35" workbookViewId="0">
      <pane xSplit="5" ySplit="7" topLeftCell="F8" activePane="bottomRight" state="frozen"/>
      <selection pane="topRight" activeCell="F1" sqref="F1"/>
      <selection pane="bottomLeft" activeCell="A7" sqref="A7"/>
      <selection pane="bottomRight" activeCell="O41" sqref="O41"/>
    </sheetView>
  </sheetViews>
  <sheetFormatPr defaultColWidth="11.453125" defaultRowHeight="11.9" customHeight="1" outlineLevelRow="3" x14ac:dyDescent="0.25"/>
  <cols>
    <col min="1" max="1" width="0.54296875" style="63" customWidth="1"/>
    <col min="2" max="2" width="7.81640625" style="99" bestFit="1" customWidth="1"/>
    <col min="3" max="3" width="5.453125" style="115" bestFit="1" customWidth="1"/>
    <col min="4" max="4" width="69.453125" style="116" bestFit="1" customWidth="1"/>
    <col min="5" max="5" width="0.453125" style="63" customWidth="1"/>
    <col min="6" max="6" width="7.54296875" style="100" customWidth="1"/>
    <col min="7" max="7" width="0.453125" style="101" customWidth="1"/>
    <col min="8" max="8" width="7.54296875" style="100" customWidth="1"/>
    <col min="9" max="9" width="0.453125" style="101" customWidth="1"/>
    <col min="10" max="10" width="7.54296875" style="100" customWidth="1"/>
    <col min="11" max="11" width="0.453125" style="101" customWidth="1"/>
    <col min="12" max="12" width="7.54296875" style="100" customWidth="1"/>
    <col min="13" max="13" width="0.453125" style="101" customWidth="1"/>
    <col min="14" max="16384" width="11.453125" style="63"/>
  </cols>
  <sheetData>
    <row r="1" spans="1:16" ht="3" customHeight="1" x14ac:dyDescent="0.25">
      <c r="A1" s="57"/>
      <c r="B1" s="58"/>
      <c r="C1" s="59"/>
      <c r="D1" s="60"/>
      <c r="E1" s="57"/>
      <c r="F1" s="61"/>
      <c r="G1" s="62"/>
      <c r="H1" s="61"/>
      <c r="I1" s="62"/>
      <c r="J1" s="61"/>
      <c r="K1" s="62"/>
      <c r="L1" s="61"/>
      <c r="M1" s="62"/>
    </row>
    <row r="2" spans="1:16" s="69" customFormat="1" ht="18.5" x14ac:dyDescent="0.25">
      <c r="A2" s="64"/>
      <c r="B2" s="65"/>
      <c r="C2" s="148" t="s">
        <v>321</v>
      </c>
      <c r="D2" s="148"/>
      <c r="E2" s="66"/>
      <c r="F2" s="67" t="s">
        <v>168</v>
      </c>
      <c r="G2" s="68"/>
      <c r="H2" s="67" t="s">
        <v>169</v>
      </c>
      <c r="I2" s="68"/>
      <c r="J2" s="67" t="s">
        <v>67</v>
      </c>
      <c r="K2" s="68"/>
      <c r="L2" s="67" t="s">
        <v>170</v>
      </c>
      <c r="M2" s="68"/>
      <c r="O2" s="70">
        <v>1</v>
      </c>
      <c r="P2" s="65" t="s">
        <v>171</v>
      </c>
    </row>
    <row r="3" spans="1:16" s="75" customFormat="1" ht="15" x14ac:dyDescent="0.3">
      <c r="A3" s="71"/>
      <c r="B3" s="72"/>
      <c r="C3" s="73"/>
      <c r="D3" s="74" t="s">
        <v>172</v>
      </c>
      <c r="E3" s="71"/>
      <c r="F3" s="71">
        <f>COUNTA(F$9:F$49)</f>
        <v>24</v>
      </c>
      <c r="G3" s="71"/>
      <c r="H3" s="71">
        <f>COUNTA(H$9:H$49)</f>
        <v>15</v>
      </c>
      <c r="I3" s="71"/>
      <c r="J3" s="71">
        <f>COUNTA(J$9:J$49)</f>
        <v>15</v>
      </c>
      <c r="K3" s="71"/>
      <c r="L3" s="71">
        <f>COUNTA(L$9:L$49)</f>
        <v>8</v>
      </c>
      <c r="M3" s="71"/>
      <c r="O3" s="70">
        <v>-1</v>
      </c>
      <c r="P3" s="65" t="s">
        <v>173</v>
      </c>
    </row>
    <row r="4" spans="1:16" s="75" customFormat="1" ht="15" x14ac:dyDescent="0.3">
      <c r="A4" s="71"/>
      <c r="B4" s="72"/>
      <c r="C4" s="73"/>
      <c r="D4" s="74" t="s">
        <v>174</v>
      </c>
      <c r="E4" s="71"/>
      <c r="F4" s="71">
        <f>COUNTIF(F$9:F$49,1)</f>
        <v>2</v>
      </c>
      <c r="G4" s="71"/>
      <c r="H4" s="71">
        <f>COUNTIF(H$9:H$49,1)</f>
        <v>1</v>
      </c>
      <c r="I4" s="71"/>
      <c r="J4" s="71">
        <f>COUNTIF(J$9:J$49,1)</f>
        <v>0</v>
      </c>
      <c r="K4" s="71"/>
      <c r="L4" s="71">
        <f>COUNTIF(L$9:L$49,1)</f>
        <v>0</v>
      </c>
      <c r="M4" s="71"/>
      <c r="O4" s="65"/>
      <c r="P4" s="65" t="s">
        <v>175</v>
      </c>
    </row>
    <row r="5" spans="1:16" ht="3" customHeight="1" x14ac:dyDescent="0.25">
      <c r="A5" s="57"/>
      <c r="B5" s="58"/>
      <c r="C5" s="59"/>
      <c r="D5" s="76"/>
      <c r="E5" s="77"/>
      <c r="F5" s="61"/>
      <c r="G5" s="78"/>
      <c r="H5" s="61"/>
      <c r="I5" s="78"/>
      <c r="J5" s="61"/>
      <c r="K5" s="78"/>
      <c r="L5" s="61"/>
      <c r="M5" s="78"/>
    </row>
    <row r="6" spans="1:16" ht="3" customHeight="1" x14ac:dyDescent="0.25">
      <c r="A6" s="57"/>
      <c r="B6" s="79"/>
      <c r="C6" s="80"/>
      <c r="D6" s="81"/>
      <c r="E6" s="82"/>
      <c r="F6" s="83"/>
      <c r="G6" s="83"/>
      <c r="H6" s="83"/>
      <c r="I6" s="83"/>
      <c r="J6" s="83"/>
      <c r="K6" s="83"/>
      <c r="L6" s="83"/>
      <c r="M6" s="83"/>
    </row>
    <row r="7" spans="1:16" ht="3.65" customHeight="1" x14ac:dyDescent="0.25">
      <c r="A7" s="57"/>
      <c r="B7" s="58"/>
      <c r="C7" s="59"/>
      <c r="D7" s="76"/>
      <c r="E7" s="77"/>
      <c r="F7" s="84"/>
      <c r="G7" s="78"/>
      <c r="H7" s="84"/>
      <c r="I7" s="78"/>
      <c r="J7" s="84"/>
      <c r="K7" s="78"/>
      <c r="L7" s="84"/>
      <c r="M7" s="78"/>
    </row>
    <row r="8" spans="1:16" ht="24" customHeight="1" x14ac:dyDescent="0.25">
      <c r="A8" s="57"/>
      <c r="B8" s="22"/>
      <c r="C8" s="151" t="s">
        <v>322</v>
      </c>
      <c r="D8" s="152"/>
      <c r="E8" s="77"/>
      <c r="F8" s="151"/>
      <c r="G8" s="152"/>
      <c r="H8" s="151"/>
      <c r="I8" s="152"/>
      <c r="J8" s="151"/>
      <c r="K8" s="152"/>
      <c r="L8" s="119"/>
      <c r="M8" s="78"/>
    </row>
    <row r="9" spans="1:16" ht="17.5" outlineLevel="1" x14ac:dyDescent="0.25">
      <c r="A9" s="57"/>
      <c r="B9" s="85"/>
      <c r="C9" s="149" t="s">
        <v>177</v>
      </c>
      <c r="D9" s="149"/>
      <c r="E9" s="77"/>
      <c r="F9" s="86"/>
      <c r="G9" s="87"/>
      <c r="H9" s="86"/>
      <c r="I9" s="87"/>
      <c r="J9" s="86"/>
      <c r="K9" s="87"/>
      <c r="L9" s="86"/>
      <c r="M9" s="87"/>
    </row>
    <row r="10" spans="1:16" ht="3" customHeight="1" outlineLevel="2" x14ac:dyDescent="0.25">
      <c r="A10" s="57"/>
      <c r="B10" s="58"/>
      <c r="C10" s="58"/>
      <c r="D10" s="88"/>
      <c r="E10" s="77"/>
      <c r="F10" s="84"/>
      <c r="G10" s="89"/>
      <c r="H10" s="84"/>
      <c r="I10" s="89"/>
      <c r="J10" s="84"/>
      <c r="K10" s="89"/>
      <c r="L10" s="84"/>
      <c r="M10" s="89"/>
    </row>
    <row r="11" spans="1:16" ht="13" outlineLevel="2" x14ac:dyDescent="0.25">
      <c r="A11" s="57"/>
      <c r="B11" s="90">
        <v>1</v>
      </c>
      <c r="C11" s="91">
        <v>1</v>
      </c>
      <c r="D11" s="92" t="s">
        <v>178</v>
      </c>
      <c r="E11" s="93"/>
      <c r="F11" s="94">
        <v>1</v>
      </c>
      <c r="G11" s="95"/>
      <c r="H11" s="94"/>
      <c r="I11" s="95"/>
      <c r="J11" s="94"/>
      <c r="K11" s="95"/>
      <c r="L11" s="94"/>
      <c r="M11" s="96"/>
    </row>
    <row r="12" spans="1:16" ht="13" outlineLevel="2" x14ac:dyDescent="0.25">
      <c r="A12" s="57"/>
      <c r="B12" s="90">
        <v>2</v>
      </c>
      <c r="C12" s="91">
        <v>2</v>
      </c>
      <c r="D12" s="92" t="s">
        <v>179</v>
      </c>
      <c r="E12" s="93"/>
      <c r="F12" s="94">
        <v>1</v>
      </c>
      <c r="G12" s="95"/>
      <c r="H12" s="94">
        <v>1</v>
      </c>
      <c r="I12" s="95"/>
      <c r="J12" s="70">
        <v>-1</v>
      </c>
      <c r="K12" s="95"/>
      <c r="L12" s="70">
        <v>-1</v>
      </c>
      <c r="M12" s="96"/>
    </row>
    <row r="13" spans="1:16" ht="14" outlineLevel="2" x14ac:dyDescent="0.25">
      <c r="B13" s="90">
        <v>3</v>
      </c>
      <c r="C13" s="91">
        <v>3</v>
      </c>
      <c r="D13" s="92" t="s">
        <v>180</v>
      </c>
      <c r="E13" s="93"/>
      <c r="F13" s="70">
        <v>-1</v>
      </c>
      <c r="G13" s="97"/>
      <c r="H13" s="70">
        <v>-1</v>
      </c>
      <c r="I13" s="97"/>
      <c r="J13" s="70">
        <v>-1</v>
      </c>
      <c r="K13" s="97"/>
      <c r="L13" s="70">
        <v>-1</v>
      </c>
      <c r="M13" s="98"/>
    </row>
    <row r="14" spans="1:16" ht="14" outlineLevel="2" x14ac:dyDescent="0.25">
      <c r="B14" s="90">
        <v>4</v>
      </c>
      <c r="C14" s="91">
        <v>4</v>
      </c>
      <c r="D14" s="92" t="s">
        <v>181</v>
      </c>
      <c r="E14" s="93"/>
      <c r="F14" s="70">
        <v>-1</v>
      </c>
      <c r="G14" s="97"/>
      <c r="H14" s="94"/>
      <c r="I14" s="97"/>
      <c r="J14" s="70">
        <v>-1</v>
      </c>
      <c r="K14" s="97"/>
      <c r="L14" s="70">
        <v>-1</v>
      </c>
      <c r="M14" s="98"/>
    </row>
    <row r="15" spans="1:16" ht="14" outlineLevel="2" x14ac:dyDescent="0.25">
      <c r="B15" s="90">
        <v>5</v>
      </c>
      <c r="C15" s="91">
        <v>5</v>
      </c>
      <c r="D15" s="92" t="s">
        <v>182</v>
      </c>
      <c r="E15" s="93"/>
      <c r="F15" s="70">
        <v>-1</v>
      </c>
      <c r="G15" s="97"/>
      <c r="H15" s="94"/>
      <c r="I15" s="97"/>
      <c r="J15" s="94"/>
      <c r="K15" s="97"/>
      <c r="L15" s="70">
        <v>-1</v>
      </c>
      <c r="M15" s="98"/>
    </row>
    <row r="16" spans="1:16" ht="20.5" customHeight="1" outlineLevel="1" x14ac:dyDescent="0.25">
      <c r="B16" s="85"/>
      <c r="C16" s="149" t="s">
        <v>183</v>
      </c>
      <c r="D16" s="149"/>
      <c r="E16" s="77"/>
      <c r="F16" s="86"/>
      <c r="G16" s="87"/>
      <c r="H16" s="86"/>
      <c r="I16" s="87"/>
      <c r="J16" s="86"/>
      <c r="K16" s="87"/>
      <c r="L16" s="86"/>
      <c r="M16" s="87"/>
    </row>
    <row r="17" spans="2:26" ht="13" outlineLevel="2" x14ac:dyDescent="0.25">
      <c r="B17" s="91"/>
      <c r="C17" s="91"/>
      <c r="D17" s="92" t="s">
        <v>323</v>
      </c>
      <c r="E17" s="93"/>
      <c r="F17" s="96"/>
      <c r="G17" s="96"/>
      <c r="H17" s="96"/>
      <c r="I17" s="96"/>
      <c r="J17" s="96"/>
      <c r="K17" s="96"/>
      <c r="L17" s="96"/>
      <c r="M17" s="96"/>
    </row>
    <row r="18" spans="2:26" ht="15" customHeight="1" outlineLevel="3" x14ac:dyDescent="0.25">
      <c r="B18" s="118" t="s">
        <v>276</v>
      </c>
      <c r="C18" s="102">
        <v>1</v>
      </c>
      <c r="D18" s="85" t="s">
        <v>185</v>
      </c>
      <c r="F18" s="94"/>
      <c r="H18" s="70">
        <v>-1</v>
      </c>
    </row>
    <row r="19" spans="2:26" ht="15" customHeight="1" outlineLevel="3" x14ac:dyDescent="0.25">
      <c r="B19" s="118" t="s">
        <v>277</v>
      </c>
      <c r="C19" s="102">
        <v>2</v>
      </c>
      <c r="D19" s="85" t="s">
        <v>186</v>
      </c>
      <c r="F19" s="70">
        <v>-1</v>
      </c>
      <c r="H19" s="70">
        <v>-1</v>
      </c>
      <c r="J19" s="70">
        <v>-1</v>
      </c>
    </row>
    <row r="20" spans="2:26" ht="15" customHeight="1" outlineLevel="3" x14ac:dyDescent="0.25">
      <c r="B20" s="118" t="s">
        <v>278</v>
      </c>
      <c r="C20" s="102">
        <v>3</v>
      </c>
      <c r="D20" s="85" t="s">
        <v>187</v>
      </c>
      <c r="F20" s="70">
        <v>-1</v>
      </c>
      <c r="H20" s="70">
        <v>-1</v>
      </c>
      <c r="J20" s="70">
        <v>-1</v>
      </c>
    </row>
    <row r="21" spans="2:26" ht="15" customHeight="1" outlineLevel="3" x14ac:dyDescent="0.25">
      <c r="B21" s="118" t="s">
        <v>279</v>
      </c>
      <c r="C21" s="102">
        <v>4</v>
      </c>
      <c r="D21" s="85" t="s">
        <v>188</v>
      </c>
      <c r="F21" s="70">
        <v>-1</v>
      </c>
      <c r="H21" s="70">
        <v>-1</v>
      </c>
      <c r="J21" s="70">
        <v>-1</v>
      </c>
    </row>
    <row r="22" spans="2:26" ht="15" customHeight="1" outlineLevel="3" x14ac:dyDescent="0.25">
      <c r="B22" s="118" t="s">
        <v>280</v>
      </c>
      <c r="C22" s="102">
        <v>5</v>
      </c>
      <c r="D22" s="85" t="s">
        <v>189</v>
      </c>
      <c r="F22" s="70">
        <v>-1</v>
      </c>
      <c r="J22" s="70">
        <v>-1</v>
      </c>
    </row>
    <row r="23" spans="2:26" ht="13" outlineLevel="2" x14ac:dyDescent="0.25">
      <c r="B23" s="91">
        <v>4</v>
      </c>
      <c r="C23" s="91"/>
      <c r="D23" s="121" t="s">
        <v>324</v>
      </c>
      <c r="E23" s="93"/>
      <c r="F23" s="96"/>
      <c r="G23" s="96"/>
      <c r="H23" s="96"/>
      <c r="I23" s="96"/>
      <c r="J23" s="96"/>
      <c r="K23" s="96"/>
      <c r="L23" s="96"/>
      <c r="M23" s="96"/>
    </row>
    <row r="24" spans="2:26" ht="13" outlineLevel="3" x14ac:dyDescent="0.25">
      <c r="B24" s="118"/>
      <c r="C24" s="102">
        <v>1</v>
      </c>
      <c r="D24" s="85" t="s">
        <v>194</v>
      </c>
      <c r="E24" s="57"/>
      <c r="F24" s="70">
        <v>-1</v>
      </c>
      <c r="G24" s="103"/>
      <c r="H24" s="70">
        <v>-1</v>
      </c>
      <c r="I24" s="103"/>
      <c r="J24" s="70">
        <v>-1</v>
      </c>
      <c r="K24" s="103"/>
      <c r="L24" s="94"/>
      <c r="M24" s="103"/>
    </row>
    <row r="25" spans="2:26" ht="13" outlineLevel="3" x14ac:dyDescent="0.25">
      <c r="B25" s="118"/>
      <c r="C25" s="102">
        <v>2</v>
      </c>
      <c r="D25" s="85" t="s">
        <v>196</v>
      </c>
      <c r="E25" s="57"/>
      <c r="F25" s="70">
        <v>-1</v>
      </c>
      <c r="G25" s="103"/>
      <c r="H25" s="70">
        <v>-1</v>
      </c>
      <c r="I25" s="103"/>
      <c r="J25" s="94"/>
      <c r="K25" s="103"/>
      <c r="L25" s="94"/>
      <c r="M25" s="103"/>
    </row>
    <row r="26" spans="2:26" ht="13" outlineLevel="3" x14ac:dyDescent="0.25">
      <c r="B26" s="118"/>
      <c r="C26" s="102">
        <v>3</v>
      </c>
      <c r="D26" s="85" t="s">
        <v>198</v>
      </c>
      <c r="E26" s="57"/>
      <c r="F26" s="70">
        <v>-1</v>
      </c>
      <c r="G26" s="103"/>
      <c r="H26" s="94"/>
      <c r="I26" s="103"/>
      <c r="J26" s="94"/>
      <c r="K26" s="103"/>
      <c r="L26" s="94"/>
      <c r="M26" s="103"/>
    </row>
    <row r="27" spans="2:26" ht="13" outlineLevel="3" x14ac:dyDescent="0.25">
      <c r="B27" s="118"/>
      <c r="C27" s="102">
        <v>4</v>
      </c>
      <c r="D27" s="85" t="s">
        <v>200</v>
      </c>
      <c r="E27" s="57"/>
      <c r="F27" s="70">
        <v>-1</v>
      </c>
      <c r="G27" s="103"/>
      <c r="H27" s="70">
        <v>-1</v>
      </c>
      <c r="I27" s="103"/>
      <c r="J27" s="70">
        <v>-1</v>
      </c>
      <c r="K27" s="103"/>
      <c r="L27" s="94"/>
      <c r="M27" s="103"/>
    </row>
    <row r="28" spans="2:26" ht="13" outlineLevel="3" x14ac:dyDescent="0.25">
      <c r="B28" s="118"/>
      <c r="C28" s="102">
        <v>5</v>
      </c>
      <c r="D28" s="85" t="s">
        <v>202</v>
      </c>
      <c r="E28" s="57"/>
      <c r="F28" s="70">
        <v>-1</v>
      </c>
      <c r="G28" s="103"/>
      <c r="H28" s="70">
        <v>-1</v>
      </c>
      <c r="I28" s="103"/>
      <c r="J28" s="94"/>
      <c r="K28" s="103"/>
      <c r="L28" s="94"/>
      <c r="M28" s="103"/>
    </row>
    <row r="29" spans="2:26" ht="13" outlineLevel="3" x14ac:dyDescent="0.25">
      <c r="B29" s="118"/>
      <c r="C29" s="102">
        <v>6</v>
      </c>
      <c r="D29" s="85" t="s">
        <v>204</v>
      </c>
      <c r="E29" s="57"/>
      <c r="F29" s="70">
        <v>-1</v>
      </c>
      <c r="G29" s="103"/>
      <c r="H29" s="70">
        <v>-1</v>
      </c>
      <c r="I29" s="103"/>
      <c r="J29" s="94"/>
      <c r="K29" s="103"/>
      <c r="L29" s="94"/>
      <c r="M29" s="103"/>
    </row>
    <row r="30" spans="2:26" s="110" customFormat="1" ht="13" outlineLevel="3" x14ac:dyDescent="0.25">
      <c r="B30" s="118"/>
      <c r="C30" s="105">
        <v>7</v>
      </c>
      <c r="D30" s="106" t="s">
        <v>206</v>
      </c>
      <c r="E30" s="107"/>
      <c r="F30" s="70">
        <v>-1</v>
      </c>
      <c r="G30" s="103"/>
      <c r="H30" s="94"/>
      <c r="I30" s="103"/>
      <c r="J30" s="70">
        <v>-1</v>
      </c>
      <c r="K30" s="103"/>
      <c r="L30" s="94"/>
      <c r="M30" s="108"/>
      <c r="N30" s="94"/>
      <c r="Z30" s="110" t="s">
        <v>207</v>
      </c>
    </row>
    <row r="31" spans="2:26" s="110" customFormat="1" ht="13" outlineLevel="3" x14ac:dyDescent="0.25">
      <c r="B31" s="118"/>
      <c r="C31" s="105">
        <v>9</v>
      </c>
      <c r="D31" s="106" t="s">
        <v>209</v>
      </c>
      <c r="E31" s="107"/>
      <c r="F31" s="70">
        <v>-1</v>
      </c>
      <c r="G31" s="103"/>
      <c r="H31" s="70">
        <v>-1</v>
      </c>
      <c r="I31" s="103"/>
      <c r="J31" s="70">
        <v>-1</v>
      </c>
      <c r="K31" s="103"/>
      <c r="L31" s="94"/>
      <c r="M31" s="108"/>
    </row>
    <row r="32" spans="2:26" s="110" customFormat="1" ht="13" outlineLevel="3" x14ac:dyDescent="0.25">
      <c r="B32" s="118"/>
      <c r="C32" s="105">
        <v>10</v>
      </c>
      <c r="D32" s="106" t="s">
        <v>211</v>
      </c>
      <c r="E32" s="107"/>
      <c r="F32" s="70">
        <v>-1</v>
      </c>
      <c r="G32" s="103"/>
      <c r="H32" s="94"/>
      <c r="I32" s="103"/>
      <c r="J32" s="94"/>
      <c r="K32" s="103"/>
      <c r="L32" s="94"/>
      <c r="M32" s="108"/>
    </row>
    <row r="33" spans="1:16" ht="3" customHeight="1" outlineLevel="2" x14ac:dyDescent="0.25">
      <c r="B33" s="111"/>
      <c r="C33" s="111"/>
      <c r="D33" s="85"/>
      <c r="E33" s="57"/>
      <c r="F33" s="95"/>
      <c r="G33" s="95"/>
      <c r="H33" s="95"/>
      <c r="I33" s="95"/>
      <c r="J33" s="95"/>
      <c r="K33" s="95"/>
      <c r="L33" s="95"/>
      <c r="M33" s="95"/>
    </row>
    <row r="34" spans="1:16" ht="3" customHeight="1" outlineLevel="2" x14ac:dyDescent="0.25">
      <c r="B34" s="111"/>
      <c r="C34" s="111"/>
      <c r="D34" s="85"/>
      <c r="E34" s="57"/>
      <c r="F34" s="104"/>
      <c r="G34" s="103"/>
      <c r="H34" s="104"/>
      <c r="I34" s="103"/>
      <c r="J34" s="104"/>
      <c r="K34" s="103"/>
      <c r="L34" s="104"/>
      <c r="M34" s="103"/>
    </row>
    <row r="35" spans="1:16" ht="13" outlineLevel="2" x14ac:dyDescent="0.25">
      <c r="B35" s="91">
        <v>15</v>
      </c>
      <c r="C35" s="91"/>
      <c r="D35" s="92" t="s">
        <v>242</v>
      </c>
      <c r="E35" s="93"/>
      <c r="F35" s="96"/>
      <c r="G35" s="96"/>
      <c r="H35" s="96"/>
      <c r="I35" s="96"/>
      <c r="J35" s="96"/>
      <c r="K35" s="96"/>
      <c r="L35" s="96"/>
      <c r="M35" s="96"/>
    </row>
    <row r="36" spans="1:16" ht="13" outlineLevel="3" x14ac:dyDescent="0.25">
      <c r="B36" s="118" t="s">
        <v>317</v>
      </c>
      <c r="C36" s="118">
        <v>1</v>
      </c>
      <c r="D36" s="85" t="s">
        <v>318</v>
      </c>
      <c r="E36" s="57"/>
      <c r="F36" s="70">
        <v>-1</v>
      </c>
      <c r="G36" s="103"/>
      <c r="H36" s="104"/>
      <c r="I36" s="103"/>
      <c r="J36" s="70">
        <v>-1</v>
      </c>
      <c r="K36" s="94"/>
      <c r="L36" s="70">
        <v>-1</v>
      </c>
      <c r="M36" s="103"/>
    </row>
    <row r="37" spans="1:16" ht="3" customHeight="1" outlineLevel="2" x14ac:dyDescent="0.25">
      <c r="A37" s="57"/>
      <c r="B37" s="58"/>
      <c r="C37" s="58"/>
      <c r="D37" s="85"/>
      <c r="E37" s="57"/>
      <c r="F37" s="104"/>
      <c r="G37" s="103"/>
      <c r="H37" s="104"/>
      <c r="I37" s="103"/>
      <c r="J37" s="104"/>
      <c r="K37" s="103"/>
      <c r="L37" s="104"/>
      <c r="M37" s="103"/>
    </row>
    <row r="38" spans="1:16" ht="13" outlineLevel="2" x14ac:dyDescent="0.25">
      <c r="A38" s="57"/>
      <c r="B38" s="91">
        <v>16</v>
      </c>
      <c r="C38" s="91"/>
      <c r="D38" s="92" t="s">
        <v>249</v>
      </c>
      <c r="E38" s="93"/>
      <c r="F38" s="96"/>
      <c r="G38" s="96"/>
      <c r="H38" s="96"/>
      <c r="I38" s="96"/>
      <c r="J38" s="96"/>
      <c r="K38" s="96"/>
      <c r="L38" s="96"/>
      <c r="M38" s="96"/>
    </row>
    <row r="39" spans="1:16" ht="13" outlineLevel="3" x14ac:dyDescent="0.25">
      <c r="A39" s="57"/>
      <c r="B39" s="118" t="s">
        <v>250</v>
      </c>
      <c r="C39" s="102">
        <v>1</v>
      </c>
      <c r="D39" s="85" t="s">
        <v>251</v>
      </c>
      <c r="E39" s="57"/>
      <c r="F39" s="70">
        <v>-1</v>
      </c>
      <c r="G39" s="103"/>
      <c r="H39" s="104"/>
      <c r="I39" s="103"/>
      <c r="J39" s="70">
        <v>-1</v>
      </c>
      <c r="K39" s="103"/>
      <c r="L39" s="70">
        <v>-1</v>
      </c>
      <c r="M39" s="103"/>
      <c r="P39" s="118"/>
    </row>
    <row r="40" spans="1:16" ht="13" outlineLevel="3" x14ac:dyDescent="0.25">
      <c r="A40" s="57"/>
      <c r="B40" s="118" t="s">
        <v>252</v>
      </c>
      <c r="C40" s="102">
        <v>2</v>
      </c>
      <c r="D40" s="85" t="s">
        <v>253</v>
      </c>
      <c r="E40" s="57"/>
      <c r="F40" s="70">
        <v>-1</v>
      </c>
      <c r="G40" s="103"/>
      <c r="H40" s="70">
        <v>-1</v>
      </c>
      <c r="I40" s="103"/>
      <c r="J40" s="94"/>
      <c r="K40" s="103"/>
      <c r="L40" s="104"/>
      <c r="M40" s="103"/>
    </row>
    <row r="41" spans="1:16" ht="13" outlineLevel="3" x14ac:dyDescent="0.25">
      <c r="A41" s="57"/>
      <c r="B41" s="118" t="s">
        <v>254</v>
      </c>
      <c r="C41" s="102">
        <v>3</v>
      </c>
      <c r="D41" s="85" t="s">
        <v>255</v>
      </c>
      <c r="E41" s="57"/>
      <c r="F41" s="70">
        <v>-1</v>
      </c>
      <c r="G41" s="103"/>
      <c r="H41" s="70">
        <v>-1</v>
      </c>
      <c r="I41" s="103"/>
      <c r="J41" s="70">
        <v>-1</v>
      </c>
      <c r="K41" s="103"/>
      <c r="L41" s="104"/>
      <c r="M41" s="103"/>
    </row>
    <row r="42" spans="1:16" ht="13" outlineLevel="3" x14ac:dyDescent="0.25">
      <c r="A42" s="57"/>
      <c r="B42" s="118" t="s">
        <v>256</v>
      </c>
      <c r="C42" s="102">
        <v>4</v>
      </c>
      <c r="D42" s="85" t="s">
        <v>257</v>
      </c>
      <c r="E42" s="57"/>
      <c r="F42" s="70">
        <v>-1</v>
      </c>
      <c r="G42" s="103"/>
      <c r="H42" s="104"/>
      <c r="I42" s="103"/>
      <c r="J42" s="104"/>
      <c r="K42" s="103"/>
      <c r="L42" s="70">
        <v>-1</v>
      </c>
      <c r="M42" s="103"/>
    </row>
    <row r="43" spans="1:16" ht="3" customHeight="1" outlineLevel="2" x14ac:dyDescent="0.25">
      <c r="A43" s="57"/>
      <c r="B43" s="58"/>
      <c r="C43" s="58"/>
      <c r="D43" s="85"/>
      <c r="E43" s="57"/>
      <c r="F43" s="104"/>
      <c r="G43" s="103"/>
      <c r="H43" s="104"/>
      <c r="I43" s="103"/>
      <c r="J43" s="104"/>
      <c r="K43" s="103"/>
      <c r="L43" s="104"/>
      <c r="M43" s="103"/>
    </row>
    <row r="44" spans="1:16" ht="17.5" outlineLevel="1" x14ac:dyDescent="0.25">
      <c r="A44" s="57"/>
      <c r="B44" s="85"/>
      <c r="C44" s="150" t="s">
        <v>269</v>
      </c>
      <c r="D44" s="150"/>
      <c r="E44" s="77"/>
      <c r="F44" s="86"/>
      <c r="G44" s="87"/>
      <c r="H44" s="86"/>
      <c r="I44" s="87"/>
      <c r="J44" s="86"/>
      <c r="K44" s="87"/>
      <c r="L44" s="86"/>
      <c r="M44" s="87"/>
    </row>
    <row r="45" spans="1:16" ht="3" customHeight="1" outlineLevel="2" x14ac:dyDescent="0.25">
      <c r="A45" s="57"/>
      <c r="B45" s="58"/>
      <c r="C45" s="58"/>
      <c r="D45" s="112"/>
      <c r="E45" s="77"/>
      <c r="F45" s="84"/>
      <c r="G45" s="89"/>
      <c r="H45" s="84"/>
      <c r="I45" s="89"/>
      <c r="J45" s="84"/>
      <c r="K45" s="89"/>
      <c r="L45" s="84"/>
      <c r="M45" s="89"/>
    </row>
    <row r="46" spans="1:16" ht="13" outlineLevel="2" x14ac:dyDescent="0.25">
      <c r="A46" s="57"/>
      <c r="B46" s="91">
        <v>1</v>
      </c>
      <c r="C46" s="91">
        <v>1</v>
      </c>
      <c r="D46" s="92" t="s">
        <v>270</v>
      </c>
      <c r="E46" s="93"/>
      <c r="F46" s="96"/>
      <c r="G46" s="96"/>
      <c r="H46" s="96"/>
      <c r="I46" s="96"/>
      <c r="J46" s="96"/>
      <c r="K46" s="96"/>
      <c r="L46" s="96"/>
      <c r="M46" s="96"/>
    </row>
    <row r="47" spans="1:16" ht="13" outlineLevel="3" x14ac:dyDescent="0.25">
      <c r="A47" s="57"/>
      <c r="B47" s="102">
        <v>1</v>
      </c>
      <c r="C47" s="102">
        <v>1</v>
      </c>
      <c r="D47" s="113" t="s">
        <v>271</v>
      </c>
      <c r="E47" s="60"/>
      <c r="F47" s="70">
        <v>-1</v>
      </c>
      <c r="G47" s="70"/>
      <c r="H47" s="70">
        <v>-1</v>
      </c>
      <c r="I47" s="70"/>
      <c r="J47" s="70">
        <v>-1</v>
      </c>
      <c r="K47" s="70"/>
      <c r="L47" s="70">
        <v>-1</v>
      </c>
      <c r="M47" s="114"/>
    </row>
    <row r="48" spans="1:16" ht="3" customHeight="1" x14ac:dyDescent="0.25">
      <c r="A48" s="57"/>
      <c r="B48" s="102"/>
      <c r="C48" s="102"/>
      <c r="D48" s="113"/>
      <c r="E48" s="60"/>
      <c r="F48" s="104"/>
      <c r="G48" s="114"/>
      <c r="H48" s="104"/>
      <c r="I48" s="114"/>
      <c r="J48" s="104"/>
      <c r="K48" s="114"/>
      <c r="L48" s="104"/>
      <c r="M48" s="114"/>
    </row>
    <row r="49" spans="1:13" ht="17.5" hidden="1" x14ac:dyDescent="0.25">
      <c r="A49" s="57"/>
      <c r="B49" s="85"/>
      <c r="C49" s="150" t="s">
        <v>272</v>
      </c>
      <c r="D49" s="150"/>
      <c r="E49" s="77"/>
      <c r="F49" s="86"/>
      <c r="G49" s="87"/>
      <c r="H49" s="86"/>
      <c r="I49" s="87"/>
      <c r="J49" s="86"/>
      <c r="K49" s="87"/>
      <c r="L49" s="86"/>
      <c r="M49" s="87"/>
    </row>
    <row r="70" spans="1:26" s="100" customFormat="1" ht="11.9" customHeight="1" x14ac:dyDescent="0.25">
      <c r="A70" s="63"/>
      <c r="B70" s="63"/>
      <c r="C70" s="63"/>
      <c r="D70" s="63"/>
      <c r="E70" s="63"/>
      <c r="F70" s="63"/>
      <c r="G70" s="63"/>
      <c r="H70" s="63"/>
      <c r="I70" s="63"/>
      <c r="K70" s="101"/>
      <c r="M70" s="101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s="100" customFormat="1" ht="11.9" customHeight="1" x14ac:dyDescent="0.25">
      <c r="A71" s="63"/>
      <c r="B71" s="63"/>
      <c r="C71" s="63"/>
      <c r="D71" s="63"/>
      <c r="E71" s="63"/>
      <c r="F71" s="63"/>
      <c r="G71" s="63"/>
      <c r="H71" s="63"/>
      <c r="I71" s="63"/>
      <c r="K71" s="101"/>
      <c r="M71" s="101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3" spans="1:26" s="100" customFormat="1" ht="11.9" customHeight="1" x14ac:dyDescent="0.25">
      <c r="A73" s="63"/>
      <c r="B73" s="63"/>
      <c r="C73" s="63"/>
      <c r="D73" s="63"/>
      <c r="E73" s="63"/>
      <c r="F73" s="63"/>
      <c r="G73" s="63"/>
      <c r="H73" s="63"/>
      <c r="I73" s="63"/>
      <c r="K73" s="101"/>
      <c r="M73" s="101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</sheetData>
  <mergeCells count="9">
    <mergeCell ref="C9:D9"/>
    <mergeCell ref="C16:D16"/>
    <mergeCell ref="C44:D44"/>
    <mergeCell ref="C49:D49"/>
    <mergeCell ref="C2:D2"/>
    <mergeCell ref="C8:D8"/>
    <mergeCell ref="F8:G8"/>
    <mergeCell ref="H8:I8"/>
    <mergeCell ref="J8:K8"/>
  </mergeCells>
  <conditionalFormatting sqref="F11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F18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F19:F22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F24:F32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F39:F41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F47:L47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93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92">
      <iconSet iconSet="3Symbols2" showValue="0">
        <cfvo type="percent" val="0"/>
        <cfvo type="num" val="0"/>
        <cfvo type="num" val="1"/>
      </iconSet>
    </cfRule>
  </conditionalFormatting>
  <conditionalFormatting sqref="H13 F13:F15 J12:J14 L12:L15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H15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H18:H20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H21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H31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H40:H41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J19:J22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J25:J26 J28:J29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J30:J31 J27 J24 H27:H29 H24:H25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J41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L24:L32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L42 L39 J39 F42 L36 J36 F36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77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0" id="{7C660500-25E6-4543-ABD8-1FF57728D1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H26 H30 H32</xm:sqref>
        </x14:conditionalFormatting>
        <x14:conditionalFormatting xmlns:xm="http://schemas.microsoft.com/office/excel/2006/main">
          <x14:cfRule type="iconSet" priority="67" id="{36EAF124-6970-4FA9-BC87-E1668BADC1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J32</xm:sqref>
        </x14:conditionalFormatting>
        <x14:conditionalFormatting xmlns:xm="http://schemas.microsoft.com/office/excel/2006/main">
          <x14:cfRule type="iconSet" priority="65" id="{5A963061-C86D-4C80-9E39-EC4F3BA689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J40</xm:sqref>
        </x14:conditionalFormatting>
        <x14:conditionalFormatting xmlns:xm="http://schemas.microsoft.com/office/excel/2006/main">
          <x14:cfRule type="iconSet" priority="113" id="{8EFADB1E-71DA-4C0A-A2D7-6FD0F9CBDF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K36</xm:sqref>
        </x14:conditionalFormatting>
        <x14:conditionalFormatting xmlns:xm="http://schemas.microsoft.com/office/excel/2006/main">
          <x14:cfRule type="iconSet" priority="69" id="{BCFA8DA6-766A-4072-ABC5-BCCFF4A597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date0 xmlns="95d3a1aa-20e3-4db1-b4c2-8de2c15fe3d1" xsi:nil="true"/>
    <TaxCatchAll xmlns="1c3b6138-399c-48b0-9249-b80d30773e06" xsi:nil="true"/>
    <Date xmlns="95d3a1aa-20e3-4db1-b4c2-8de2c15fe3d1">2026-09-07T14:05:44+00:00</Date>
    <Createdby xmlns="95d3a1aa-20e3-4db1-b4c2-8de2c15fe3d1">
      <UserInfo>
        <DisplayName/>
        <AccountId xsi:nil="true"/>
        <AccountType/>
      </UserInfo>
    </Cre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269918-E634-4636-B4AC-3B46232662F9}">
  <ds:schemaRefs>
    <ds:schemaRef ds:uri="http://schemas.microsoft.com/office/2006/metadata/properties"/>
    <ds:schemaRef ds:uri="http://schemas.microsoft.com/office/infopath/2007/PartnerControls"/>
    <ds:schemaRef ds:uri="95d3a1aa-20e3-4db1-b4c2-8de2c15fe3d1"/>
    <ds:schemaRef ds:uri="1c3b6138-399c-48b0-9249-b80d30773e06"/>
  </ds:schemaRefs>
</ds:datastoreItem>
</file>

<file path=customXml/itemProps2.xml><?xml version="1.0" encoding="utf-8"?>
<ds:datastoreItem xmlns:ds="http://schemas.openxmlformats.org/officeDocument/2006/customXml" ds:itemID="{A7DA090D-FBEA-4E8F-A821-304CA8BD2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3B1ED0-2F93-485E-9DC0-9377CECD81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b6138-399c-48b0-9249-b80d30773e06"/>
    <ds:schemaRef ds:uri="95d3a1aa-20e3-4db1-b4c2-8de2c15fe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Goals FY 26-27Q3</vt:lpstr>
      <vt:lpstr>Pkgs Summary Phase 1(Status)</vt:lpstr>
      <vt:lpstr>Pkgs Summary Phase 2B (Status)</vt:lpstr>
      <vt:lpstr>Pkgs Summary Phase 2C (Status)</vt:lpstr>
      <vt:lpstr>'Goals FY 26-27Q3'!_FilterDatabase</vt:lpstr>
      <vt:lpstr>'Goals FY 26-27Q3'!Print_Titles</vt:lpstr>
      <vt:lpstr>'Pkgs Summary Phase 1(Status)'!Print_Titles</vt:lpstr>
      <vt:lpstr>'Pkgs Summary Phase 2B (Status)'!Print_Titles</vt:lpstr>
      <vt:lpstr>'Pkgs Summary Phase 2C (Status)'!Print_Titles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 Harish Adapa</dc:creator>
  <cp:keywords/>
  <dc:description/>
  <cp:lastModifiedBy>Anish Harish Adapa</cp:lastModifiedBy>
  <cp:revision/>
  <dcterms:created xsi:type="dcterms:W3CDTF">2026-09-06T13:54:08Z</dcterms:created>
  <dcterms:modified xsi:type="dcterms:W3CDTF">2026-09-23T06:52:24Z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